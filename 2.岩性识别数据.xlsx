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毕业\4.软件教程\"/>
    </mc:Choice>
  </mc:AlternateContent>
  <xr:revisionPtr revIDLastSave="0" documentId="13_ncr:1_{B8DCDFD5-099E-425B-8316-2F0DC54A27C2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2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74" i="2"/>
  <c r="Z1375" i="2"/>
  <c r="Z1376" i="2"/>
  <c r="Z1377" i="2"/>
  <c r="Z1378" i="2"/>
  <c r="Z1379" i="2"/>
  <c r="Z1380" i="2"/>
  <c r="Z1381" i="2"/>
  <c r="Z1382" i="2"/>
  <c r="Z1383" i="2"/>
  <c r="Z1384" i="2"/>
  <c r="Z1370" i="2"/>
  <c r="Z1371" i="2"/>
  <c r="Z1372" i="2"/>
  <c r="Z1373" i="2"/>
  <c r="Z1411" i="2"/>
  <c r="Z1412" i="2"/>
  <c r="Z1413" i="2"/>
  <c r="Z1414" i="2"/>
  <c r="Z1415" i="2"/>
  <c r="Z1416" i="2"/>
  <c r="Z1417" i="2"/>
  <c r="Z1424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404" i="2"/>
  <c r="Z1405" i="2"/>
  <c r="Z1406" i="2"/>
  <c r="Z1407" i="2"/>
  <c r="Z1408" i="2"/>
  <c r="Z1409" i="2"/>
  <c r="Z1410" i="2"/>
  <c r="Z1275" i="2"/>
  <c r="Z1276" i="2"/>
  <c r="Z1277" i="2"/>
  <c r="Z1418" i="2"/>
  <c r="Z1419" i="2"/>
  <c r="Z1420" i="2"/>
  <c r="Z1421" i="2"/>
  <c r="Z1422" i="2"/>
  <c r="Z1423" i="2"/>
  <c r="Z1400" i="2"/>
  <c r="Z1401" i="2"/>
  <c r="Z1402" i="2"/>
  <c r="Z1403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62" i="2"/>
  <c r="Z1363" i="2"/>
  <c r="Z1364" i="2"/>
  <c r="Z1365" i="2"/>
  <c r="Z1366" i="2"/>
  <c r="Z1367" i="2"/>
  <c r="Z1368" i="2"/>
  <c r="Z1369" i="2"/>
  <c r="Z1399" i="2"/>
  <c r="Z1305" i="2"/>
  <c r="Z1306" i="2"/>
  <c r="Z1307" i="2"/>
  <c r="Z1308" i="2"/>
  <c r="Z1309" i="2"/>
  <c r="Z1310" i="2"/>
  <c r="Z1311" i="2"/>
  <c r="Z1273" i="2"/>
  <c r="Z1274" i="2"/>
  <c r="Z1297" i="2"/>
  <c r="Z1298" i="2"/>
  <c r="Z1299" i="2"/>
  <c r="Z1300" i="2"/>
  <c r="Z1301" i="2"/>
  <c r="Z1302" i="2"/>
  <c r="Z1303" i="2"/>
  <c r="Z1304" i="2"/>
  <c r="Z1356" i="2"/>
  <c r="Z1357" i="2"/>
  <c r="Z1358" i="2"/>
  <c r="Z1359" i="2"/>
  <c r="Z1360" i="2"/>
  <c r="Z1361" i="2"/>
  <c r="Z1266" i="2"/>
  <c r="Z1267" i="2"/>
  <c r="Z1268" i="2"/>
  <c r="Z1269" i="2"/>
  <c r="Z1270" i="2"/>
  <c r="Z1271" i="2"/>
  <c r="Z1272" i="2"/>
  <c r="Z1295" i="2"/>
  <c r="Z1296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495" i="2"/>
  <c r="Z1494" i="2"/>
  <c r="Z1493" i="2"/>
  <c r="Z1492" i="2"/>
  <c r="Z907" i="2"/>
  <c r="Z906" i="2"/>
  <c r="Z905" i="2"/>
  <c r="Z904" i="2"/>
  <c r="Z947" i="2"/>
  <c r="Z948" i="2"/>
  <c r="Z949" i="2"/>
  <c r="Z1192" i="2"/>
  <c r="Z1143" i="2"/>
  <c r="Z1188" i="2"/>
  <c r="Z1189" i="2"/>
  <c r="Z1190" i="2"/>
  <c r="Z1191" i="2"/>
  <c r="Z1233" i="2" l="1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32" i="2"/>
  <c r="Z5" i="2" l="1"/>
  <c r="Z1174" i="2" l="1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32" i="2"/>
  <c r="Z1133" i="2"/>
  <c r="Z1134" i="2"/>
  <c r="Z1135" i="2"/>
  <c r="Z1136" i="2"/>
  <c r="Z1137" i="2"/>
  <c r="Z1138" i="2"/>
  <c r="Z1139" i="2"/>
  <c r="Z1140" i="2"/>
  <c r="Z1141" i="2"/>
  <c r="Z1142" i="2"/>
  <c r="Z950" i="2"/>
  <c r="Z951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13" i="2"/>
  <c r="Z474" i="2"/>
  <c r="Z475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24" i="2"/>
  <c r="Z425" i="2"/>
  <c r="Z426" i="2"/>
  <c r="Z427" i="2"/>
  <c r="Z428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01" i="2"/>
  <c r="Z40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54" i="2"/>
  <c r="Z353" i="2"/>
  <c r="Z352" i="2"/>
  <c r="Z351" i="2"/>
  <c r="Z350" i="2"/>
  <c r="Z113" i="2"/>
  <c r="Z112" i="2"/>
  <c r="Z111" i="2"/>
  <c r="Z110" i="2"/>
  <c r="Z109" i="2"/>
  <c r="Z108" i="2"/>
  <c r="Z107" i="2"/>
  <c r="Z106" i="2" l="1"/>
  <c r="Z105" i="2"/>
  <c r="Z104" i="2"/>
  <c r="Z103" i="2"/>
  <c r="Z102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Y10" i="3"/>
  <c r="Z10" i="3"/>
  <c r="Y11" i="3"/>
  <c r="Z11" i="3"/>
  <c r="Y12" i="3"/>
  <c r="Z12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1" i="3"/>
  <c r="Z21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Y30" i="3"/>
  <c r="Z30" i="3"/>
  <c r="Y31" i="3"/>
  <c r="Z31" i="3"/>
  <c r="Y32" i="3"/>
  <c r="Z32" i="3"/>
  <c r="Y33" i="3"/>
  <c r="Z33" i="3"/>
  <c r="Y34" i="3"/>
  <c r="Z34" i="3"/>
  <c r="Y35" i="3"/>
  <c r="Z35" i="3"/>
  <c r="Y36" i="3"/>
  <c r="Z36" i="3"/>
  <c r="Y37" i="3"/>
  <c r="Z37" i="3"/>
  <c r="Y38" i="3"/>
  <c r="Z38" i="3"/>
  <c r="Y39" i="3"/>
  <c r="Z39" i="3"/>
  <c r="Y40" i="3"/>
  <c r="Z40" i="3"/>
  <c r="Y41" i="3"/>
  <c r="Z41" i="3"/>
  <c r="Y42" i="3"/>
  <c r="Z42" i="3"/>
  <c r="Y43" i="3"/>
  <c r="Z43" i="3"/>
  <c r="Y44" i="3"/>
  <c r="Z44" i="3"/>
  <c r="Y45" i="3"/>
  <c r="Z45" i="3"/>
  <c r="Y46" i="3"/>
  <c r="Z46" i="3"/>
  <c r="Y47" i="3"/>
  <c r="Z47" i="3"/>
  <c r="Y48" i="3"/>
  <c r="Z48" i="3"/>
  <c r="Y49" i="3"/>
  <c r="Z49" i="3"/>
  <c r="Y50" i="3"/>
  <c r="Z50" i="3"/>
  <c r="Y51" i="3"/>
  <c r="Z51" i="3"/>
  <c r="Y52" i="3"/>
  <c r="Z52" i="3"/>
  <c r="Y53" i="3"/>
  <c r="Z53" i="3"/>
  <c r="Y54" i="3"/>
  <c r="Z54" i="3"/>
  <c r="Y55" i="3"/>
  <c r="Z55" i="3"/>
  <c r="Y56" i="3"/>
  <c r="Z56" i="3"/>
  <c r="Y57" i="3"/>
  <c r="Z57" i="3"/>
  <c r="Y58" i="3"/>
  <c r="Z58" i="3"/>
  <c r="Y59" i="3"/>
  <c r="Z59" i="3"/>
  <c r="Y60" i="3"/>
  <c r="Z60" i="3"/>
  <c r="Y61" i="3"/>
  <c r="Z61" i="3"/>
  <c r="Y62" i="3"/>
  <c r="Z62" i="3"/>
  <c r="Y63" i="3"/>
  <c r="Z63" i="3"/>
  <c r="Y64" i="3"/>
  <c r="Z64" i="3"/>
  <c r="Y65" i="3"/>
  <c r="Z65" i="3"/>
  <c r="Y66" i="3"/>
  <c r="Z66" i="3"/>
  <c r="Y67" i="3"/>
  <c r="Z67" i="3"/>
  <c r="Y68" i="3"/>
  <c r="Z68" i="3"/>
  <c r="Y69" i="3"/>
  <c r="Z69" i="3"/>
  <c r="Y70" i="3"/>
  <c r="Z70" i="3"/>
  <c r="Y71" i="3"/>
  <c r="Z71" i="3"/>
  <c r="Y72" i="3"/>
  <c r="Z72" i="3"/>
  <c r="Y73" i="3"/>
  <c r="Z73" i="3"/>
  <c r="Y74" i="3"/>
  <c r="Z74" i="3"/>
  <c r="Y75" i="3"/>
  <c r="Z75" i="3"/>
  <c r="Y76" i="3"/>
  <c r="Z76" i="3"/>
  <c r="Y77" i="3"/>
  <c r="Z77" i="3"/>
  <c r="Y78" i="3"/>
  <c r="Z78" i="3"/>
  <c r="Y79" i="3"/>
  <c r="Z79" i="3"/>
  <c r="Y80" i="3"/>
  <c r="Z80" i="3"/>
  <c r="Y81" i="3"/>
  <c r="Z81" i="3"/>
  <c r="Y82" i="3"/>
  <c r="Z82" i="3"/>
  <c r="Y83" i="3"/>
  <c r="Z83" i="3"/>
  <c r="Y84" i="3"/>
  <c r="Z84" i="3"/>
  <c r="Y85" i="3"/>
  <c r="Z85" i="3"/>
  <c r="Y86" i="3"/>
  <c r="Z86" i="3"/>
  <c r="Y87" i="3"/>
  <c r="Z87" i="3"/>
  <c r="Y88" i="3"/>
  <c r="Z88" i="3"/>
  <c r="Y89" i="3"/>
  <c r="Z89" i="3"/>
  <c r="Y90" i="3"/>
  <c r="Z90" i="3"/>
  <c r="Y91" i="3"/>
  <c r="Z91" i="3"/>
  <c r="Y92" i="3"/>
  <c r="Z92" i="3"/>
  <c r="Y93" i="3"/>
  <c r="Z93" i="3"/>
  <c r="Y94" i="3"/>
  <c r="Z94" i="3"/>
  <c r="Y95" i="3"/>
  <c r="Z95" i="3"/>
  <c r="Y96" i="3"/>
  <c r="Z96" i="3"/>
  <c r="Y97" i="3"/>
  <c r="Z97" i="3"/>
  <c r="Z2" i="3"/>
  <c r="Y2" i="3"/>
  <c r="Z2" i="2"/>
  <c r="Z3" i="2"/>
  <c r="Z4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Y3" i="1"/>
  <c r="Z3" i="1"/>
  <c r="Y4" i="1"/>
  <c r="Z4" i="1"/>
  <c r="Y5" i="1"/>
  <c r="Z5" i="1"/>
  <c r="Y6" i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54" i="1"/>
  <c r="Z54" i="1"/>
  <c r="Y55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Y69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6" i="1"/>
  <c r="Z86" i="1"/>
  <c r="Y87" i="1"/>
  <c r="Z87" i="1"/>
  <c r="Y88" i="1"/>
  <c r="Z88" i="1"/>
  <c r="Y89" i="1"/>
  <c r="Z89" i="1"/>
  <c r="Y90" i="1"/>
  <c r="Z90" i="1"/>
  <c r="Y91" i="1"/>
  <c r="Z91" i="1"/>
  <c r="Y92" i="1"/>
  <c r="Z92" i="1"/>
  <c r="Y93" i="1"/>
  <c r="Z93" i="1"/>
  <c r="Y94" i="1"/>
  <c r="Z94" i="1"/>
  <c r="Y95" i="1"/>
  <c r="Z95" i="1"/>
  <c r="Y96" i="1"/>
  <c r="Z96" i="1"/>
  <c r="Y97" i="1"/>
  <c r="Z97" i="1"/>
  <c r="Y98" i="1"/>
  <c r="Z98" i="1"/>
  <c r="Y99" i="1"/>
  <c r="Z99" i="1"/>
  <c r="Y100" i="1"/>
  <c r="Z100" i="1"/>
  <c r="Y101" i="1"/>
  <c r="Z101" i="1"/>
  <c r="Y102" i="1"/>
  <c r="Z102" i="1"/>
  <c r="Y103" i="1"/>
  <c r="Z103" i="1"/>
  <c r="Y104" i="1"/>
  <c r="Z104" i="1"/>
  <c r="Y105" i="1"/>
  <c r="Z105" i="1"/>
  <c r="Y106" i="1"/>
  <c r="Z106" i="1"/>
  <c r="Y107" i="1"/>
  <c r="Z107" i="1"/>
  <c r="Y108" i="1"/>
  <c r="Z108" i="1"/>
  <c r="Y109" i="1"/>
  <c r="Z109" i="1"/>
  <c r="Y110" i="1"/>
  <c r="Z110" i="1"/>
  <c r="Y111" i="1"/>
  <c r="Z111" i="1"/>
  <c r="Y112" i="1"/>
  <c r="Z112" i="1"/>
  <c r="Y113" i="1"/>
  <c r="Z113" i="1"/>
  <c r="Y114" i="1"/>
  <c r="Z114" i="1"/>
  <c r="Y115" i="1"/>
  <c r="Z115" i="1"/>
  <c r="Y116" i="1"/>
  <c r="Z116" i="1"/>
  <c r="Y117" i="1"/>
  <c r="Z117" i="1"/>
  <c r="Y118" i="1"/>
  <c r="Z118" i="1"/>
  <c r="Y119" i="1"/>
  <c r="Z119" i="1"/>
  <c r="Y120" i="1"/>
  <c r="Z120" i="1"/>
  <c r="Y121" i="1"/>
  <c r="Z121" i="1"/>
  <c r="Y122" i="1"/>
  <c r="Z122" i="1"/>
  <c r="Y123" i="1"/>
  <c r="Z123" i="1"/>
  <c r="Y124" i="1"/>
  <c r="Z124" i="1"/>
  <c r="Y125" i="1"/>
  <c r="Z125" i="1"/>
  <c r="Y126" i="1"/>
  <c r="Z126" i="1"/>
  <c r="Y127" i="1"/>
  <c r="Z127" i="1"/>
  <c r="Y128" i="1"/>
  <c r="Z128" i="1"/>
  <c r="Y129" i="1"/>
  <c r="Z129" i="1"/>
  <c r="Y130" i="1"/>
  <c r="Z130" i="1"/>
  <c r="Y131" i="1"/>
  <c r="Z131" i="1"/>
  <c r="Y132" i="1"/>
  <c r="Z132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Y141" i="1"/>
  <c r="Z141" i="1"/>
  <c r="Y142" i="1"/>
  <c r="Z142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3" i="1"/>
  <c r="Z153" i="1"/>
  <c r="Y154" i="1"/>
  <c r="Z154" i="1"/>
  <c r="Y155" i="1"/>
  <c r="Z155" i="1"/>
  <c r="Y156" i="1"/>
  <c r="Z156" i="1"/>
  <c r="Y157" i="1"/>
  <c r="Z157" i="1"/>
  <c r="Y158" i="1"/>
  <c r="Z158" i="1"/>
  <c r="Y159" i="1"/>
  <c r="Z159" i="1"/>
  <c r="Y160" i="1"/>
  <c r="Z160" i="1"/>
  <c r="Y161" i="1"/>
  <c r="Z161" i="1"/>
  <c r="Y162" i="1"/>
  <c r="Z162" i="1"/>
  <c r="Y163" i="1"/>
  <c r="Z163" i="1"/>
  <c r="Y164" i="1"/>
  <c r="Z164" i="1"/>
  <c r="Y165" i="1"/>
  <c r="Z165" i="1"/>
  <c r="Y166" i="1"/>
  <c r="Z166" i="1"/>
  <c r="Y167" i="1"/>
  <c r="Z167" i="1"/>
  <c r="Y168" i="1"/>
  <c r="Z168" i="1"/>
  <c r="Y169" i="1"/>
  <c r="Z169" i="1"/>
  <c r="Y170" i="1"/>
  <c r="Z170" i="1"/>
  <c r="Y171" i="1"/>
  <c r="Z171" i="1"/>
  <c r="Y172" i="1"/>
  <c r="Z172" i="1"/>
  <c r="Y173" i="1"/>
  <c r="Z173" i="1"/>
  <c r="Y174" i="1"/>
  <c r="Z174" i="1"/>
  <c r="Y175" i="1"/>
  <c r="Z175" i="1"/>
  <c r="Y176" i="1"/>
  <c r="Z176" i="1"/>
  <c r="Y177" i="1"/>
  <c r="Z177" i="1"/>
  <c r="Y178" i="1"/>
  <c r="Z178" i="1"/>
  <c r="Y179" i="1"/>
  <c r="Z179" i="1"/>
  <c r="Y180" i="1"/>
  <c r="Z180" i="1"/>
  <c r="Y181" i="1"/>
  <c r="Z181" i="1"/>
  <c r="Y182" i="1"/>
  <c r="Z182" i="1"/>
  <c r="Y183" i="1"/>
  <c r="Z183" i="1"/>
  <c r="Y184" i="1"/>
  <c r="Z184" i="1"/>
  <c r="Y185" i="1"/>
  <c r="Z185" i="1"/>
  <c r="Y186" i="1"/>
  <c r="Z186" i="1"/>
  <c r="Y187" i="1"/>
  <c r="Z187" i="1"/>
  <c r="Y188" i="1"/>
  <c r="Z188" i="1"/>
  <c r="Y189" i="1"/>
  <c r="Z189" i="1"/>
  <c r="Y190" i="1"/>
  <c r="Z190" i="1"/>
  <c r="Y191" i="1"/>
  <c r="Z191" i="1"/>
  <c r="Y192" i="1"/>
  <c r="Z192" i="1"/>
  <c r="Y193" i="1"/>
  <c r="Z193" i="1"/>
  <c r="Y194" i="1"/>
  <c r="Z194" i="1"/>
  <c r="Y195" i="1"/>
  <c r="Z195" i="1"/>
  <c r="Y196" i="1"/>
  <c r="Z196" i="1"/>
  <c r="Y197" i="1"/>
  <c r="Z197" i="1"/>
  <c r="Z2" i="1"/>
  <c r="Y2" i="1"/>
</calcChain>
</file>

<file path=xl/sharedStrings.xml><?xml version="1.0" encoding="utf-8"?>
<sst xmlns="http://schemas.openxmlformats.org/spreadsheetml/2006/main" count="6919" uniqueCount="129">
  <si>
    <t>井名</t>
  </si>
  <si>
    <t>深度</t>
  </si>
  <si>
    <t>GR</t>
  </si>
  <si>
    <t>CAL</t>
  </si>
  <si>
    <t>U</t>
  </si>
  <si>
    <t>AC</t>
  </si>
  <si>
    <t>DEN</t>
  </si>
  <si>
    <t>CNL</t>
  </si>
  <si>
    <t>PE</t>
  </si>
  <si>
    <t>RS</t>
  </si>
  <si>
    <t>POR</t>
  </si>
  <si>
    <t>PERM</t>
  </si>
  <si>
    <t>SW</t>
  </si>
  <si>
    <t>RD</t>
  </si>
  <si>
    <t>GR1</t>
  </si>
  <si>
    <t>PE1</t>
  </si>
  <si>
    <t>AC1</t>
  </si>
  <si>
    <t>DEN1</t>
  </si>
  <si>
    <t>CNL1</t>
  </si>
  <si>
    <t>解释结论</t>
  </si>
  <si>
    <t>层位</t>
  </si>
  <si>
    <t>延1954</t>
  </si>
  <si>
    <t>马五41a</t>
  </si>
  <si>
    <t>含气层</t>
  </si>
  <si>
    <t>岩性</t>
    <phoneticPr fontId="1" type="noConversion"/>
  </si>
  <si>
    <t>序号</t>
    <phoneticPr fontId="1" type="noConversion"/>
  </si>
  <si>
    <t>备注</t>
    <phoneticPr fontId="1" type="noConversion"/>
  </si>
  <si>
    <t>∆ Φ1</t>
    <phoneticPr fontId="1" type="noConversion"/>
  </si>
  <si>
    <t>∆ Φ2</t>
    <phoneticPr fontId="1" type="noConversion"/>
  </si>
  <si>
    <t>白云岩</t>
  </si>
  <si>
    <t>白云岩</t>
    <phoneticPr fontId="1" type="noConversion"/>
  </si>
  <si>
    <t>取心</t>
    <phoneticPr fontId="1" type="noConversion"/>
  </si>
  <si>
    <t>岩心观察</t>
    <phoneticPr fontId="1" type="noConversion"/>
  </si>
  <si>
    <t>马五41b</t>
  </si>
  <si>
    <t>泥质白云岩</t>
  </si>
  <si>
    <t>泥质白云岩</t>
    <phoneticPr fontId="1" type="noConversion"/>
  </si>
  <si>
    <t>凝灰质泥岩</t>
  </si>
  <si>
    <t>凝灰质泥岩</t>
    <phoneticPr fontId="1" type="noConversion"/>
  </si>
  <si>
    <t>延924</t>
  </si>
  <si>
    <t>白云质泥岩</t>
    <phoneticPr fontId="1" type="noConversion"/>
  </si>
  <si>
    <t>录井</t>
    <phoneticPr fontId="1" type="noConversion"/>
  </si>
  <si>
    <t>马五42</t>
  </si>
  <si>
    <t>延1956</t>
  </si>
  <si>
    <t>延1958</t>
  </si>
  <si>
    <t>延946</t>
  </si>
  <si>
    <t>靖40</t>
  </si>
  <si>
    <t>延1059</t>
  </si>
  <si>
    <t>横3</t>
  </si>
  <si>
    <t>延1085</t>
  </si>
  <si>
    <t>延1136</t>
  </si>
  <si>
    <t>延1137</t>
  </si>
  <si>
    <t>延971</t>
  </si>
  <si>
    <t>延994</t>
  </si>
  <si>
    <t>井名</t>
    <phoneticPr fontId="1" type="noConversion"/>
  </si>
  <si>
    <t>深度</t>
    <phoneticPr fontId="1" type="noConversion"/>
  </si>
  <si>
    <t>GR</t>
    <phoneticPr fontId="1" type="noConversion"/>
  </si>
  <si>
    <t>CAL</t>
    <phoneticPr fontId="1" type="noConversion"/>
  </si>
  <si>
    <t>U</t>
    <phoneticPr fontId="1" type="noConversion"/>
  </si>
  <si>
    <t>AC</t>
    <phoneticPr fontId="1" type="noConversion"/>
  </si>
  <si>
    <t>DEN</t>
    <phoneticPr fontId="1" type="noConversion"/>
  </si>
  <si>
    <t>CNL</t>
    <phoneticPr fontId="1" type="noConversion"/>
  </si>
  <si>
    <t>PE</t>
    <phoneticPr fontId="1" type="noConversion"/>
  </si>
  <si>
    <t>RS</t>
    <phoneticPr fontId="1" type="noConversion"/>
  </si>
  <si>
    <t>RD</t>
    <phoneticPr fontId="1" type="noConversion"/>
  </si>
  <si>
    <t>POR</t>
    <phoneticPr fontId="1" type="noConversion"/>
  </si>
  <si>
    <t>PERM</t>
    <phoneticPr fontId="1" type="noConversion"/>
  </si>
  <si>
    <t>SW</t>
    <phoneticPr fontId="1" type="noConversion"/>
  </si>
  <si>
    <t>GR1</t>
    <phoneticPr fontId="1" type="noConversion"/>
  </si>
  <si>
    <t>PE1</t>
    <phoneticPr fontId="1" type="noConversion"/>
  </si>
  <si>
    <t>AC1</t>
    <phoneticPr fontId="1" type="noConversion"/>
  </si>
  <si>
    <t>DEN1</t>
    <phoneticPr fontId="1" type="noConversion"/>
  </si>
  <si>
    <t>CNL1</t>
    <phoneticPr fontId="1" type="noConversion"/>
  </si>
  <si>
    <t>解释结论</t>
    <phoneticPr fontId="1" type="noConversion"/>
  </si>
  <si>
    <t>层位</t>
    <phoneticPr fontId="1" type="noConversion"/>
  </si>
  <si>
    <t>延958</t>
  </si>
  <si>
    <t>延959</t>
  </si>
  <si>
    <t>延919</t>
  </si>
  <si>
    <t>延914</t>
  </si>
  <si>
    <t>延990</t>
  </si>
  <si>
    <t>延982</t>
  </si>
  <si>
    <t>延981</t>
  </si>
  <si>
    <t>延1087</t>
  </si>
  <si>
    <t>延949</t>
  </si>
  <si>
    <t>延1950</t>
  </si>
  <si>
    <t>延1952</t>
  </si>
  <si>
    <t>薄片</t>
    <phoneticPr fontId="1" type="noConversion"/>
  </si>
  <si>
    <t>灰质泥岩</t>
    <phoneticPr fontId="1" type="noConversion"/>
  </si>
  <si>
    <t>含泥白云岩</t>
    <phoneticPr fontId="1" type="noConversion"/>
  </si>
  <si>
    <t xml:space="preserve">白云岩 </t>
  </si>
  <si>
    <t>含灰白云岩</t>
  </si>
  <si>
    <t>含灰白云岩</t>
    <phoneticPr fontId="1" type="noConversion"/>
  </si>
  <si>
    <t xml:space="preserve">含灰白云岩   </t>
  </si>
  <si>
    <t>灰质白云岩</t>
  </si>
  <si>
    <t>灰质白云岩</t>
    <phoneticPr fontId="1" type="noConversion"/>
  </si>
  <si>
    <t xml:space="preserve">灰质白云岩  </t>
  </si>
  <si>
    <t>白云质灰岩</t>
    <phoneticPr fontId="1" type="noConversion"/>
  </si>
  <si>
    <t>灰岩</t>
  </si>
  <si>
    <t>灰岩</t>
    <phoneticPr fontId="1" type="noConversion"/>
  </si>
  <si>
    <t xml:space="preserve">灰岩 </t>
  </si>
  <si>
    <t>白云质灰岩</t>
  </si>
  <si>
    <t>膏质白云岩</t>
  </si>
  <si>
    <t>膏质白云岩</t>
    <phoneticPr fontId="1" type="noConversion"/>
  </si>
  <si>
    <t>含膏白云岩</t>
    <phoneticPr fontId="1" type="noConversion"/>
  </si>
  <si>
    <t>石膏岩</t>
    <phoneticPr fontId="1" type="noConversion"/>
  </si>
  <si>
    <t>硅质白云岩</t>
    <phoneticPr fontId="1" type="noConversion"/>
  </si>
  <si>
    <t>延976-3</t>
  </si>
  <si>
    <t>靖12-1</t>
  </si>
  <si>
    <t>靖21-1</t>
  </si>
  <si>
    <t>延911-3</t>
  </si>
  <si>
    <t>延908</t>
  </si>
  <si>
    <t>靖3-1</t>
  </si>
  <si>
    <t>靖3</t>
  </si>
  <si>
    <t>靖20-2</t>
  </si>
  <si>
    <t>延907-2</t>
  </si>
  <si>
    <t>延905-3</t>
  </si>
  <si>
    <t>延905-1</t>
  </si>
  <si>
    <t>延903-2</t>
  </si>
  <si>
    <t>延917</t>
  </si>
  <si>
    <t>泥质灰岩</t>
  </si>
  <si>
    <t>延910-2</t>
  </si>
  <si>
    <t>延495-2</t>
  </si>
  <si>
    <t>岩性</t>
  </si>
  <si>
    <t>计数项:岩性</t>
  </si>
  <si>
    <t>白云质泥岩</t>
  </si>
  <si>
    <t>硅质白云岩</t>
  </si>
  <si>
    <t>含膏白云岩</t>
  </si>
  <si>
    <t>含泥白云岩</t>
  </si>
  <si>
    <t>灰质泥岩</t>
  </si>
  <si>
    <t>石膏岩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</si>
</sst>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[2.岩性识别数据.xlsx]Sheet4!数据透视表5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计数项</a:t>
            </a:r>
            <a:r>
              <a:rPr lang="en-US" altLang="zh-CN"/>
              <a:t>:</a:t>
            </a:r>
            <a:r>
              <a:rPr lang="zh-CN" altLang="en-US"/>
              <a:t>岩性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Sheet4!$A$4:$A$18</c:f>
              <c:strCache>
                <c:ptCount val="15"/>
                <c:pt idx="0">
                  <c:v>白云岩</c:v>
                </c:pt>
                <c:pt idx="1">
                  <c:v>白云质灰岩</c:v>
                </c:pt>
                <c:pt idx="2">
                  <c:v>白云质泥岩</c:v>
                </c:pt>
                <c:pt idx="3">
                  <c:v>膏质白云岩</c:v>
                </c:pt>
                <c:pt idx="4">
                  <c:v>硅质白云岩</c:v>
                </c:pt>
                <c:pt idx="5">
                  <c:v>含膏白云岩</c:v>
                </c:pt>
                <c:pt idx="6">
                  <c:v>含灰白云岩</c:v>
                </c:pt>
                <c:pt idx="7">
                  <c:v>含泥白云岩</c:v>
                </c:pt>
                <c:pt idx="8">
                  <c:v>灰岩</c:v>
                </c:pt>
                <c:pt idx="9">
                  <c:v>灰质白云岩</c:v>
                </c:pt>
                <c:pt idx="10">
                  <c:v>灰质泥岩</c:v>
                </c:pt>
                <c:pt idx="11">
                  <c:v>泥质白云岩</c:v>
                </c:pt>
                <c:pt idx="12">
                  <c:v>泥质灰岩</c:v>
                </c:pt>
                <c:pt idx="13">
                  <c:v>凝灰质泥岩</c:v>
                </c:pt>
                <c:pt idx="14">
                  <c:v>石膏岩</c:v>
                </c:pt>
              </c:strCache>
            </c:strRef>
          </c:cat>
          <c:val>
            <c:numRef>
              <c:f>Sheet4!$B$4:$B$18</c:f>
              <c:numCache>
                <c:formatCode>General</c:formatCode>
                <c:ptCount val="15"/>
                <c:pt idx="0">
                  <c:v>540</c:v>
                </c:pt>
                <c:pt idx="1">
                  <c:v>63</c:v>
                </c:pt>
                <c:pt idx="2">
                  <c:v>5</c:v>
                </c:pt>
                <c:pt idx="3">
                  <c:v>39</c:v>
                </c:pt>
                <c:pt idx="4">
                  <c:v>4</c:v>
                </c:pt>
                <c:pt idx="5">
                  <c:v>4</c:v>
                </c:pt>
                <c:pt idx="6">
                  <c:v>163</c:v>
                </c:pt>
                <c:pt idx="7">
                  <c:v>5</c:v>
                </c:pt>
                <c:pt idx="8">
                  <c:v>91</c:v>
                </c:pt>
                <c:pt idx="9">
                  <c:v>116</c:v>
                </c:pt>
                <c:pt idx="10">
                  <c:v>7</c:v>
                </c:pt>
                <c:pt idx="11">
                  <c:v>236</c:v>
                </c:pt>
                <c:pt idx="12">
                  <c:v>61</c:v>
                </c:pt>
                <c:pt idx="13">
                  <c:v>100</c:v>
                </c:pt>
                <c:pt idx="1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1-41DD-AE15-4707DF30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506032"/>
        <c:axId val="767504592"/>
      </c:barChart>
      <c:catAx>
        <c:axId val="76750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7504592"/>
        <c:crosses val="autoZero"/>
        <c:auto val="1"/>
        <c:lblAlgn val="ctr"/>
        <c:lblOffset val="100"/>
        <c:noMultiLvlLbl val="0"/>
      </c:catAx>
      <c:valAx>
        <c:axId val="7675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750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取心</a:t>
            </a:r>
            <a:r>
              <a:rPr lang="en-US" altLang="zh-CN"/>
              <a:t>-</a:t>
            </a:r>
            <a:r>
              <a:rPr lang="zh-CN" altLang="en-US"/>
              <a:t>薄片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0791154842259447E-2"/>
          <c:y val="1.4905813336633258E-2"/>
          <c:w val="0.96702511036695127"/>
          <c:h val="0.9647815564784245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Sheet2!$V$49</c:f>
              <c:strCache>
                <c:ptCount val="1"/>
                <c:pt idx="0">
                  <c:v>凝灰质泥岩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Sheet2!$Y$49:$Y$101</c:f>
              <c:numCache>
                <c:formatCode>General</c:formatCode>
                <c:ptCount val="53"/>
                <c:pt idx="0">
                  <c:v>1.3959999999999999</c:v>
                </c:pt>
                <c:pt idx="1">
                  <c:v>1.637</c:v>
                </c:pt>
                <c:pt idx="2">
                  <c:v>1.7909999999999999</c:v>
                </c:pt>
                <c:pt idx="3">
                  <c:v>1.855</c:v>
                </c:pt>
                <c:pt idx="4">
                  <c:v>1.831</c:v>
                </c:pt>
                <c:pt idx="5">
                  <c:v>1.76</c:v>
                </c:pt>
                <c:pt idx="6">
                  <c:v>1.4729999999999999</c:v>
                </c:pt>
                <c:pt idx="7">
                  <c:v>1.8439999999999999</c:v>
                </c:pt>
                <c:pt idx="8">
                  <c:v>1.998</c:v>
                </c:pt>
                <c:pt idx="9">
                  <c:v>1.899</c:v>
                </c:pt>
                <c:pt idx="10">
                  <c:v>1.4950000000000001</c:v>
                </c:pt>
                <c:pt idx="11">
                  <c:v>1.5469999999999999</c:v>
                </c:pt>
                <c:pt idx="12">
                  <c:v>1.48</c:v>
                </c:pt>
                <c:pt idx="13">
                  <c:v>1.331</c:v>
                </c:pt>
                <c:pt idx="14">
                  <c:v>1.1419999999999999</c:v>
                </c:pt>
                <c:pt idx="15">
                  <c:v>0.96100000000000008</c:v>
                </c:pt>
                <c:pt idx="16">
                  <c:v>1.7890000000000001</c:v>
                </c:pt>
                <c:pt idx="17">
                  <c:v>1.996</c:v>
                </c:pt>
                <c:pt idx="18">
                  <c:v>1.93</c:v>
                </c:pt>
                <c:pt idx="19">
                  <c:v>1.6560000000000001</c:v>
                </c:pt>
                <c:pt idx="20">
                  <c:v>1.284</c:v>
                </c:pt>
                <c:pt idx="21">
                  <c:v>0.93500000000000005</c:v>
                </c:pt>
                <c:pt idx="22">
                  <c:v>1.5049999999999999</c:v>
                </c:pt>
                <c:pt idx="23">
                  <c:v>1.8089999999999999</c:v>
                </c:pt>
                <c:pt idx="24">
                  <c:v>1.9729999999999999</c:v>
                </c:pt>
                <c:pt idx="25">
                  <c:v>1.911</c:v>
                </c:pt>
                <c:pt idx="26">
                  <c:v>1.248</c:v>
                </c:pt>
                <c:pt idx="27">
                  <c:v>1.6099999999999999</c:v>
                </c:pt>
                <c:pt idx="28">
                  <c:v>1.8959999999999999</c:v>
                </c:pt>
                <c:pt idx="29">
                  <c:v>2</c:v>
                </c:pt>
                <c:pt idx="30">
                  <c:v>1.869</c:v>
                </c:pt>
                <c:pt idx="31">
                  <c:v>1.6339999999999999</c:v>
                </c:pt>
                <c:pt idx="32">
                  <c:v>1.405</c:v>
                </c:pt>
                <c:pt idx="33">
                  <c:v>1.1859999999999999</c:v>
                </c:pt>
                <c:pt idx="34">
                  <c:v>1.4409999999999998</c:v>
                </c:pt>
                <c:pt idx="35">
                  <c:v>1.768</c:v>
                </c:pt>
                <c:pt idx="36">
                  <c:v>1.9529999999999998</c:v>
                </c:pt>
                <c:pt idx="37">
                  <c:v>1.9529999999999998</c:v>
                </c:pt>
                <c:pt idx="38">
                  <c:v>1.7679999999999998</c:v>
                </c:pt>
                <c:pt idx="39">
                  <c:v>0.96100000000000008</c:v>
                </c:pt>
                <c:pt idx="40">
                  <c:v>1.181</c:v>
                </c:pt>
                <c:pt idx="41">
                  <c:v>1.4179999999999999</c:v>
                </c:pt>
                <c:pt idx="42">
                  <c:v>1.629</c:v>
                </c:pt>
                <c:pt idx="43">
                  <c:v>1.8129999999999999</c:v>
                </c:pt>
                <c:pt idx="44">
                  <c:v>1.927</c:v>
                </c:pt>
                <c:pt idx="45">
                  <c:v>1.8959999999999999</c:v>
                </c:pt>
                <c:pt idx="46">
                  <c:v>1.681</c:v>
                </c:pt>
                <c:pt idx="47">
                  <c:v>1.6240000000000001</c:v>
                </c:pt>
                <c:pt idx="48">
                  <c:v>1.7879999999999998</c:v>
                </c:pt>
                <c:pt idx="49">
                  <c:v>1.911</c:v>
                </c:pt>
                <c:pt idx="50">
                  <c:v>1.968</c:v>
                </c:pt>
                <c:pt idx="51">
                  <c:v>1.956</c:v>
                </c:pt>
                <c:pt idx="52">
                  <c:v>1.893</c:v>
                </c:pt>
              </c:numCache>
              <c:extLst xmlns:c15="http://schemas.microsoft.com/office/drawing/2012/chart"/>
            </c:numRef>
          </c:xVal>
          <c:yVal>
            <c:numRef>
              <c:f>Sheet2!$Z$49:$Z$101</c:f>
              <c:numCache>
                <c:formatCode>General</c:formatCode>
                <c:ptCount val="53"/>
                <c:pt idx="0">
                  <c:v>0.70499999999999996</c:v>
                </c:pt>
                <c:pt idx="1">
                  <c:v>0.877</c:v>
                </c:pt>
                <c:pt idx="2">
                  <c:v>0.96199999999999997</c:v>
                </c:pt>
                <c:pt idx="3">
                  <c:v>0.96199999999999997</c:v>
                </c:pt>
                <c:pt idx="4">
                  <c:v>0.872</c:v>
                </c:pt>
                <c:pt idx="5">
                  <c:v>0.71899999999999997</c:v>
                </c:pt>
                <c:pt idx="6">
                  <c:v>0.47499999999999998</c:v>
                </c:pt>
                <c:pt idx="7">
                  <c:v>0.81699999999999995</c:v>
                </c:pt>
                <c:pt idx="8">
                  <c:v>0.99199999999999999</c:v>
                </c:pt>
                <c:pt idx="9">
                  <c:v>0.94499999999999995</c:v>
                </c:pt>
                <c:pt idx="10">
                  <c:v>0.14200000000000002</c:v>
                </c:pt>
                <c:pt idx="11">
                  <c:v>8.8999999999999968E-2</c:v>
                </c:pt>
                <c:pt idx="12">
                  <c:v>2.200000000000002E-2</c:v>
                </c:pt>
                <c:pt idx="13">
                  <c:v>-3.3000000000000029E-2</c:v>
                </c:pt>
                <c:pt idx="14">
                  <c:v>-7.7000000000000068E-2</c:v>
                </c:pt>
                <c:pt idx="15">
                  <c:v>0.54400000000000004</c:v>
                </c:pt>
                <c:pt idx="16">
                  <c:v>0.92500000000000004</c:v>
                </c:pt>
                <c:pt idx="17">
                  <c:v>0.98</c:v>
                </c:pt>
                <c:pt idx="18">
                  <c:v>0.91099999999999992</c:v>
                </c:pt>
                <c:pt idx="19">
                  <c:v>0.73100000000000009</c:v>
                </c:pt>
                <c:pt idx="20">
                  <c:v>0.51400000000000001</c:v>
                </c:pt>
                <c:pt idx="21">
                  <c:v>0.33999999999999997</c:v>
                </c:pt>
                <c:pt idx="22">
                  <c:v>0.43900000000000006</c:v>
                </c:pt>
                <c:pt idx="23">
                  <c:v>0.67199999999999993</c:v>
                </c:pt>
                <c:pt idx="24">
                  <c:v>0.78</c:v>
                </c:pt>
                <c:pt idx="25">
                  <c:v>0.72</c:v>
                </c:pt>
                <c:pt idx="26">
                  <c:v>0.48699999999999999</c:v>
                </c:pt>
                <c:pt idx="27">
                  <c:v>0.73299999999999998</c:v>
                </c:pt>
                <c:pt idx="28">
                  <c:v>0.92799999999999994</c:v>
                </c:pt>
                <c:pt idx="29">
                  <c:v>0.98499999999999999</c:v>
                </c:pt>
                <c:pt idx="30">
                  <c:v>0.90700000000000003</c:v>
                </c:pt>
                <c:pt idx="31">
                  <c:v>0.76800000000000002</c:v>
                </c:pt>
                <c:pt idx="32">
                  <c:v>0.65500000000000003</c:v>
                </c:pt>
                <c:pt idx="33">
                  <c:v>0.55899999999999994</c:v>
                </c:pt>
                <c:pt idx="34">
                  <c:v>0.24099999999999994</c:v>
                </c:pt>
                <c:pt idx="35">
                  <c:v>0.33199999999999996</c:v>
                </c:pt>
                <c:pt idx="36">
                  <c:v>0.42999999999999994</c:v>
                </c:pt>
                <c:pt idx="37">
                  <c:v>0.48</c:v>
                </c:pt>
                <c:pt idx="38">
                  <c:v>0.45899999999999996</c:v>
                </c:pt>
                <c:pt idx="39">
                  <c:v>0.46600000000000003</c:v>
                </c:pt>
                <c:pt idx="40">
                  <c:v>0.621</c:v>
                </c:pt>
                <c:pt idx="41">
                  <c:v>0.71599999999999997</c:v>
                </c:pt>
                <c:pt idx="42">
                  <c:v>0.746</c:v>
                </c:pt>
                <c:pt idx="43">
                  <c:v>0.73499999999999999</c:v>
                </c:pt>
                <c:pt idx="44">
                  <c:v>0.69600000000000006</c:v>
                </c:pt>
                <c:pt idx="45">
                  <c:v>0.62599999999999989</c:v>
                </c:pt>
                <c:pt idx="46">
                  <c:v>0.51900000000000002</c:v>
                </c:pt>
                <c:pt idx="47">
                  <c:v>0.63900000000000001</c:v>
                </c:pt>
                <c:pt idx="48">
                  <c:v>0.64300000000000002</c:v>
                </c:pt>
                <c:pt idx="49">
                  <c:v>0.60199999999999998</c:v>
                </c:pt>
                <c:pt idx="50">
                  <c:v>0.52600000000000002</c:v>
                </c:pt>
                <c:pt idx="51">
                  <c:v>0.43399999999999994</c:v>
                </c:pt>
                <c:pt idx="52">
                  <c:v>0.34900000000000009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24F-4CE4-B93C-E6513D36FB69}"/>
            </c:ext>
          </c:extLst>
        </c:ser>
        <c:ser>
          <c:idx val="1"/>
          <c:order val="1"/>
          <c:tx>
            <c:strRef>
              <c:f>Sheet2!$V$102</c:f>
              <c:strCache>
                <c:ptCount val="1"/>
                <c:pt idx="0">
                  <c:v>白云质泥岩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Sheet2!$Y$102:$Y$106</c:f>
              <c:numCache>
                <c:formatCode>General</c:formatCode>
                <c:ptCount val="5"/>
                <c:pt idx="0">
                  <c:v>1.3839999999999999</c:v>
                </c:pt>
                <c:pt idx="1">
                  <c:v>1.5459999999999998</c:v>
                </c:pt>
                <c:pt idx="2">
                  <c:v>1.569</c:v>
                </c:pt>
                <c:pt idx="3">
                  <c:v>1.472</c:v>
                </c:pt>
                <c:pt idx="4">
                  <c:v>1.286</c:v>
                </c:pt>
              </c:numCache>
              <c:extLst xmlns:c15="http://schemas.microsoft.com/office/drawing/2012/chart"/>
            </c:numRef>
          </c:xVal>
          <c:yVal>
            <c:numRef>
              <c:f>Sheet2!$Z$102:$Z$106</c:f>
              <c:numCache>
                <c:formatCode>General</c:formatCode>
                <c:ptCount val="5"/>
                <c:pt idx="0">
                  <c:v>0.65100000000000002</c:v>
                </c:pt>
                <c:pt idx="1">
                  <c:v>0.80199999999999994</c:v>
                </c:pt>
                <c:pt idx="2">
                  <c:v>0.82699999999999996</c:v>
                </c:pt>
                <c:pt idx="3">
                  <c:v>0.71100000000000008</c:v>
                </c:pt>
                <c:pt idx="4">
                  <c:v>0.45599999999999996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24F-4CE4-B93C-E6513D36FB69}"/>
            </c:ext>
          </c:extLst>
        </c:ser>
        <c:ser>
          <c:idx val="2"/>
          <c:order val="2"/>
          <c:tx>
            <c:strRef>
              <c:f>Sheet2!$V$107</c:f>
              <c:strCache>
                <c:ptCount val="1"/>
                <c:pt idx="0">
                  <c:v>灰质泥岩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Sheet2!$Y$107:$Y$113</c:f>
              <c:numCache>
                <c:formatCode>General</c:formatCode>
                <c:ptCount val="7"/>
                <c:pt idx="0">
                  <c:v>1.0580000000000001</c:v>
                </c:pt>
                <c:pt idx="1">
                  <c:v>1.4870000000000001</c:v>
                </c:pt>
                <c:pt idx="2">
                  <c:v>1.8420000000000001</c:v>
                </c:pt>
                <c:pt idx="3">
                  <c:v>1.9689999999999999</c:v>
                </c:pt>
                <c:pt idx="4">
                  <c:v>1.8340000000000001</c:v>
                </c:pt>
                <c:pt idx="5">
                  <c:v>1.552</c:v>
                </c:pt>
                <c:pt idx="6">
                  <c:v>1.2730000000000001</c:v>
                </c:pt>
              </c:numCache>
              <c:extLst xmlns:c15="http://schemas.microsoft.com/office/drawing/2012/chart"/>
            </c:numRef>
          </c:xVal>
          <c:yVal>
            <c:numRef>
              <c:f>Sheet2!$Z$107:$Z$113</c:f>
              <c:numCache>
                <c:formatCode>General</c:formatCode>
                <c:ptCount val="7"/>
                <c:pt idx="0">
                  <c:v>0.314</c:v>
                </c:pt>
                <c:pt idx="1">
                  <c:v>0.61599999999999999</c:v>
                </c:pt>
                <c:pt idx="2">
                  <c:v>0.86299999999999999</c:v>
                </c:pt>
                <c:pt idx="3">
                  <c:v>0.95099999999999996</c:v>
                </c:pt>
                <c:pt idx="4">
                  <c:v>0.84099999999999997</c:v>
                </c:pt>
                <c:pt idx="5">
                  <c:v>0.58899999999999997</c:v>
                </c:pt>
                <c:pt idx="6">
                  <c:v>0.30999999999999994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24F-4CE4-B93C-E6513D36FB69}"/>
            </c:ext>
          </c:extLst>
        </c:ser>
        <c:ser>
          <c:idx val="3"/>
          <c:order val="3"/>
          <c:tx>
            <c:strRef>
              <c:f>Sheet2!$V$210</c:f>
              <c:strCache>
                <c:ptCount val="1"/>
                <c:pt idx="0">
                  <c:v>泥质白云岩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Sheet2!$Y$210:$Y$274</c:f>
              <c:numCache>
                <c:formatCode>General</c:formatCode>
                <c:ptCount val="65"/>
                <c:pt idx="0">
                  <c:v>0.63200000000000001</c:v>
                </c:pt>
                <c:pt idx="1">
                  <c:v>0.78100000000000003</c:v>
                </c:pt>
                <c:pt idx="2">
                  <c:v>0.88900000000000001</c:v>
                </c:pt>
                <c:pt idx="3">
                  <c:v>0.92900000000000005</c:v>
                </c:pt>
                <c:pt idx="4">
                  <c:v>0.88700000000000001</c:v>
                </c:pt>
                <c:pt idx="5">
                  <c:v>0.78200000000000003</c:v>
                </c:pt>
                <c:pt idx="6">
                  <c:v>0.622</c:v>
                </c:pt>
                <c:pt idx="7">
                  <c:v>0.96699999999999997</c:v>
                </c:pt>
                <c:pt idx="8">
                  <c:v>1.149</c:v>
                </c:pt>
                <c:pt idx="9">
                  <c:v>1.274</c:v>
                </c:pt>
                <c:pt idx="10">
                  <c:v>1.3210000000000002</c:v>
                </c:pt>
                <c:pt idx="11">
                  <c:v>1.272</c:v>
                </c:pt>
                <c:pt idx="12">
                  <c:v>1.1440000000000001</c:v>
                </c:pt>
                <c:pt idx="13">
                  <c:v>0.59199999999999997</c:v>
                </c:pt>
                <c:pt idx="14">
                  <c:v>0.79599999999999993</c:v>
                </c:pt>
                <c:pt idx="15">
                  <c:v>0.96100000000000008</c:v>
                </c:pt>
                <c:pt idx="16">
                  <c:v>1.0820000000000001</c:v>
                </c:pt>
                <c:pt idx="17">
                  <c:v>1.1619999999999999</c:v>
                </c:pt>
                <c:pt idx="18">
                  <c:v>1.169</c:v>
                </c:pt>
                <c:pt idx="19">
                  <c:v>1.0830000000000002</c:v>
                </c:pt>
                <c:pt idx="20">
                  <c:v>0.88800000000000012</c:v>
                </c:pt>
                <c:pt idx="21">
                  <c:v>0.70799999999999996</c:v>
                </c:pt>
                <c:pt idx="22">
                  <c:v>0.86699999999999999</c:v>
                </c:pt>
                <c:pt idx="23">
                  <c:v>0.96</c:v>
                </c:pt>
                <c:pt idx="24">
                  <c:v>1.0049999999999999</c:v>
                </c:pt>
                <c:pt idx="25">
                  <c:v>0.96100000000000008</c:v>
                </c:pt>
                <c:pt idx="26">
                  <c:v>0.83799999999999997</c:v>
                </c:pt>
                <c:pt idx="27">
                  <c:v>0.63100000000000001</c:v>
                </c:pt>
                <c:pt idx="28">
                  <c:v>0.56099999999999994</c:v>
                </c:pt>
                <c:pt idx="29">
                  <c:v>0.72699999999999998</c:v>
                </c:pt>
                <c:pt idx="30">
                  <c:v>0.87</c:v>
                </c:pt>
                <c:pt idx="31">
                  <c:v>0.86099999999999999</c:v>
                </c:pt>
                <c:pt idx="32">
                  <c:v>0.73799999999999999</c:v>
                </c:pt>
                <c:pt idx="33">
                  <c:v>0.40200000000000002</c:v>
                </c:pt>
                <c:pt idx="34">
                  <c:v>0.56099999999999994</c:v>
                </c:pt>
                <c:pt idx="35">
                  <c:v>0.69700000000000006</c:v>
                </c:pt>
                <c:pt idx="36">
                  <c:v>0.77600000000000002</c:v>
                </c:pt>
                <c:pt idx="37">
                  <c:v>0.77</c:v>
                </c:pt>
                <c:pt idx="38">
                  <c:v>0.47599999999999998</c:v>
                </c:pt>
                <c:pt idx="39">
                  <c:v>0.71199999999999997</c:v>
                </c:pt>
                <c:pt idx="40">
                  <c:v>0.92700000000000005</c:v>
                </c:pt>
                <c:pt idx="41">
                  <c:v>1.046</c:v>
                </c:pt>
                <c:pt idx="42">
                  <c:v>1.036</c:v>
                </c:pt>
                <c:pt idx="43">
                  <c:v>0.89300000000000002</c:v>
                </c:pt>
                <c:pt idx="44">
                  <c:v>0.66900000000000004</c:v>
                </c:pt>
                <c:pt idx="45">
                  <c:v>0.43099999999999999</c:v>
                </c:pt>
                <c:pt idx="46">
                  <c:v>0.66</c:v>
                </c:pt>
                <c:pt idx="47">
                  <c:v>0.86199999999999988</c:v>
                </c:pt>
                <c:pt idx="48">
                  <c:v>0.94599999999999995</c:v>
                </c:pt>
                <c:pt idx="49">
                  <c:v>0.875</c:v>
                </c:pt>
                <c:pt idx="50">
                  <c:v>0.70500000000000007</c:v>
                </c:pt>
                <c:pt idx="51">
                  <c:v>0.61299999999999999</c:v>
                </c:pt>
                <c:pt idx="52">
                  <c:v>0.748</c:v>
                </c:pt>
                <c:pt idx="53">
                  <c:v>0.83400000000000007</c:v>
                </c:pt>
                <c:pt idx="54">
                  <c:v>0.84699999999999998</c:v>
                </c:pt>
                <c:pt idx="55">
                  <c:v>0.80800000000000005</c:v>
                </c:pt>
                <c:pt idx="56">
                  <c:v>0.73</c:v>
                </c:pt>
                <c:pt idx="57">
                  <c:v>0.60099999999999998</c:v>
                </c:pt>
                <c:pt idx="58">
                  <c:v>0.30399999999999999</c:v>
                </c:pt>
                <c:pt idx="59">
                  <c:v>0.47</c:v>
                </c:pt>
                <c:pt idx="60">
                  <c:v>0.66</c:v>
                </c:pt>
                <c:pt idx="61">
                  <c:v>0.8</c:v>
                </c:pt>
                <c:pt idx="62">
                  <c:v>0.84200000000000008</c:v>
                </c:pt>
                <c:pt idx="63">
                  <c:v>0.79499999999999993</c:v>
                </c:pt>
                <c:pt idx="64">
                  <c:v>0.70500000000000007</c:v>
                </c:pt>
              </c:numCache>
              <c:extLst xmlns:c15="http://schemas.microsoft.com/office/drawing/2012/chart"/>
            </c:numRef>
          </c:xVal>
          <c:yVal>
            <c:numRef>
              <c:f>Sheet2!$Z$210:$Z$274</c:f>
              <c:numCache>
                <c:formatCode>General</c:formatCode>
                <c:ptCount val="65"/>
                <c:pt idx="0">
                  <c:v>-0.32900000000000001</c:v>
                </c:pt>
                <c:pt idx="1">
                  <c:v>-0.40700000000000003</c:v>
                </c:pt>
                <c:pt idx="2">
                  <c:v>-0.41100000000000003</c:v>
                </c:pt>
                <c:pt idx="3">
                  <c:v>-0.375</c:v>
                </c:pt>
                <c:pt idx="4">
                  <c:v>-0.30200000000000005</c:v>
                </c:pt>
                <c:pt idx="5">
                  <c:v>-0.20399999999999996</c:v>
                </c:pt>
                <c:pt idx="6">
                  <c:v>-0.15500000000000003</c:v>
                </c:pt>
                <c:pt idx="7">
                  <c:v>0.36</c:v>
                </c:pt>
                <c:pt idx="8">
                  <c:v>0.50900000000000001</c:v>
                </c:pt>
                <c:pt idx="9">
                  <c:v>0.51300000000000001</c:v>
                </c:pt>
                <c:pt idx="10">
                  <c:v>0.36600000000000005</c:v>
                </c:pt>
                <c:pt idx="11">
                  <c:v>0.22699999999999998</c:v>
                </c:pt>
                <c:pt idx="12">
                  <c:v>0.19600000000000001</c:v>
                </c:pt>
                <c:pt idx="13">
                  <c:v>-0.32200000000000001</c:v>
                </c:pt>
                <c:pt idx="14">
                  <c:v>-0.24099999999999999</c:v>
                </c:pt>
                <c:pt idx="15">
                  <c:v>-0.18899999999999995</c:v>
                </c:pt>
                <c:pt idx="16">
                  <c:v>-0.15799999999999992</c:v>
                </c:pt>
                <c:pt idx="17">
                  <c:v>-0.13</c:v>
                </c:pt>
                <c:pt idx="18">
                  <c:v>-0.13300000000000001</c:v>
                </c:pt>
                <c:pt idx="19">
                  <c:v>-0.19199999999999995</c:v>
                </c:pt>
                <c:pt idx="20">
                  <c:v>-0.32800000000000001</c:v>
                </c:pt>
                <c:pt idx="21">
                  <c:v>-3.3000000000000029E-2</c:v>
                </c:pt>
                <c:pt idx="22">
                  <c:v>8.6000000000000021E-2</c:v>
                </c:pt>
                <c:pt idx="23">
                  <c:v>0.18900000000000006</c:v>
                </c:pt>
                <c:pt idx="24">
                  <c:v>0.29699999999999993</c:v>
                </c:pt>
                <c:pt idx="25">
                  <c:v>0.28600000000000003</c:v>
                </c:pt>
                <c:pt idx="26">
                  <c:v>0.21199999999999997</c:v>
                </c:pt>
                <c:pt idx="27">
                  <c:v>7.7999999999999958E-2</c:v>
                </c:pt>
                <c:pt idx="28">
                  <c:v>1.1999999999999955E-2</c:v>
                </c:pt>
                <c:pt idx="29">
                  <c:v>0.17699999999999999</c:v>
                </c:pt>
                <c:pt idx="30">
                  <c:v>0.314</c:v>
                </c:pt>
                <c:pt idx="31">
                  <c:v>0.29099999999999993</c:v>
                </c:pt>
                <c:pt idx="32">
                  <c:v>0.15200000000000002</c:v>
                </c:pt>
                <c:pt idx="33">
                  <c:v>0.13</c:v>
                </c:pt>
                <c:pt idx="34">
                  <c:v>0.246</c:v>
                </c:pt>
                <c:pt idx="35">
                  <c:v>0.33700000000000002</c:v>
                </c:pt>
                <c:pt idx="36">
                  <c:v>0.37400000000000005</c:v>
                </c:pt>
                <c:pt idx="37">
                  <c:v>0.33700000000000002</c:v>
                </c:pt>
                <c:pt idx="38">
                  <c:v>-6.0000000000000053E-3</c:v>
                </c:pt>
                <c:pt idx="39">
                  <c:v>6.1000000000000054E-2</c:v>
                </c:pt>
                <c:pt idx="40">
                  <c:v>0.15499999999999997</c:v>
                </c:pt>
                <c:pt idx="41">
                  <c:v>0.21200000000000002</c:v>
                </c:pt>
                <c:pt idx="42">
                  <c:v>0.182</c:v>
                </c:pt>
                <c:pt idx="43">
                  <c:v>6.6000000000000003E-2</c:v>
                </c:pt>
                <c:pt idx="44">
                  <c:v>-0.126</c:v>
                </c:pt>
                <c:pt idx="45">
                  <c:v>-0.318</c:v>
                </c:pt>
                <c:pt idx="46">
                  <c:v>-7.0000000000000007E-2</c:v>
                </c:pt>
                <c:pt idx="47">
                  <c:v>0.16099999999999992</c:v>
                </c:pt>
                <c:pt idx="48">
                  <c:v>0.28099999999999997</c:v>
                </c:pt>
                <c:pt idx="49">
                  <c:v>0.29000000000000004</c:v>
                </c:pt>
                <c:pt idx="50">
                  <c:v>0.23600000000000002</c:v>
                </c:pt>
                <c:pt idx="51">
                  <c:v>-0.15400000000000003</c:v>
                </c:pt>
                <c:pt idx="52">
                  <c:v>-6.0999999999999999E-2</c:v>
                </c:pt>
                <c:pt idx="53">
                  <c:v>1.9000000000000017E-2</c:v>
                </c:pt>
                <c:pt idx="54">
                  <c:v>5.4999999999999993E-2</c:v>
                </c:pt>
                <c:pt idx="55">
                  <c:v>5.7999999999999996E-2</c:v>
                </c:pt>
                <c:pt idx="56">
                  <c:v>2.8000000000000025E-2</c:v>
                </c:pt>
                <c:pt idx="57">
                  <c:v>-4.7999999999999987E-2</c:v>
                </c:pt>
                <c:pt idx="58">
                  <c:v>6.6000000000000003E-2</c:v>
                </c:pt>
                <c:pt idx="59">
                  <c:v>-5.3999999999999992E-2</c:v>
                </c:pt>
                <c:pt idx="60">
                  <c:v>-0.16099999999999998</c:v>
                </c:pt>
                <c:pt idx="61">
                  <c:v>-0.27600000000000002</c:v>
                </c:pt>
                <c:pt idx="62">
                  <c:v>-0.41099999999999992</c:v>
                </c:pt>
                <c:pt idx="63">
                  <c:v>-0.50600000000000001</c:v>
                </c:pt>
                <c:pt idx="64">
                  <c:v>-0.53600000000000003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24F-4CE4-B93C-E6513D36FB69}"/>
            </c:ext>
          </c:extLst>
        </c:ser>
        <c:ser>
          <c:idx val="4"/>
          <c:order val="4"/>
          <c:tx>
            <c:strRef>
              <c:f>Sheet2!$V$350</c:f>
              <c:strCache>
                <c:ptCount val="1"/>
                <c:pt idx="0">
                  <c:v>含泥白云岩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Sheet2!$Y$350:$Y$354</c:f>
              <c:numCache>
                <c:formatCode>General</c:formatCode>
                <c:ptCount val="5"/>
                <c:pt idx="0">
                  <c:v>0.71</c:v>
                </c:pt>
                <c:pt idx="1">
                  <c:v>0.92100000000000004</c:v>
                </c:pt>
                <c:pt idx="2">
                  <c:v>1.1299999999999999</c:v>
                </c:pt>
                <c:pt idx="3">
                  <c:v>1.325</c:v>
                </c:pt>
                <c:pt idx="4">
                  <c:v>1.506</c:v>
                </c:pt>
              </c:numCache>
              <c:extLst xmlns:c15="http://schemas.microsoft.com/office/drawing/2012/chart"/>
            </c:numRef>
          </c:xVal>
          <c:yVal>
            <c:numRef>
              <c:f>Sheet2!$Z$350:$Z$354</c:f>
              <c:numCache>
                <c:formatCode>General</c:formatCode>
                <c:ptCount val="5"/>
                <c:pt idx="0">
                  <c:v>0.191</c:v>
                </c:pt>
                <c:pt idx="1">
                  <c:v>0.28800000000000003</c:v>
                </c:pt>
                <c:pt idx="2">
                  <c:v>0.37799999999999995</c:v>
                </c:pt>
                <c:pt idx="3">
                  <c:v>0.42999999999999994</c:v>
                </c:pt>
                <c:pt idx="4">
                  <c:v>0.42600000000000005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924F-4CE4-B93C-E6513D36FB69}"/>
            </c:ext>
          </c:extLst>
        </c:ser>
        <c:ser>
          <c:idx val="5"/>
          <c:order val="5"/>
          <c:tx>
            <c:strRef>
              <c:f>Sheet2!$V$476</c:f>
              <c:strCache>
                <c:ptCount val="1"/>
                <c:pt idx="0">
                  <c:v>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Sheet2!$Y$476:$Y$760</c:f>
              <c:numCache>
                <c:formatCode>General</c:formatCode>
                <c:ptCount val="285"/>
                <c:pt idx="0">
                  <c:v>0.443</c:v>
                </c:pt>
                <c:pt idx="1">
                  <c:v>0.38600000000000001</c:v>
                </c:pt>
                <c:pt idx="2">
                  <c:v>0.36099999999999999</c:v>
                </c:pt>
                <c:pt idx="3">
                  <c:v>0.33199999999999996</c:v>
                </c:pt>
                <c:pt idx="4">
                  <c:v>0.27100000000000002</c:v>
                </c:pt>
                <c:pt idx="5">
                  <c:v>0.2</c:v>
                </c:pt>
                <c:pt idx="6">
                  <c:v>0.16199999999999998</c:v>
                </c:pt>
                <c:pt idx="7">
                  <c:v>0.21600000000000003</c:v>
                </c:pt>
                <c:pt idx="8">
                  <c:v>0.316</c:v>
                </c:pt>
                <c:pt idx="9">
                  <c:v>0.495</c:v>
                </c:pt>
                <c:pt idx="10">
                  <c:v>0.7430000000000001</c:v>
                </c:pt>
                <c:pt idx="11">
                  <c:v>0.96699999999999997</c:v>
                </c:pt>
                <c:pt idx="12">
                  <c:v>0.95799999999999996</c:v>
                </c:pt>
                <c:pt idx="13">
                  <c:v>0.73599999999999999</c:v>
                </c:pt>
                <c:pt idx="14">
                  <c:v>0.53099999999999992</c:v>
                </c:pt>
                <c:pt idx="15">
                  <c:v>0.38900000000000001</c:v>
                </c:pt>
                <c:pt idx="16">
                  <c:v>0.317</c:v>
                </c:pt>
                <c:pt idx="17">
                  <c:v>0.29099999999999998</c:v>
                </c:pt>
                <c:pt idx="18">
                  <c:v>0.307</c:v>
                </c:pt>
                <c:pt idx="19">
                  <c:v>0.55800000000000005</c:v>
                </c:pt>
                <c:pt idx="20">
                  <c:v>0.59299999999999997</c:v>
                </c:pt>
                <c:pt idx="21">
                  <c:v>0.60499999999999998</c:v>
                </c:pt>
                <c:pt idx="22">
                  <c:v>0.628</c:v>
                </c:pt>
                <c:pt idx="23">
                  <c:v>0.80899999999999994</c:v>
                </c:pt>
                <c:pt idx="24">
                  <c:v>0.81699999999999995</c:v>
                </c:pt>
                <c:pt idx="25">
                  <c:v>0.70499999999999996</c:v>
                </c:pt>
                <c:pt idx="26">
                  <c:v>0.96300000000000008</c:v>
                </c:pt>
                <c:pt idx="27">
                  <c:v>1.131</c:v>
                </c:pt>
                <c:pt idx="28">
                  <c:v>0.82000000000000006</c:v>
                </c:pt>
                <c:pt idx="29">
                  <c:v>0.73399999999999999</c:v>
                </c:pt>
                <c:pt idx="30">
                  <c:v>0.73399999999999999</c:v>
                </c:pt>
                <c:pt idx="31">
                  <c:v>0.79300000000000004</c:v>
                </c:pt>
                <c:pt idx="32">
                  <c:v>0.77300000000000002</c:v>
                </c:pt>
                <c:pt idx="33">
                  <c:v>0.59000000000000008</c:v>
                </c:pt>
                <c:pt idx="34">
                  <c:v>1.6909999999999998</c:v>
                </c:pt>
                <c:pt idx="35">
                  <c:v>1.8</c:v>
                </c:pt>
                <c:pt idx="36">
                  <c:v>0.25900000000000001</c:v>
                </c:pt>
                <c:pt idx="37">
                  <c:v>0.252</c:v>
                </c:pt>
                <c:pt idx="38">
                  <c:v>0.23499999999999999</c:v>
                </c:pt>
                <c:pt idx="39">
                  <c:v>0.216</c:v>
                </c:pt>
                <c:pt idx="40">
                  <c:v>0.20099999999999998</c:v>
                </c:pt>
                <c:pt idx="41">
                  <c:v>0.191</c:v>
                </c:pt>
                <c:pt idx="42">
                  <c:v>0.18</c:v>
                </c:pt>
                <c:pt idx="43">
                  <c:v>0.16900000000000001</c:v>
                </c:pt>
                <c:pt idx="44">
                  <c:v>0.153</c:v>
                </c:pt>
                <c:pt idx="45">
                  <c:v>0.13600000000000001</c:v>
                </c:pt>
                <c:pt idx="46">
                  <c:v>0.126</c:v>
                </c:pt>
                <c:pt idx="47">
                  <c:v>0.121</c:v>
                </c:pt>
                <c:pt idx="48">
                  <c:v>1.0830000000000002</c:v>
                </c:pt>
                <c:pt idx="49">
                  <c:v>0.88800000000000012</c:v>
                </c:pt>
                <c:pt idx="50">
                  <c:v>0.68900000000000006</c:v>
                </c:pt>
                <c:pt idx="51">
                  <c:v>0.53700000000000003</c:v>
                </c:pt>
                <c:pt idx="52">
                  <c:v>0.42900000000000005</c:v>
                </c:pt>
                <c:pt idx="53">
                  <c:v>0.35100000000000003</c:v>
                </c:pt>
                <c:pt idx="54">
                  <c:v>0.28300000000000003</c:v>
                </c:pt>
                <c:pt idx="55">
                  <c:v>0.23699999999999999</c:v>
                </c:pt>
                <c:pt idx="56">
                  <c:v>0.219</c:v>
                </c:pt>
                <c:pt idx="57">
                  <c:v>0.23599999999999999</c:v>
                </c:pt>
                <c:pt idx="58">
                  <c:v>0.29000000000000004</c:v>
                </c:pt>
                <c:pt idx="59">
                  <c:v>0.372</c:v>
                </c:pt>
                <c:pt idx="60">
                  <c:v>0.46</c:v>
                </c:pt>
                <c:pt idx="61">
                  <c:v>0.505</c:v>
                </c:pt>
                <c:pt idx="62">
                  <c:v>0.48299999999999998</c:v>
                </c:pt>
                <c:pt idx="63">
                  <c:v>0.42100000000000004</c:v>
                </c:pt>
                <c:pt idx="64">
                  <c:v>0.36899999999999999</c:v>
                </c:pt>
                <c:pt idx="65">
                  <c:v>0.34799999999999998</c:v>
                </c:pt>
                <c:pt idx="66">
                  <c:v>0.38800000000000001</c:v>
                </c:pt>
                <c:pt idx="67">
                  <c:v>0.46199999999999997</c:v>
                </c:pt>
                <c:pt idx="68">
                  <c:v>0.51300000000000001</c:v>
                </c:pt>
                <c:pt idx="69">
                  <c:v>0.504</c:v>
                </c:pt>
                <c:pt idx="70">
                  <c:v>0.46099999999999997</c:v>
                </c:pt>
                <c:pt idx="71">
                  <c:v>0.41500000000000004</c:v>
                </c:pt>
                <c:pt idx="72">
                  <c:v>0.38600000000000001</c:v>
                </c:pt>
                <c:pt idx="73">
                  <c:v>0.22600000000000001</c:v>
                </c:pt>
                <c:pt idx="74">
                  <c:v>0.16</c:v>
                </c:pt>
                <c:pt idx="75">
                  <c:v>0.157</c:v>
                </c:pt>
                <c:pt idx="76">
                  <c:v>0.17900000000000002</c:v>
                </c:pt>
                <c:pt idx="77">
                  <c:v>0.19500000000000001</c:v>
                </c:pt>
                <c:pt idx="78">
                  <c:v>0.20500000000000002</c:v>
                </c:pt>
                <c:pt idx="79">
                  <c:v>0.21199999999999999</c:v>
                </c:pt>
                <c:pt idx="80">
                  <c:v>0.217</c:v>
                </c:pt>
                <c:pt idx="81">
                  <c:v>0.22</c:v>
                </c:pt>
                <c:pt idx="82">
                  <c:v>0.218</c:v>
                </c:pt>
                <c:pt idx="83">
                  <c:v>0.20900000000000002</c:v>
                </c:pt>
                <c:pt idx="84">
                  <c:v>0.2</c:v>
                </c:pt>
                <c:pt idx="85">
                  <c:v>0.187</c:v>
                </c:pt>
                <c:pt idx="86">
                  <c:v>0.17299999999999999</c:v>
                </c:pt>
                <c:pt idx="87">
                  <c:v>0.17</c:v>
                </c:pt>
                <c:pt idx="88">
                  <c:v>0.17499999999999999</c:v>
                </c:pt>
                <c:pt idx="89">
                  <c:v>0.17199999999999999</c:v>
                </c:pt>
                <c:pt idx="90">
                  <c:v>0.14900000000000002</c:v>
                </c:pt>
                <c:pt idx="91">
                  <c:v>0.124</c:v>
                </c:pt>
                <c:pt idx="92">
                  <c:v>0.11199999999999999</c:v>
                </c:pt>
                <c:pt idx="93">
                  <c:v>0.107</c:v>
                </c:pt>
                <c:pt idx="94">
                  <c:v>0.10299999999999999</c:v>
                </c:pt>
                <c:pt idx="95">
                  <c:v>9.8000000000000004E-2</c:v>
                </c:pt>
                <c:pt idx="96">
                  <c:v>9.6000000000000002E-2</c:v>
                </c:pt>
                <c:pt idx="97">
                  <c:v>9.8000000000000004E-2</c:v>
                </c:pt>
                <c:pt idx="98">
                  <c:v>8.8999999999999996E-2</c:v>
                </c:pt>
                <c:pt idx="99">
                  <c:v>7.5999999999999998E-2</c:v>
                </c:pt>
                <c:pt idx="100">
                  <c:v>6.6000000000000003E-2</c:v>
                </c:pt>
                <c:pt idx="101">
                  <c:v>6.6000000000000003E-2</c:v>
                </c:pt>
                <c:pt idx="102">
                  <c:v>7.7000000000000013E-2</c:v>
                </c:pt>
                <c:pt idx="103">
                  <c:v>9.7000000000000003E-2</c:v>
                </c:pt>
                <c:pt idx="104">
                  <c:v>0.121</c:v>
                </c:pt>
                <c:pt idx="105">
                  <c:v>0.14799999999999999</c:v>
                </c:pt>
                <c:pt idx="106">
                  <c:v>0.17600000000000002</c:v>
                </c:pt>
                <c:pt idx="107">
                  <c:v>0.19500000000000001</c:v>
                </c:pt>
                <c:pt idx="108">
                  <c:v>0.21</c:v>
                </c:pt>
                <c:pt idx="109">
                  <c:v>0.21</c:v>
                </c:pt>
                <c:pt idx="110">
                  <c:v>0.19500000000000001</c:v>
                </c:pt>
                <c:pt idx="111">
                  <c:v>0.183</c:v>
                </c:pt>
                <c:pt idx="112">
                  <c:v>0.191</c:v>
                </c:pt>
                <c:pt idx="113">
                  <c:v>0.22500000000000001</c:v>
                </c:pt>
                <c:pt idx="114">
                  <c:v>0.63100000000000001</c:v>
                </c:pt>
                <c:pt idx="115">
                  <c:v>0.41700000000000004</c:v>
                </c:pt>
                <c:pt idx="116">
                  <c:v>0.24</c:v>
                </c:pt>
                <c:pt idx="117">
                  <c:v>0.16800000000000001</c:v>
                </c:pt>
                <c:pt idx="118">
                  <c:v>0.20800000000000002</c:v>
                </c:pt>
                <c:pt idx="119">
                  <c:v>0.28000000000000003</c:v>
                </c:pt>
                <c:pt idx="120">
                  <c:v>0.30599999999999999</c:v>
                </c:pt>
                <c:pt idx="121">
                  <c:v>0.26800000000000002</c:v>
                </c:pt>
                <c:pt idx="122">
                  <c:v>0.221</c:v>
                </c:pt>
                <c:pt idx="123">
                  <c:v>0.20400000000000001</c:v>
                </c:pt>
                <c:pt idx="124">
                  <c:v>0.249</c:v>
                </c:pt>
                <c:pt idx="125">
                  <c:v>0.35</c:v>
                </c:pt>
                <c:pt idx="126">
                  <c:v>0.40200000000000002</c:v>
                </c:pt>
                <c:pt idx="127">
                  <c:v>0.36499999999999999</c:v>
                </c:pt>
                <c:pt idx="128">
                  <c:v>0.307</c:v>
                </c:pt>
                <c:pt idx="129">
                  <c:v>0.29300000000000004</c:v>
                </c:pt>
                <c:pt idx="130">
                  <c:v>0.34799999999999998</c:v>
                </c:pt>
                <c:pt idx="131">
                  <c:v>0.63100000000000001</c:v>
                </c:pt>
                <c:pt idx="132">
                  <c:v>0.39800000000000002</c:v>
                </c:pt>
                <c:pt idx="133">
                  <c:v>0.254</c:v>
                </c:pt>
                <c:pt idx="134">
                  <c:v>0.19500000000000001</c:v>
                </c:pt>
                <c:pt idx="135">
                  <c:v>0.187</c:v>
                </c:pt>
                <c:pt idx="136">
                  <c:v>0.19700000000000001</c:v>
                </c:pt>
                <c:pt idx="137">
                  <c:v>0.20900000000000002</c:v>
                </c:pt>
                <c:pt idx="138">
                  <c:v>0.21300000000000002</c:v>
                </c:pt>
                <c:pt idx="139">
                  <c:v>0.20900000000000002</c:v>
                </c:pt>
                <c:pt idx="140">
                  <c:v>0.19800000000000001</c:v>
                </c:pt>
                <c:pt idx="141">
                  <c:v>0.186</c:v>
                </c:pt>
                <c:pt idx="142">
                  <c:v>0.18100000000000002</c:v>
                </c:pt>
                <c:pt idx="143">
                  <c:v>0.182</c:v>
                </c:pt>
                <c:pt idx="144">
                  <c:v>0.182</c:v>
                </c:pt>
                <c:pt idx="145">
                  <c:v>0.17899999999999999</c:v>
                </c:pt>
                <c:pt idx="146">
                  <c:v>0.17200000000000001</c:v>
                </c:pt>
                <c:pt idx="147">
                  <c:v>0.16499999999999998</c:v>
                </c:pt>
                <c:pt idx="148">
                  <c:v>0.159</c:v>
                </c:pt>
                <c:pt idx="149">
                  <c:v>0.15000000000000002</c:v>
                </c:pt>
                <c:pt idx="150">
                  <c:v>0.13900000000000001</c:v>
                </c:pt>
                <c:pt idx="151">
                  <c:v>0.121</c:v>
                </c:pt>
                <c:pt idx="152">
                  <c:v>0.10100000000000001</c:v>
                </c:pt>
                <c:pt idx="153">
                  <c:v>8.3000000000000004E-2</c:v>
                </c:pt>
                <c:pt idx="154">
                  <c:v>7.5000000000000011E-2</c:v>
                </c:pt>
                <c:pt idx="155">
                  <c:v>7.8E-2</c:v>
                </c:pt>
                <c:pt idx="156">
                  <c:v>9.4E-2</c:v>
                </c:pt>
                <c:pt idx="157">
                  <c:v>0.128</c:v>
                </c:pt>
                <c:pt idx="158">
                  <c:v>0.17899999999999999</c:v>
                </c:pt>
                <c:pt idx="159">
                  <c:v>0.253</c:v>
                </c:pt>
                <c:pt idx="160">
                  <c:v>0.36299999999999999</c:v>
                </c:pt>
                <c:pt idx="161">
                  <c:v>0.51700000000000002</c:v>
                </c:pt>
                <c:pt idx="162">
                  <c:v>0.71</c:v>
                </c:pt>
                <c:pt idx="163">
                  <c:v>0.43999999999999995</c:v>
                </c:pt>
                <c:pt idx="164">
                  <c:v>0.27100000000000002</c:v>
                </c:pt>
                <c:pt idx="165">
                  <c:v>0.183</c:v>
                </c:pt>
                <c:pt idx="166">
                  <c:v>0.15</c:v>
                </c:pt>
                <c:pt idx="167">
                  <c:v>0.13899999999999998</c:v>
                </c:pt>
                <c:pt idx="168">
                  <c:v>0.127</c:v>
                </c:pt>
                <c:pt idx="169">
                  <c:v>0.11399999999999999</c:v>
                </c:pt>
                <c:pt idx="170">
                  <c:v>0.106</c:v>
                </c:pt>
                <c:pt idx="171">
                  <c:v>0.10299999999999999</c:v>
                </c:pt>
                <c:pt idx="172">
                  <c:v>0.11</c:v>
                </c:pt>
                <c:pt idx="173">
                  <c:v>0.11899999999999999</c:v>
                </c:pt>
                <c:pt idx="174">
                  <c:v>0.124</c:v>
                </c:pt>
                <c:pt idx="175">
                  <c:v>0.125</c:v>
                </c:pt>
                <c:pt idx="176">
                  <c:v>0.129</c:v>
                </c:pt>
                <c:pt idx="177">
                  <c:v>0.13600000000000001</c:v>
                </c:pt>
                <c:pt idx="178">
                  <c:v>0.14599999999999999</c:v>
                </c:pt>
                <c:pt idx="179">
                  <c:v>0.152</c:v>
                </c:pt>
                <c:pt idx="180">
                  <c:v>0.14500000000000002</c:v>
                </c:pt>
                <c:pt idx="181">
                  <c:v>0.129</c:v>
                </c:pt>
                <c:pt idx="182">
                  <c:v>0.11499999999999999</c:v>
                </c:pt>
                <c:pt idx="183">
                  <c:v>0.11</c:v>
                </c:pt>
                <c:pt idx="184">
                  <c:v>0.11600000000000001</c:v>
                </c:pt>
                <c:pt idx="185">
                  <c:v>0.128</c:v>
                </c:pt>
                <c:pt idx="186">
                  <c:v>0.14000000000000001</c:v>
                </c:pt>
                <c:pt idx="187">
                  <c:v>0.14599999999999999</c:v>
                </c:pt>
                <c:pt idx="188">
                  <c:v>0.14700000000000002</c:v>
                </c:pt>
                <c:pt idx="189">
                  <c:v>0.14300000000000002</c:v>
                </c:pt>
                <c:pt idx="190">
                  <c:v>0.13700000000000001</c:v>
                </c:pt>
                <c:pt idx="191">
                  <c:v>0.13500000000000001</c:v>
                </c:pt>
                <c:pt idx="192">
                  <c:v>0.13300000000000001</c:v>
                </c:pt>
                <c:pt idx="193">
                  <c:v>0.126</c:v>
                </c:pt>
                <c:pt idx="194">
                  <c:v>0.11599999999999999</c:v>
                </c:pt>
                <c:pt idx="195">
                  <c:v>0.112</c:v>
                </c:pt>
                <c:pt idx="196">
                  <c:v>0.11100000000000002</c:v>
                </c:pt>
                <c:pt idx="197">
                  <c:v>0.11099999999999999</c:v>
                </c:pt>
                <c:pt idx="198">
                  <c:v>0.11599999999999999</c:v>
                </c:pt>
                <c:pt idx="199">
                  <c:v>0.13100000000000001</c:v>
                </c:pt>
                <c:pt idx="200">
                  <c:v>0.16999999999999998</c:v>
                </c:pt>
                <c:pt idx="201">
                  <c:v>0.26100000000000001</c:v>
                </c:pt>
                <c:pt idx="202">
                  <c:v>0.16400000000000001</c:v>
                </c:pt>
                <c:pt idx="203">
                  <c:v>0.185</c:v>
                </c:pt>
                <c:pt idx="204">
                  <c:v>0.20700000000000002</c:v>
                </c:pt>
                <c:pt idx="205">
                  <c:v>0.22500000000000001</c:v>
                </c:pt>
                <c:pt idx="206">
                  <c:v>0.23399999999999999</c:v>
                </c:pt>
                <c:pt idx="207">
                  <c:v>0.23299999999999998</c:v>
                </c:pt>
                <c:pt idx="208">
                  <c:v>0.22199999999999998</c:v>
                </c:pt>
                <c:pt idx="209">
                  <c:v>0.21000000000000002</c:v>
                </c:pt>
                <c:pt idx="210">
                  <c:v>0.20600000000000002</c:v>
                </c:pt>
                <c:pt idx="211">
                  <c:v>0.20900000000000002</c:v>
                </c:pt>
                <c:pt idx="212">
                  <c:v>0.215</c:v>
                </c:pt>
                <c:pt idx="213">
                  <c:v>0.222</c:v>
                </c:pt>
                <c:pt idx="214">
                  <c:v>0.23</c:v>
                </c:pt>
                <c:pt idx="215">
                  <c:v>0.23899999999999999</c:v>
                </c:pt>
                <c:pt idx="216">
                  <c:v>0.247</c:v>
                </c:pt>
                <c:pt idx="217">
                  <c:v>0.25</c:v>
                </c:pt>
                <c:pt idx="218">
                  <c:v>0.247</c:v>
                </c:pt>
                <c:pt idx="219">
                  <c:v>0.24</c:v>
                </c:pt>
                <c:pt idx="220">
                  <c:v>0.22299999999999998</c:v>
                </c:pt>
                <c:pt idx="221">
                  <c:v>0.2</c:v>
                </c:pt>
                <c:pt idx="222">
                  <c:v>0.17599999999999999</c:v>
                </c:pt>
                <c:pt idx="223">
                  <c:v>0.16</c:v>
                </c:pt>
                <c:pt idx="224">
                  <c:v>0.156</c:v>
                </c:pt>
                <c:pt idx="225">
                  <c:v>0.187</c:v>
                </c:pt>
                <c:pt idx="226">
                  <c:v>0.28600000000000003</c:v>
                </c:pt>
                <c:pt idx="227">
                  <c:v>0.51600000000000001</c:v>
                </c:pt>
                <c:pt idx="228">
                  <c:v>0.503</c:v>
                </c:pt>
                <c:pt idx="229">
                  <c:v>0.53700000000000003</c:v>
                </c:pt>
                <c:pt idx="230">
                  <c:v>0.61699999999999999</c:v>
                </c:pt>
                <c:pt idx="231">
                  <c:v>0.72899999999999998</c:v>
                </c:pt>
                <c:pt idx="232">
                  <c:v>0.85899999999999999</c:v>
                </c:pt>
                <c:pt idx="233">
                  <c:v>0.996</c:v>
                </c:pt>
                <c:pt idx="234">
                  <c:v>1.123</c:v>
                </c:pt>
                <c:pt idx="235">
                  <c:v>0.627</c:v>
                </c:pt>
                <c:pt idx="236">
                  <c:v>0.57499999999999996</c:v>
                </c:pt>
                <c:pt idx="237">
                  <c:v>0.53900000000000003</c:v>
                </c:pt>
                <c:pt idx="238">
                  <c:v>0.53200000000000003</c:v>
                </c:pt>
                <c:pt idx="239">
                  <c:v>0.54600000000000004</c:v>
                </c:pt>
                <c:pt idx="240">
                  <c:v>0.56699999999999995</c:v>
                </c:pt>
                <c:pt idx="241">
                  <c:v>0.57200000000000006</c:v>
                </c:pt>
                <c:pt idx="242">
                  <c:v>0.54499999999999993</c:v>
                </c:pt>
                <c:pt idx="243">
                  <c:v>0.48699999999999999</c:v>
                </c:pt>
                <c:pt idx="244">
                  <c:v>0.41100000000000003</c:v>
                </c:pt>
                <c:pt idx="245">
                  <c:v>0.58499999999999996</c:v>
                </c:pt>
                <c:pt idx="246">
                  <c:v>0.49</c:v>
                </c:pt>
                <c:pt idx="247">
                  <c:v>0.38600000000000001</c:v>
                </c:pt>
                <c:pt idx="248">
                  <c:v>0.30399999999999999</c:v>
                </c:pt>
                <c:pt idx="249">
                  <c:v>0.26800000000000002</c:v>
                </c:pt>
                <c:pt idx="250">
                  <c:v>0.28400000000000003</c:v>
                </c:pt>
                <c:pt idx="251">
                  <c:v>0.34200000000000003</c:v>
                </c:pt>
                <c:pt idx="252">
                  <c:v>0.41</c:v>
                </c:pt>
                <c:pt idx="253">
                  <c:v>0.38600000000000001</c:v>
                </c:pt>
                <c:pt idx="254">
                  <c:v>0.33500000000000002</c:v>
                </c:pt>
                <c:pt idx="255">
                  <c:v>0.26700000000000002</c:v>
                </c:pt>
                <c:pt idx="256">
                  <c:v>0.21200000000000002</c:v>
                </c:pt>
                <c:pt idx="257">
                  <c:v>0.215</c:v>
                </c:pt>
                <c:pt idx="258">
                  <c:v>0.30399999999999999</c:v>
                </c:pt>
                <c:pt idx="259">
                  <c:v>0.61</c:v>
                </c:pt>
                <c:pt idx="260">
                  <c:v>0.51700000000000002</c:v>
                </c:pt>
                <c:pt idx="261">
                  <c:v>0.42700000000000005</c:v>
                </c:pt>
                <c:pt idx="262">
                  <c:v>0.35099999999999998</c:v>
                </c:pt>
                <c:pt idx="263">
                  <c:v>0.26300000000000001</c:v>
                </c:pt>
                <c:pt idx="264">
                  <c:v>0.17399999999999999</c:v>
                </c:pt>
                <c:pt idx="265">
                  <c:v>0.16199999999999998</c:v>
                </c:pt>
                <c:pt idx="266">
                  <c:v>0.21400000000000002</c:v>
                </c:pt>
                <c:pt idx="267">
                  <c:v>0.318</c:v>
                </c:pt>
                <c:pt idx="268">
                  <c:v>0.84299999999999997</c:v>
                </c:pt>
                <c:pt idx="269">
                  <c:v>0.91500000000000004</c:v>
                </c:pt>
                <c:pt idx="270">
                  <c:v>0.95300000000000007</c:v>
                </c:pt>
                <c:pt idx="271">
                  <c:v>0.94500000000000006</c:v>
                </c:pt>
                <c:pt idx="272">
                  <c:v>0.90100000000000002</c:v>
                </c:pt>
                <c:pt idx="273">
                  <c:v>0.84199999999999997</c:v>
                </c:pt>
                <c:pt idx="274">
                  <c:v>0.78800000000000003</c:v>
                </c:pt>
                <c:pt idx="275">
                  <c:v>0.749</c:v>
                </c:pt>
                <c:pt idx="276">
                  <c:v>0.71699999999999997</c:v>
                </c:pt>
                <c:pt idx="277">
                  <c:v>0.68400000000000005</c:v>
                </c:pt>
                <c:pt idx="278">
                  <c:v>0.64900000000000002</c:v>
                </c:pt>
                <c:pt idx="279">
                  <c:v>0.60499999999999998</c:v>
                </c:pt>
                <c:pt idx="280">
                  <c:v>0.54100000000000004</c:v>
                </c:pt>
                <c:pt idx="281">
                  <c:v>0.45899999999999996</c:v>
                </c:pt>
                <c:pt idx="282">
                  <c:v>0.34600000000000003</c:v>
                </c:pt>
                <c:pt idx="283">
                  <c:v>0.27300000000000002</c:v>
                </c:pt>
                <c:pt idx="284">
                  <c:v>0.23799999999999999</c:v>
                </c:pt>
              </c:numCache>
              <c:extLst xmlns:c15="http://schemas.microsoft.com/office/drawing/2012/chart"/>
            </c:numRef>
          </c:xVal>
          <c:yVal>
            <c:numRef>
              <c:f>Sheet2!$Z$476:$Z$760</c:f>
              <c:numCache>
                <c:formatCode>General</c:formatCode>
                <c:ptCount val="285"/>
                <c:pt idx="0">
                  <c:v>-0.12099999999999998</c:v>
                </c:pt>
                <c:pt idx="1">
                  <c:v>-0.17100000000000001</c:v>
                </c:pt>
                <c:pt idx="2">
                  <c:v>-0.156</c:v>
                </c:pt>
                <c:pt idx="3">
                  <c:v>-0.11399999999999999</c:v>
                </c:pt>
                <c:pt idx="4">
                  <c:v>-9.8000000000000004E-2</c:v>
                </c:pt>
                <c:pt idx="5">
                  <c:v>-0.124</c:v>
                </c:pt>
                <c:pt idx="6">
                  <c:v>-0.13100000000000001</c:v>
                </c:pt>
                <c:pt idx="7">
                  <c:v>-0.109</c:v>
                </c:pt>
                <c:pt idx="8">
                  <c:v>-7.8999999999999987E-2</c:v>
                </c:pt>
                <c:pt idx="9">
                  <c:v>-4.0000000000000036E-3</c:v>
                </c:pt>
                <c:pt idx="10">
                  <c:v>0.15700000000000003</c:v>
                </c:pt>
                <c:pt idx="11">
                  <c:v>0.36</c:v>
                </c:pt>
                <c:pt idx="12">
                  <c:v>0.18</c:v>
                </c:pt>
                <c:pt idx="13">
                  <c:v>0.11399999999999999</c:v>
                </c:pt>
                <c:pt idx="14">
                  <c:v>-5.0000000000000044E-3</c:v>
                </c:pt>
                <c:pt idx="15">
                  <c:v>-9.799999999999999E-2</c:v>
                </c:pt>
                <c:pt idx="16">
                  <c:v>-0.13900000000000001</c:v>
                </c:pt>
                <c:pt idx="17">
                  <c:v>-0.15600000000000003</c:v>
                </c:pt>
                <c:pt idx="18">
                  <c:v>-0.14100000000000001</c:v>
                </c:pt>
                <c:pt idx="19">
                  <c:v>2.4000000000000021E-2</c:v>
                </c:pt>
                <c:pt idx="20">
                  <c:v>2.200000000000002E-2</c:v>
                </c:pt>
                <c:pt idx="21">
                  <c:v>-1.2000000000000011E-2</c:v>
                </c:pt>
                <c:pt idx="22">
                  <c:v>-5.099999999999999E-2</c:v>
                </c:pt>
                <c:pt idx="23">
                  <c:v>0.13400000000000001</c:v>
                </c:pt>
                <c:pt idx="24">
                  <c:v>0.19800000000000001</c:v>
                </c:pt>
                <c:pt idx="25">
                  <c:v>0.15699999999999997</c:v>
                </c:pt>
                <c:pt idx="26">
                  <c:v>0.13700000000000007</c:v>
                </c:pt>
                <c:pt idx="27">
                  <c:v>0.19400000000000001</c:v>
                </c:pt>
                <c:pt idx="28">
                  <c:v>-0.11299999999999999</c:v>
                </c:pt>
                <c:pt idx="29">
                  <c:v>-0.15700000000000003</c:v>
                </c:pt>
                <c:pt idx="30">
                  <c:v>-0.17200000000000004</c:v>
                </c:pt>
                <c:pt idx="31">
                  <c:v>-0.23699999999999999</c:v>
                </c:pt>
                <c:pt idx="32">
                  <c:v>-0.28499999999999998</c:v>
                </c:pt>
                <c:pt idx="33">
                  <c:v>-0.25799999999999995</c:v>
                </c:pt>
                <c:pt idx="34">
                  <c:v>0.58799999999999997</c:v>
                </c:pt>
                <c:pt idx="35">
                  <c:v>0.65900000000000003</c:v>
                </c:pt>
                <c:pt idx="36">
                  <c:v>-0.42599999999999999</c:v>
                </c:pt>
                <c:pt idx="37">
                  <c:v>-0.44399999999999995</c:v>
                </c:pt>
                <c:pt idx="38">
                  <c:v>-0.47299999999999998</c:v>
                </c:pt>
                <c:pt idx="39">
                  <c:v>-0.503</c:v>
                </c:pt>
                <c:pt idx="40">
                  <c:v>-0.52300000000000002</c:v>
                </c:pt>
                <c:pt idx="41">
                  <c:v>-0.53100000000000003</c:v>
                </c:pt>
                <c:pt idx="42">
                  <c:v>-0.53799999999999992</c:v>
                </c:pt>
                <c:pt idx="43">
                  <c:v>-0.54699999999999993</c:v>
                </c:pt>
                <c:pt idx="44">
                  <c:v>-0.57099999999999995</c:v>
                </c:pt>
                <c:pt idx="45">
                  <c:v>-0.60199999999999998</c:v>
                </c:pt>
                <c:pt idx="46">
                  <c:v>-0.63200000000000001</c:v>
                </c:pt>
                <c:pt idx="47">
                  <c:v>-0.65400000000000003</c:v>
                </c:pt>
                <c:pt idx="48">
                  <c:v>-0.19199999999999995</c:v>
                </c:pt>
                <c:pt idx="49">
                  <c:v>-0.32800000000000001</c:v>
                </c:pt>
                <c:pt idx="50">
                  <c:v>-0.44899999999999995</c:v>
                </c:pt>
                <c:pt idx="51">
                  <c:v>-0.51400000000000001</c:v>
                </c:pt>
                <c:pt idx="52">
                  <c:v>-0.54199999999999993</c:v>
                </c:pt>
                <c:pt idx="53">
                  <c:v>-0.55699999999999994</c:v>
                </c:pt>
                <c:pt idx="54">
                  <c:v>-0.58399999999999996</c:v>
                </c:pt>
                <c:pt idx="55">
                  <c:v>-0.60799999999999998</c:v>
                </c:pt>
                <c:pt idx="56">
                  <c:v>-0.61299999999999999</c:v>
                </c:pt>
                <c:pt idx="57">
                  <c:v>-0.58700000000000008</c:v>
                </c:pt>
                <c:pt idx="58">
                  <c:v>-0.52700000000000002</c:v>
                </c:pt>
                <c:pt idx="59">
                  <c:v>-0.44400000000000001</c:v>
                </c:pt>
                <c:pt idx="60">
                  <c:v>-0.36099999999999999</c:v>
                </c:pt>
                <c:pt idx="61">
                  <c:v>-0.33</c:v>
                </c:pt>
                <c:pt idx="62">
                  <c:v>-0.377</c:v>
                </c:pt>
                <c:pt idx="63">
                  <c:v>-0.47700000000000004</c:v>
                </c:pt>
                <c:pt idx="64">
                  <c:v>-0.57899999999999996</c:v>
                </c:pt>
                <c:pt idx="65">
                  <c:v>-0.65600000000000003</c:v>
                </c:pt>
                <c:pt idx="66">
                  <c:v>-0.66599999999999993</c:v>
                </c:pt>
                <c:pt idx="67">
                  <c:v>-0.61899999999999999</c:v>
                </c:pt>
                <c:pt idx="68">
                  <c:v>-0.55499999999999994</c:v>
                </c:pt>
                <c:pt idx="69">
                  <c:v>-0.51100000000000001</c:v>
                </c:pt>
                <c:pt idx="70">
                  <c:v>-0.51</c:v>
                </c:pt>
                <c:pt idx="71">
                  <c:v>-0.47499999999999998</c:v>
                </c:pt>
                <c:pt idx="72">
                  <c:v>-0.42599999999999999</c:v>
                </c:pt>
                <c:pt idx="73">
                  <c:v>-0.10900000000000001</c:v>
                </c:pt>
                <c:pt idx="74">
                  <c:v>-0.17299999999999999</c:v>
                </c:pt>
                <c:pt idx="75">
                  <c:v>-0.19</c:v>
                </c:pt>
                <c:pt idx="76">
                  <c:v>-0.17199999999999999</c:v>
                </c:pt>
                <c:pt idx="77">
                  <c:v>-0.155</c:v>
                </c:pt>
                <c:pt idx="78">
                  <c:v>-0.13899999999999998</c:v>
                </c:pt>
                <c:pt idx="79">
                  <c:v>-0.114</c:v>
                </c:pt>
                <c:pt idx="80">
                  <c:v>-9.8999999999999991E-2</c:v>
                </c:pt>
                <c:pt idx="81">
                  <c:v>-8.7999999999999995E-2</c:v>
                </c:pt>
                <c:pt idx="82">
                  <c:v>-8.4000000000000005E-2</c:v>
                </c:pt>
                <c:pt idx="83">
                  <c:v>-8.5000000000000006E-2</c:v>
                </c:pt>
                <c:pt idx="84">
                  <c:v>-8.2000000000000003E-2</c:v>
                </c:pt>
                <c:pt idx="85">
                  <c:v>-8.0999999999999989E-2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-7.8E-2</c:v>
                </c:pt>
                <c:pt idx="89">
                  <c:v>-7.9000000000000001E-2</c:v>
                </c:pt>
                <c:pt idx="90">
                  <c:v>-0.112</c:v>
                </c:pt>
                <c:pt idx="91">
                  <c:v>-0.13500000000000001</c:v>
                </c:pt>
                <c:pt idx="92">
                  <c:v>-0.14599999999999999</c:v>
                </c:pt>
                <c:pt idx="93">
                  <c:v>-0.14500000000000002</c:v>
                </c:pt>
                <c:pt idx="94">
                  <c:v>-0.14000000000000001</c:v>
                </c:pt>
                <c:pt idx="95">
                  <c:v>-0.14000000000000001</c:v>
                </c:pt>
                <c:pt idx="96">
                  <c:v>-0.13999999999999999</c:v>
                </c:pt>
                <c:pt idx="97">
                  <c:v>-0.13699999999999998</c:v>
                </c:pt>
                <c:pt idx="98">
                  <c:v>-0.14699999999999999</c:v>
                </c:pt>
                <c:pt idx="99">
                  <c:v>-0.159</c:v>
                </c:pt>
                <c:pt idx="100">
                  <c:v>-0.17699999999999999</c:v>
                </c:pt>
                <c:pt idx="101">
                  <c:v>-0.20299999999999999</c:v>
                </c:pt>
                <c:pt idx="102">
                  <c:v>-0.222</c:v>
                </c:pt>
                <c:pt idx="103">
                  <c:v>-0.248</c:v>
                </c:pt>
                <c:pt idx="104">
                  <c:v>-0.28800000000000003</c:v>
                </c:pt>
                <c:pt idx="105">
                  <c:v>-0.316</c:v>
                </c:pt>
                <c:pt idx="106">
                  <c:v>-0.34100000000000003</c:v>
                </c:pt>
                <c:pt idx="107">
                  <c:v>-0.35700000000000004</c:v>
                </c:pt>
                <c:pt idx="108">
                  <c:v>-0.34799999999999998</c:v>
                </c:pt>
                <c:pt idx="109">
                  <c:v>-0.32800000000000001</c:v>
                </c:pt>
                <c:pt idx="110">
                  <c:v>-0.33100000000000002</c:v>
                </c:pt>
                <c:pt idx="111">
                  <c:v>-0.33900000000000002</c:v>
                </c:pt>
                <c:pt idx="112">
                  <c:v>-0.34199999999999997</c:v>
                </c:pt>
                <c:pt idx="113">
                  <c:v>-0.33499999999999996</c:v>
                </c:pt>
                <c:pt idx="114">
                  <c:v>7.7999999999999958E-2</c:v>
                </c:pt>
                <c:pt idx="115">
                  <c:v>-7.8999999999999987E-2</c:v>
                </c:pt>
                <c:pt idx="116">
                  <c:v>-0.251</c:v>
                </c:pt>
                <c:pt idx="117">
                  <c:v>-0.436</c:v>
                </c:pt>
                <c:pt idx="118">
                  <c:v>-0.47499999999999998</c:v>
                </c:pt>
                <c:pt idx="119">
                  <c:v>-0.39899999999999997</c:v>
                </c:pt>
                <c:pt idx="120">
                  <c:v>-0.32200000000000006</c:v>
                </c:pt>
                <c:pt idx="121">
                  <c:v>-0.32699999999999996</c:v>
                </c:pt>
                <c:pt idx="122">
                  <c:v>-0.34899999999999998</c:v>
                </c:pt>
                <c:pt idx="123">
                  <c:v>-0.32300000000000001</c:v>
                </c:pt>
                <c:pt idx="124">
                  <c:v>-0.24099999999999999</c:v>
                </c:pt>
                <c:pt idx="125">
                  <c:v>-0.122</c:v>
                </c:pt>
                <c:pt idx="126">
                  <c:v>-0.06</c:v>
                </c:pt>
                <c:pt idx="127">
                  <c:v>-9.9000000000000032E-2</c:v>
                </c:pt>
                <c:pt idx="128">
                  <c:v>-0.17800000000000002</c:v>
                </c:pt>
                <c:pt idx="129">
                  <c:v>-0.26500000000000001</c:v>
                </c:pt>
                <c:pt idx="130">
                  <c:v>-0.24100000000000002</c:v>
                </c:pt>
                <c:pt idx="131">
                  <c:v>0.11299999999999999</c:v>
                </c:pt>
                <c:pt idx="132">
                  <c:v>1.0999999999999982E-2</c:v>
                </c:pt>
                <c:pt idx="133">
                  <c:v>-7.5999999999999998E-2</c:v>
                </c:pt>
                <c:pt idx="134">
                  <c:v>-0.13200000000000001</c:v>
                </c:pt>
                <c:pt idx="135">
                  <c:v>-0.15500000000000003</c:v>
                </c:pt>
                <c:pt idx="136">
                  <c:v>-0.157</c:v>
                </c:pt>
                <c:pt idx="137">
                  <c:v>-0.154</c:v>
                </c:pt>
                <c:pt idx="138">
                  <c:v>-0.151</c:v>
                </c:pt>
                <c:pt idx="139">
                  <c:v>-0.153</c:v>
                </c:pt>
                <c:pt idx="140">
                  <c:v>-0.158</c:v>
                </c:pt>
                <c:pt idx="141">
                  <c:v>-0.158</c:v>
                </c:pt>
                <c:pt idx="142">
                  <c:v>-0.14399999999999999</c:v>
                </c:pt>
                <c:pt idx="143">
                  <c:v>-0.11300000000000002</c:v>
                </c:pt>
                <c:pt idx="144">
                  <c:v>-6.9000000000000006E-2</c:v>
                </c:pt>
                <c:pt idx="145">
                  <c:v>-2.1999999999999999E-2</c:v>
                </c:pt>
                <c:pt idx="146">
                  <c:v>1.9000000000000003E-2</c:v>
                </c:pt>
                <c:pt idx="147">
                  <c:v>4.9000000000000002E-2</c:v>
                </c:pt>
                <c:pt idx="148">
                  <c:v>6.3E-2</c:v>
                </c:pt>
                <c:pt idx="149">
                  <c:v>6.5000000000000002E-2</c:v>
                </c:pt>
                <c:pt idx="150">
                  <c:v>6.1000000000000006E-2</c:v>
                </c:pt>
                <c:pt idx="151">
                  <c:v>5.1000000000000004E-2</c:v>
                </c:pt>
                <c:pt idx="152">
                  <c:v>3.6000000000000004E-2</c:v>
                </c:pt>
                <c:pt idx="153">
                  <c:v>1.1999999999999997E-2</c:v>
                </c:pt>
                <c:pt idx="154">
                  <c:v>-1.1999999999999997E-2</c:v>
                </c:pt>
                <c:pt idx="155">
                  <c:v>-0.03</c:v>
                </c:pt>
                <c:pt idx="156">
                  <c:v>-3.2000000000000001E-2</c:v>
                </c:pt>
                <c:pt idx="157">
                  <c:v>-1.3999999999999999E-2</c:v>
                </c:pt>
                <c:pt idx="158">
                  <c:v>9.000000000000008E-3</c:v>
                </c:pt>
                <c:pt idx="159">
                  <c:v>2.9999999999999985E-2</c:v>
                </c:pt>
                <c:pt idx="160">
                  <c:v>6.1000000000000026E-2</c:v>
                </c:pt>
                <c:pt idx="161">
                  <c:v>0.11199999999999999</c:v>
                </c:pt>
                <c:pt idx="162">
                  <c:v>0.191</c:v>
                </c:pt>
                <c:pt idx="163">
                  <c:v>-1.7000000000000015E-2</c:v>
                </c:pt>
                <c:pt idx="164">
                  <c:v>-0.11799999999999999</c:v>
                </c:pt>
                <c:pt idx="165">
                  <c:v>-0.17499999999999999</c:v>
                </c:pt>
                <c:pt idx="166">
                  <c:v>-0.20600000000000002</c:v>
                </c:pt>
                <c:pt idx="167">
                  <c:v>-0.223</c:v>
                </c:pt>
                <c:pt idx="168">
                  <c:v>-0.23300000000000001</c:v>
                </c:pt>
                <c:pt idx="169">
                  <c:v>-0.26199999999999996</c:v>
                </c:pt>
                <c:pt idx="170">
                  <c:v>-0.28199999999999997</c:v>
                </c:pt>
                <c:pt idx="171">
                  <c:v>-0.28999999999999998</c:v>
                </c:pt>
                <c:pt idx="172">
                  <c:v>-0.28899999999999998</c:v>
                </c:pt>
                <c:pt idx="173">
                  <c:v>-0.27899999999999997</c:v>
                </c:pt>
                <c:pt idx="174">
                  <c:v>-0.26200000000000001</c:v>
                </c:pt>
                <c:pt idx="175">
                  <c:v>-0.23399999999999999</c:v>
                </c:pt>
                <c:pt idx="176">
                  <c:v>-0.186</c:v>
                </c:pt>
                <c:pt idx="177">
                  <c:v>-0.13200000000000001</c:v>
                </c:pt>
                <c:pt idx="178">
                  <c:v>-9.7000000000000003E-2</c:v>
                </c:pt>
                <c:pt idx="179">
                  <c:v>-8.7999999999999995E-2</c:v>
                </c:pt>
                <c:pt idx="180">
                  <c:v>-9.8000000000000004E-2</c:v>
                </c:pt>
                <c:pt idx="181">
                  <c:v>-0.11699999999999999</c:v>
                </c:pt>
                <c:pt idx="182">
                  <c:v>-0.14200000000000002</c:v>
                </c:pt>
                <c:pt idx="183">
                  <c:v>-0.154</c:v>
                </c:pt>
                <c:pt idx="184">
                  <c:v>-0.157</c:v>
                </c:pt>
                <c:pt idx="185">
                  <c:v>-0.16400000000000001</c:v>
                </c:pt>
                <c:pt idx="186">
                  <c:v>-0.16700000000000001</c:v>
                </c:pt>
                <c:pt idx="187">
                  <c:v>-0.16300000000000001</c:v>
                </c:pt>
                <c:pt idx="188">
                  <c:v>-0.157</c:v>
                </c:pt>
                <c:pt idx="189">
                  <c:v>-0.14799999999999999</c:v>
                </c:pt>
                <c:pt idx="190">
                  <c:v>-0.124</c:v>
                </c:pt>
                <c:pt idx="191">
                  <c:v>-9.2999999999999999E-2</c:v>
                </c:pt>
                <c:pt idx="192">
                  <c:v>-7.3999999999999996E-2</c:v>
                </c:pt>
                <c:pt idx="193">
                  <c:v>-6.7000000000000004E-2</c:v>
                </c:pt>
                <c:pt idx="194">
                  <c:v>-6.5000000000000002E-2</c:v>
                </c:pt>
                <c:pt idx="195">
                  <c:v>-6.5000000000000002E-2</c:v>
                </c:pt>
                <c:pt idx="196">
                  <c:v>-6.7000000000000004E-2</c:v>
                </c:pt>
                <c:pt idx="197">
                  <c:v>-7.2999999999999995E-2</c:v>
                </c:pt>
                <c:pt idx="198">
                  <c:v>-7.9000000000000001E-2</c:v>
                </c:pt>
                <c:pt idx="199">
                  <c:v>-7.3000000000000009E-2</c:v>
                </c:pt>
                <c:pt idx="200">
                  <c:v>-4.4000000000000011E-2</c:v>
                </c:pt>
                <c:pt idx="201">
                  <c:v>2.4999999999999994E-2</c:v>
                </c:pt>
                <c:pt idx="202">
                  <c:v>-0.26500000000000001</c:v>
                </c:pt>
                <c:pt idx="203">
                  <c:v>-0.218</c:v>
                </c:pt>
                <c:pt idx="204">
                  <c:v>-0.18</c:v>
                </c:pt>
                <c:pt idx="205">
                  <c:v>-0.13500000000000001</c:v>
                </c:pt>
                <c:pt idx="206">
                  <c:v>-7.400000000000001E-2</c:v>
                </c:pt>
                <c:pt idx="207">
                  <c:v>-6.9999999999999993E-3</c:v>
                </c:pt>
                <c:pt idx="208">
                  <c:v>3.6999999999999998E-2</c:v>
                </c:pt>
                <c:pt idx="209">
                  <c:v>4.1000000000000002E-2</c:v>
                </c:pt>
                <c:pt idx="210">
                  <c:v>9.0000000000000011E-3</c:v>
                </c:pt>
                <c:pt idx="211">
                  <c:v>-3.7000000000000005E-2</c:v>
                </c:pt>
                <c:pt idx="212">
                  <c:v>-7.400000000000001E-2</c:v>
                </c:pt>
                <c:pt idx="213">
                  <c:v>-8.8999999999999996E-2</c:v>
                </c:pt>
                <c:pt idx="214">
                  <c:v>-8.4999999999999992E-2</c:v>
                </c:pt>
                <c:pt idx="215">
                  <c:v>-7.5999999999999998E-2</c:v>
                </c:pt>
                <c:pt idx="216">
                  <c:v>-7.400000000000001E-2</c:v>
                </c:pt>
                <c:pt idx="217">
                  <c:v>-8.199999999999999E-2</c:v>
                </c:pt>
                <c:pt idx="218">
                  <c:v>-9.3000000000000013E-2</c:v>
                </c:pt>
                <c:pt idx="219">
                  <c:v>-0.10099999999999999</c:v>
                </c:pt>
                <c:pt idx="220">
                  <c:v>-0.108</c:v>
                </c:pt>
                <c:pt idx="221">
                  <c:v>-0.11499999999999999</c:v>
                </c:pt>
                <c:pt idx="222">
                  <c:v>-0.122</c:v>
                </c:pt>
                <c:pt idx="223">
                  <c:v>-0.121</c:v>
                </c:pt>
                <c:pt idx="224">
                  <c:v>-0.10700000000000001</c:v>
                </c:pt>
                <c:pt idx="225">
                  <c:v>-6.4999999999999988E-2</c:v>
                </c:pt>
                <c:pt idx="226">
                  <c:v>2.4999999999999994E-2</c:v>
                </c:pt>
                <c:pt idx="227">
                  <c:v>-0.56799999999999995</c:v>
                </c:pt>
                <c:pt idx="228">
                  <c:v>-0.49299999999999999</c:v>
                </c:pt>
                <c:pt idx="229">
                  <c:v>-0.36299999999999999</c:v>
                </c:pt>
                <c:pt idx="230">
                  <c:v>-0.28100000000000003</c:v>
                </c:pt>
                <c:pt idx="231">
                  <c:v>-0.20300000000000001</c:v>
                </c:pt>
                <c:pt idx="232">
                  <c:v>-0.129</c:v>
                </c:pt>
                <c:pt idx="233">
                  <c:v>-7.8000000000000014E-2</c:v>
                </c:pt>
                <c:pt idx="234">
                  <c:v>-7.8000000000000014E-2</c:v>
                </c:pt>
                <c:pt idx="235">
                  <c:v>-0.53699999999999992</c:v>
                </c:pt>
                <c:pt idx="236">
                  <c:v>-0.55700000000000005</c:v>
                </c:pt>
                <c:pt idx="237">
                  <c:v>-0.53499999999999992</c:v>
                </c:pt>
                <c:pt idx="238">
                  <c:v>-0.5</c:v>
                </c:pt>
                <c:pt idx="239">
                  <c:v>-0.432</c:v>
                </c:pt>
                <c:pt idx="240">
                  <c:v>-0.35800000000000004</c:v>
                </c:pt>
                <c:pt idx="241">
                  <c:v>-0.30399999999999994</c:v>
                </c:pt>
                <c:pt idx="242">
                  <c:v>-0.29800000000000004</c:v>
                </c:pt>
                <c:pt idx="243">
                  <c:v>-0.32700000000000007</c:v>
                </c:pt>
                <c:pt idx="244">
                  <c:v>-0.38500000000000001</c:v>
                </c:pt>
                <c:pt idx="245">
                  <c:v>-0.77800000000000002</c:v>
                </c:pt>
                <c:pt idx="246">
                  <c:v>-0.748</c:v>
                </c:pt>
                <c:pt idx="247">
                  <c:v>-0.70600000000000007</c:v>
                </c:pt>
                <c:pt idx="248">
                  <c:v>-0.68099999999999994</c:v>
                </c:pt>
                <c:pt idx="249">
                  <c:v>-0.66899999999999993</c:v>
                </c:pt>
                <c:pt idx="250">
                  <c:v>-0.64200000000000002</c:v>
                </c:pt>
                <c:pt idx="251">
                  <c:v>-0.60699999999999998</c:v>
                </c:pt>
                <c:pt idx="252">
                  <c:v>-0.60299999999999998</c:v>
                </c:pt>
                <c:pt idx="253">
                  <c:v>-0.42299999999999999</c:v>
                </c:pt>
                <c:pt idx="254">
                  <c:v>-0.26400000000000001</c:v>
                </c:pt>
                <c:pt idx="255">
                  <c:v>-0.13899999999999998</c:v>
                </c:pt>
                <c:pt idx="256">
                  <c:v>-3.0000000000000027E-3</c:v>
                </c:pt>
                <c:pt idx="257">
                  <c:v>0.105</c:v>
                </c:pt>
                <c:pt idx="258">
                  <c:v>6.6000000000000003E-2</c:v>
                </c:pt>
                <c:pt idx="259">
                  <c:v>-0.54700000000000004</c:v>
                </c:pt>
                <c:pt idx="260">
                  <c:v>-0.53</c:v>
                </c:pt>
                <c:pt idx="261">
                  <c:v>-0.628</c:v>
                </c:pt>
                <c:pt idx="262">
                  <c:v>-0.74199999999999999</c:v>
                </c:pt>
                <c:pt idx="263">
                  <c:v>-0.4</c:v>
                </c:pt>
                <c:pt idx="264">
                  <c:v>-0.45999999999999996</c:v>
                </c:pt>
                <c:pt idx="265">
                  <c:v>-0.495</c:v>
                </c:pt>
                <c:pt idx="266">
                  <c:v>-0.49399999999999999</c:v>
                </c:pt>
                <c:pt idx="267">
                  <c:v>-0.44899999999999995</c:v>
                </c:pt>
                <c:pt idx="268">
                  <c:v>-0.46700000000000003</c:v>
                </c:pt>
                <c:pt idx="269">
                  <c:v>-0.41800000000000004</c:v>
                </c:pt>
                <c:pt idx="270">
                  <c:v>-0.376</c:v>
                </c:pt>
                <c:pt idx="271">
                  <c:v>-0.34199999999999997</c:v>
                </c:pt>
                <c:pt idx="272">
                  <c:v>-0.311</c:v>
                </c:pt>
                <c:pt idx="273">
                  <c:v>-0.27799999999999997</c:v>
                </c:pt>
                <c:pt idx="274">
                  <c:v>-0.25</c:v>
                </c:pt>
                <c:pt idx="275">
                  <c:v>-0.23400000000000001</c:v>
                </c:pt>
                <c:pt idx="276">
                  <c:v>-0.23499999999999999</c:v>
                </c:pt>
                <c:pt idx="277">
                  <c:v>-0.25</c:v>
                </c:pt>
                <c:pt idx="278">
                  <c:v>-0.26700000000000002</c:v>
                </c:pt>
                <c:pt idx="279">
                  <c:v>-0.28599999999999998</c:v>
                </c:pt>
                <c:pt idx="280">
                  <c:v>-0.313</c:v>
                </c:pt>
                <c:pt idx="281">
                  <c:v>-0.12900000000000003</c:v>
                </c:pt>
                <c:pt idx="282">
                  <c:v>-0.16699999999999998</c:v>
                </c:pt>
                <c:pt idx="283">
                  <c:v>-0.15399999999999997</c:v>
                </c:pt>
                <c:pt idx="284">
                  <c:v>-0.10400000000000001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24F-4CE4-B93C-E6513D36FB69}"/>
            </c:ext>
          </c:extLst>
        </c:ser>
        <c:ser>
          <c:idx val="6"/>
          <c:order val="6"/>
          <c:tx>
            <c:strRef>
              <c:f>Sheet2!$V$952</c:f>
              <c:strCache>
                <c:ptCount val="1"/>
                <c:pt idx="0">
                  <c:v>含灰白云岩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xVal>
            <c:numRef>
              <c:f>Sheet2!$Y$952:$Y$1059</c:f>
              <c:numCache>
                <c:formatCode>General</c:formatCode>
                <c:ptCount val="108"/>
                <c:pt idx="0">
                  <c:v>8.7000000000000008E-2</c:v>
                </c:pt>
                <c:pt idx="1">
                  <c:v>7.3999999999999996E-2</c:v>
                </c:pt>
                <c:pt idx="2">
                  <c:v>6.4000000000000001E-2</c:v>
                </c:pt>
                <c:pt idx="3">
                  <c:v>6.5000000000000002E-2</c:v>
                </c:pt>
                <c:pt idx="4">
                  <c:v>7.8E-2</c:v>
                </c:pt>
                <c:pt idx="5">
                  <c:v>9.2999999999999999E-2</c:v>
                </c:pt>
                <c:pt idx="6">
                  <c:v>0.1</c:v>
                </c:pt>
                <c:pt idx="7">
                  <c:v>9.8000000000000004E-2</c:v>
                </c:pt>
                <c:pt idx="8">
                  <c:v>8.4999999999999992E-2</c:v>
                </c:pt>
                <c:pt idx="9">
                  <c:v>7.0000000000000007E-2</c:v>
                </c:pt>
                <c:pt idx="10">
                  <c:v>4.0999999999999995E-2</c:v>
                </c:pt>
                <c:pt idx="11">
                  <c:v>3.9E-2</c:v>
                </c:pt>
                <c:pt idx="12">
                  <c:v>4.1000000000000002E-2</c:v>
                </c:pt>
                <c:pt idx="13">
                  <c:v>4.5999999999999999E-2</c:v>
                </c:pt>
                <c:pt idx="14">
                  <c:v>5.8999999999999997E-2</c:v>
                </c:pt>
                <c:pt idx="15">
                  <c:v>0.10200000000000001</c:v>
                </c:pt>
                <c:pt idx="16">
                  <c:v>0.187</c:v>
                </c:pt>
                <c:pt idx="17">
                  <c:v>0.313</c:v>
                </c:pt>
                <c:pt idx="18">
                  <c:v>0.46499999999999997</c:v>
                </c:pt>
                <c:pt idx="19">
                  <c:v>0.63200000000000001</c:v>
                </c:pt>
                <c:pt idx="20">
                  <c:v>0.622</c:v>
                </c:pt>
                <c:pt idx="21">
                  <c:v>0.42299999999999999</c:v>
                </c:pt>
                <c:pt idx="22">
                  <c:v>0.248</c:v>
                </c:pt>
                <c:pt idx="23">
                  <c:v>0.129</c:v>
                </c:pt>
                <c:pt idx="24">
                  <c:v>0.11199999999999999</c:v>
                </c:pt>
                <c:pt idx="25">
                  <c:v>0.19500000000000001</c:v>
                </c:pt>
                <c:pt idx="26">
                  <c:v>0.29099999999999998</c:v>
                </c:pt>
                <c:pt idx="27">
                  <c:v>0.40500000000000003</c:v>
                </c:pt>
                <c:pt idx="28">
                  <c:v>0.51500000000000001</c:v>
                </c:pt>
                <c:pt idx="29">
                  <c:v>0.56400000000000006</c:v>
                </c:pt>
                <c:pt idx="30">
                  <c:v>0.55200000000000005</c:v>
                </c:pt>
                <c:pt idx="31">
                  <c:v>0.50700000000000001</c:v>
                </c:pt>
                <c:pt idx="32">
                  <c:v>0.443</c:v>
                </c:pt>
                <c:pt idx="33">
                  <c:v>0.307</c:v>
                </c:pt>
                <c:pt idx="34">
                  <c:v>0.374</c:v>
                </c:pt>
                <c:pt idx="35">
                  <c:v>0.47399999999999998</c:v>
                </c:pt>
                <c:pt idx="36">
                  <c:v>0.67599999999999993</c:v>
                </c:pt>
                <c:pt idx="37">
                  <c:v>0.74099999999999999</c:v>
                </c:pt>
                <c:pt idx="38">
                  <c:v>0.70499999999999996</c:v>
                </c:pt>
                <c:pt idx="39">
                  <c:v>0.48799999999999999</c:v>
                </c:pt>
                <c:pt idx="40">
                  <c:v>0.27700000000000002</c:v>
                </c:pt>
                <c:pt idx="41">
                  <c:v>0.59000000000000008</c:v>
                </c:pt>
                <c:pt idx="42">
                  <c:v>0.42899999999999999</c:v>
                </c:pt>
                <c:pt idx="43">
                  <c:v>0.39700000000000002</c:v>
                </c:pt>
                <c:pt idx="44">
                  <c:v>0.59299999999999997</c:v>
                </c:pt>
                <c:pt idx="45">
                  <c:v>0.46500000000000002</c:v>
                </c:pt>
                <c:pt idx="46">
                  <c:v>0.39400000000000002</c:v>
                </c:pt>
                <c:pt idx="47">
                  <c:v>0.34800000000000003</c:v>
                </c:pt>
                <c:pt idx="48">
                  <c:v>0.317</c:v>
                </c:pt>
                <c:pt idx="49">
                  <c:v>0.29499999999999998</c:v>
                </c:pt>
                <c:pt idx="50">
                  <c:v>0.28899999999999998</c:v>
                </c:pt>
                <c:pt idx="51">
                  <c:v>0.29700000000000004</c:v>
                </c:pt>
                <c:pt idx="52">
                  <c:v>0.30500000000000005</c:v>
                </c:pt>
                <c:pt idx="53">
                  <c:v>0.30600000000000005</c:v>
                </c:pt>
                <c:pt idx="54">
                  <c:v>0.30700000000000005</c:v>
                </c:pt>
                <c:pt idx="55">
                  <c:v>0.30000000000000004</c:v>
                </c:pt>
                <c:pt idx="56">
                  <c:v>0.28300000000000003</c:v>
                </c:pt>
                <c:pt idx="57">
                  <c:v>0.26600000000000001</c:v>
                </c:pt>
                <c:pt idx="58">
                  <c:v>0.25900000000000001</c:v>
                </c:pt>
                <c:pt idx="59">
                  <c:v>0.38200000000000001</c:v>
                </c:pt>
                <c:pt idx="60">
                  <c:v>0.44</c:v>
                </c:pt>
                <c:pt idx="61">
                  <c:v>0.58699999999999997</c:v>
                </c:pt>
                <c:pt idx="62">
                  <c:v>0.73599999999999999</c:v>
                </c:pt>
                <c:pt idx="63">
                  <c:v>0.80200000000000005</c:v>
                </c:pt>
                <c:pt idx="64">
                  <c:v>0.79200000000000004</c:v>
                </c:pt>
                <c:pt idx="65">
                  <c:v>0.76800000000000002</c:v>
                </c:pt>
                <c:pt idx="66">
                  <c:v>0.77500000000000002</c:v>
                </c:pt>
                <c:pt idx="67">
                  <c:v>0.80200000000000005</c:v>
                </c:pt>
                <c:pt idx="68">
                  <c:v>0.82899999999999996</c:v>
                </c:pt>
                <c:pt idx="69">
                  <c:v>0.82299999999999995</c:v>
                </c:pt>
                <c:pt idx="70">
                  <c:v>0.75</c:v>
                </c:pt>
                <c:pt idx="71">
                  <c:v>0.629</c:v>
                </c:pt>
                <c:pt idx="72">
                  <c:v>0.54800000000000004</c:v>
                </c:pt>
                <c:pt idx="73">
                  <c:v>0.60199999999999998</c:v>
                </c:pt>
                <c:pt idx="74">
                  <c:v>0.79699999999999993</c:v>
                </c:pt>
                <c:pt idx="75">
                  <c:v>1.0920000000000001</c:v>
                </c:pt>
                <c:pt idx="76">
                  <c:v>0.34799999999999998</c:v>
                </c:pt>
                <c:pt idx="77">
                  <c:v>0.43900000000000006</c:v>
                </c:pt>
                <c:pt idx="78">
                  <c:v>0.56099999999999994</c:v>
                </c:pt>
                <c:pt idx="79">
                  <c:v>0.73799999999999999</c:v>
                </c:pt>
                <c:pt idx="80">
                  <c:v>0.63900000000000001</c:v>
                </c:pt>
                <c:pt idx="81">
                  <c:v>0.63400000000000001</c:v>
                </c:pt>
                <c:pt idx="82">
                  <c:v>0.66100000000000003</c:v>
                </c:pt>
                <c:pt idx="83">
                  <c:v>0.66500000000000004</c:v>
                </c:pt>
                <c:pt idx="84">
                  <c:v>0.627</c:v>
                </c:pt>
                <c:pt idx="85">
                  <c:v>0.59099999999999997</c:v>
                </c:pt>
                <c:pt idx="86">
                  <c:v>0.57699999999999996</c:v>
                </c:pt>
                <c:pt idx="87">
                  <c:v>0.60099999999999998</c:v>
                </c:pt>
                <c:pt idx="88">
                  <c:v>0.66600000000000004</c:v>
                </c:pt>
                <c:pt idx="89">
                  <c:v>0.77</c:v>
                </c:pt>
                <c:pt idx="90">
                  <c:v>0.91900000000000004</c:v>
                </c:pt>
                <c:pt idx="91">
                  <c:v>1.1419999999999999</c:v>
                </c:pt>
                <c:pt idx="92">
                  <c:v>0.35499999999999998</c:v>
                </c:pt>
                <c:pt idx="93">
                  <c:v>0.41499999999999998</c:v>
                </c:pt>
                <c:pt idx="94">
                  <c:v>0.48599999999999999</c:v>
                </c:pt>
                <c:pt idx="95">
                  <c:v>0.55300000000000005</c:v>
                </c:pt>
                <c:pt idx="96">
                  <c:v>0.61</c:v>
                </c:pt>
                <c:pt idx="97">
                  <c:v>0.64500000000000002</c:v>
                </c:pt>
                <c:pt idx="98">
                  <c:v>0.64100000000000001</c:v>
                </c:pt>
                <c:pt idx="99">
                  <c:v>0.58499999999999996</c:v>
                </c:pt>
                <c:pt idx="100">
                  <c:v>0.46399999999999997</c:v>
                </c:pt>
                <c:pt idx="101">
                  <c:v>0.39699999999999996</c:v>
                </c:pt>
                <c:pt idx="102">
                  <c:v>0.36</c:v>
                </c:pt>
                <c:pt idx="103">
                  <c:v>0.34899999999999998</c:v>
                </c:pt>
                <c:pt idx="104">
                  <c:v>0.35399999999999998</c:v>
                </c:pt>
                <c:pt idx="105">
                  <c:v>0.36399999999999999</c:v>
                </c:pt>
                <c:pt idx="106">
                  <c:v>0.37</c:v>
                </c:pt>
                <c:pt idx="107">
                  <c:v>0.35799999999999998</c:v>
                </c:pt>
              </c:numCache>
              <c:extLst xmlns:c15="http://schemas.microsoft.com/office/drawing/2012/chart"/>
            </c:numRef>
          </c:xVal>
          <c:yVal>
            <c:numRef>
              <c:f>Sheet2!$Z$952:$Z$1059</c:f>
              <c:numCache>
                <c:formatCode>General</c:formatCode>
                <c:ptCount val="108"/>
                <c:pt idx="0">
                  <c:v>-0.22499999999999998</c:v>
                </c:pt>
                <c:pt idx="1">
                  <c:v>-0.313</c:v>
                </c:pt>
                <c:pt idx="2">
                  <c:v>-0.38</c:v>
                </c:pt>
                <c:pt idx="3">
                  <c:v>-0.38700000000000001</c:v>
                </c:pt>
                <c:pt idx="4">
                  <c:v>-0.38200000000000001</c:v>
                </c:pt>
                <c:pt idx="5">
                  <c:v>-0.38999999999999996</c:v>
                </c:pt>
                <c:pt idx="6">
                  <c:v>-0.39999999999999997</c:v>
                </c:pt>
                <c:pt idx="7">
                  <c:v>-0.41599999999999998</c:v>
                </c:pt>
                <c:pt idx="8">
                  <c:v>-0.42499999999999999</c:v>
                </c:pt>
                <c:pt idx="9">
                  <c:v>-0.43</c:v>
                </c:pt>
                <c:pt idx="10">
                  <c:v>-0.36000000000000004</c:v>
                </c:pt>
                <c:pt idx="11">
                  <c:v>-0.32400000000000001</c:v>
                </c:pt>
                <c:pt idx="12">
                  <c:v>-0.29800000000000004</c:v>
                </c:pt>
                <c:pt idx="13">
                  <c:v>-0.26400000000000001</c:v>
                </c:pt>
                <c:pt idx="14">
                  <c:v>-0.20499999999999999</c:v>
                </c:pt>
                <c:pt idx="15">
                  <c:v>-0.123</c:v>
                </c:pt>
                <c:pt idx="16">
                  <c:v>-5.4999999999999993E-2</c:v>
                </c:pt>
                <c:pt idx="17">
                  <c:v>-6.6000000000000031E-2</c:v>
                </c:pt>
                <c:pt idx="18">
                  <c:v>-0.18099999999999999</c:v>
                </c:pt>
                <c:pt idx="19">
                  <c:v>-0.32900000000000001</c:v>
                </c:pt>
                <c:pt idx="20">
                  <c:v>-0.15500000000000003</c:v>
                </c:pt>
                <c:pt idx="21">
                  <c:v>-0.21700000000000003</c:v>
                </c:pt>
                <c:pt idx="22">
                  <c:v>-0.33799999999999997</c:v>
                </c:pt>
                <c:pt idx="23">
                  <c:v>-0.435</c:v>
                </c:pt>
                <c:pt idx="24">
                  <c:v>-0.60299999999999998</c:v>
                </c:pt>
                <c:pt idx="25">
                  <c:v>-0.60000000000000009</c:v>
                </c:pt>
                <c:pt idx="26">
                  <c:v>-0.499</c:v>
                </c:pt>
                <c:pt idx="27">
                  <c:v>-0.32999999999999996</c:v>
                </c:pt>
                <c:pt idx="28">
                  <c:v>-0.15699999999999997</c:v>
                </c:pt>
                <c:pt idx="29">
                  <c:v>-3.8000000000000006E-2</c:v>
                </c:pt>
                <c:pt idx="30">
                  <c:v>-2.0000000000000018E-3</c:v>
                </c:pt>
                <c:pt idx="31">
                  <c:v>-4.7999999999999987E-2</c:v>
                </c:pt>
                <c:pt idx="32">
                  <c:v>-0.12099999999999998</c:v>
                </c:pt>
                <c:pt idx="33">
                  <c:v>-0.14100000000000001</c:v>
                </c:pt>
                <c:pt idx="34">
                  <c:v>-8.1000000000000016E-2</c:v>
                </c:pt>
                <c:pt idx="35">
                  <c:v>-1.5000000000000013E-2</c:v>
                </c:pt>
                <c:pt idx="36">
                  <c:v>-4.7999999999999987E-2</c:v>
                </c:pt>
                <c:pt idx="37">
                  <c:v>2.300000000000002E-2</c:v>
                </c:pt>
                <c:pt idx="38">
                  <c:v>0.15699999999999997</c:v>
                </c:pt>
                <c:pt idx="39">
                  <c:v>2.6999999999999968E-2</c:v>
                </c:pt>
                <c:pt idx="40">
                  <c:v>-0.10600000000000001</c:v>
                </c:pt>
                <c:pt idx="41">
                  <c:v>-0.25799999999999995</c:v>
                </c:pt>
                <c:pt idx="42">
                  <c:v>-0.23899999999999999</c:v>
                </c:pt>
                <c:pt idx="43">
                  <c:v>-0.16300000000000001</c:v>
                </c:pt>
                <c:pt idx="44">
                  <c:v>-0.66399999999999992</c:v>
                </c:pt>
                <c:pt idx="45">
                  <c:v>-0.65500000000000003</c:v>
                </c:pt>
                <c:pt idx="46">
                  <c:v>-0.59</c:v>
                </c:pt>
                <c:pt idx="47">
                  <c:v>-0.52500000000000002</c:v>
                </c:pt>
                <c:pt idx="48">
                  <c:v>-0.47799999999999998</c:v>
                </c:pt>
                <c:pt idx="49">
                  <c:v>-0.45300000000000001</c:v>
                </c:pt>
                <c:pt idx="50">
                  <c:v>-0.438</c:v>
                </c:pt>
                <c:pt idx="51">
                  <c:v>-0.42099999999999999</c:v>
                </c:pt>
                <c:pt idx="52">
                  <c:v>-0.40800000000000003</c:v>
                </c:pt>
                <c:pt idx="53">
                  <c:v>-0.40200000000000002</c:v>
                </c:pt>
                <c:pt idx="54">
                  <c:v>-0.39400000000000002</c:v>
                </c:pt>
                <c:pt idx="55">
                  <c:v>-0.39299999999999996</c:v>
                </c:pt>
                <c:pt idx="56">
                  <c:v>-0.40099999999999997</c:v>
                </c:pt>
                <c:pt idx="57">
                  <c:v>-0.41599999999999998</c:v>
                </c:pt>
                <c:pt idx="58">
                  <c:v>-0.42599999999999999</c:v>
                </c:pt>
                <c:pt idx="59">
                  <c:v>-0.37200000000000005</c:v>
                </c:pt>
                <c:pt idx="60">
                  <c:v>-0.28500000000000003</c:v>
                </c:pt>
                <c:pt idx="61">
                  <c:v>-0.14899999999999997</c:v>
                </c:pt>
                <c:pt idx="62">
                  <c:v>-4.4999999999999984E-2</c:v>
                </c:pt>
                <c:pt idx="63">
                  <c:v>-5.5000000000000049E-2</c:v>
                </c:pt>
                <c:pt idx="64">
                  <c:v>-0.16599999999999998</c:v>
                </c:pt>
                <c:pt idx="65">
                  <c:v>-0.30399999999999994</c:v>
                </c:pt>
                <c:pt idx="66">
                  <c:v>-0.40200000000000002</c:v>
                </c:pt>
                <c:pt idx="67">
                  <c:v>-0.44699999999999995</c:v>
                </c:pt>
                <c:pt idx="68">
                  <c:v>-0.434</c:v>
                </c:pt>
                <c:pt idx="69">
                  <c:v>-0.38199999999999995</c:v>
                </c:pt>
                <c:pt idx="70">
                  <c:v>-0.33800000000000002</c:v>
                </c:pt>
                <c:pt idx="71">
                  <c:v>-0.311</c:v>
                </c:pt>
                <c:pt idx="72">
                  <c:v>-0.247</c:v>
                </c:pt>
                <c:pt idx="73">
                  <c:v>-8.7000000000000022E-2</c:v>
                </c:pt>
                <c:pt idx="74">
                  <c:v>0.15899999999999997</c:v>
                </c:pt>
                <c:pt idx="75">
                  <c:v>0.44900000000000007</c:v>
                </c:pt>
                <c:pt idx="76">
                  <c:v>-0.24100000000000002</c:v>
                </c:pt>
                <c:pt idx="77">
                  <c:v>-0.13899999999999996</c:v>
                </c:pt>
                <c:pt idx="78">
                  <c:v>1.1999999999999955E-2</c:v>
                </c:pt>
                <c:pt idx="79">
                  <c:v>0.15200000000000002</c:v>
                </c:pt>
                <c:pt idx="80">
                  <c:v>1.4000000000000012E-2</c:v>
                </c:pt>
                <c:pt idx="81">
                  <c:v>-3.0000000000000027E-2</c:v>
                </c:pt>
                <c:pt idx="82">
                  <c:v>-5.099999999999999E-2</c:v>
                </c:pt>
                <c:pt idx="83">
                  <c:v>-7.400000000000001E-2</c:v>
                </c:pt>
                <c:pt idx="84">
                  <c:v>-0.11499999999999999</c:v>
                </c:pt>
                <c:pt idx="85">
                  <c:v>-0.15400000000000003</c:v>
                </c:pt>
                <c:pt idx="86">
                  <c:v>-0.152</c:v>
                </c:pt>
                <c:pt idx="87">
                  <c:v>-0.10799999999999998</c:v>
                </c:pt>
                <c:pt idx="88">
                  <c:v>-5.4999999999999993E-2</c:v>
                </c:pt>
                <c:pt idx="89">
                  <c:v>-3.0000000000000027E-2</c:v>
                </c:pt>
                <c:pt idx="90">
                  <c:v>2.300000000000002E-2</c:v>
                </c:pt>
                <c:pt idx="91">
                  <c:v>0.19199999999999998</c:v>
                </c:pt>
                <c:pt idx="92">
                  <c:v>-0.56700000000000006</c:v>
                </c:pt>
                <c:pt idx="93">
                  <c:v>-0.59</c:v>
                </c:pt>
                <c:pt idx="94">
                  <c:v>-0.64600000000000002</c:v>
                </c:pt>
                <c:pt idx="95">
                  <c:v>-0.70599999999999996</c:v>
                </c:pt>
                <c:pt idx="96">
                  <c:v>-0.74500000000000011</c:v>
                </c:pt>
                <c:pt idx="97">
                  <c:v>-0.76800000000000002</c:v>
                </c:pt>
                <c:pt idx="98">
                  <c:v>-0.78800000000000003</c:v>
                </c:pt>
                <c:pt idx="99">
                  <c:v>-0.77800000000000002</c:v>
                </c:pt>
                <c:pt idx="100">
                  <c:v>-0.34599999999999997</c:v>
                </c:pt>
                <c:pt idx="101">
                  <c:v>-0.36799999999999999</c:v>
                </c:pt>
                <c:pt idx="102">
                  <c:v>-0.372</c:v>
                </c:pt>
                <c:pt idx="103">
                  <c:v>-0.36299999999999999</c:v>
                </c:pt>
                <c:pt idx="104">
                  <c:v>-0.34900000000000003</c:v>
                </c:pt>
                <c:pt idx="105">
                  <c:v>-0.33</c:v>
                </c:pt>
                <c:pt idx="106">
                  <c:v>-0.30399999999999999</c:v>
                </c:pt>
                <c:pt idx="107">
                  <c:v>-0.27999999999999997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24F-4CE4-B93C-E6513D36FB69}"/>
            </c:ext>
          </c:extLst>
        </c:ser>
        <c:ser>
          <c:idx val="7"/>
          <c:order val="7"/>
          <c:tx>
            <c:strRef>
              <c:f>Sheet2!$V$1193</c:f>
              <c:strCache>
                <c:ptCount val="1"/>
                <c:pt idx="0">
                  <c:v>灰质白云岩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Sheet2!$Y$1193:$Y$1250</c:f>
              <c:numCache>
                <c:formatCode>General</c:formatCode>
                <c:ptCount val="58"/>
                <c:pt idx="0">
                  <c:v>0.36499999999999999</c:v>
                </c:pt>
                <c:pt idx="1">
                  <c:v>0.21700000000000003</c:v>
                </c:pt>
                <c:pt idx="2">
                  <c:v>0.13600000000000001</c:v>
                </c:pt>
                <c:pt idx="3">
                  <c:v>0.11399999999999999</c:v>
                </c:pt>
                <c:pt idx="4">
                  <c:v>0.111</c:v>
                </c:pt>
                <c:pt idx="5">
                  <c:v>0.108</c:v>
                </c:pt>
                <c:pt idx="6">
                  <c:v>9.9000000000000005E-2</c:v>
                </c:pt>
                <c:pt idx="7">
                  <c:v>8.7000000000000008E-2</c:v>
                </c:pt>
                <c:pt idx="8">
                  <c:v>7.3999999999999996E-2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5.6000000000000001E-2</c:v>
                </c:pt>
                <c:pt idx="12">
                  <c:v>0.05</c:v>
                </c:pt>
                <c:pt idx="13">
                  <c:v>4.3999999999999997E-2</c:v>
                </c:pt>
                <c:pt idx="14">
                  <c:v>4.0999999999999995E-2</c:v>
                </c:pt>
                <c:pt idx="15">
                  <c:v>4.8000000000000001E-2</c:v>
                </c:pt>
                <c:pt idx="16">
                  <c:v>1.7000000000000001E-2</c:v>
                </c:pt>
                <c:pt idx="17">
                  <c:v>4.7E-2</c:v>
                </c:pt>
                <c:pt idx="18">
                  <c:v>0.11199999999999999</c:v>
                </c:pt>
                <c:pt idx="19">
                  <c:v>0.2</c:v>
                </c:pt>
                <c:pt idx="20">
                  <c:v>0.17399999999999999</c:v>
                </c:pt>
                <c:pt idx="21">
                  <c:v>0.247</c:v>
                </c:pt>
                <c:pt idx="22">
                  <c:v>0.45299999999999996</c:v>
                </c:pt>
                <c:pt idx="23">
                  <c:v>0.27700000000000002</c:v>
                </c:pt>
                <c:pt idx="24">
                  <c:v>0.16600000000000001</c:v>
                </c:pt>
                <c:pt idx="25">
                  <c:v>0.20500000000000002</c:v>
                </c:pt>
                <c:pt idx="26">
                  <c:v>0.39600000000000002</c:v>
                </c:pt>
                <c:pt idx="27">
                  <c:v>0.68599999999999994</c:v>
                </c:pt>
                <c:pt idx="28">
                  <c:v>1.133</c:v>
                </c:pt>
                <c:pt idx="29">
                  <c:v>0.98899999999999988</c:v>
                </c:pt>
                <c:pt idx="30">
                  <c:v>0.88500000000000001</c:v>
                </c:pt>
                <c:pt idx="31">
                  <c:v>0.94199999999999995</c:v>
                </c:pt>
                <c:pt idx="32">
                  <c:v>0.90500000000000003</c:v>
                </c:pt>
                <c:pt idx="33">
                  <c:v>0.39700000000000002</c:v>
                </c:pt>
                <c:pt idx="34">
                  <c:v>0.52700000000000002</c:v>
                </c:pt>
                <c:pt idx="35">
                  <c:v>0.76400000000000001</c:v>
                </c:pt>
                <c:pt idx="36">
                  <c:v>1.048</c:v>
                </c:pt>
                <c:pt idx="37">
                  <c:v>1.3359999999999999</c:v>
                </c:pt>
                <c:pt idx="38">
                  <c:v>1.5529999999999999</c:v>
                </c:pt>
                <c:pt idx="39">
                  <c:v>0.22499999999999998</c:v>
                </c:pt>
                <c:pt idx="40">
                  <c:v>0.26600000000000001</c:v>
                </c:pt>
                <c:pt idx="41">
                  <c:v>0.35299999999999998</c:v>
                </c:pt>
                <c:pt idx="42">
                  <c:v>0.44600000000000001</c:v>
                </c:pt>
                <c:pt idx="43">
                  <c:v>0.56699999999999995</c:v>
                </c:pt>
                <c:pt idx="44">
                  <c:v>0.68399999999999994</c:v>
                </c:pt>
                <c:pt idx="45">
                  <c:v>0.432</c:v>
                </c:pt>
                <c:pt idx="46">
                  <c:v>0.312</c:v>
                </c:pt>
                <c:pt idx="47">
                  <c:v>0.27</c:v>
                </c:pt>
                <c:pt idx="48">
                  <c:v>0.311</c:v>
                </c:pt>
                <c:pt idx="49">
                  <c:v>0.38400000000000001</c:v>
                </c:pt>
                <c:pt idx="50">
                  <c:v>0.441</c:v>
                </c:pt>
                <c:pt idx="51">
                  <c:v>0.46500000000000002</c:v>
                </c:pt>
                <c:pt idx="52">
                  <c:v>0.441</c:v>
                </c:pt>
                <c:pt idx="53">
                  <c:v>0.248</c:v>
                </c:pt>
                <c:pt idx="54">
                  <c:v>0.186</c:v>
                </c:pt>
                <c:pt idx="55">
                  <c:v>0.245</c:v>
                </c:pt>
                <c:pt idx="56">
                  <c:v>0.34199999999999997</c:v>
                </c:pt>
                <c:pt idx="57">
                  <c:v>0.501</c:v>
                </c:pt>
              </c:numCache>
            </c:numRef>
          </c:xVal>
          <c:yVal>
            <c:numRef>
              <c:f>Sheet2!$Z$1193:$Z$1250</c:f>
              <c:numCache>
                <c:formatCode>General</c:formatCode>
                <c:ptCount val="58"/>
                <c:pt idx="0">
                  <c:v>-0.48099999999999998</c:v>
                </c:pt>
                <c:pt idx="1">
                  <c:v>-0.60599999999999998</c:v>
                </c:pt>
                <c:pt idx="2">
                  <c:v>-0.66500000000000004</c:v>
                </c:pt>
                <c:pt idx="3">
                  <c:v>-0.57299999999999995</c:v>
                </c:pt>
                <c:pt idx="4">
                  <c:v>-0.39799999999999996</c:v>
                </c:pt>
                <c:pt idx="5">
                  <c:v>-0.249</c:v>
                </c:pt>
                <c:pt idx="6">
                  <c:v>-0.193</c:v>
                </c:pt>
                <c:pt idx="7">
                  <c:v>-0.22499999999999998</c:v>
                </c:pt>
                <c:pt idx="8">
                  <c:v>-0.313</c:v>
                </c:pt>
                <c:pt idx="9">
                  <c:v>-0.43</c:v>
                </c:pt>
                <c:pt idx="10">
                  <c:v>-0.437</c:v>
                </c:pt>
                <c:pt idx="11">
                  <c:v>-0.441</c:v>
                </c:pt>
                <c:pt idx="12">
                  <c:v>-0.438</c:v>
                </c:pt>
                <c:pt idx="13">
                  <c:v>-0.40800000000000003</c:v>
                </c:pt>
                <c:pt idx="14">
                  <c:v>-0.36000000000000004</c:v>
                </c:pt>
                <c:pt idx="15">
                  <c:v>-0.495</c:v>
                </c:pt>
                <c:pt idx="16">
                  <c:v>-0.53</c:v>
                </c:pt>
                <c:pt idx="17">
                  <c:v>-0.56499999999999995</c:v>
                </c:pt>
                <c:pt idx="18">
                  <c:v>-0.60299999999999998</c:v>
                </c:pt>
                <c:pt idx="19">
                  <c:v>-0.124</c:v>
                </c:pt>
                <c:pt idx="20">
                  <c:v>-0.155</c:v>
                </c:pt>
                <c:pt idx="21">
                  <c:v>-0.15599999999999997</c:v>
                </c:pt>
                <c:pt idx="22">
                  <c:v>-0.13799999999999998</c:v>
                </c:pt>
                <c:pt idx="23">
                  <c:v>-0.10600000000000001</c:v>
                </c:pt>
                <c:pt idx="24">
                  <c:v>-0.18100000000000002</c:v>
                </c:pt>
                <c:pt idx="25">
                  <c:v>-0.17699999999999996</c:v>
                </c:pt>
                <c:pt idx="26">
                  <c:v>-0.10499999999999998</c:v>
                </c:pt>
                <c:pt idx="27">
                  <c:v>1.6000000000000014E-2</c:v>
                </c:pt>
                <c:pt idx="28">
                  <c:v>0.13800000000000001</c:v>
                </c:pt>
                <c:pt idx="29">
                  <c:v>2.0000000000000018E-3</c:v>
                </c:pt>
                <c:pt idx="30">
                  <c:v>-0.35699999999999998</c:v>
                </c:pt>
                <c:pt idx="31">
                  <c:v>-0.41300000000000003</c:v>
                </c:pt>
                <c:pt idx="32">
                  <c:v>-0.36199999999999999</c:v>
                </c:pt>
                <c:pt idx="33">
                  <c:v>-0.16300000000000001</c:v>
                </c:pt>
                <c:pt idx="34">
                  <c:v>-2.7999999999999969E-2</c:v>
                </c:pt>
                <c:pt idx="35">
                  <c:v>0.13600000000000001</c:v>
                </c:pt>
                <c:pt idx="36">
                  <c:v>0.29399999999999998</c:v>
                </c:pt>
                <c:pt idx="37">
                  <c:v>0.42199999999999993</c:v>
                </c:pt>
                <c:pt idx="38">
                  <c:v>0.51400000000000001</c:v>
                </c:pt>
                <c:pt idx="39">
                  <c:v>-0.26299999999999996</c:v>
                </c:pt>
                <c:pt idx="40">
                  <c:v>-0.35299999999999998</c:v>
                </c:pt>
                <c:pt idx="41">
                  <c:v>-0.43900000000000006</c:v>
                </c:pt>
                <c:pt idx="42">
                  <c:v>-0.53200000000000003</c:v>
                </c:pt>
                <c:pt idx="43">
                  <c:v>-0.57899999999999996</c:v>
                </c:pt>
                <c:pt idx="44">
                  <c:v>-0.59500000000000008</c:v>
                </c:pt>
                <c:pt idx="45">
                  <c:v>-0.20600000000000002</c:v>
                </c:pt>
                <c:pt idx="46">
                  <c:v>-0.32300000000000001</c:v>
                </c:pt>
                <c:pt idx="47">
                  <c:v>-0.35199999999999998</c:v>
                </c:pt>
                <c:pt idx="48">
                  <c:v>-0.27800000000000002</c:v>
                </c:pt>
                <c:pt idx="49">
                  <c:v>-0.154</c:v>
                </c:pt>
                <c:pt idx="50">
                  <c:v>-4.5999999999999985E-2</c:v>
                </c:pt>
                <c:pt idx="51">
                  <c:v>2.1000000000000019E-2</c:v>
                </c:pt>
                <c:pt idx="52">
                  <c:v>2.4000000000000021E-2</c:v>
                </c:pt>
                <c:pt idx="53">
                  <c:v>-0.27700000000000002</c:v>
                </c:pt>
                <c:pt idx="54">
                  <c:v>-0.17499999999999999</c:v>
                </c:pt>
                <c:pt idx="55">
                  <c:v>-1.7000000000000015E-2</c:v>
                </c:pt>
                <c:pt idx="56">
                  <c:v>0.10300000000000001</c:v>
                </c:pt>
                <c:pt idx="57">
                  <c:v>0.20200000000000001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4F-4CE4-B93C-E6513D36FB69}"/>
            </c:ext>
          </c:extLst>
        </c:ser>
        <c:ser>
          <c:idx val="8"/>
          <c:order val="8"/>
          <c:tx>
            <c:strRef>
              <c:f>Sheet2!$V$1232</c:f>
              <c:strCache>
                <c:ptCount val="1"/>
                <c:pt idx="0">
                  <c:v>白云质灰岩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Sheet2!$Y$1232:$Y$1280</c:f>
              <c:numCache>
                <c:formatCode>General</c:formatCode>
                <c:ptCount val="49"/>
                <c:pt idx="0">
                  <c:v>0.22499999999999998</c:v>
                </c:pt>
                <c:pt idx="1">
                  <c:v>0.26600000000000001</c:v>
                </c:pt>
                <c:pt idx="2">
                  <c:v>0.35299999999999998</c:v>
                </c:pt>
                <c:pt idx="3">
                  <c:v>0.44600000000000001</c:v>
                </c:pt>
                <c:pt idx="4">
                  <c:v>0.56699999999999995</c:v>
                </c:pt>
                <c:pt idx="5">
                  <c:v>0.68399999999999994</c:v>
                </c:pt>
                <c:pt idx="6">
                  <c:v>0.432</c:v>
                </c:pt>
                <c:pt idx="7">
                  <c:v>0.312</c:v>
                </c:pt>
                <c:pt idx="8">
                  <c:v>0.27</c:v>
                </c:pt>
                <c:pt idx="9">
                  <c:v>0.311</c:v>
                </c:pt>
                <c:pt idx="10">
                  <c:v>0.38400000000000001</c:v>
                </c:pt>
                <c:pt idx="11">
                  <c:v>0.441</c:v>
                </c:pt>
                <c:pt idx="12">
                  <c:v>0.46500000000000002</c:v>
                </c:pt>
                <c:pt idx="13">
                  <c:v>0.441</c:v>
                </c:pt>
                <c:pt idx="14">
                  <c:v>0.248</c:v>
                </c:pt>
                <c:pt idx="15">
                  <c:v>0.186</c:v>
                </c:pt>
                <c:pt idx="16">
                  <c:v>0.245</c:v>
                </c:pt>
                <c:pt idx="17">
                  <c:v>0.34199999999999997</c:v>
                </c:pt>
                <c:pt idx="18">
                  <c:v>0.501</c:v>
                </c:pt>
                <c:pt idx="19">
                  <c:v>0.13500000000000001</c:v>
                </c:pt>
                <c:pt idx="20">
                  <c:v>0.14599999999999999</c:v>
                </c:pt>
                <c:pt idx="21">
                  <c:v>0.184</c:v>
                </c:pt>
                <c:pt idx="22">
                  <c:v>0.23899999999999999</c:v>
                </c:pt>
                <c:pt idx="23">
                  <c:v>0.3</c:v>
                </c:pt>
                <c:pt idx="24">
                  <c:v>0.372</c:v>
                </c:pt>
                <c:pt idx="25">
                  <c:v>0.43099999999999999</c:v>
                </c:pt>
                <c:pt idx="26">
                  <c:v>0.435</c:v>
                </c:pt>
                <c:pt idx="27">
                  <c:v>0.36799999999999999</c:v>
                </c:pt>
                <c:pt idx="28">
                  <c:v>0.253</c:v>
                </c:pt>
                <c:pt idx="29">
                  <c:v>0.152</c:v>
                </c:pt>
                <c:pt idx="30">
                  <c:v>0.26300000000000001</c:v>
                </c:pt>
                <c:pt idx="31">
                  <c:v>0.43299999999999994</c:v>
                </c:pt>
                <c:pt idx="32">
                  <c:v>0.55800000000000005</c:v>
                </c:pt>
                <c:pt idx="33">
                  <c:v>0.61499999999999999</c:v>
                </c:pt>
                <c:pt idx="34">
                  <c:v>0.20199999999999999</c:v>
                </c:pt>
                <c:pt idx="35">
                  <c:v>0.29700000000000004</c:v>
                </c:pt>
                <c:pt idx="36">
                  <c:v>0.38700000000000001</c:v>
                </c:pt>
                <c:pt idx="37">
                  <c:v>0.46</c:v>
                </c:pt>
                <c:pt idx="38">
                  <c:v>0.505</c:v>
                </c:pt>
                <c:pt idx="39">
                  <c:v>0.50600000000000001</c:v>
                </c:pt>
                <c:pt idx="40">
                  <c:v>0.45599999999999996</c:v>
                </c:pt>
                <c:pt idx="41">
                  <c:v>0.55400000000000005</c:v>
                </c:pt>
                <c:pt idx="42">
                  <c:v>0.55099999999999993</c:v>
                </c:pt>
                <c:pt idx="43">
                  <c:v>0.42600000000000005</c:v>
                </c:pt>
                <c:pt idx="44">
                  <c:v>0.378</c:v>
                </c:pt>
                <c:pt idx="45">
                  <c:v>0.35899999999999999</c:v>
                </c:pt>
                <c:pt idx="46">
                  <c:v>0.255</c:v>
                </c:pt>
                <c:pt idx="47">
                  <c:v>0.315</c:v>
                </c:pt>
                <c:pt idx="48">
                  <c:v>0.38900000000000001</c:v>
                </c:pt>
              </c:numCache>
              <c:extLst xmlns:c15="http://schemas.microsoft.com/office/drawing/2012/chart"/>
            </c:numRef>
          </c:xVal>
          <c:yVal>
            <c:numRef>
              <c:f>Sheet2!$Z$1232:$Z$1280</c:f>
              <c:numCache>
                <c:formatCode>General</c:formatCode>
                <c:ptCount val="49"/>
                <c:pt idx="0">
                  <c:v>-0.26299999999999996</c:v>
                </c:pt>
                <c:pt idx="1">
                  <c:v>-0.35299999999999998</c:v>
                </c:pt>
                <c:pt idx="2">
                  <c:v>-0.43900000000000006</c:v>
                </c:pt>
                <c:pt idx="3">
                  <c:v>-0.53200000000000003</c:v>
                </c:pt>
                <c:pt idx="4">
                  <c:v>-0.57899999999999996</c:v>
                </c:pt>
                <c:pt idx="5">
                  <c:v>-0.59500000000000008</c:v>
                </c:pt>
                <c:pt idx="6">
                  <c:v>-0.20600000000000002</c:v>
                </c:pt>
                <c:pt idx="7">
                  <c:v>-0.32300000000000001</c:v>
                </c:pt>
                <c:pt idx="8">
                  <c:v>-0.35199999999999998</c:v>
                </c:pt>
                <c:pt idx="9">
                  <c:v>-0.27800000000000002</c:v>
                </c:pt>
                <c:pt idx="10">
                  <c:v>-0.154</c:v>
                </c:pt>
                <c:pt idx="11">
                  <c:v>-4.5999999999999985E-2</c:v>
                </c:pt>
                <c:pt idx="12">
                  <c:v>2.1000000000000019E-2</c:v>
                </c:pt>
                <c:pt idx="13">
                  <c:v>2.4000000000000021E-2</c:v>
                </c:pt>
                <c:pt idx="14">
                  <c:v>-0.27700000000000002</c:v>
                </c:pt>
                <c:pt idx="15">
                  <c:v>-0.17499999999999999</c:v>
                </c:pt>
                <c:pt idx="16">
                  <c:v>-1.7000000000000015E-2</c:v>
                </c:pt>
                <c:pt idx="17">
                  <c:v>0.10300000000000001</c:v>
                </c:pt>
                <c:pt idx="18">
                  <c:v>0.20200000000000001</c:v>
                </c:pt>
                <c:pt idx="19">
                  <c:v>-0.77199999999999991</c:v>
                </c:pt>
                <c:pt idx="20">
                  <c:v>-0.82799999999999996</c:v>
                </c:pt>
                <c:pt idx="21">
                  <c:v>-0.86299999999999999</c:v>
                </c:pt>
                <c:pt idx="22">
                  <c:v>-0.875</c:v>
                </c:pt>
                <c:pt idx="23">
                  <c:v>-0.86199999999999999</c:v>
                </c:pt>
                <c:pt idx="24">
                  <c:v>-0.81299999999999994</c:v>
                </c:pt>
                <c:pt idx="25">
                  <c:v>-0.75</c:v>
                </c:pt>
                <c:pt idx="26">
                  <c:v>-0.71199999999999997</c:v>
                </c:pt>
                <c:pt idx="27">
                  <c:v>-0.73199999999999998</c:v>
                </c:pt>
                <c:pt idx="28">
                  <c:v>-0.80100000000000005</c:v>
                </c:pt>
                <c:pt idx="29">
                  <c:v>-0.87800000000000011</c:v>
                </c:pt>
                <c:pt idx="30">
                  <c:v>-0.91400000000000003</c:v>
                </c:pt>
                <c:pt idx="31">
                  <c:v>-0.81299999999999994</c:v>
                </c:pt>
                <c:pt idx="32">
                  <c:v>-0.69500000000000006</c:v>
                </c:pt>
                <c:pt idx="33">
                  <c:v>-0.56000000000000005</c:v>
                </c:pt>
                <c:pt idx="34">
                  <c:v>-0.66099999999999992</c:v>
                </c:pt>
                <c:pt idx="35">
                  <c:v>-0.75</c:v>
                </c:pt>
                <c:pt idx="36">
                  <c:v>-0.79299999999999993</c:v>
                </c:pt>
                <c:pt idx="37">
                  <c:v>-0.79899999999999993</c:v>
                </c:pt>
                <c:pt idx="38">
                  <c:v>-0.78900000000000003</c:v>
                </c:pt>
                <c:pt idx="39">
                  <c:v>-0.74900000000000011</c:v>
                </c:pt>
                <c:pt idx="40">
                  <c:v>-0.64200000000000002</c:v>
                </c:pt>
                <c:pt idx="41">
                  <c:v>-0.42199999999999993</c:v>
                </c:pt>
                <c:pt idx="42">
                  <c:v>-0.54700000000000004</c:v>
                </c:pt>
                <c:pt idx="43">
                  <c:v>-0.77700000000000002</c:v>
                </c:pt>
                <c:pt idx="44">
                  <c:v>-0.78699999999999992</c:v>
                </c:pt>
                <c:pt idx="45">
                  <c:v>-0.71700000000000008</c:v>
                </c:pt>
                <c:pt idx="46">
                  <c:v>-2.4999999999999994E-2</c:v>
                </c:pt>
                <c:pt idx="47">
                  <c:v>6.8999999999999992E-2</c:v>
                </c:pt>
                <c:pt idx="48">
                  <c:v>0.14799999999999999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924F-4CE4-B93C-E6513D36FB69}"/>
            </c:ext>
          </c:extLst>
        </c:ser>
        <c:ser>
          <c:idx val="9"/>
          <c:order val="9"/>
          <c:tx>
            <c:strRef>
              <c:f>Sheet2!$V$1437</c:f>
              <c:strCache>
                <c:ptCount val="1"/>
                <c:pt idx="0">
                  <c:v>灰岩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Sheet2!$Y$1437:$Y$1448</c:f>
              <c:numCache>
                <c:formatCode>General</c:formatCode>
                <c:ptCount val="12"/>
                <c:pt idx="0">
                  <c:v>0.74099999999999999</c:v>
                </c:pt>
                <c:pt idx="1">
                  <c:v>0.80899999999999994</c:v>
                </c:pt>
                <c:pt idx="2">
                  <c:v>0.68599999999999994</c:v>
                </c:pt>
                <c:pt idx="3">
                  <c:v>0.96300000000000008</c:v>
                </c:pt>
                <c:pt idx="4">
                  <c:v>0.41100000000000003</c:v>
                </c:pt>
                <c:pt idx="5">
                  <c:v>0.34899999999999998</c:v>
                </c:pt>
                <c:pt idx="6">
                  <c:v>0.32800000000000001</c:v>
                </c:pt>
                <c:pt idx="7">
                  <c:v>0.32400000000000001</c:v>
                </c:pt>
                <c:pt idx="8">
                  <c:v>0.29600000000000004</c:v>
                </c:pt>
                <c:pt idx="9">
                  <c:v>0.29000000000000004</c:v>
                </c:pt>
                <c:pt idx="10">
                  <c:v>0.307</c:v>
                </c:pt>
                <c:pt idx="11">
                  <c:v>0.36499999999999999</c:v>
                </c:pt>
              </c:numCache>
              <c:extLst xmlns:c15="http://schemas.microsoft.com/office/drawing/2012/chart"/>
            </c:numRef>
          </c:xVal>
          <c:yVal>
            <c:numRef>
              <c:f>Sheet2!$Z$1437:$Z$1448</c:f>
              <c:numCache>
                <c:formatCode>General</c:formatCode>
                <c:ptCount val="12"/>
                <c:pt idx="0">
                  <c:v>2.300000000000002E-2</c:v>
                </c:pt>
                <c:pt idx="1">
                  <c:v>0.13400000000000001</c:v>
                </c:pt>
                <c:pt idx="2">
                  <c:v>1.6000000000000014E-2</c:v>
                </c:pt>
                <c:pt idx="3">
                  <c:v>0.13700000000000007</c:v>
                </c:pt>
                <c:pt idx="4">
                  <c:v>-0.38500000000000001</c:v>
                </c:pt>
                <c:pt idx="5">
                  <c:v>-0.47199999999999998</c:v>
                </c:pt>
                <c:pt idx="6">
                  <c:v>-0.54600000000000004</c:v>
                </c:pt>
                <c:pt idx="7">
                  <c:v>-0.26600000000000001</c:v>
                </c:pt>
                <c:pt idx="8">
                  <c:v>-0.25</c:v>
                </c:pt>
                <c:pt idx="9">
                  <c:v>-0.24200000000000002</c:v>
                </c:pt>
                <c:pt idx="10">
                  <c:v>-0.249</c:v>
                </c:pt>
                <c:pt idx="11">
                  <c:v>-0.253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924F-4CE4-B93C-E6513D36FB69}"/>
            </c:ext>
          </c:extLst>
        </c:ser>
        <c:ser>
          <c:idx val="10"/>
          <c:order val="10"/>
          <c:tx>
            <c:strRef>
              <c:f>Sheet2!$V$908</c:f>
              <c:strCache>
                <c:ptCount val="1"/>
                <c:pt idx="0">
                  <c:v>膏质白云岩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7030A0"/>
                </a:solidFill>
                <a:round/>
              </a:ln>
              <a:effectLst/>
            </c:spPr>
          </c:marker>
          <c:xVal>
            <c:numRef>
              <c:f>Sheet2!$Y$908:$Y$946</c:f>
              <c:numCache>
                <c:formatCode>General</c:formatCode>
                <c:ptCount val="39"/>
                <c:pt idx="0">
                  <c:v>0.45299999999999996</c:v>
                </c:pt>
                <c:pt idx="1">
                  <c:v>0.72099999999999997</c:v>
                </c:pt>
                <c:pt idx="2">
                  <c:v>0.93899999999999995</c:v>
                </c:pt>
                <c:pt idx="3">
                  <c:v>1.036</c:v>
                </c:pt>
                <c:pt idx="4">
                  <c:v>0.997</c:v>
                </c:pt>
                <c:pt idx="5">
                  <c:v>0.81800000000000006</c:v>
                </c:pt>
                <c:pt idx="6">
                  <c:v>0.60199999999999998</c:v>
                </c:pt>
                <c:pt idx="7">
                  <c:v>0.48299999999999998</c:v>
                </c:pt>
                <c:pt idx="8">
                  <c:v>0.498</c:v>
                </c:pt>
                <c:pt idx="9">
                  <c:v>0.54700000000000004</c:v>
                </c:pt>
                <c:pt idx="10">
                  <c:v>0.54900000000000004</c:v>
                </c:pt>
                <c:pt idx="11">
                  <c:v>0.47699999999999998</c:v>
                </c:pt>
                <c:pt idx="12">
                  <c:v>0.372</c:v>
                </c:pt>
                <c:pt idx="13">
                  <c:v>0.313</c:v>
                </c:pt>
                <c:pt idx="14">
                  <c:v>0.40600000000000003</c:v>
                </c:pt>
                <c:pt idx="15">
                  <c:v>0.66999999999999993</c:v>
                </c:pt>
                <c:pt idx="16">
                  <c:v>0.68300000000000005</c:v>
                </c:pt>
                <c:pt idx="17">
                  <c:v>0.54400000000000004</c:v>
                </c:pt>
                <c:pt idx="18">
                  <c:v>0.38100000000000001</c:v>
                </c:pt>
                <c:pt idx="19">
                  <c:v>0.24</c:v>
                </c:pt>
                <c:pt idx="20">
                  <c:v>0.154</c:v>
                </c:pt>
                <c:pt idx="21">
                  <c:v>0.11799999999999999</c:v>
                </c:pt>
                <c:pt idx="22">
                  <c:v>0.10300000000000001</c:v>
                </c:pt>
                <c:pt idx="23">
                  <c:v>1.2130000000000001</c:v>
                </c:pt>
                <c:pt idx="24">
                  <c:v>1.256</c:v>
                </c:pt>
                <c:pt idx="25">
                  <c:v>1.2609999999999999</c:v>
                </c:pt>
                <c:pt idx="26">
                  <c:v>1.248</c:v>
                </c:pt>
                <c:pt idx="27">
                  <c:v>1.202</c:v>
                </c:pt>
                <c:pt idx="28">
                  <c:v>1.1120000000000001</c:v>
                </c:pt>
                <c:pt idx="29">
                  <c:v>0.98599999999999999</c:v>
                </c:pt>
                <c:pt idx="30">
                  <c:v>0.86699999999999999</c:v>
                </c:pt>
                <c:pt idx="31">
                  <c:v>0.79800000000000004</c:v>
                </c:pt>
                <c:pt idx="32">
                  <c:v>0.11399999999999999</c:v>
                </c:pt>
                <c:pt idx="33">
                  <c:v>0.154</c:v>
                </c:pt>
                <c:pt idx="34">
                  <c:v>0.19</c:v>
                </c:pt>
                <c:pt idx="35">
                  <c:v>0.21299999999999999</c:v>
                </c:pt>
                <c:pt idx="36">
                  <c:v>0.22900000000000001</c:v>
                </c:pt>
                <c:pt idx="37">
                  <c:v>0.249</c:v>
                </c:pt>
                <c:pt idx="38">
                  <c:v>0.27800000000000002</c:v>
                </c:pt>
              </c:numCache>
              <c:extLst xmlns:c15="http://schemas.microsoft.com/office/drawing/2012/chart"/>
            </c:numRef>
          </c:xVal>
          <c:yVal>
            <c:numRef>
              <c:f>Sheet2!$Z$908:$Z$946</c:f>
              <c:numCache>
                <c:formatCode>General</c:formatCode>
                <c:ptCount val="39"/>
                <c:pt idx="0">
                  <c:v>-0.13799999999999998</c:v>
                </c:pt>
                <c:pt idx="1">
                  <c:v>-0.127</c:v>
                </c:pt>
                <c:pt idx="2">
                  <c:v>-9.600000000000003E-2</c:v>
                </c:pt>
                <c:pt idx="3">
                  <c:v>-4.0000000000000036E-3</c:v>
                </c:pt>
                <c:pt idx="4">
                  <c:v>0.11099999999999999</c:v>
                </c:pt>
                <c:pt idx="5">
                  <c:v>0.20200000000000001</c:v>
                </c:pt>
                <c:pt idx="6">
                  <c:v>0.23299999999999998</c:v>
                </c:pt>
                <c:pt idx="7">
                  <c:v>0.20600000000000002</c:v>
                </c:pt>
                <c:pt idx="8">
                  <c:v>0.17899999999999999</c:v>
                </c:pt>
                <c:pt idx="9">
                  <c:v>0.18500000000000003</c:v>
                </c:pt>
                <c:pt idx="10">
                  <c:v>0.18600000000000003</c:v>
                </c:pt>
                <c:pt idx="11">
                  <c:v>0.14099999999999999</c:v>
                </c:pt>
                <c:pt idx="12">
                  <c:v>6.4000000000000029E-2</c:v>
                </c:pt>
                <c:pt idx="13">
                  <c:v>-3.0000000000000027E-3</c:v>
                </c:pt>
                <c:pt idx="14">
                  <c:v>-1.7999999999999988E-2</c:v>
                </c:pt>
                <c:pt idx="15">
                  <c:v>7.5000000000000011E-2</c:v>
                </c:pt>
                <c:pt idx="16">
                  <c:v>0.21300000000000002</c:v>
                </c:pt>
                <c:pt idx="17">
                  <c:v>3.9000000000000035E-2</c:v>
                </c:pt>
                <c:pt idx="18">
                  <c:v>-0.11000000000000001</c:v>
                </c:pt>
                <c:pt idx="19">
                  <c:v>-0.19400000000000003</c:v>
                </c:pt>
                <c:pt idx="20">
                  <c:v>-0.219</c:v>
                </c:pt>
                <c:pt idx="21">
                  <c:v>-0.22699999999999998</c:v>
                </c:pt>
                <c:pt idx="22">
                  <c:v>-0.47400000000000003</c:v>
                </c:pt>
                <c:pt idx="23">
                  <c:v>-0.13400000000000001</c:v>
                </c:pt>
                <c:pt idx="24">
                  <c:v>-0.16999999999999998</c:v>
                </c:pt>
                <c:pt idx="25">
                  <c:v>-0.15100000000000002</c:v>
                </c:pt>
                <c:pt idx="26">
                  <c:v>-5.1999999999999991E-2</c:v>
                </c:pt>
                <c:pt idx="27">
                  <c:v>4.9999999999999989E-2</c:v>
                </c:pt>
                <c:pt idx="28">
                  <c:v>0.13800000000000001</c:v>
                </c:pt>
                <c:pt idx="29">
                  <c:v>0.18599999999999997</c:v>
                </c:pt>
                <c:pt idx="30">
                  <c:v>0.18400000000000002</c:v>
                </c:pt>
                <c:pt idx="31">
                  <c:v>0.14199999999999999</c:v>
                </c:pt>
                <c:pt idx="32">
                  <c:v>-0.63500000000000001</c:v>
                </c:pt>
                <c:pt idx="33">
                  <c:v>-0.57699999999999996</c:v>
                </c:pt>
                <c:pt idx="34">
                  <c:v>-0.53499999999999992</c:v>
                </c:pt>
                <c:pt idx="35">
                  <c:v>-0.503</c:v>
                </c:pt>
                <c:pt idx="36">
                  <c:v>-0.53099999999999992</c:v>
                </c:pt>
                <c:pt idx="37">
                  <c:v>-0.61699999999999999</c:v>
                </c:pt>
                <c:pt idx="38">
                  <c:v>-0.64599999999999991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924F-4CE4-B93C-E6513D36FB69}"/>
            </c:ext>
          </c:extLst>
        </c:ser>
        <c:ser>
          <c:idx val="11"/>
          <c:order val="11"/>
          <c:tx>
            <c:strRef>
              <c:f>Sheet2!$V$904</c:f>
              <c:strCache>
                <c:ptCount val="1"/>
                <c:pt idx="0">
                  <c:v>含膏白云岩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Sheet2!$Y$904:$Y$907</c:f>
              <c:numCache>
                <c:formatCode>General</c:formatCode>
                <c:ptCount val="4"/>
                <c:pt idx="0">
                  <c:v>0.123</c:v>
                </c:pt>
                <c:pt idx="1">
                  <c:v>0.13400000000000001</c:v>
                </c:pt>
                <c:pt idx="2">
                  <c:v>0.14899999999999999</c:v>
                </c:pt>
                <c:pt idx="3">
                  <c:v>0.16200000000000001</c:v>
                </c:pt>
              </c:numCache>
              <c:extLst xmlns:c15="http://schemas.microsoft.com/office/drawing/2012/chart"/>
            </c:numRef>
          </c:xVal>
          <c:yVal>
            <c:numRef>
              <c:f>Sheet2!$Z$904:$Z$907</c:f>
              <c:numCache>
                <c:formatCode>General</c:formatCode>
                <c:ptCount val="4"/>
                <c:pt idx="0">
                  <c:v>-0.15200000000000002</c:v>
                </c:pt>
                <c:pt idx="1">
                  <c:v>-0.13800000000000001</c:v>
                </c:pt>
                <c:pt idx="2">
                  <c:v>-0.16400000000000001</c:v>
                </c:pt>
                <c:pt idx="3">
                  <c:v>-0.27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24F-4CE4-B93C-E6513D36FB69}"/>
            </c:ext>
          </c:extLst>
        </c:ser>
        <c:ser>
          <c:idx val="12"/>
          <c:order val="12"/>
          <c:tx>
            <c:strRef>
              <c:f>Sheet2!$V$1449</c:f>
              <c:strCache>
                <c:ptCount val="1"/>
                <c:pt idx="0">
                  <c:v>石膏岩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numRef>
              <c:f>Sheet2!$Y$1449:$Y$1491</c:f>
              <c:numCache>
                <c:formatCode>General</c:formatCode>
                <c:ptCount val="43"/>
                <c:pt idx="0">
                  <c:v>0.23299999999999998</c:v>
                </c:pt>
                <c:pt idx="1">
                  <c:v>0.16300000000000001</c:v>
                </c:pt>
                <c:pt idx="2">
                  <c:v>0.14799999999999999</c:v>
                </c:pt>
                <c:pt idx="3">
                  <c:v>0.158</c:v>
                </c:pt>
                <c:pt idx="4">
                  <c:v>0.17899999999999999</c:v>
                </c:pt>
                <c:pt idx="5">
                  <c:v>0.216</c:v>
                </c:pt>
                <c:pt idx="6">
                  <c:v>0.254</c:v>
                </c:pt>
                <c:pt idx="7">
                  <c:v>0.27</c:v>
                </c:pt>
                <c:pt idx="8">
                  <c:v>0.25900000000000001</c:v>
                </c:pt>
                <c:pt idx="9">
                  <c:v>0.24</c:v>
                </c:pt>
                <c:pt idx="10">
                  <c:v>0.22900000000000001</c:v>
                </c:pt>
                <c:pt idx="11">
                  <c:v>0.23099999999999998</c:v>
                </c:pt>
                <c:pt idx="12">
                  <c:v>0.249</c:v>
                </c:pt>
                <c:pt idx="13">
                  <c:v>0.28000000000000003</c:v>
                </c:pt>
                <c:pt idx="14">
                  <c:v>0.309</c:v>
                </c:pt>
                <c:pt idx="15">
                  <c:v>0.32100000000000001</c:v>
                </c:pt>
                <c:pt idx="16">
                  <c:v>0.313</c:v>
                </c:pt>
                <c:pt idx="17">
                  <c:v>0.29299999999999998</c:v>
                </c:pt>
                <c:pt idx="18">
                  <c:v>0.26600000000000001</c:v>
                </c:pt>
                <c:pt idx="19">
                  <c:v>0.25</c:v>
                </c:pt>
                <c:pt idx="20">
                  <c:v>0.251</c:v>
                </c:pt>
                <c:pt idx="21">
                  <c:v>0.255</c:v>
                </c:pt>
                <c:pt idx="22">
                  <c:v>0.254</c:v>
                </c:pt>
                <c:pt idx="23">
                  <c:v>0.247</c:v>
                </c:pt>
                <c:pt idx="24">
                  <c:v>0.23399999999999999</c:v>
                </c:pt>
                <c:pt idx="25">
                  <c:v>0.22099999999999997</c:v>
                </c:pt>
                <c:pt idx="26">
                  <c:v>0.217</c:v>
                </c:pt>
                <c:pt idx="27">
                  <c:v>0.21299999999999999</c:v>
                </c:pt>
                <c:pt idx="28">
                  <c:v>0.20900000000000002</c:v>
                </c:pt>
                <c:pt idx="29">
                  <c:v>0.19900000000000001</c:v>
                </c:pt>
                <c:pt idx="30">
                  <c:v>0.184</c:v>
                </c:pt>
                <c:pt idx="31">
                  <c:v>0.16800000000000001</c:v>
                </c:pt>
                <c:pt idx="32">
                  <c:v>0.14800000000000002</c:v>
                </c:pt>
                <c:pt idx="33">
                  <c:v>0.129</c:v>
                </c:pt>
                <c:pt idx="34">
                  <c:v>0.24</c:v>
                </c:pt>
                <c:pt idx="35">
                  <c:v>0.23200000000000001</c:v>
                </c:pt>
                <c:pt idx="36">
                  <c:v>0.22800000000000001</c:v>
                </c:pt>
                <c:pt idx="37">
                  <c:v>0.23</c:v>
                </c:pt>
                <c:pt idx="38">
                  <c:v>0.23699999999999999</c:v>
                </c:pt>
                <c:pt idx="39">
                  <c:v>0.24099999999999999</c:v>
                </c:pt>
                <c:pt idx="40">
                  <c:v>0.23300000000000001</c:v>
                </c:pt>
                <c:pt idx="41">
                  <c:v>0.20400000000000001</c:v>
                </c:pt>
                <c:pt idx="42">
                  <c:v>0.158</c:v>
                </c:pt>
              </c:numCache>
              <c:extLst xmlns:c15="http://schemas.microsoft.com/office/drawing/2012/chart"/>
            </c:numRef>
          </c:xVal>
          <c:yVal>
            <c:numRef>
              <c:f>Sheet2!$Z$1449:$Z$1491</c:f>
              <c:numCache>
                <c:formatCode>General</c:formatCode>
                <c:ptCount val="43"/>
                <c:pt idx="0">
                  <c:v>-5.2999999999999992E-2</c:v>
                </c:pt>
                <c:pt idx="1">
                  <c:v>-0.14300000000000002</c:v>
                </c:pt>
                <c:pt idx="2">
                  <c:v>-0.17</c:v>
                </c:pt>
                <c:pt idx="3">
                  <c:v>-0.14799999999999999</c:v>
                </c:pt>
                <c:pt idx="4">
                  <c:v>-0.16099999999999998</c:v>
                </c:pt>
                <c:pt idx="5">
                  <c:v>-0.20500000000000002</c:v>
                </c:pt>
                <c:pt idx="6">
                  <c:v>-0.19400000000000001</c:v>
                </c:pt>
                <c:pt idx="7">
                  <c:v>-0.16500000000000001</c:v>
                </c:pt>
                <c:pt idx="8">
                  <c:v>-0.17499999999999999</c:v>
                </c:pt>
                <c:pt idx="9">
                  <c:v>-0.21199999999999999</c:v>
                </c:pt>
                <c:pt idx="10">
                  <c:v>-0.246</c:v>
                </c:pt>
                <c:pt idx="11">
                  <c:v>-0.245</c:v>
                </c:pt>
                <c:pt idx="12">
                  <c:v>-0.22000000000000003</c:v>
                </c:pt>
                <c:pt idx="13">
                  <c:v>-0.21600000000000003</c:v>
                </c:pt>
                <c:pt idx="14">
                  <c:v>-0.21400000000000002</c:v>
                </c:pt>
                <c:pt idx="15">
                  <c:v>-0.20200000000000001</c:v>
                </c:pt>
                <c:pt idx="16">
                  <c:v>-0.192</c:v>
                </c:pt>
                <c:pt idx="17">
                  <c:v>-0.189</c:v>
                </c:pt>
                <c:pt idx="18">
                  <c:v>-0.191</c:v>
                </c:pt>
                <c:pt idx="19">
                  <c:v>-0.191</c:v>
                </c:pt>
                <c:pt idx="20">
                  <c:v>-0.18099999999999999</c:v>
                </c:pt>
                <c:pt idx="21">
                  <c:v>-0.16699999999999998</c:v>
                </c:pt>
                <c:pt idx="22">
                  <c:v>-0.16299999999999998</c:v>
                </c:pt>
                <c:pt idx="23">
                  <c:v>-0.17299999999999999</c:v>
                </c:pt>
                <c:pt idx="24">
                  <c:v>-0.18099999999999999</c:v>
                </c:pt>
                <c:pt idx="25">
                  <c:v>-0.17899999999999999</c:v>
                </c:pt>
                <c:pt idx="26">
                  <c:v>-0.17600000000000002</c:v>
                </c:pt>
                <c:pt idx="27">
                  <c:v>-0.183</c:v>
                </c:pt>
                <c:pt idx="28">
                  <c:v>-0.17499999999999999</c:v>
                </c:pt>
                <c:pt idx="29">
                  <c:v>-0.16599999999999998</c:v>
                </c:pt>
                <c:pt idx="30">
                  <c:v>-0.15499999999999997</c:v>
                </c:pt>
                <c:pt idx="31">
                  <c:v>-0.14900000000000002</c:v>
                </c:pt>
                <c:pt idx="32">
                  <c:v>-0.15600000000000003</c:v>
                </c:pt>
                <c:pt idx="33">
                  <c:v>-0.15700000000000003</c:v>
                </c:pt>
                <c:pt idx="34">
                  <c:v>-0.52200000000000002</c:v>
                </c:pt>
                <c:pt idx="35">
                  <c:v>-0.69499999999999995</c:v>
                </c:pt>
                <c:pt idx="36">
                  <c:v>-0.872</c:v>
                </c:pt>
                <c:pt idx="37">
                  <c:v>-0.99199999999999999</c:v>
                </c:pt>
                <c:pt idx="38">
                  <c:v>-0.94799999999999995</c:v>
                </c:pt>
                <c:pt idx="39">
                  <c:v>-0.78199999999999992</c:v>
                </c:pt>
                <c:pt idx="40">
                  <c:v>-0.64900000000000002</c:v>
                </c:pt>
                <c:pt idx="41">
                  <c:v>-0.65100000000000002</c:v>
                </c:pt>
                <c:pt idx="42">
                  <c:v>-0.70499999999999996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924F-4CE4-B93C-E6513D36FB69}"/>
            </c:ext>
          </c:extLst>
        </c:ser>
        <c:ser>
          <c:idx val="13"/>
          <c:order val="13"/>
          <c:tx>
            <c:strRef>
              <c:f>Sheet2!$V$1492</c:f>
              <c:strCache>
                <c:ptCount val="1"/>
                <c:pt idx="0">
                  <c:v>硅质白云岩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numRef>
              <c:f>Sheet2!$Y$1492:$Y$1495</c:f>
              <c:numCache>
                <c:formatCode>General</c:formatCode>
                <c:ptCount val="4"/>
                <c:pt idx="0">
                  <c:v>0.11799999999999999</c:v>
                </c:pt>
                <c:pt idx="1">
                  <c:v>9.2999999999999999E-2</c:v>
                </c:pt>
                <c:pt idx="2">
                  <c:v>8.1000000000000003E-2</c:v>
                </c:pt>
                <c:pt idx="3">
                  <c:v>8.7000000000000008E-2</c:v>
                </c:pt>
              </c:numCache>
              <c:extLst xmlns:c15="http://schemas.microsoft.com/office/drawing/2012/chart"/>
            </c:numRef>
          </c:xVal>
          <c:yVal>
            <c:numRef>
              <c:f>Sheet2!$Z$1492:$Z$1495</c:f>
              <c:numCache>
                <c:formatCode>General</c:formatCode>
                <c:ptCount val="4"/>
                <c:pt idx="0">
                  <c:v>-0.73799999999999999</c:v>
                </c:pt>
                <c:pt idx="1">
                  <c:v>-0.75</c:v>
                </c:pt>
                <c:pt idx="2">
                  <c:v>-0.72899999999999998</c:v>
                </c:pt>
                <c:pt idx="3">
                  <c:v>-0.68799999999999994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24F-4CE4-B93C-E6513D36F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178240"/>
        <c:axId val="1695184960"/>
        <c:extLst/>
      </c:scatterChart>
      <c:valAx>
        <c:axId val="1695178240"/>
        <c:scaling>
          <c:orientation val="minMax"/>
          <c:max val="2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184960"/>
        <c:crossesAt val="-11"/>
        <c:crossBetween val="midCat"/>
      </c:valAx>
      <c:valAx>
        <c:axId val="1695184960"/>
        <c:scaling>
          <c:orientation val="minMax"/>
          <c:max val="1"/>
          <c:min val="-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178240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313520923643098E-2"/>
          <c:y val="9.2856499481819999E-3"/>
          <c:w val="0.78647703027634774"/>
          <c:h val="0.96223021879910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Sheet2!$V$2</c:f>
              <c:strCache>
                <c:ptCount val="1"/>
                <c:pt idx="0">
                  <c:v>凝灰质泥岩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solidFill>
                  <a:schemeClr val="tx1">
                    <a:lumMod val="85000"/>
                    <a:lumOff val="15000"/>
                  </a:schemeClr>
                </a:solidFill>
                <a:round/>
              </a:ln>
              <a:effectLst/>
            </c:spPr>
          </c:marker>
          <c:xVal>
            <c:numRef>
              <c:f>Sheet2!$Y$2:$Y$101</c:f>
              <c:numCache>
                <c:formatCode>General</c:formatCode>
                <c:ptCount val="100"/>
                <c:pt idx="0">
                  <c:v>1.482</c:v>
                </c:pt>
                <c:pt idx="1">
                  <c:v>1.68</c:v>
                </c:pt>
                <c:pt idx="2">
                  <c:v>1.8050000000000002</c:v>
                </c:pt>
                <c:pt idx="3">
                  <c:v>1.7749999999999999</c:v>
                </c:pt>
                <c:pt idx="4">
                  <c:v>1.1850000000000001</c:v>
                </c:pt>
                <c:pt idx="5">
                  <c:v>1.552</c:v>
                </c:pt>
                <c:pt idx="6">
                  <c:v>1.8159999999999998</c:v>
                </c:pt>
                <c:pt idx="7">
                  <c:v>1.8820000000000001</c:v>
                </c:pt>
                <c:pt idx="8">
                  <c:v>1.7549999999999999</c:v>
                </c:pt>
                <c:pt idx="9">
                  <c:v>1.546</c:v>
                </c:pt>
                <c:pt idx="10">
                  <c:v>1.6040000000000001</c:v>
                </c:pt>
                <c:pt idx="11">
                  <c:v>1.887</c:v>
                </c:pt>
                <c:pt idx="12">
                  <c:v>1.9870000000000001</c:v>
                </c:pt>
                <c:pt idx="13">
                  <c:v>1.8959999999999999</c:v>
                </c:pt>
                <c:pt idx="14">
                  <c:v>1.71</c:v>
                </c:pt>
                <c:pt idx="15">
                  <c:v>1.645</c:v>
                </c:pt>
                <c:pt idx="16">
                  <c:v>1.913</c:v>
                </c:pt>
                <c:pt idx="17">
                  <c:v>2</c:v>
                </c:pt>
                <c:pt idx="18">
                  <c:v>1.75</c:v>
                </c:pt>
                <c:pt idx="19">
                  <c:v>1.337</c:v>
                </c:pt>
                <c:pt idx="20">
                  <c:v>1.9390000000000001</c:v>
                </c:pt>
                <c:pt idx="21">
                  <c:v>1.976</c:v>
                </c:pt>
                <c:pt idx="22">
                  <c:v>1.2270000000000001</c:v>
                </c:pt>
                <c:pt idx="23">
                  <c:v>1.6919999999999999</c:v>
                </c:pt>
                <c:pt idx="24">
                  <c:v>1.958</c:v>
                </c:pt>
                <c:pt idx="25">
                  <c:v>1.903</c:v>
                </c:pt>
                <c:pt idx="26">
                  <c:v>0.83499999999999996</c:v>
                </c:pt>
                <c:pt idx="27">
                  <c:v>1.161</c:v>
                </c:pt>
                <c:pt idx="28">
                  <c:v>1.5219999999999998</c:v>
                </c:pt>
                <c:pt idx="29">
                  <c:v>1.819</c:v>
                </c:pt>
                <c:pt idx="30">
                  <c:v>1.9750000000000001</c:v>
                </c:pt>
                <c:pt idx="31">
                  <c:v>1.901</c:v>
                </c:pt>
                <c:pt idx="32">
                  <c:v>1.7809999999999999</c:v>
                </c:pt>
                <c:pt idx="33">
                  <c:v>1.9529999999999998</c:v>
                </c:pt>
                <c:pt idx="34">
                  <c:v>1.94</c:v>
                </c:pt>
                <c:pt idx="35">
                  <c:v>1.742</c:v>
                </c:pt>
                <c:pt idx="36">
                  <c:v>1.3959999999999999</c:v>
                </c:pt>
                <c:pt idx="37">
                  <c:v>0.91900000000000004</c:v>
                </c:pt>
                <c:pt idx="38">
                  <c:v>1.242</c:v>
                </c:pt>
                <c:pt idx="39">
                  <c:v>1.5910000000000002</c:v>
                </c:pt>
                <c:pt idx="40">
                  <c:v>1.861</c:v>
                </c:pt>
                <c:pt idx="41">
                  <c:v>1.9359999999999999</c:v>
                </c:pt>
                <c:pt idx="42">
                  <c:v>1.194</c:v>
                </c:pt>
                <c:pt idx="43">
                  <c:v>1.6559999999999999</c:v>
                </c:pt>
                <c:pt idx="44">
                  <c:v>1.9219999999999999</c:v>
                </c:pt>
                <c:pt idx="45">
                  <c:v>1.966</c:v>
                </c:pt>
                <c:pt idx="46">
                  <c:v>1.802</c:v>
                </c:pt>
                <c:pt idx="47">
                  <c:v>1.3959999999999999</c:v>
                </c:pt>
                <c:pt idx="48">
                  <c:v>1.637</c:v>
                </c:pt>
                <c:pt idx="49">
                  <c:v>1.7909999999999999</c:v>
                </c:pt>
                <c:pt idx="50">
                  <c:v>1.855</c:v>
                </c:pt>
                <c:pt idx="51">
                  <c:v>1.831</c:v>
                </c:pt>
                <c:pt idx="52">
                  <c:v>1.76</c:v>
                </c:pt>
                <c:pt idx="53">
                  <c:v>1.4729999999999999</c:v>
                </c:pt>
                <c:pt idx="54">
                  <c:v>1.8439999999999999</c:v>
                </c:pt>
                <c:pt idx="55">
                  <c:v>1.998</c:v>
                </c:pt>
                <c:pt idx="56">
                  <c:v>1.899</c:v>
                </c:pt>
                <c:pt idx="57">
                  <c:v>1.4950000000000001</c:v>
                </c:pt>
                <c:pt idx="58">
                  <c:v>1.5469999999999999</c:v>
                </c:pt>
                <c:pt idx="59">
                  <c:v>1.48</c:v>
                </c:pt>
                <c:pt idx="60">
                  <c:v>1.331</c:v>
                </c:pt>
                <c:pt idx="61">
                  <c:v>1.1419999999999999</c:v>
                </c:pt>
                <c:pt idx="62">
                  <c:v>0.96100000000000008</c:v>
                </c:pt>
                <c:pt idx="63">
                  <c:v>1.7890000000000001</c:v>
                </c:pt>
                <c:pt idx="64">
                  <c:v>1.996</c:v>
                </c:pt>
                <c:pt idx="65">
                  <c:v>1.93</c:v>
                </c:pt>
                <c:pt idx="66">
                  <c:v>1.6560000000000001</c:v>
                </c:pt>
                <c:pt idx="67">
                  <c:v>1.284</c:v>
                </c:pt>
                <c:pt idx="68">
                  <c:v>0.93500000000000005</c:v>
                </c:pt>
                <c:pt idx="69">
                  <c:v>1.5049999999999999</c:v>
                </c:pt>
                <c:pt idx="70">
                  <c:v>1.8089999999999999</c:v>
                </c:pt>
                <c:pt idx="71">
                  <c:v>1.9729999999999999</c:v>
                </c:pt>
                <c:pt idx="72">
                  <c:v>1.911</c:v>
                </c:pt>
                <c:pt idx="73">
                  <c:v>1.248</c:v>
                </c:pt>
                <c:pt idx="74">
                  <c:v>1.6099999999999999</c:v>
                </c:pt>
                <c:pt idx="75">
                  <c:v>1.8959999999999999</c:v>
                </c:pt>
                <c:pt idx="76">
                  <c:v>2</c:v>
                </c:pt>
                <c:pt idx="77">
                  <c:v>1.869</c:v>
                </c:pt>
                <c:pt idx="78">
                  <c:v>1.6339999999999999</c:v>
                </c:pt>
                <c:pt idx="79">
                  <c:v>1.405</c:v>
                </c:pt>
                <c:pt idx="80">
                  <c:v>1.1859999999999999</c:v>
                </c:pt>
                <c:pt idx="81">
                  <c:v>1.4409999999999998</c:v>
                </c:pt>
                <c:pt idx="82">
                  <c:v>1.768</c:v>
                </c:pt>
                <c:pt idx="83">
                  <c:v>1.9529999999999998</c:v>
                </c:pt>
                <c:pt idx="84">
                  <c:v>1.9529999999999998</c:v>
                </c:pt>
                <c:pt idx="85">
                  <c:v>1.7679999999999998</c:v>
                </c:pt>
                <c:pt idx="86">
                  <c:v>0.96100000000000008</c:v>
                </c:pt>
                <c:pt idx="87">
                  <c:v>1.181</c:v>
                </c:pt>
                <c:pt idx="88">
                  <c:v>1.4179999999999999</c:v>
                </c:pt>
                <c:pt idx="89">
                  <c:v>1.629</c:v>
                </c:pt>
                <c:pt idx="90">
                  <c:v>1.8129999999999999</c:v>
                </c:pt>
                <c:pt idx="91">
                  <c:v>1.927</c:v>
                </c:pt>
                <c:pt idx="92">
                  <c:v>1.8959999999999999</c:v>
                </c:pt>
                <c:pt idx="93">
                  <c:v>1.681</c:v>
                </c:pt>
                <c:pt idx="94">
                  <c:v>1.6240000000000001</c:v>
                </c:pt>
                <c:pt idx="95">
                  <c:v>1.7879999999999998</c:v>
                </c:pt>
                <c:pt idx="96">
                  <c:v>1.911</c:v>
                </c:pt>
                <c:pt idx="97">
                  <c:v>1.968</c:v>
                </c:pt>
                <c:pt idx="98">
                  <c:v>1.956</c:v>
                </c:pt>
                <c:pt idx="99">
                  <c:v>1.893</c:v>
                </c:pt>
              </c:numCache>
              <c:extLst xmlns:c15="http://schemas.microsoft.com/office/drawing/2012/chart"/>
            </c:numRef>
          </c:xVal>
          <c:yVal>
            <c:numRef>
              <c:f>Sheet2!$Z$2:$Z$101</c:f>
              <c:numCache>
                <c:formatCode>General</c:formatCode>
                <c:ptCount val="100"/>
                <c:pt idx="0">
                  <c:v>0.191</c:v>
                </c:pt>
                <c:pt idx="1">
                  <c:v>0.33499999999999996</c:v>
                </c:pt>
                <c:pt idx="2">
                  <c:v>0.45700000000000002</c:v>
                </c:pt>
                <c:pt idx="3">
                  <c:v>0.43899999999999995</c:v>
                </c:pt>
                <c:pt idx="4">
                  <c:v>0.41599999999999998</c:v>
                </c:pt>
                <c:pt idx="5">
                  <c:v>0.52699999999999991</c:v>
                </c:pt>
                <c:pt idx="6">
                  <c:v>0.64</c:v>
                </c:pt>
                <c:pt idx="7">
                  <c:v>0.73</c:v>
                </c:pt>
                <c:pt idx="8">
                  <c:v>0.77300000000000002</c:v>
                </c:pt>
                <c:pt idx="9">
                  <c:v>0.79300000000000004</c:v>
                </c:pt>
                <c:pt idx="10">
                  <c:v>0.58099999999999996</c:v>
                </c:pt>
                <c:pt idx="11">
                  <c:v>0.79300000000000004</c:v>
                </c:pt>
                <c:pt idx="12">
                  <c:v>0.86399999999999999</c:v>
                </c:pt>
                <c:pt idx="13">
                  <c:v>0.77600000000000002</c:v>
                </c:pt>
                <c:pt idx="14">
                  <c:v>0.60299999999999998</c:v>
                </c:pt>
                <c:pt idx="15">
                  <c:v>0.77300000000000002</c:v>
                </c:pt>
                <c:pt idx="16">
                  <c:v>0.95299999999999996</c:v>
                </c:pt>
                <c:pt idx="17">
                  <c:v>0.89900000000000002</c:v>
                </c:pt>
                <c:pt idx="18">
                  <c:v>0.37899999999999995</c:v>
                </c:pt>
                <c:pt idx="19">
                  <c:v>-3.3000000000000029E-2</c:v>
                </c:pt>
                <c:pt idx="20">
                  <c:v>0.33899999999999997</c:v>
                </c:pt>
                <c:pt idx="21">
                  <c:v>0.29700000000000004</c:v>
                </c:pt>
                <c:pt idx="22">
                  <c:v>0.46700000000000003</c:v>
                </c:pt>
                <c:pt idx="23">
                  <c:v>0.71799999999999997</c:v>
                </c:pt>
                <c:pt idx="24">
                  <c:v>0.87</c:v>
                </c:pt>
                <c:pt idx="25">
                  <c:v>0.871</c:v>
                </c:pt>
                <c:pt idx="26">
                  <c:v>0.29399999999999998</c:v>
                </c:pt>
                <c:pt idx="27">
                  <c:v>0.52300000000000002</c:v>
                </c:pt>
                <c:pt idx="28">
                  <c:v>0.70699999999999996</c:v>
                </c:pt>
                <c:pt idx="29">
                  <c:v>0.82399999999999995</c:v>
                </c:pt>
                <c:pt idx="30">
                  <c:v>0.85099999999999998</c:v>
                </c:pt>
                <c:pt idx="31">
                  <c:v>0.74299999999999999</c:v>
                </c:pt>
                <c:pt idx="32">
                  <c:v>0.82899999999999996</c:v>
                </c:pt>
                <c:pt idx="33">
                  <c:v>0.77200000000000002</c:v>
                </c:pt>
                <c:pt idx="34">
                  <c:v>0.62399999999999989</c:v>
                </c:pt>
                <c:pt idx="35">
                  <c:v>0.42599999999999993</c:v>
                </c:pt>
                <c:pt idx="36">
                  <c:v>0.19300000000000006</c:v>
                </c:pt>
                <c:pt idx="37">
                  <c:v>0.36399999999999999</c:v>
                </c:pt>
                <c:pt idx="38">
                  <c:v>0.48399999999999999</c:v>
                </c:pt>
                <c:pt idx="39">
                  <c:v>0.61699999999999999</c:v>
                </c:pt>
                <c:pt idx="40">
                  <c:v>0.72099999999999997</c:v>
                </c:pt>
                <c:pt idx="41">
                  <c:v>0.71399999999999997</c:v>
                </c:pt>
                <c:pt idx="42">
                  <c:v>0.27599999999999997</c:v>
                </c:pt>
                <c:pt idx="43">
                  <c:v>0.40699999999999997</c:v>
                </c:pt>
                <c:pt idx="44">
                  <c:v>0.49299999999999994</c:v>
                </c:pt>
                <c:pt idx="45">
                  <c:v>0.52800000000000002</c:v>
                </c:pt>
                <c:pt idx="46">
                  <c:v>0.53800000000000003</c:v>
                </c:pt>
                <c:pt idx="47">
                  <c:v>0.70499999999999996</c:v>
                </c:pt>
                <c:pt idx="48">
                  <c:v>0.877</c:v>
                </c:pt>
                <c:pt idx="49">
                  <c:v>0.96199999999999997</c:v>
                </c:pt>
                <c:pt idx="50">
                  <c:v>0.96199999999999997</c:v>
                </c:pt>
                <c:pt idx="51">
                  <c:v>0.872</c:v>
                </c:pt>
                <c:pt idx="52">
                  <c:v>0.71899999999999997</c:v>
                </c:pt>
                <c:pt idx="53">
                  <c:v>0.47499999999999998</c:v>
                </c:pt>
                <c:pt idx="54">
                  <c:v>0.81699999999999995</c:v>
                </c:pt>
                <c:pt idx="55">
                  <c:v>0.99199999999999999</c:v>
                </c:pt>
                <c:pt idx="56">
                  <c:v>0.94499999999999995</c:v>
                </c:pt>
                <c:pt idx="57">
                  <c:v>0.14200000000000002</c:v>
                </c:pt>
                <c:pt idx="58">
                  <c:v>8.8999999999999968E-2</c:v>
                </c:pt>
                <c:pt idx="59">
                  <c:v>2.200000000000002E-2</c:v>
                </c:pt>
                <c:pt idx="60">
                  <c:v>-3.3000000000000029E-2</c:v>
                </c:pt>
                <c:pt idx="61">
                  <c:v>-7.7000000000000068E-2</c:v>
                </c:pt>
                <c:pt idx="62">
                  <c:v>0.54400000000000004</c:v>
                </c:pt>
                <c:pt idx="63">
                  <c:v>0.92500000000000004</c:v>
                </c:pt>
                <c:pt idx="64">
                  <c:v>0.98</c:v>
                </c:pt>
                <c:pt idx="65">
                  <c:v>0.91099999999999992</c:v>
                </c:pt>
                <c:pt idx="66">
                  <c:v>0.73100000000000009</c:v>
                </c:pt>
                <c:pt idx="67">
                  <c:v>0.51400000000000001</c:v>
                </c:pt>
                <c:pt idx="68">
                  <c:v>0.33999999999999997</c:v>
                </c:pt>
                <c:pt idx="69">
                  <c:v>0.43900000000000006</c:v>
                </c:pt>
                <c:pt idx="70">
                  <c:v>0.67199999999999993</c:v>
                </c:pt>
                <c:pt idx="71">
                  <c:v>0.78</c:v>
                </c:pt>
                <c:pt idx="72">
                  <c:v>0.72</c:v>
                </c:pt>
                <c:pt idx="73">
                  <c:v>0.48699999999999999</c:v>
                </c:pt>
                <c:pt idx="74">
                  <c:v>0.73299999999999998</c:v>
                </c:pt>
                <c:pt idx="75">
                  <c:v>0.92799999999999994</c:v>
                </c:pt>
                <c:pt idx="76">
                  <c:v>0.98499999999999999</c:v>
                </c:pt>
                <c:pt idx="77">
                  <c:v>0.90700000000000003</c:v>
                </c:pt>
                <c:pt idx="78">
                  <c:v>0.76800000000000002</c:v>
                </c:pt>
                <c:pt idx="79">
                  <c:v>0.65500000000000003</c:v>
                </c:pt>
                <c:pt idx="80">
                  <c:v>0.55899999999999994</c:v>
                </c:pt>
                <c:pt idx="81">
                  <c:v>0.24099999999999994</c:v>
                </c:pt>
                <c:pt idx="82">
                  <c:v>0.33199999999999996</c:v>
                </c:pt>
                <c:pt idx="83">
                  <c:v>0.42999999999999994</c:v>
                </c:pt>
                <c:pt idx="84">
                  <c:v>0.48</c:v>
                </c:pt>
                <c:pt idx="85">
                  <c:v>0.45899999999999996</c:v>
                </c:pt>
                <c:pt idx="86">
                  <c:v>0.46600000000000003</c:v>
                </c:pt>
                <c:pt idx="87">
                  <c:v>0.621</c:v>
                </c:pt>
                <c:pt idx="88">
                  <c:v>0.71599999999999997</c:v>
                </c:pt>
                <c:pt idx="89">
                  <c:v>0.746</c:v>
                </c:pt>
                <c:pt idx="90">
                  <c:v>0.73499999999999999</c:v>
                </c:pt>
                <c:pt idx="91">
                  <c:v>0.69600000000000006</c:v>
                </c:pt>
                <c:pt idx="92">
                  <c:v>0.62599999999999989</c:v>
                </c:pt>
                <c:pt idx="93">
                  <c:v>0.51900000000000002</c:v>
                </c:pt>
                <c:pt idx="94">
                  <c:v>0.63900000000000001</c:v>
                </c:pt>
                <c:pt idx="95">
                  <c:v>0.64300000000000002</c:v>
                </c:pt>
                <c:pt idx="96">
                  <c:v>0.60199999999999998</c:v>
                </c:pt>
                <c:pt idx="97">
                  <c:v>0.52600000000000002</c:v>
                </c:pt>
                <c:pt idx="98">
                  <c:v>0.43399999999999994</c:v>
                </c:pt>
                <c:pt idx="99">
                  <c:v>0.34900000000000009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852-4031-A15D-3AF3A4FF8985}"/>
            </c:ext>
          </c:extLst>
        </c:ser>
        <c:ser>
          <c:idx val="1"/>
          <c:order val="1"/>
          <c:tx>
            <c:strRef>
              <c:f>Sheet2!$V$102</c:f>
              <c:strCache>
                <c:ptCount val="1"/>
                <c:pt idx="0">
                  <c:v>白云质泥岩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  <a:round/>
              </a:ln>
              <a:effectLst/>
            </c:spPr>
          </c:marker>
          <c:xVal>
            <c:numRef>
              <c:f>Sheet2!$Y$102:$Y$106</c:f>
              <c:numCache>
                <c:formatCode>General</c:formatCode>
                <c:ptCount val="5"/>
                <c:pt idx="0">
                  <c:v>1.3839999999999999</c:v>
                </c:pt>
                <c:pt idx="1">
                  <c:v>1.5459999999999998</c:v>
                </c:pt>
                <c:pt idx="2">
                  <c:v>1.569</c:v>
                </c:pt>
                <c:pt idx="3">
                  <c:v>1.472</c:v>
                </c:pt>
                <c:pt idx="4">
                  <c:v>1.286</c:v>
                </c:pt>
              </c:numCache>
              <c:extLst xmlns:c15="http://schemas.microsoft.com/office/drawing/2012/chart"/>
            </c:numRef>
          </c:xVal>
          <c:yVal>
            <c:numRef>
              <c:f>Sheet2!$Z$102:$Z$106</c:f>
              <c:numCache>
                <c:formatCode>General</c:formatCode>
                <c:ptCount val="5"/>
                <c:pt idx="0">
                  <c:v>0.65100000000000002</c:v>
                </c:pt>
                <c:pt idx="1">
                  <c:v>0.80199999999999994</c:v>
                </c:pt>
                <c:pt idx="2">
                  <c:v>0.82699999999999996</c:v>
                </c:pt>
                <c:pt idx="3">
                  <c:v>0.71100000000000008</c:v>
                </c:pt>
                <c:pt idx="4">
                  <c:v>0.45599999999999996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852-4031-A15D-3AF3A4FF8985}"/>
            </c:ext>
          </c:extLst>
        </c:ser>
        <c:ser>
          <c:idx val="2"/>
          <c:order val="2"/>
          <c:tx>
            <c:strRef>
              <c:f>Sheet2!$V$107</c:f>
              <c:strCache>
                <c:ptCount val="1"/>
                <c:pt idx="0">
                  <c:v>灰质泥岩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Sheet2!$Y$107:$Y$113</c:f>
              <c:numCache>
                <c:formatCode>General</c:formatCode>
                <c:ptCount val="7"/>
                <c:pt idx="0">
                  <c:v>1.0580000000000001</c:v>
                </c:pt>
                <c:pt idx="1">
                  <c:v>1.4870000000000001</c:v>
                </c:pt>
                <c:pt idx="2">
                  <c:v>1.8420000000000001</c:v>
                </c:pt>
                <c:pt idx="3">
                  <c:v>1.9689999999999999</c:v>
                </c:pt>
                <c:pt idx="4">
                  <c:v>1.8340000000000001</c:v>
                </c:pt>
                <c:pt idx="5">
                  <c:v>1.552</c:v>
                </c:pt>
                <c:pt idx="6">
                  <c:v>1.2730000000000001</c:v>
                </c:pt>
              </c:numCache>
              <c:extLst xmlns:c15="http://schemas.microsoft.com/office/drawing/2012/chart"/>
            </c:numRef>
          </c:xVal>
          <c:yVal>
            <c:numRef>
              <c:f>Sheet2!$Z$107:$Z$113</c:f>
              <c:numCache>
                <c:formatCode>General</c:formatCode>
                <c:ptCount val="7"/>
                <c:pt idx="0">
                  <c:v>0.314</c:v>
                </c:pt>
                <c:pt idx="1">
                  <c:v>0.61599999999999999</c:v>
                </c:pt>
                <c:pt idx="2">
                  <c:v>0.86299999999999999</c:v>
                </c:pt>
                <c:pt idx="3">
                  <c:v>0.95099999999999996</c:v>
                </c:pt>
                <c:pt idx="4">
                  <c:v>0.84099999999999997</c:v>
                </c:pt>
                <c:pt idx="5">
                  <c:v>0.58899999999999997</c:v>
                </c:pt>
                <c:pt idx="6">
                  <c:v>0.30999999999999994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852-4031-A15D-3AF3A4FF8985}"/>
            </c:ext>
          </c:extLst>
        </c:ser>
        <c:ser>
          <c:idx val="3"/>
          <c:order val="3"/>
          <c:tx>
            <c:strRef>
              <c:f>Sheet2!$V$114</c:f>
              <c:strCache>
                <c:ptCount val="1"/>
                <c:pt idx="0">
                  <c:v>泥质白云岩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Sheet2!$Y$114:$Y$349</c:f>
              <c:numCache>
                <c:formatCode>General</c:formatCode>
                <c:ptCount val="236"/>
                <c:pt idx="0">
                  <c:v>1.028</c:v>
                </c:pt>
                <c:pt idx="1">
                  <c:v>1.129</c:v>
                </c:pt>
                <c:pt idx="2">
                  <c:v>1.1739999999999999</c:v>
                </c:pt>
                <c:pt idx="3">
                  <c:v>1.1930000000000001</c:v>
                </c:pt>
                <c:pt idx="4">
                  <c:v>1.173</c:v>
                </c:pt>
                <c:pt idx="5">
                  <c:v>1.0569999999999999</c:v>
                </c:pt>
                <c:pt idx="6">
                  <c:v>0.84799999999999998</c:v>
                </c:pt>
                <c:pt idx="7">
                  <c:v>0.61899999999999999</c:v>
                </c:pt>
                <c:pt idx="8">
                  <c:v>0.52500000000000002</c:v>
                </c:pt>
                <c:pt idx="9">
                  <c:v>0.82799999999999996</c:v>
                </c:pt>
                <c:pt idx="10">
                  <c:v>1.1640000000000001</c:v>
                </c:pt>
                <c:pt idx="11">
                  <c:v>1.4490000000000001</c:v>
                </c:pt>
                <c:pt idx="12">
                  <c:v>1.615</c:v>
                </c:pt>
                <c:pt idx="13">
                  <c:v>1.629</c:v>
                </c:pt>
                <c:pt idx="14">
                  <c:v>1.5409999999999999</c:v>
                </c:pt>
                <c:pt idx="15">
                  <c:v>1.42</c:v>
                </c:pt>
                <c:pt idx="16">
                  <c:v>1.2999999999999998</c:v>
                </c:pt>
                <c:pt idx="17">
                  <c:v>0.98199999999999998</c:v>
                </c:pt>
                <c:pt idx="18">
                  <c:v>1.3340000000000001</c:v>
                </c:pt>
                <c:pt idx="19">
                  <c:v>1.492</c:v>
                </c:pt>
                <c:pt idx="20">
                  <c:v>1.4220000000000002</c:v>
                </c:pt>
                <c:pt idx="21">
                  <c:v>1.2280000000000002</c:v>
                </c:pt>
                <c:pt idx="22">
                  <c:v>0.99199999999999999</c:v>
                </c:pt>
                <c:pt idx="23">
                  <c:v>0.77200000000000002</c:v>
                </c:pt>
                <c:pt idx="24">
                  <c:v>0.57699999999999996</c:v>
                </c:pt>
                <c:pt idx="25">
                  <c:v>0.36899999999999999</c:v>
                </c:pt>
                <c:pt idx="26">
                  <c:v>0.52600000000000002</c:v>
                </c:pt>
                <c:pt idx="27">
                  <c:v>0.70700000000000007</c:v>
                </c:pt>
                <c:pt idx="28">
                  <c:v>0.84799999999999998</c:v>
                </c:pt>
                <c:pt idx="29">
                  <c:v>0.89200000000000002</c:v>
                </c:pt>
                <c:pt idx="30">
                  <c:v>0.82599999999999996</c:v>
                </c:pt>
                <c:pt idx="31">
                  <c:v>0.68199999999999994</c:v>
                </c:pt>
                <c:pt idx="32">
                  <c:v>0.497</c:v>
                </c:pt>
                <c:pt idx="33">
                  <c:v>0.72799999999999998</c:v>
                </c:pt>
                <c:pt idx="34">
                  <c:v>0.96</c:v>
                </c:pt>
                <c:pt idx="35">
                  <c:v>1.214</c:v>
                </c:pt>
                <c:pt idx="36">
                  <c:v>1.425</c:v>
                </c:pt>
                <c:pt idx="37">
                  <c:v>1.5289999999999999</c:v>
                </c:pt>
                <c:pt idx="38">
                  <c:v>1.49</c:v>
                </c:pt>
                <c:pt idx="39">
                  <c:v>1.3039999999999998</c:v>
                </c:pt>
                <c:pt idx="40">
                  <c:v>1.024</c:v>
                </c:pt>
                <c:pt idx="41">
                  <c:v>0.74299999999999999</c:v>
                </c:pt>
                <c:pt idx="42">
                  <c:v>0.36799999999999999</c:v>
                </c:pt>
                <c:pt idx="43">
                  <c:v>0.47099999999999997</c:v>
                </c:pt>
                <c:pt idx="44">
                  <c:v>0.58699999999999997</c:v>
                </c:pt>
                <c:pt idx="45">
                  <c:v>0.68599999999999994</c:v>
                </c:pt>
                <c:pt idx="46">
                  <c:v>0.746</c:v>
                </c:pt>
                <c:pt idx="47">
                  <c:v>0.71699999999999997</c:v>
                </c:pt>
                <c:pt idx="48">
                  <c:v>0.621</c:v>
                </c:pt>
                <c:pt idx="49">
                  <c:v>0.501</c:v>
                </c:pt>
                <c:pt idx="50">
                  <c:v>0.48899999999999999</c:v>
                </c:pt>
                <c:pt idx="51">
                  <c:v>0.7</c:v>
                </c:pt>
                <c:pt idx="52">
                  <c:v>0.83099999999999996</c:v>
                </c:pt>
                <c:pt idx="53">
                  <c:v>0.85099999999999998</c:v>
                </c:pt>
                <c:pt idx="54">
                  <c:v>0.81200000000000006</c:v>
                </c:pt>
                <c:pt idx="55">
                  <c:v>0.74199999999999999</c:v>
                </c:pt>
                <c:pt idx="56">
                  <c:v>0.64700000000000002</c:v>
                </c:pt>
                <c:pt idx="57">
                  <c:v>0.85499999999999998</c:v>
                </c:pt>
                <c:pt idx="58">
                  <c:v>0.91900000000000004</c:v>
                </c:pt>
                <c:pt idx="59">
                  <c:v>0.73199999999999998</c:v>
                </c:pt>
                <c:pt idx="60">
                  <c:v>0.45800000000000002</c:v>
                </c:pt>
                <c:pt idx="61">
                  <c:v>0.25700000000000001</c:v>
                </c:pt>
                <c:pt idx="62">
                  <c:v>0.45</c:v>
                </c:pt>
                <c:pt idx="63">
                  <c:v>0.58199999999999996</c:v>
                </c:pt>
                <c:pt idx="64">
                  <c:v>0.73</c:v>
                </c:pt>
                <c:pt idx="65">
                  <c:v>0.83899999999999997</c:v>
                </c:pt>
                <c:pt idx="66">
                  <c:v>0.82899999999999996</c:v>
                </c:pt>
                <c:pt idx="67">
                  <c:v>0.74399999999999999</c:v>
                </c:pt>
                <c:pt idx="68">
                  <c:v>0.55200000000000005</c:v>
                </c:pt>
                <c:pt idx="69">
                  <c:v>0.84899999999999998</c:v>
                </c:pt>
                <c:pt idx="70">
                  <c:v>1.1459999999999999</c:v>
                </c:pt>
                <c:pt idx="71">
                  <c:v>1.286</c:v>
                </c:pt>
                <c:pt idx="72">
                  <c:v>1.2309999999999999</c:v>
                </c:pt>
                <c:pt idx="73">
                  <c:v>1.0680000000000001</c:v>
                </c:pt>
                <c:pt idx="74">
                  <c:v>0.66900000000000004</c:v>
                </c:pt>
                <c:pt idx="75">
                  <c:v>0.90900000000000003</c:v>
                </c:pt>
                <c:pt idx="76">
                  <c:v>1.099</c:v>
                </c:pt>
                <c:pt idx="77">
                  <c:v>1.1280000000000001</c:v>
                </c:pt>
                <c:pt idx="78">
                  <c:v>0.98099999999999998</c:v>
                </c:pt>
                <c:pt idx="79">
                  <c:v>0.69399999999999995</c:v>
                </c:pt>
                <c:pt idx="80">
                  <c:v>0.36099999999999999</c:v>
                </c:pt>
                <c:pt idx="81">
                  <c:v>0.53699999999999992</c:v>
                </c:pt>
                <c:pt idx="82">
                  <c:v>0.70399999999999996</c:v>
                </c:pt>
                <c:pt idx="83">
                  <c:v>0.82600000000000007</c:v>
                </c:pt>
                <c:pt idx="84">
                  <c:v>0.85899999999999999</c:v>
                </c:pt>
                <c:pt idx="85">
                  <c:v>0.82899999999999996</c:v>
                </c:pt>
                <c:pt idx="86">
                  <c:v>0.78200000000000003</c:v>
                </c:pt>
                <c:pt idx="87">
                  <c:v>0.73</c:v>
                </c:pt>
                <c:pt idx="88">
                  <c:v>0.623</c:v>
                </c:pt>
                <c:pt idx="89">
                  <c:v>0.624</c:v>
                </c:pt>
                <c:pt idx="90">
                  <c:v>0.72500000000000009</c:v>
                </c:pt>
                <c:pt idx="91">
                  <c:v>0.78800000000000003</c:v>
                </c:pt>
                <c:pt idx="92">
                  <c:v>0.82700000000000007</c:v>
                </c:pt>
                <c:pt idx="93">
                  <c:v>0.84499999999999997</c:v>
                </c:pt>
                <c:pt idx="94">
                  <c:v>0.82200000000000006</c:v>
                </c:pt>
                <c:pt idx="95">
                  <c:v>0.72</c:v>
                </c:pt>
                <c:pt idx="96">
                  <c:v>0.63200000000000001</c:v>
                </c:pt>
                <c:pt idx="97">
                  <c:v>0.78100000000000003</c:v>
                </c:pt>
                <c:pt idx="98">
                  <c:v>0.88900000000000001</c:v>
                </c:pt>
                <c:pt idx="99">
                  <c:v>0.92900000000000005</c:v>
                </c:pt>
                <c:pt idx="100">
                  <c:v>0.88700000000000001</c:v>
                </c:pt>
                <c:pt idx="101">
                  <c:v>0.78200000000000003</c:v>
                </c:pt>
                <c:pt idx="102">
                  <c:v>0.622</c:v>
                </c:pt>
                <c:pt idx="103">
                  <c:v>0.96699999999999997</c:v>
                </c:pt>
                <c:pt idx="104">
                  <c:v>1.149</c:v>
                </c:pt>
                <c:pt idx="105">
                  <c:v>1.274</c:v>
                </c:pt>
                <c:pt idx="106">
                  <c:v>1.3210000000000002</c:v>
                </c:pt>
                <c:pt idx="107">
                  <c:v>1.272</c:v>
                </c:pt>
                <c:pt idx="108">
                  <c:v>1.1440000000000001</c:v>
                </c:pt>
                <c:pt idx="109">
                  <c:v>0.59199999999999997</c:v>
                </c:pt>
                <c:pt idx="110">
                  <c:v>0.79599999999999993</c:v>
                </c:pt>
                <c:pt idx="111">
                  <c:v>0.96100000000000008</c:v>
                </c:pt>
                <c:pt idx="112">
                  <c:v>1.0820000000000001</c:v>
                </c:pt>
                <c:pt idx="113">
                  <c:v>1.1619999999999999</c:v>
                </c:pt>
                <c:pt idx="114">
                  <c:v>1.169</c:v>
                </c:pt>
                <c:pt idx="115">
                  <c:v>1.0830000000000002</c:v>
                </c:pt>
                <c:pt idx="116">
                  <c:v>0.88800000000000012</c:v>
                </c:pt>
                <c:pt idx="117">
                  <c:v>0.70799999999999996</c:v>
                </c:pt>
                <c:pt idx="118">
                  <c:v>0.86699999999999999</c:v>
                </c:pt>
                <c:pt idx="119">
                  <c:v>0.96</c:v>
                </c:pt>
                <c:pt idx="120">
                  <c:v>1.0049999999999999</c:v>
                </c:pt>
                <c:pt idx="121">
                  <c:v>0.96100000000000008</c:v>
                </c:pt>
                <c:pt idx="122">
                  <c:v>0.83799999999999997</c:v>
                </c:pt>
                <c:pt idx="123">
                  <c:v>0.63100000000000001</c:v>
                </c:pt>
                <c:pt idx="124">
                  <c:v>0.56099999999999994</c:v>
                </c:pt>
                <c:pt idx="125">
                  <c:v>0.72699999999999998</c:v>
                </c:pt>
                <c:pt idx="126">
                  <c:v>0.87</c:v>
                </c:pt>
                <c:pt idx="127">
                  <c:v>0.86099999999999999</c:v>
                </c:pt>
                <c:pt idx="128">
                  <c:v>0.73799999999999999</c:v>
                </c:pt>
                <c:pt idx="129">
                  <c:v>0.40200000000000002</c:v>
                </c:pt>
                <c:pt idx="130">
                  <c:v>0.56099999999999994</c:v>
                </c:pt>
                <c:pt idx="131">
                  <c:v>0.69700000000000006</c:v>
                </c:pt>
                <c:pt idx="132">
                  <c:v>0.77600000000000002</c:v>
                </c:pt>
                <c:pt idx="133">
                  <c:v>0.77</c:v>
                </c:pt>
                <c:pt idx="134">
                  <c:v>0.47599999999999998</c:v>
                </c:pt>
                <c:pt idx="135">
                  <c:v>0.71199999999999997</c:v>
                </c:pt>
                <c:pt idx="136">
                  <c:v>0.92700000000000005</c:v>
                </c:pt>
                <c:pt idx="137">
                  <c:v>1.046</c:v>
                </c:pt>
                <c:pt idx="138">
                  <c:v>1.036</c:v>
                </c:pt>
                <c:pt idx="139">
                  <c:v>0.89300000000000002</c:v>
                </c:pt>
                <c:pt idx="140">
                  <c:v>0.66900000000000004</c:v>
                </c:pt>
                <c:pt idx="141">
                  <c:v>0.43099999999999999</c:v>
                </c:pt>
                <c:pt idx="142">
                  <c:v>0.66</c:v>
                </c:pt>
                <c:pt idx="143">
                  <c:v>0.86199999999999988</c:v>
                </c:pt>
                <c:pt idx="144">
                  <c:v>0.94599999999999995</c:v>
                </c:pt>
                <c:pt idx="145">
                  <c:v>0.875</c:v>
                </c:pt>
                <c:pt idx="146">
                  <c:v>0.70500000000000007</c:v>
                </c:pt>
                <c:pt idx="147">
                  <c:v>0.61299999999999999</c:v>
                </c:pt>
                <c:pt idx="148">
                  <c:v>0.748</c:v>
                </c:pt>
                <c:pt idx="149">
                  <c:v>0.83400000000000007</c:v>
                </c:pt>
                <c:pt idx="150">
                  <c:v>0.84699999999999998</c:v>
                </c:pt>
                <c:pt idx="151">
                  <c:v>0.80800000000000005</c:v>
                </c:pt>
                <c:pt idx="152">
                  <c:v>0.73</c:v>
                </c:pt>
                <c:pt idx="153">
                  <c:v>0.60099999999999998</c:v>
                </c:pt>
                <c:pt idx="154">
                  <c:v>0.30399999999999999</c:v>
                </c:pt>
                <c:pt idx="155">
                  <c:v>0.47</c:v>
                </c:pt>
                <c:pt idx="156">
                  <c:v>0.66</c:v>
                </c:pt>
                <c:pt idx="157">
                  <c:v>0.8</c:v>
                </c:pt>
                <c:pt idx="158">
                  <c:v>0.84200000000000008</c:v>
                </c:pt>
                <c:pt idx="159">
                  <c:v>0.79499999999999993</c:v>
                </c:pt>
                <c:pt idx="160">
                  <c:v>0.70500000000000007</c:v>
                </c:pt>
                <c:pt idx="161">
                  <c:v>0.36499999999999999</c:v>
                </c:pt>
                <c:pt idx="162">
                  <c:v>0.45700000000000002</c:v>
                </c:pt>
                <c:pt idx="163">
                  <c:v>0.54099999999999993</c:v>
                </c:pt>
                <c:pt idx="164">
                  <c:v>0.60399999999999998</c:v>
                </c:pt>
                <c:pt idx="165">
                  <c:v>0.63300000000000001</c:v>
                </c:pt>
                <c:pt idx="166">
                  <c:v>0.61499999999999999</c:v>
                </c:pt>
                <c:pt idx="167">
                  <c:v>0.54300000000000004</c:v>
                </c:pt>
                <c:pt idx="168">
                  <c:v>0.442</c:v>
                </c:pt>
                <c:pt idx="169">
                  <c:v>0.65100000000000002</c:v>
                </c:pt>
                <c:pt idx="170">
                  <c:v>0.877</c:v>
                </c:pt>
                <c:pt idx="171">
                  <c:v>1.1950000000000001</c:v>
                </c:pt>
                <c:pt idx="172">
                  <c:v>1.4239999999999999</c:v>
                </c:pt>
                <c:pt idx="173">
                  <c:v>1.4279999999999999</c:v>
                </c:pt>
                <c:pt idx="174">
                  <c:v>1.2730000000000001</c:v>
                </c:pt>
                <c:pt idx="175">
                  <c:v>0.996</c:v>
                </c:pt>
                <c:pt idx="176">
                  <c:v>0.78400000000000003</c:v>
                </c:pt>
                <c:pt idx="177">
                  <c:v>0.71799999999999997</c:v>
                </c:pt>
                <c:pt idx="178">
                  <c:v>0.72499999999999998</c:v>
                </c:pt>
                <c:pt idx="179">
                  <c:v>0.71799999999999997</c:v>
                </c:pt>
                <c:pt idx="180">
                  <c:v>0.67100000000000004</c:v>
                </c:pt>
                <c:pt idx="181">
                  <c:v>0.64600000000000002</c:v>
                </c:pt>
                <c:pt idx="182">
                  <c:v>0.69</c:v>
                </c:pt>
                <c:pt idx="183">
                  <c:v>0.76</c:v>
                </c:pt>
                <c:pt idx="184">
                  <c:v>0.78500000000000003</c:v>
                </c:pt>
                <c:pt idx="185">
                  <c:v>0.76</c:v>
                </c:pt>
                <c:pt idx="186">
                  <c:v>0.66599999999999993</c:v>
                </c:pt>
                <c:pt idx="187">
                  <c:v>0.64900000000000002</c:v>
                </c:pt>
                <c:pt idx="188">
                  <c:v>0.86699999999999999</c:v>
                </c:pt>
                <c:pt idx="189">
                  <c:v>0.66100000000000003</c:v>
                </c:pt>
                <c:pt idx="190">
                  <c:v>0.76500000000000001</c:v>
                </c:pt>
                <c:pt idx="191">
                  <c:v>0.82300000000000006</c:v>
                </c:pt>
                <c:pt idx="192">
                  <c:v>0.84899999999999998</c:v>
                </c:pt>
                <c:pt idx="193">
                  <c:v>0.86799999999999999</c:v>
                </c:pt>
                <c:pt idx="194">
                  <c:v>0.90100000000000002</c:v>
                </c:pt>
                <c:pt idx="195">
                  <c:v>0.95</c:v>
                </c:pt>
                <c:pt idx="196">
                  <c:v>0.99299999999999988</c:v>
                </c:pt>
                <c:pt idx="197">
                  <c:v>1.006</c:v>
                </c:pt>
                <c:pt idx="198">
                  <c:v>0.97799999999999998</c:v>
                </c:pt>
                <c:pt idx="199">
                  <c:v>0.91</c:v>
                </c:pt>
                <c:pt idx="200">
                  <c:v>0.80099999999999993</c:v>
                </c:pt>
                <c:pt idx="201">
                  <c:v>0.66700000000000004</c:v>
                </c:pt>
                <c:pt idx="202">
                  <c:v>0.56299999999999994</c:v>
                </c:pt>
                <c:pt idx="203">
                  <c:v>0.56899999999999995</c:v>
                </c:pt>
                <c:pt idx="204">
                  <c:v>0.74099999999999999</c:v>
                </c:pt>
                <c:pt idx="205">
                  <c:v>1.0609999999999999</c:v>
                </c:pt>
                <c:pt idx="206">
                  <c:v>1.4409999999999998</c:v>
                </c:pt>
                <c:pt idx="207">
                  <c:v>0.71399999999999997</c:v>
                </c:pt>
                <c:pt idx="208">
                  <c:v>0.83799999999999997</c:v>
                </c:pt>
                <c:pt idx="209">
                  <c:v>0.95</c:v>
                </c:pt>
                <c:pt idx="210">
                  <c:v>1.0230000000000001</c:v>
                </c:pt>
                <c:pt idx="211">
                  <c:v>1.01</c:v>
                </c:pt>
                <c:pt idx="212">
                  <c:v>0.90600000000000003</c:v>
                </c:pt>
                <c:pt idx="213">
                  <c:v>0.43799999999999994</c:v>
                </c:pt>
                <c:pt idx="214">
                  <c:v>0.40600000000000003</c:v>
                </c:pt>
                <c:pt idx="215">
                  <c:v>0.41600000000000004</c:v>
                </c:pt>
                <c:pt idx="216">
                  <c:v>0.45200000000000001</c:v>
                </c:pt>
                <c:pt idx="217">
                  <c:v>0.505</c:v>
                </c:pt>
                <c:pt idx="218">
                  <c:v>0.54899999999999993</c:v>
                </c:pt>
                <c:pt idx="219">
                  <c:v>0.55600000000000005</c:v>
                </c:pt>
                <c:pt idx="220">
                  <c:v>0.52400000000000002</c:v>
                </c:pt>
                <c:pt idx="221">
                  <c:v>0.48599999999999999</c:v>
                </c:pt>
                <c:pt idx="222">
                  <c:v>0.48499999999999999</c:v>
                </c:pt>
                <c:pt idx="223">
                  <c:v>0.55300000000000005</c:v>
                </c:pt>
                <c:pt idx="224">
                  <c:v>0.65100000000000002</c:v>
                </c:pt>
                <c:pt idx="225">
                  <c:v>0.66500000000000004</c:v>
                </c:pt>
                <c:pt idx="226">
                  <c:v>0.55000000000000004</c:v>
                </c:pt>
                <c:pt idx="227">
                  <c:v>0.39700000000000002</c:v>
                </c:pt>
                <c:pt idx="228">
                  <c:v>0.83200000000000007</c:v>
                </c:pt>
                <c:pt idx="229">
                  <c:v>0.92500000000000004</c:v>
                </c:pt>
                <c:pt idx="230">
                  <c:v>1.004</c:v>
                </c:pt>
                <c:pt idx="231">
                  <c:v>1.0619999999999998</c:v>
                </c:pt>
                <c:pt idx="232">
                  <c:v>1.1320000000000001</c:v>
                </c:pt>
                <c:pt idx="233">
                  <c:v>1.2130000000000001</c:v>
                </c:pt>
                <c:pt idx="234">
                  <c:v>1.3</c:v>
                </c:pt>
                <c:pt idx="235">
                  <c:v>1.444</c:v>
                </c:pt>
              </c:numCache>
              <c:extLst xmlns:c15="http://schemas.microsoft.com/office/drawing/2012/chart"/>
            </c:numRef>
          </c:xVal>
          <c:yVal>
            <c:numRef>
              <c:f>Sheet2!$Z$114:$Z$349</c:f>
              <c:numCache>
                <c:formatCode>General</c:formatCode>
                <c:ptCount val="236"/>
                <c:pt idx="0">
                  <c:v>-0.38600000000000001</c:v>
                </c:pt>
                <c:pt idx="1">
                  <c:v>-0.27499999999999997</c:v>
                </c:pt>
                <c:pt idx="2">
                  <c:v>-0.15700000000000003</c:v>
                </c:pt>
                <c:pt idx="3">
                  <c:v>-4.0000000000000036E-3</c:v>
                </c:pt>
                <c:pt idx="4">
                  <c:v>0.14399999999999991</c:v>
                </c:pt>
                <c:pt idx="5">
                  <c:v>0.19699999999999995</c:v>
                </c:pt>
                <c:pt idx="6">
                  <c:v>0.11499999999999999</c:v>
                </c:pt>
                <c:pt idx="7">
                  <c:v>-4.4000000000000039E-2</c:v>
                </c:pt>
                <c:pt idx="8">
                  <c:v>-0.26999999999999996</c:v>
                </c:pt>
                <c:pt idx="9">
                  <c:v>-7.6000000000000068E-2</c:v>
                </c:pt>
                <c:pt idx="10">
                  <c:v>0.124</c:v>
                </c:pt>
                <c:pt idx="11">
                  <c:v>0.26200000000000001</c:v>
                </c:pt>
                <c:pt idx="12">
                  <c:v>0.28900000000000003</c:v>
                </c:pt>
                <c:pt idx="13">
                  <c:v>0.19699999999999995</c:v>
                </c:pt>
                <c:pt idx="14">
                  <c:v>3.5000000000000031E-2</c:v>
                </c:pt>
                <c:pt idx="15">
                  <c:v>-0.1379999999999999</c:v>
                </c:pt>
                <c:pt idx="16">
                  <c:v>-0.30000000000000004</c:v>
                </c:pt>
                <c:pt idx="17">
                  <c:v>-0.17799999999999999</c:v>
                </c:pt>
                <c:pt idx="18">
                  <c:v>-2.1000000000000019E-2</c:v>
                </c:pt>
                <c:pt idx="19">
                  <c:v>0.16200000000000003</c:v>
                </c:pt>
                <c:pt idx="20">
                  <c:v>0.311</c:v>
                </c:pt>
                <c:pt idx="21">
                  <c:v>0.36100000000000004</c:v>
                </c:pt>
                <c:pt idx="22">
                  <c:v>0.29599999999999999</c:v>
                </c:pt>
                <c:pt idx="23">
                  <c:v>0.129</c:v>
                </c:pt>
                <c:pt idx="24">
                  <c:v>-4.7999999999999987E-2</c:v>
                </c:pt>
                <c:pt idx="25">
                  <c:v>-0.34200000000000003</c:v>
                </c:pt>
                <c:pt idx="26">
                  <c:v>-0.22399999999999998</c:v>
                </c:pt>
                <c:pt idx="27">
                  <c:v>-0.10099999999999998</c:v>
                </c:pt>
                <c:pt idx="28">
                  <c:v>-2.1000000000000019E-2</c:v>
                </c:pt>
                <c:pt idx="29">
                  <c:v>-2.7000000000000024E-2</c:v>
                </c:pt>
                <c:pt idx="30">
                  <c:v>-0.11199999999999999</c:v>
                </c:pt>
                <c:pt idx="31">
                  <c:v>-0.23599999999999999</c:v>
                </c:pt>
                <c:pt idx="32">
                  <c:v>-0.37200000000000005</c:v>
                </c:pt>
                <c:pt idx="33">
                  <c:v>-4.5999999999999985E-2</c:v>
                </c:pt>
                <c:pt idx="34">
                  <c:v>0.10200000000000004</c:v>
                </c:pt>
                <c:pt idx="35">
                  <c:v>0.249</c:v>
                </c:pt>
                <c:pt idx="36">
                  <c:v>0.373</c:v>
                </c:pt>
                <c:pt idx="37">
                  <c:v>0.43899999999999995</c:v>
                </c:pt>
                <c:pt idx="38">
                  <c:v>0.42499999999999993</c:v>
                </c:pt>
                <c:pt idx="39">
                  <c:v>0.33399999999999996</c:v>
                </c:pt>
                <c:pt idx="40">
                  <c:v>0.191</c:v>
                </c:pt>
                <c:pt idx="41">
                  <c:v>4.1999999999999982E-2</c:v>
                </c:pt>
                <c:pt idx="42">
                  <c:v>-0.251</c:v>
                </c:pt>
                <c:pt idx="43">
                  <c:v>-5.1000000000000018E-2</c:v>
                </c:pt>
                <c:pt idx="44">
                  <c:v>0.17799999999999999</c:v>
                </c:pt>
                <c:pt idx="45">
                  <c:v>0.377</c:v>
                </c:pt>
                <c:pt idx="46">
                  <c:v>0.48799999999999999</c:v>
                </c:pt>
                <c:pt idx="47">
                  <c:v>0.45699999999999996</c:v>
                </c:pt>
                <c:pt idx="48">
                  <c:v>0.30599999999999999</c:v>
                </c:pt>
                <c:pt idx="49">
                  <c:v>0.16700000000000004</c:v>
                </c:pt>
                <c:pt idx="50">
                  <c:v>-0.29599999999999993</c:v>
                </c:pt>
                <c:pt idx="51">
                  <c:v>8.1000000000000016E-2</c:v>
                </c:pt>
                <c:pt idx="52">
                  <c:v>0.31000000000000005</c:v>
                </c:pt>
                <c:pt idx="53">
                  <c:v>0.31000000000000005</c:v>
                </c:pt>
                <c:pt idx="54">
                  <c:v>0.14400000000000002</c:v>
                </c:pt>
                <c:pt idx="55">
                  <c:v>-7.7000000000000013E-2</c:v>
                </c:pt>
                <c:pt idx="56">
                  <c:v>-0.54</c:v>
                </c:pt>
                <c:pt idx="57">
                  <c:v>-0.248</c:v>
                </c:pt>
                <c:pt idx="58">
                  <c:v>2.200000000000002E-2</c:v>
                </c:pt>
                <c:pt idx="59">
                  <c:v>0.10099999999999998</c:v>
                </c:pt>
                <c:pt idx="60">
                  <c:v>1.100000000000001E-2</c:v>
                </c:pt>
                <c:pt idx="61">
                  <c:v>-0.14300000000000002</c:v>
                </c:pt>
                <c:pt idx="62">
                  <c:v>3.2000000000000001E-2</c:v>
                </c:pt>
                <c:pt idx="63">
                  <c:v>0.13799999999999998</c:v>
                </c:pt>
                <c:pt idx="64">
                  <c:v>0.26</c:v>
                </c:pt>
                <c:pt idx="65">
                  <c:v>0.35299999999999998</c:v>
                </c:pt>
                <c:pt idx="66">
                  <c:v>0.33199999999999996</c:v>
                </c:pt>
                <c:pt idx="67">
                  <c:v>0.192</c:v>
                </c:pt>
                <c:pt idx="68">
                  <c:v>-0.11099999999999999</c:v>
                </c:pt>
                <c:pt idx="69">
                  <c:v>9.1000000000000025E-2</c:v>
                </c:pt>
                <c:pt idx="70">
                  <c:v>0.32699999999999996</c:v>
                </c:pt>
                <c:pt idx="71">
                  <c:v>0.46099999999999997</c:v>
                </c:pt>
                <c:pt idx="72">
                  <c:v>0.42199999999999999</c:v>
                </c:pt>
                <c:pt idx="73">
                  <c:v>0.248</c:v>
                </c:pt>
                <c:pt idx="74">
                  <c:v>7.9000000000000015E-2</c:v>
                </c:pt>
                <c:pt idx="75">
                  <c:v>0.22599999999999998</c:v>
                </c:pt>
                <c:pt idx="76">
                  <c:v>0.32999999999999996</c:v>
                </c:pt>
                <c:pt idx="77">
                  <c:v>0.32299999999999995</c:v>
                </c:pt>
                <c:pt idx="78">
                  <c:v>0.20200000000000001</c:v>
                </c:pt>
                <c:pt idx="79">
                  <c:v>-1.9000000000000017E-2</c:v>
                </c:pt>
                <c:pt idx="80">
                  <c:v>3.2000000000000001E-2</c:v>
                </c:pt>
                <c:pt idx="81">
                  <c:v>0.13299999999999998</c:v>
                </c:pt>
                <c:pt idx="82">
                  <c:v>0.21200000000000002</c:v>
                </c:pt>
                <c:pt idx="83">
                  <c:v>0.23800000000000004</c:v>
                </c:pt>
                <c:pt idx="84">
                  <c:v>0.18800000000000006</c:v>
                </c:pt>
                <c:pt idx="85">
                  <c:v>0.10899999999999999</c:v>
                </c:pt>
                <c:pt idx="86">
                  <c:v>5.4999999999999993E-2</c:v>
                </c:pt>
                <c:pt idx="87">
                  <c:v>3.2999999999999974E-2</c:v>
                </c:pt>
                <c:pt idx="88">
                  <c:v>-1.7000000000000015E-2</c:v>
                </c:pt>
                <c:pt idx="89">
                  <c:v>-2.200000000000002E-2</c:v>
                </c:pt>
                <c:pt idx="90">
                  <c:v>-9.3999999999999972E-2</c:v>
                </c:pt>
                <c:pt idx="91">
                  <c:v>-0.19699999999999995</c:v>
                </c:pt>
                <c:pt idx="92">
                  <c:v>-0.28699999999999992</c:v>
                </c:pt>
                <c:pt idx="93">
                  <c:v>-0.33099999999999996</c:v>
                </c:pt>
                <c:pt idx="94">
                  <c:v>-0.33399999999999996</c:v>
                </c:pt>
                <c:pt idx="95">
                  <c:v>-0.34300000000000003</c:v>
                </c:pt>
                <c:pt idx="96">
                  <c:v>-0.32900000000000001</c:v>
                </c:pt>
                <c:pt idx="97">
                  <c:v>-0.40700000000000003</c:v>
                </c:pt>
                <c:pt idx="98">
                  <c:v>-0.41100000000000003</c:v>
                </c:pt>
                <c:pt idx="99">
                  <c:v>-0.375</c:v>
                </c:pt>
                <c:pt idx="100">
                  <c:v>-0.30200000000000005</c:v>
                </c:pt>
                <c:pt idx="101">
                  <c:v>-0.20399999999999996</c:v>
                </c:pt>
                <c:pt idx="102">
                  <c:v>-0.15500000000000003</c:v>
                </c:pt>
                <c:pt idx="103">
                  <c:v>0.36</c:v>
                </c:pt>
                <c:pt idx="104">
                  <c:v>0.50900000000000001</c:v>
                </c:pt>
                <c:pt idx="105">
                  <c:v>0.51300000000000001</c:v>
                </c:pt>
                <c:pt idx="106">
                  <c:v>0.36600000000000005</c:v>
                </c:pt>
                <c:pt idx="107">
                  <c:v>0.22699999999999998</c:v>
                </c:pt>
                <c:pt idx="108">
                  <c:v>0.19600000000000001</c:v>
                </c:pt>
                <c:pt idx="109">
                  <c:v>-0.32200000000000001</c:v>
                </c:pt>
                <c:pt idx="110">
                  <c:v>-0.24099999999999999</c:v>
                </c:pt>
                <c:pt idx="111">
                  <c:v>-0.18899999999999995</c:v>
                </c:pt>
                <c:pt idx="112">
                  <c:v>-0.15799999999999992</c:v>
                </c:pt>
                <c:pt idx="113">
                  <c:v>-0.13</c:v>
                </c:pt>
                <c:pt idx="114">
                  <c:v>-0.13300000000000001</c:v>
                </c:pt>
                <c:pt idx="115">
                  <c:v>-0.19199999999999995</c:v>
                </c:pt>
                <c:pt idx="116">
                  <c:v>-0.32800000000000001</c:v>
                </c:pt>
                <c:pt idx="117">
                  <c:v>-3.3000000000000029E-2</c:v>
                </c:pt>
                <c:pt idx="118">
                  <c:v>8.6000000000000021E-2</c:v>
                </c:pt>
                <c:pt idx="119">
                  <c:v>0.18900000000000006</c:v>
                </c:pt>
                <c:pt idx="120">
                  <c:v>0.29699999999999993</c:v>
                </c:pt>
                <c:pt idx="121">
                  <c:v>0.28600000000000003</c:v>
                </c:pt>
                <c:pt idx="122">
                  <c:v>0.21199999999999997</c:v>
                </c:pt>
                <c:pt idx="123">
                  <c:v>7.7999999999999958E-2</c:v>
                </c:pt>
                <c:pt idx="124">
                  <c:v>1.1999999999999955E-2</c:v>
                </c:pt>
                <c:pt idx="125">
                  <c:v>0.17699999999999999</c:v>
                </c:pt>
                <c:pt idx="126">
                  <c:v>0.314</c:v>
                </c:pt>
                <c:pt idx="127">
                  <c:v>0.29099999999999993</c:v>
                </c:pt>
                <c:pt idx="128">
                  <c:v>0.15200000000000002</c:v>
                </c:pt>
                <c:pt idx="129">
                  <c:v>0.13</c:v>
                </c:pt>
                <c:pt idx="130">
                  <c:v>0.246</c:v>
                </c:pt>
                <c:pt idx="131">
                  <c:v>0.33700000000000002</c:v>
                </c:pt>
                <c:pt idx="132">
                  <c:v>0.37400000000000005</c:v>
                </c:pt>
                <c:pt idx="133">
                  <c:v>0.33700000000000002</c:v>
                </c:pt>
                <c:pt idx="134">
                  <c:v>-6.0000000000000053E-3</c:v>
                </c:pt>
                <c:pt idx="135">
                  <c:v>6.1000000000000054E-2</c:v>
                </c:pt>
                <c:pt idx="136">
                  <c:v>0.15499999999999997</c:v>
                </c:pt>
                <c:pt idx="137">
                  <c:v>0.21200000000000002</c:v>
                </c:pt>
                <c:pt idx="138">
                  <c:v>0.182</c:v>
                </c:pt>
                <c:pt idx="139">
                  <c:v>6.6000000000000003E-2</c:v>
                </c:pt>
                <c:pt idx="140">
                  <c:v>-0.126</c:v>
                </c:pt>
                <c:pt idx="141">
                  <c:v>-0.318</c:v>
                </c:pt>
                <c:pt idx="142">
                  <c:v>-7.0000000000000007E-2</c:v>
                </c:pt>
                <c:pt idx="143">
                  <c:v>0.16099999999999992</c:v>
                </c:pt>
                <c:pt idx="144">
                  <c:v>0.28099999999999997</c:v>
                </c:pt>
                <c:pt idx="145">
                  <c:v>0.29000000000000004</c:v>
                </c:pt>
                <c:pt idx="146">
                  <c:v>0.23600000000000002</c:v>
                </c:pt>
                <c:pt idx="147">
                  <c:v>-0.15400000000000003</c:v>
                </c:pt>
                <c:pt idx="148">
                  <c:v>-6.0999999999999999E-2</c:v>
                </c:pt>
                <c:pt idx="149">
                  <c:v>1.9000000000000017E-2</c:v>
                </c:pt>
                <c:pt idx="150">
                  <c:v>5.4999999999999993E-2</c:v>
                </c:pt>
                <c:pt idx="151">
                  <c:v>5.7999999999999996E-2</c:v>
                </c:pt>
                <c:pt idx="152">
                  <c:v>2.8000000000000025E-2</c:v>
                </c:pt>
                <c:pt idx="153">
                  <c:v>-4.7999999999999987E-2</c:v>
                </c:pt>
                <c:pt idx="154">
                  <c:v>6.6000000000000003E-2</c:v>
                </c:pt>
                <c:pt idx="155">
                  <c:v>-5.3999999999999992E-2</c:v>
                </c:pt>
                <c:pt idx="156">
                  <c:v>-0.16099999999999998</c:v>
                </c:pt>
                <c:pt idx="157">
                  <c:v>-0.27600000000000002</c:v>
                </c:pt>
                <c:pt idx="158">
                  <c:v>-0.41099999999999992</c:v>
                </c:pt>
                <c:pt idx="159">
                  <c:v>-0.50600000000000001</c:v>
                </c:pt>
                <c:pt idx="160">
                  <c:v>-0.53600000000000003</c:v>
                </c:pt>
                <c:pt idx="161">
                  <c:v>-4.6999999999999986E-2</c:v>
                </c:pt>
                <c:pt idx="162">
                  <c:v>-9.000000000000008E-3</c:v>
                </c:pt>
                <c:pt idx="163">
                  <c:v>1.6000000000000014E-2</c:v>
                </c:pt>
                <c:pt idx="164">
                  <c:v>2.5000000000000022E-2</c:v>
                </c:pt>
                <c:pt idx="165">
                  <c:v>1.5000000000000013E-2</c:v>
                </c:pt>
                <c:pt idx="166">
                  <c:v>-2.5000000000000022E-2</c:v>
                </c:pt>
                <c:pt idx="167">
                  <c:v>-9.5000000000000029E-2</c:v>
                </c:pt>
                <c:pt idx="168">
                  <c:v>-0.16799999999999998</c:v>
                </c:pt>
                <c:pt idx="169">
                  <c:v>-0.14400000000000002</c:v>
                </c:pt>
                <c:pt idx="170">
                  <c:v>7.3000000000000009E-2</c:v>
                </c:pt>
                <c:pt idx="171">
                  <c:v>0.29300000000000004</c:v>
                </c:pt>
                <c:pt idx="172">
                  <c:v>0.41300000000000003</c:v>
                </c:pt>
                <c:pt idx="173">
                  <c:v>0.42700000000000005</c:v>
                </c:pt>
                <c:pt idx="174">
                  <c:v>0.36899999999999999</c:v>
                </c:pt>
                <c:pt idx="175">
                  <c:v>0.252</c:v>
                </c:pt>
                <c:pt idx="176">
                  <c:v>0.11599999999999999</c:v>
                </c:pt>
                <c:pt idx="177">
                  <c:v>2.3999999999999966E-2</c:v>
                </c:pt>
                <c:pt idx="178">
                  <c:v>1.2000000000000011E-2</c:v>
                </c:pt>
                <c:pt idx="179">
                  <c:v>2.1000000000000019E-2</c:v>
                </c:pt>
                <c:pt idx="180">
                  <c:v>6.0000000000000053E-3</c:v>
                </c:pt>
                <c:pt idx="181">
                  <c:v>-2.4999999999999967E-2</c:v>
                </c:pt>
                <c:pt idx="182">
                  <c:v>-8.2000000000000017E-2</c:v>
                </c:pt>
                <c:pt idx="183">
                  <c:v>-0.14399999999999996</c:v>
                </c:pt>
                <c:pt idx="184">
                  <c:v>-0.184</c:v>
                </c:pt>
                <c:pt idx="185">
                  <c:v>-0.15399999999999997</c:v>
                </c:pt>
                <c:pt idx="186">
                  <c:v>-5.4000000000000048E-2</c:v>
                </c:pt>
                <c:pt idx="187">
                  <c:v>8.9999999999999969E-2</c:v>
                </c:pt>
                <c:pt idx="188">
                  <c:v>0.26300000000000001</c:v>
                </c:pt>
                <c:pt idx="189">
                  <c:v>-0.10300000000000004</c:v>
                </c:pt>
                <c:pt idx="190">
                  <c:v>-8.5999999999999965E-2</c:v>
                </c:pt>
                <c:pt idx="191">
                  <c:v>-7.2999999999999954E-2</c:v>
                </c:pt>
                <c:pt idx="192">
                  <c:v>-3.2000000000000028E-2</c:v>
                </c:pt>
                <c:pt idx="193">
                  <c:v>5.0999999999999934E-2</c:v>
                </c:pt>
                <c:pt idx="194">
                  <c:v>0.15699999999999997</c:v>
                </c:pt>
                <c:pt idx="195">
                  <c:v>0.29000000000000004</c:v>
                </c:pt>
                <c:pt idx="196">
                  <c:v>0.43299999999999994</c:v>
                </c:pt>
                <c:pt idx="197">
                  <c:v>0.54899999999999993</c:v>
                </c:pt>
                <c:pt idx="198">
                  <c:v>0.60600000000000009</c:v>
                </c:pt>
                <c:pt idx="199">
                  <c:v>0.59599999999999997</c:v>
                </c:pt>
                <c:pt idx="200">
                  <c:v>0.55299999999999994</c:v>
                </c:pt>
                <c:pt idx="201">
                  <c:v>0.46600000000000003</c:v>
                </c:pt>
                <c:pt idx="202">
                  <c:v>0.32100000000000001</c:v>
                </c:pt>
                <c:pt idx="203">
                  <c:v>0.16</c:v>
                </c:pt>
                <c:pt idx="204">
                  <c:v>9.3000000000000027E-2</c:v>
                </c:pt>
                <c:pt idx="205">
                  <c:v>0.15600000000000003</c:v>
                </c:pt>
                <c:pt idx="206">
                  <c:v>0.24099999999999994</c:v>
                </c:pt>
                <c:pt idx="207">
                  <c:v>0.20800000000000002</c:v>
                </c:pt>
                <c:pt idx="208">
                  <c:v>0.20799999999999996</c:v>
                </c:pt>
                <c:pt idx="209">
                  <c:v>0.16899999999999998</c:v>
                </c:pt>
                <c:pt idx="210">
                  <c:v>8.6000000000000076E-2</c:v>
                </c:pt>
                <c:pt idx="211">
                  <c:v>-9.8999999999999977E-2</c:v>
                </c:pt>
                <c:pt idx="212">
                  <c:v>-0.38</c:v>
                </c:pt>
                <c:pt idx="213">
                  <c:v>-0.47499999999999998</c:v>
                </c:pt>
                <c:pt idx="214">
                  <c:v>-0.39200000000000002</c:v>
                </c:pt>
                <c:pt idx="215">
                  <c:v>-0.312</c:v>
                </c:pt>
                <c:pt idx="216">
                  <c:v>-0.251</c:v>
                </c:pt>
                <c:pt idx="217">
                  <c:v>-0.19900000000000001</c:v>
                </c:pt>
                <c:pt idx="218">
                  <c:v>-0.16200000000000003</c:v>
                </c:pt>
                <c:pt idx="219">
                  <c:v>-0.15900000000000003</c:v>
                </c:pt>
                <c:pt idx="220">
                  <c:v>-0.188</c:v>
                </c:pt>
                <c:pt idx="221">
                  <c:v>-0.22300000000000003</c:v>
                </c:pt>
                <c:pt idx="222">
                  <c:v>-0.24500000000000005</c:v>
                </c:pt>
                <c:pt idx="223">
                  <c:v>-0.23299999999999993</c:v>
                </c:pt>
                <c:pt idx="224">
                  <c:v>-0.21000000000000002</c:v>
                </c:pt>
                <c:pt idx="225">
                  <c:v>-0.25200000000000006</c:v>
                </c:pt>
                <c:pt idx="226">
                  <c:v>-0.37399999999999994</c:v>
                </c:pt>
                <c:pt idx="227">
                  <c:v>-0.48899999999999999</c:v>
                </c:pt>
                <c:pt idx="228">
                  <c:v>0.15000000000000002</c:v>
                </c:pt>
                <c:pt idx="229">
                  <c:v>0.24099999999999996</c:v>
                </c:pt>
                <c:pt idx="230">
                  <c:v>0.30599999999999999</c:v>
                </c:pt>
                <c:pt idx="231">
                  <c:v>0.34499999999999997</c:v>
                </c:pt>
                <c:pt idx="232">
                  <c:v>0.39800000000000002</c:v>
                </c:pt>
                <c:pt idx="233">
                  <c:v>0.46099999999999997</c:v>
                </c:pt>
                <c:pt idx="234">
                  <c:v>0.51400000000000001</c:v>
                </c:pt>
                <c:pt idx="235">
                  <c:v>0.58200000000000007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852-4031-A15D-3AF3A4FF8985}"/>
            </c:ext>
          </c:extLst>
        </c:ser>
        <c:ser>
          <c:idx val="4"/>
          <c:order val="4"/>
          <c:tx>
            <c:strRef>
              <c:f>Sheet2!$V$350</c:f>
              <c:strCache>
                <c:ptCount val="1"/>
                <c:pt idx="0">
                  <c:v>含泥白云岩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12700">
                <a:solidFill>
                  <a:srgbClr val="FFC000"/>
                </a:solidFill>
                <a:round/>
              </a:ln>
              <a:effectLst/>
            </c:spPr>
          </c:marker>
          <c:xVal>
            <c:numRef>
              <c:f>Sheet2!$Y$350:$Y$354</c:f>
              <c:numCache>
                <c:formatCode>General</c:formatCode>
                <c:ptCount val="5"/>
                <c:pt idx="0">
                  <c:v>0.71</c:v>
                </c:pt>
                <c:pt idx="1">
                  <c:v>0.92100000000000004</c:v>
                </c:pt>
                <c:pt idx="2">
                  <c:v>1.1299999999999999</c:v>
                </c:pt>
                <c:pt idx="3">
                  <c:v>1.325</c:v>
                </c:pt>
                <c:pt idx="4">
                  <c:v>1.506</c:v>
                </c:pt>
              </c:numCache>
              <c:extLst xmlns:c15="http://schemas.microsoft.com/office/drawing/2012/chart"/>
            </c:numRef>
          </c:xVal>
          <c:yVal>
            <c:numRef>
              <c:f>Sheet2!$Z$350:$Z$354</c:f>
              <c:numCache>
                <c:formatCode>General</c:formatCode>
                <c:ptCount val="5"/>
                <c:pt idx="0">
                  <c:v>0.191</c:v>
                </c:pt>
                <c:pt idx="1">
                  <c:v>0.28800000000000003</c:v>
                </c:pt>
                <c:pt idx="2">
                  <c:v>0.37799999999999995</c:v>
                </c:pt>
                <c:pt idx="3">
                  <c:v>0.42999999999999994</c:v>
                </c:pt>
                <c:pt idx="4">
                  <c:v>0.42600000000000005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852-4031-A15D-3AF3A4FF8985}"/>
            </c:ext>
          </c:extLst>
        </c:ser>
        <c:ser>
          <c:idx val="5"/>
          <c:order val="5"/>
          <c:tx>
            <c:strRef>
              <c:f>Sheet2!$V$355</c:f>
              <c:strCache>
                <c:ptCount val="1"/>
                <c:pt idx="0">
                  <c:v>白云岩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Sheet2!$Y$355:$Y$903</c:f>
              <c:numCache>
                <c:formatCode>General</c:formatCode>
                <c:ptCount val="549"/>
                <c:pt idx="0">
                  <c:v>0.51400000000000001</c:v>
                </c:pt>
                <c:pt idx="1">
                  <c:v>0.41800000000000004</c:v>
                </c:pt>
                <c:pt idx="2">
                  <c:v>0.371</c:v>
                </c:pt>
                <c:pt idx="3">
                  <c:v>0.34199999999999997</c:v>
                </c:pt>
                <c:pt idx="4">
                  <c:v>0.33100000000000002</c:v>
                </c:pt>
                <c:pt idx="5">
                  <c:v>0.35000000000000003</c:v>
                </c:pt>
                <c:pt idx="6">
                  <c:v>0.39899999999999997</c:v>
                </c:pt>
                <c:pt idx="7">
                  <c:v>0.46200000000000002</c:v>
                </c:pt>
                <c:pt idx="8">
                  <c:v>0.51100000000000001</c:v>
                </c:pt>
                <c:pt idx="9">
                  <c:v>0.54800000000000004</c:v>
                </c:pt>
                <c:pt idx="10">
                  <c:v>0.58799999999999997</c:v>
                </c:pt>
                <c:pt idx="11">
                  <c:v>0.64300000000000002</c:v>
                </c:pt>
                <c:pt idx="12">
                  <c:v>0.55600000000000005</c:v>
                </c:pt>
                <c:pt idx="13">
                  <c:v>0.45600000000000002</c:v>
                </c:pt>
                <c:pt idx="14">
                  <c:v>0.35900000000000004</c:v>
                </c:pt>
                <c:pt idx="15">
                  <c:v>0.27400000000000002</c:v>
                </c:pt>
                <c:pt idx="16">
                  <c:v>0.20900000000000002</c:v>
                </c:pt>
                <c:pt idx="17">
                  <c:v>0.159</c:v>
                </c:pt>
                <c:pt idx="18">
                  <c:v>0.12</c:v>
                </c:pt>
                <c:pt idx="19">
                  <c:v>8.5000000000000006E-2</c:v>
                </c:pt>
                <c:pt idx="20">
                  <c:v>6.3E-2</c:v>
                </c:pt>
                <c:pt idx="21">
                  <c:v>6.0999999999999999E-2</c:v>
                </c:pt>
                <c:pt idx="22">
                  <c:v>6.8999999999999992E-2</c:v>
                </c:pt>
                <c:pt idx="23">
                  <c:v>7.4999999999999997E-2</c:v>
                </c:pt>
                <c:pt idx="24">
                  <c:v>8.1000000000000003E-2</c:v>
                </c:pt>
                <c:pt idx="25">
                  <c:v>0.10999999999999999</c:v>
                </c:pt>
                <c:pt idx="26">
                  <c:v>0.18</c:v>
                </c:pt>
                <c:pt idx="27">
                  <c:v>0.311</c:v>
                </c:pt>
                <c:pt idx="28">
                  <c:v>0.378</c:v>
                </c:pt>
                <c:pt idx="29">
                  <c:v>0.29200000000000004</c:v>
                </c:pt>
                <c:pt idx="30">
                  <c:v>0.26300000000000001</c:v>
                </c:pt>
                <c:pt idx="31">
                  <c:v>0.18099999999999999</c:v>
                </c:pt>
                <c:pt idx="32">
                  <c:v>8.2000000000000003E-2</c:v>
                </c:pt>
                <c:pt idx="33">
                  <c:v>4.7E-2</c:v>
                </c:pt>
                <c:pt idx="34">
                  <c:v>5.0999999999999997E-2</c:v>
                </c:pt>
                <c:pt idx="35">
                  <c:v>0.09</c:v>
                </c:pt>
                <c:pt idx="36">
                  <c:v>0.13700000000000001</c:v>
                </c:pt>
                <c:pt idx="37">
                  <c:v>0.16899999999999998</c:v>
                </c:pt>
                <c:pt idx="38">
                  <c:v>0.191</c:v>
                </c:pt>
                <c:pt idx="39">
                  <c:v>0.19400000000000001</c:v>
                </c:pt>
                <c:pt idx="40">
                  <c:v>0.19700000000000001</c:v>
                </c:pt>
                <c:pt idx="41">
                  <c:v>0.246</c:v>
                </c:pt>
                <c:pt idx="42">
                  <c:v>0.34100000000000003</c:v>
                </c:pt>
                <c:pt idx="43">
                  <c:v>0.46600000000000003</c:v>
                </c:pt>
                <c:pt idx="44">
                  <c:v>0.67400000000000004</c:v>
                </c:pt>
                <c:pt idx="45">
                  <c:v>0.98199999999999998</c:v>
                </c:pt>
                <c:pt idx="46">
                  <c:v>0.77200000000000002</c:v>
                </c:pt>
                <c:pt idx="47">
                  <c:v>0.57699999999999996</c:v>
                </c:pt>
                <c:pt idx="48">
                  <c:v>0.45499999999999996</c:v>
                </c:pt>
                <c:pt idx="49">
                  <c:v>0.437</c:v>
                </c:pt>
                <c:pt idx="50">
                  <c:v>0.48599999999999999</c:v>
                </c:pt>
                <c:pt idx="51">
                  <c:v>0.55600000000000005</c:v>
                </c:pt>
                <c:pt idx="52">
                  <c:v>0.60199999999999998</c:v>
                </c:pt>
                <c:pt idx="53">
                  <c:v>0.61799999999999999</c:v>
                </c:pt>
                <c:pt idx="54">
                  <c:v>0.61099999999999999</c:v>
                </c:pt>
                <c:pt idx="55">
                  <c:v>0.60400000000000009</c:v>
                </c:pt>
                <c:pt idx="56">
                  <c:v>0.621</c:v>
                </c:pt>
                <c:pt idx="57">
                  <c:v>0.63900000000000001</c:v>
                </c:pt>
                <c:pt idx="58">
                  <c:v>0.63700000000000001</c:v>
                </c:pt>
                <c:pt idx="59">
                  <c:v>0.63100000000000001</c:v>
                </c:pt>
                <c:pt idx="60">
                  <c:v>0.68900000000000006</c:v>
                </c:pt>
                <c:pt idx="61">
                  <c:v>0.71900000000000008</c:v>
                </c:pt>
                <c:pt idx="62">
                  <c:v>0.70500000000000007</c:v>
                </c:pt>
                <c:pt idx="63">
                  <c:v>0.62</c:v>
                </c:pt>
                <c:pt idx="64">
                  <c:v>0.51</c:v>
                </c:pt>
                <c:pt idx="65">
                  <c:v>0.495</c:v>
                </c:pt>
                <c:pt idx="66">
                  <c:v>0.65799999999999992</c:v>
                </c:pt>
                <c:pt idx="67">
                  <c:v>0.98799999999999999</c:v>
                </c:pt>
                <c:pt idx="68">
                  <c:v>1.2970000000000002</c:v>
                </c:pt>
                <c:pt idx="69">
                  <c:v>0.34600000000000003</c:v>
                </c:pt>
                <c:pt idx="70">
                  <c:v>0.436</c:v>
                </c:pt>
                <c:pt idx="71">
                  <c:v>0.58899999999999997</c:v>
                </c:pt>
                <c:pt idx="72">
                  <c:v>0.83899999999999997</c:v>
                </c:pt>
                <c:pt idx="73">
                  <c:v>1.1850000000000001</c:v>
                </c:pt>
                <c:pt idx="74">
                  <c:v>0.29299999999999998</c:v>
                </c:pt>
                <c:pt idx="75">
                  <c:v>0.32300000000000001</c:v>
                </c:pt>
                <c:pt idx="76">
                  <c:v>0.378</c:v>
                </c:pt>
                <c:pt idx="77">
                  <c:v>0.44799999999999995</c:v>
                </c:pt>
                <c:pt idx="78">
                  <c:v>0.51100000000000001</c:v>
                </c:pt>
                <c:pt idx="79">
                  <c:v>0.61499999999999999</c:v>
                </c:pt>
                <c:pt idx="80">
                  <c:v>0.58900000000000008</c:v>
                </c:pt>
                <c:pt idx="81">
                  <c:v>0.53800000000000003</c:v>
                </c:pt>
                <c:pt idx="82">
                  <c:v>0.47599999999999998</c:v>
                </c:pt>
                <c:pt idx="83">
                  <c:v>0.42499999999999999</c:v>
                </c:pt>
                <c:pt idx="84">
                  <c:v>0.40300000000000002</c:v>
                </c:pt>
                <c:pt idx="85">
                  <c:v>0.42000000000000004</c:v>
                </c:pt>
                <c:pt idx="86">
                  <c:v>0.45899999999999996</c:v>
                </c:pt>
                <c:pt idx="87">
                  <c:v>0.501</c:v>
                </c:pt>
                <c:pt idx="88">
                  <c:v>0.53500000000000003</c:v>
                </c:pt>
                <c:pt idx="89">
                  <c:v>0.56600000000000006</c:v>
                </c:pt>
                <c:pt idx="90">
                  <c:v>0.60299999999999998</c:v>
                </c:pt>
                <c:pt idx="91">
                  <c:v>0.64</c:v>
                </c:pt>
                <c:pt idx="92">
                  <c:v>0.65900000000000003</c:v>
                </c:pt>
                <c:pt idx="93">
                  <c:v>0.63400000000000001</c:v>
                </c:pt>
                <c:pt idx="94">
                  <c:v>0.57599999999999996</c:v>
                </c:pt>
                <c:pt idx="95">
                  <c:v>0.51100000000000001</c:v>
                </c:pt>
                <c:pt idx="96">
                  <c:v>0.46799999999999997</c:v>
                </c:pt>
                <c:pt idx="97">
                  <c:v>0.44700000000000001</c:v>
                </c:pt>
                <c:pt idx="98">
                  <c:v>0.435</c:v>
                </c:pt>
                <c:pt idx="99">
                  <c:v>0.41899999999999998</c:v>
                </c:pt>
                <c:pt idx="100">
                  <c:v>0.40699999999999997</c:v>
                </c:pt>
                <c:pt idx="101">
                  <c:v>0.41399999999999998</c:v>
                </c:pt>
                <c:pt idx="102">
                  <c:v>0.45900000000000002</c:v>
                </c:pt>
                <c:pt idx="103">
                  <c:v>0.55800000000000005</c:v>
                </c:pt>
                <c:pt idx="104">
                  <c:v>1.3039999999999998</c:v>
                </c:pt>
                <c:pt idx="105">
                  <c:v>1.024</c:v>
                </c:pt>
                <c:pt idx="106">
                  <c:v>0.74299999999999999</c:v>
                </c:pt>
                <c:pt idx="107">
                  <c:v>0.54099999999999993</c:v>
                </c:pt>
                <c:pt idx="108">
                  <c:v>0.45200000000000001</c:v>
                </c:pt>
                <c:pt idx="109">
                  <c:v>0.46099999999999997</c:v>
                </c:pt>
                <c:pt idx="110">
                  <c:v>0.52899999999999991</c:v>
                </c:pt>
                <c:pt idx="111">
                  <c:v>0.61099999999999999</c:v>
                </c:pt>
                <c:pt idx="112">
                  <c:v>0.66700000000000004</c:v>
                </c:pt>
                <c:pt idx="113">
                  <c:v>0.67999999999999994</c:v>
                </c:pt>
                <c:pt idx="114">
                  <c:v>0.53800000000000003</c:v>
                </c:pt>
                <c:pt idx="115">
                  <c:v>0.58299999999999996</c:v>
                </c:pt>
                <c:pt idx="116">
                  <c:v>0.66300000000000003</c:v>
                </c:pt>
                <c:pt idx="117">
                  <c:v>0.73499999999999999</c:v>
                </c:pt>
                <c:pt idx="118">
                  <c:v>0.745</c:v>
                </c:pt>
                <c:pt idx="119">
                  <c:v>0.80099999999999993</c:v>
                </c:pt>
                <c:pt idx="120">
                  <c:v>0.78</c:v>
                </c:pt>
                <c:pt idx="121">
                  <c:v>0.443</c:v>
                </c:pt>
                <c:pt idx="122">
                  <c:v>0.38600000000000001</c:v>
                </c:pt>
                <c:pt idx="123">
                  <c:v>0.36099999999999999</c:v>
                </c:pt>
                <c:pt idx="124">
                  <c:v>0.33199999999999996</c:v>
                </c:pt>
                <c:pt idx="125">
                  <c:v>0.27100000000000002</c:v>
                </c:pt>
                <c:pt idx="126">
                  <c:v>0.2</c:v>
                </c:pt>
                <c:pt idx="127">
                  <c:v>0.16199999999999998</c:v>
                </c:pt>
                <c:pt idx="128">
                  <c:v>0.21600000000000003</c:v>
                </c:pt>
                <c:pt idx="129">
                  <c:v>0.316</c:v>
                </c:pt>
                <c:pt idx="130">
                  <c:v>0.495</c:v>
                </c:pt>
                <c:pt idx="131">
                  <c:v>0.7430000000000001</c:v>
                </c:pt>
                <c:pt idx="132">
                  <c:v>0.96699999999999997</c:v>
                </c:pt>
                <c:pt idx="133">
                  <c:v>0.95799999999999996</c:v>
                </c:pt>
                <c:pt idx="134">
                  <c:v>0.73599999999999999</c:v>
                </c:pt>
                <c:pt idx="135">
                  <c:v>0.53099999999999992</c:v>
                </c:pt>
                <c:pt idx="136">
                  <c:v>0.38900000000000001</c:v>
                </c:pt>
                <c:pt idx="137">
                  <c:v>0.317</c:v>
                </c:pt>
                <c:pt idx="138">
                  <c:v>0.29099999999999998</c:v>
                </c:pt>
                <c:pt idx="139">
                  <c:v>0.307</c:v>
                </c:pt>
                <c:pt idx="140">
                  <c:v>0.55800000000000005</c:v>
                </c:pt>
                <c:pt idx="141">
                  <c:v>0.59299999999999997</c:v>
                </c:pt>
                <c:pt idx="142">
                  <c:v>0.60499999999999998</c:v>
                </c:pt>
                <c:pt idx="143">
                  <c:v>0.628</c:v>
                </c:pt>
                <c:pt idx="144">
                  <c:v>0.80899999999999994</c:v>
                </c:pt>
                <c:pt idx="145">
                  <c:v>0.81699999999999995</c:v>
                </c:pt>
                <c:pt idx="146">
                  <c:v>0.70499999999999996</c:v>
                </c:pt>
                <c:pt idx="147">
                  <c:v>0.96300000000000008</c:v>
                </c:pt>
                <c:pt idx="148">
                  <c:v>1.131</c:v>
                </c:pt>
                <c:pt idx="149">
                  <c:v>0.82000000000000006</c:v>
                </c:pt>
                <c:pt idx="150">
                  <c:v>0.73399999999999999</c:v>
                </c:pt>
                <c:pt idx="151">
                  <c:v>0.73399999999999999</c:v>
                </c:pt>
                <c:pt idx="152">
                  <c:v>0.79300000000000004</c:v>
                </c:pt>
                <c:pt idx="153">
                  <c:v>0.77300000000000002</c:v>
                </c:pt>
                <c:pt idx="154">
                  <c:v>0.59000000000000008</c:v>
                </c:pt>
                <c:pt idx="155">
                  <c:v>1.6909999999999998</c:v>
                </c:pt>
                <c:pt idx="156">
                  <c:v>1.8</c:v>
                </c:pt>
                <c:pt idx="157">
                  <c:v>0.25900000000000001</c:v>
                </c:pt>
                <c:pt idx="158">
                  <c:v>0.252</c:v>
                </c:pt>
                <c:pt idx="159">
                  <c:v>0.23499999999999999</c:v>
                </c:pt>
                <c:pt idx="160">
                  <c:v>0.216</c:v>
                </c:pt>
                <c:pt idx="161">
                  <c:v>0.20099999999999998</c:v>
                </c:pt>
                <c:pt idx="162">
                  <c:v>0.191</c:v>
                </c:pt>
                <c:pt idx="163">
                  <c:v>0.18</c:v>
                </c:pt>
                <c:pt idx="164">
                  <c:v>0.16900000000000001</c:v>
                </c:pt>
                <c:pt idx="165">
                  <c:v>0.153</c:v>
                </c:pt>
                <c:pt idx="166">
                  <c:v>0.13600000000000001</c:v>
                </c:pt>
                <c:pt idx="167">
                  <c:v>0.126</c:v>
                </c:pt>
                <c:pt idx="168">
                  <c:v>0.121</c:v>
                </c:pt>
                <c:pt idx="169">
                  <c:v>1.0830000000000002</c:v>
                </c:pt>
                <c:pt idx="170">
                  <c:v>0.88800000000000012</c:v>
                </c:pt>
                <c:pt idx="171">
                  <c:v>0.68900000000000006</c:v>
                </c:pt>
                <c:pt idx="172">
                  <c:v>0.53700000000000003</c:v>
                </c:pt>
                <c:pt idx="173">
                  <c:v>0.42900000000000005</c:v>
                </c:pt>
                <c:pt idx="174">
                  <c:v>0.35100000000000003</c:v>
                </c:pt>
                <c:pt idx="175">
                  <c:v>0.28300000000000003</c:v>
                </c:pt>
                <c:pt idx="176">
                  <c:v>0.23699999999999999</c:v>
                </c:pt>
                <c:pt idx="177">
                  <c:v>0.219</c:v>
                </c:pt>
                <c:pt idx="178">
                  <c:v>0.23599999999999999</c:v>
                </c:pt>
                <c:pt idx="179">
                  <c:v>0.29000000000000004</c:v>
                </c:pt>
                <c:pt idx="180">
                  <c:v>0.372</c:v>
                </c:pt>
                <c:pt idx="181">
                  <c:v>0.46</c:v>
                </c:pt>
                <c:pt idx="182">
                  <c:v>0.505</c:v>
                </c:pt>
                <c:pt idx="183">
                  <c:v>0.48299999999999998</c:v>
                </c:pt>
                <c:pt idx="184">
                  <c:v>0.42100000000000004</c:v>
                </c:pt>
                <c:pt idx="185">
                  <c:v>0.36899999999999999</c:v>
                </c:pt>
                <c:pt idx="186">
                  <c:v>0.34799999999999998</c:v>
                </c:pt>
                <c:pt idx="187">
                  <c:v>0.38800000000000001</c:v>
                </c:pt>
                <c:pt idx="188">
                  <c:v>0.46199999999999997</c:v>
                </c:pt>
                <c:pt idx="189">
                  <c:v>0.51300000000000001</c:v>
                </c:pt>
                <c:pt idx="190">
                  <c:v>0.504</c:v>
                </c:pt>
                <c:pt idx="191">
                  <c:v>0.46099999999999997</c:v>
                </c:pt>
                <c:pt idx="192">
                  <c:v>0.41500000000000004</c:v>
                </c:pt>
                <c:pt idx="193">
                  <c:v>0.38600000000000001</c:v>
                </c:pt>
                <c:pt idx="194">
                  <c:v>0.22600000000000001</c:v>
                </c:pt>
                <c:pt idx="195">
                  <c:v>0.16</c:v>
                </c:pt>
                <c:pt idx="196">
                  <c:v>0.157</c:v>
                </c:pt>
                <c:pt idx="197">
                  <c:v>0.17900000000000002</c:v>
                </c:pt>
                <c:pt idx="198">
                  <c:v>0.19500000000000001</c:v>
                </c:pt>
                <c:pt idx="199">
                  <c:v>0.20500000000000002</c:v>
                </c:pt>
                <c:pt idx="200">
                  <c:v>0.21199999999999999</c:v>
                </c:pt>
                <c:pt idx="201">
                  <c:v>0.217</c:v>
                </c:pt>
                <c:pt idx="202">
                  <c:v>0.22</c:v>
                </c:pt>
                <c:pt idx="203">
                  <c:v>0.218</c:v>
                </c:pt>
                <c:pt idx="204">
                  <c:v>0.20900000000000002</c:v>
                </c:pt>
                <c:pt idx="205">
                  <c:v>0.2</c:v>
                </c:pt>
                <c:pt idx="206">
                  <c:v>0.187</c:v>
                </c:pt>
                <c:pt idx="207">
                  <c:v>0.17299999999999999</c:v>
                </c:pt>
                <c:pt idx="208">
                  <c:v>0.17</c:v>
                </c:pt>
                <c:pt idx="209">
                  <c:v>0.17499999999999999</c:v>
                </c:pt>
                <c:pt idx="210">
                  <c:v>0.17199999999999999</c:v>
                </c:pt>
                <c:pt idx="211">
                  <c:v>0.14900000000000002</c:v>
                </c:pt>
                <c:pt idx="212">
                  <c:v>0.124</c:v>
                </c:pt>
                <c:pt idx="213">
                  <c:v>0.11199999999999999</c:v>
                </c:pt>
                <c:pt idx="214">
                  <c:v>0.107</c:v>
                </c:pt>
                <c:pt idx="215">
                  <c:v>0.10299999999999999</c:v>
                </c:pt>
                <c:pt idx="216">
                  <c:v>9.8000000000000004E-2</c:v>
                </c:pt>
                <c:pt idx="217">
                  <c:v>9.6000000000000002E-2</c:v>
                </c:pt>
                <c:pt idx="218">
                  <c:v>9.8000000000000004E-2</c:v>
                </c:pt>
                <c:pt idx="219">
                  <c:v>8.8999999999999996E-2</c:v>
                </c:pt>
                <c:pt idx="220">
                  <c:v>7.5999999999999998E-2</c:v>
                </c:pt>
                <c:pt idx="221">
                  <c:v>6.6000000000000003E-2</c:v>
                </c:pt>
                <c:pt idx="222">
                  <c:v>6.6000000000000003E-2</c:v>
                </c:pt>
                <c:pt idx="223">
                  <c:v>7.7000000000000013E-2</c:v>
                </c:pt>
                <c:pt idx="224">
                  <c:v>9.7000000000000003E-2</c:v>
                </c:pt>
                <c:pt idx="225">
                  <c:v>0.121</c:v>
                </c:pt>
                <c:pt idx="226">
                  <c:v>0.14799999999999999</c:v>
                </c:pt>
                <c:pt idx="227">
                  <c:v>0.17600000000000002</c:v>
                </c:pt>
                <c:pt idx="228">
                  <c:v>0.19500000000000001</c:v>
                </c:pt>
                <c:pt idx="229">
                  <c:v>0.21</c:v>
                </c:pt>
                <c:pt idx="230">
                  <c:v>0.21</c:v>
                </c:pt>
                <c:pt idx="231">
                  <c:v>0.19500000000000001</c:v>
                </c:pt>
                <c:pt idx="232">
                  <c:v>0.183</c:v>
                </c:pt>
                <c:pt idx="233">
                  <c:v>0.191</c:v>
                </c:pt>
                <c:pt idx="234">
                  <c:v>0.22500000000000001</c:v>
                </c:pt>
                <c:pt idx="235">
                  <c:v>0.63100000000000001</c:v>
                </c:pt>
                <c:pt idx="236">
                  <c:v>0.41700000000000004</c:v>
                </c:pt>
                <c:pt idx="237">
                  <c:v>0.24</c:v>
                </c:pt>
                <c:pt idx="238">
                  <c:v>0.16800000000000001</c:v>
                </c:pt>
                <c:pt idx="239">
                  <c:v>0.20800000000000002</c:v>
                </c:pt>
                <c:pt idx="240">
                  <c:v>0.28000000000000003</c:v>
                </c:pt>
                <c:pt idx="241">
                  <c:v>0.30599999999999999</c:v>
                </c:pt>
                <c:pt idx="242">
                  <c:v>0.26800000000000002</c:v>
                </c:pt>
                <c:pt idx="243">
                  <c:v>0.221</c:v>
                </c:pt>
                <c:pt idx="244">
                  <c:v>0.20400000000000001</c:v>
                </c:pt>
                <c:pt idx="245">
                  <c:v>0.249</c:v>
                </c:pt>
                <c:pt idx="246">
                  <c:v>0.35</c:v>
                </c:pt>
                <c:pt idx="247">
                  <c:v>0.40200000000000002</c:v>
                </c:pt>
                <c:pt idx="248">
                  <c:v>0.36499999999999999</c:v>
                </c:pt>
                <c:pt idx="249">
                  <c:v>0.307</c:v>
                </c:pt>
                <c:pt idx="250">
                  <c:v>0.29300000000000004</c:v>
                </c:pt>
                <c:pt idx="251">
                  <c:v>0.34799999999999998</c:v>
                </c:pt>
                <c:pt idx="252">
                  <c:v>0.63100000000000001</c:v>
                </c:pt>
                <c:pt idx="253">
                  <c:v>0.39800000000000002</c:v>
                </c:pt>
                <c:pt idx="254">
                  <c:v>0.254</c:v>
                </c:pt>
                <c:pt idx="255">
                  <c:v>0.19500000000000001</c:v>
                </c:pt>
                <c:pt idx="256">
                  <c:v>0.187</c:v>
                </c:pt>
                <c:pt idx="257">
                  <c:v>0.19700000000000001</c:v>
                </c:pt>
                <c:pt idx="258">
                  <c:v>0.20900000000000002</c:v>
                </c:pt>
                <c:pt idx="259">
                  <c:v>0.21300000000000002</c:v>
                </c:pt>
                <c:pt idx="260">
                  <c:v>0.20900000000000002</c:v>
                </c:pt>
                <c:pt idx="261">
                  <c:v>0.19800000000000001</c:v>
                </c:pt>
                <c:pt idx="262">
                  <c:v>0.186</c:v>
                </c:pt>
                <c:pt idx="263">
                  <c:v>0.18100000000000002</c:v>
                </c:pt>
                <c:pt idx="264">
                  <c:v>0.182</c:v>
                </c:pt>
                <c:pt idx="265">
                  <c:v>0.182</c:v>
                </c:pt>
                <c:pt idx="266">
                  <c:v>0.17899999999999999</c:v>
                </c:pt>
                <c:pt idx="267">
                  <c:v>0.17200000000000001</c:v>
                </c:pt>
                <c:pt idx="268">
                  <c:v>0.16499999999999998</c:v>
                </c:pt>
                <c:pt idx="269">
                  <c:v>0.159</c:v>
                </c:pt>
                <c:pt idx="270">
                  <c:v>0.15000000000000002</c:v>
                </c:pt>
                <c:pt idx="271">
                  <c:v>0.13900000000000001</c:v>
                </c:pt>
                <c:pt idx="272">
                  <c:v>0.121</c:v>
                </c:pt>
                <c:pt idx="273">
                  <c:v>0.10100000000000001</c:v>
                </c:pt>
                <c:pt idx="274">
                  <c:v>8.3000000000000004E-2</c:v>
                </c:pt>
                <c:pt idx="275">
                  <c:v>7.5000000000000011E-2</c:v>
                </c:pt>
                <c:pt idx="276">
                  <c:v>7.8E-2</c:v>
                </c:pt>
                <c:pt idx="277">
                  <c:v>9.4E-2</c:v>
                </c:pt>
                <c:pt idx="278">
                  <c:v>0.128</c:v>
                </c:pt>
                <c:pt idx="279">
                  <c:v>0.17899999999999999</c:v>
                </c:pt>
                <c:pt idx="280">
                  <c:v>0.253</c:v>
                </c:pt>
                <c:pt idx="281">
                  <c:v>0.36299999999999999</c:v>
                </c:pt>
                <c:pt idx="282">
                  <c:v>0.51700000000000002</c:v>
                </c:pt>
                <c:pt idx="283">
                  <c:v>0.71</c:v>
                </c:pt>
                <c:pt idx="284">
                  <c:v>0.43999999999999995</c:v>
                </c:pt>
                <c:pt idx="285">
                  <c:v>0.27100000000000002</c:v>
                </c:pt>
                <c:pt idx="286">
                  <c:v>0.183</c:v>
                </c:pt>
                <c:pt idx="287">
                  <c:v>0.15</c:v>
                </c:pt>
                <c:pt idx="288">
                  <c:v>0.13899999999999998</c:v>
                </c:pt>
                <c:pt idx="289">
                  <c:v>0.127</c:v>
                </c:pt>
                <c:pt idx="290">
                  <c:v>0.11399999999999999</c:v>
                </c:pt>
                <c:pt idx="291">
                  <c:v>0.106</c:v>
                </c:pt>
                <c:pt idx="292">
                  <c:v>0.10299999999999999</c:v>
                </c:pt>
                <c:pt idx="293">
                  <c:v>0.11</c:v>
                </c:pt>
                <c:pt idx="294">
                  <c:v>0.11899999999999999</c:v>
                </c:pt>
                <c:pt idx="295">
                  <c:v>0.124</c:v>
                </c:pt>
                <c:pt idx="296">
                  <c:v>0.125</c:v>
                </c:pt>
                <c:pt idx="297">
                  <c:v>0.129</c:v>
                </c:pt>
                <c:pt idx="298">
                  <c:v>0.13600000000000001</c:v>
                </c:pt>
                <c:pt idx="299">
                  <c:v>0.14599999999999999</c:v>
                </c:pt>
                <c:pt idx="300">
                  <c:v>0.152</c:v>
                </c:pt>
                <c:pt idx="301">
                  <c:v>0.14500000000000002</c:v>
                </c:pt>
                <c:pt idx="302">
                  <c:v>0.129</c:v>
                </c:pt>
                <c:pt idx="303">
                  <c:v>0.11499999999999999</c:v>
                </c:pt>
                <c:pt idx="304">
                  <c:v>0.11</c:v>
                </c:pt>
                <c:pt idx="305">
                  <c:v>0.11600000000000001</c:v>
                </c:pt>
                <c:pt idx="306">
                  <c:v>0.128</c:v>
                </c:pt>
                <c:pt idx="307">
                  <c:v>0.14000000000000001</c:v>
                </c:pt>
                <c:pt idx="308">
                  <c:v>0.14599999999999999</c:v>
                </c:pt>
                <c:pt idx="309">
                  <c:v>0.14700000000000002</c:v>
                </c:pt>
                <c:pt idx="310">
                  <c:v>0.14300000000000002</c:v>
                </c:pt>
                <c:pt idx="311">
                  <c:v>0.13700000000000001</c:v>
                </c:pt>
                <c:pt idx="312">
                  <c:v>0.13500000000000001</c:v>
                </c:pt>
                <c:pt idx="313">
                  <c:v>0.13300000000000001</c:v>
                </c:pt>
                <c:pt idx="314">
                  <c:v>0.126</c:v>
                </c:pt>
                <c:pt idx="315">
                  <c:v>0.11599999999999999</c:v>
                </c:pt>
                <c:pt idx="316">
                  <c:v>0.112</c:v>
                </c:pt>
                <c:pt idx="317">
                  <c:v>0.11100000000000002</c:v>
                </c:pt>
                <c:pt idx="318">
                  <c:v>0.11099999999999999</c:v>
                </c:pt>
                <c:pt idx="319">
                  <c:v>0.11599999999999999</c:v>
                </c:pt>
                <c:pt idx="320">
                  <c:v>0.13100000000000001</c:v>
                </c:pt>
                <c:pt idx="321">
                  <c:v>0.16999999999999998</c:v>
                </c:pt>
                <c:pt idx="322">
                  <c:v>0.26100000000000001</c:v>
                </c:pt>
                <c:pt idx="323">
                  <c:v>0.16400000000000001</c:v>
                </c:pt>
                <c:pt idx="324">
                  <c:v>0.185</c:v>
                </c:pt>
                <c:pt idx="325">
                  <c:v>0.20700000000000002</c:v>
                </c:pt>
                <c:pt idx="326">
                  <c:v>0.22500000000000001</c:v>
                </c:pt>
                <c:pt idx="327">
                  <c:v>0.23399999999999999</c:v>
                </c:pt>
                <c:pt idx="328">
                  <c:v>0.23299999999999998</c:v>
                </c:pt>
                <c:pt idx="329">
                  <c:v>0.22199999999999998</c:v>
                </c:pt>
                <c:pt idx="330">
                  <c:v>0.21000000000000002</c:v>
                </c:pt>
                <c:pt idx="331">
                  <c:v>0.20600000000000002</c:v>
                </c:pt>
                <c:pt idx="332">
                  <c:v>0.20900000000000002</c:v>
                </c:pt>
                <c:pt idx="333">
                  <c:v>0.215</c:v>
                </c:pt>
                <c:pt idx="334">
                  <c:v>0.222</c:v>
                </c:pt>
                <c:pt idx="335">
                  <c:v>0.23</c:v>
                </c:pt>
                <c:pt idx="336">
                  <c:v>0.23899999999999999</c:v>
                </c:pt>
                <c:pt idx="337">
                  <c:v>0.247</c:v>
                </c:pt>
                <c:pt idx="338">
                  <c:v>0.25</c:v>
                </c:pt>
                <c:pt idx="339">
                  <c:v>0.247</c:v>
                </c:pt>
                <c:pt idx="340">
                  <c:v>0.24</c:v>
                </c:pt>
                <c:pt idx="341">
                  <c:v>0.22299999999999998</c:v>
                </c:pt>
                <c:pt idx="342">
                  <c:v>0.2</c:v>
                </c:pt>
                <c:pt idx="343">
                  <c:v>0.17599999999999999</c:v>
                </c:pt>
                <c:pt idx="344">
                  <c:v>0.16</c:v>
                </c:pt>
                <c:pt idx="345">
                  <c:v>0.156</c:v>
                </c:pt>
                <c:pt idx="346">
                  <c:v>0.187</c:v>
                </c:pt>
                <c:pt idx="347">
                  <c:v>0.28600000000000003</c:v>
                </c:pt>
                <c:pt idx="348">
                  <c:v>0.51600000000000001</c:v>
                </c:pt>
                <c:pt idx="349">
                  <c:v>0.503</c:v>
                </c:pt>
                <c:pt idx="350">
                  <c:v>0.53700000000000003</c:v>
                </c:pt>
                <c:pt idx="351">
                  <c:v>0.61699999999999999</c:v>
                </c:pt>
                <c:pt idx="352">
                  <c:v>0.72899999999999998</c:v>
                </c:pt>
                <c:pt idx="353">
                  <c:v>0.85899999999999999</c:v>
                </c:pt>
                <c:pt idx="354">
                  <c:v>0.996</c:v>
                </c:pt>
                <c:pt idx="355">
                  <c:v>1.123</c:v>
                </c:pt>
                <c:pt idx="356">
                  <c:v>0.627</c:v>
                </c:pt>
                <c:pt idx="357">
                  <c:v>0.57499999999999996</c:v>
                </c:pt>
                <c:pt idx="358">
                  <c:v>0.53900000000000003</c:v>
                </c:pt>
                <c:pt idx="359">
                  <c:v>0.53200000000000003</c:v>
                </c:pt>
                <c:pt idx="360">
                  <c:v>0.54600000000000004</c:v>
                </c:pt>
                <c:pt idx="361">
                  <c:v>0.56699999999999995</c:v>
                </c:pt>
                <c:pt idx="362">
                  <c:v>0.57200000000000006</c:v>
                </c:pt>
                <c:pt idx="363">
                  <c:v>0.54499999999999993</c:v>
                </c:pt>
                <c:pt idx="364">
                  <c:v>0.48699999999999999</c:v>
                </c:pt>
                <c:pt idx="365">
                  <c:v>0.41100000000000003</c:v>
                </c:pt>
                <c:pt idx="366">
                  <c:v>0.58499999999999996</c:v>
                </c:pt>
                <c:pt idx="367">
                  <c:v>0.49</c:v>
                </c:pt>
                <c:pt idx="368">
                  <c:v>0.38600000000000001</c:v>
                </c:pt>
                <c:pt idx="369">
                  <c:v>0.30399999999999999</c:v>
                </c:pt>
                <c:pt idx="370">
                  <c:v>0.26800000000000002</c:v>
                </c:pt>
                <c:pt idx="371">
                  <c:v>0.28400000000000003</c:v>
                </c:pt>
                <c:pt idx="372">
                  <c:v>0.34200000000000003</c:v>
                </c:pt>
                <c:pt idx="373">
                  <c:v>0.41</c:v>
                </c:pt>
                <c:pt idx="374">
                  <c:v>0.38600000000000001</c:v>
                </c:pt>
                <c:pt idx="375">
                  <c:v>0.33500000000000002</c:v>
                </c:pt>
                <c:pt idx="376">
                  <c:v>0.26700000000000002</c:v>
                </c:pt>
                <c:pt idx="377">
                  <c:v>0.21200000000000002</c:v>
                </c:pt>
                <c:pt idx="378">
                  <c:v>0.215</c:v>
                </c:pt>
                <c:pt idx="379">
                  <c:v>0.30399999999999999</c:v>
                </c:pt>
                <c:pt idx="380">
                  <c:v>0.61</c:v>
                </c:pt>
                <c:pt idx="381">
                  <c:v>0.51700000000000002</c:v>
                </c:pt>
                <c:pt idx="382">
                  <c:v>0.42700000000000005</c:v>
                </c:pt>
                <c:pt idx="383">
                  <c:v>0.35099999999999998</c:v>
                </c:pt>
                <c:pt idx="384">
                  <c:v>0.26300000000000001</c:v>
                </c:pt>
                <c:pt idx="385">
                  <c:v>0.17399999999999999</c:v>
                </c:pt>
                <c:pt idx="386">
                  <c:v>0.16199999999999998</c:v>
                </c:pt>
                <c:pt idx="387">
                  <c:v>0.21400000000000002</c:v>
                </c:pt>
                <c:pt idx="388">
                  <c:v>0.318</c:v>
                </c:pt>
                <c:pt idx="389">
                  <c:v>0.84299999999999997</c:v>
                </c:pt>
                <c:pt idx="390">
                  <c:v>0.91500000000000004</c:v>
                </c:pt>
                <c:pt idx="391">
                  <c:v>0.95300000000000007</c:v>
                </c:pt>
                <c:pt idx="392">
                  <c:v>0.94500000000000006</c:v>
                </c:pt>
                <c:pt idx="393">
                  <c:v>0.90100000000000002</c:v>
                </c:pt>
                <c:pt idx="394">
                  <c:v>0.84199999999999997</c:v>
                </c:pt>
                <c:pt idx="395">
                  <c:v>0.78800000000000003</c:v>
                </c:pt>
                <c:pt idx="396">
                  <c:v>0.749</c:v>
                </c:pt>
                <c:pt idx="397">
                  <c:v>0.71699999999999997</c:v>
                </c:pt>
                <c:pt idx="398">
                  <c:v>0.68400000000000005</c:v>
                </c:pt>
                <c:pt idx="399">
                  <c:v>0.64900000000000002</c:v>
                </c:pt>
                <c:pt idx="400">
                  <c:v>0.60499999999999998</c:v>
                </c:pt>
                <c:pt idx="401">
                  <c:v>0.54100000000000004</c:v>
                </c:pt>
                <c:pt idx="402">
                  <c:v>0.45899999999999996</c:v>
                </c:pt>
                <c:pt idx="403">
                  <c:v>0.34600000000000003</c:v>
                </c:pt>
                <c:pt idx="404">
                  <c:v>0.27300000000000002</c:v>
                </c:pt>
                <c:pt idx="405">
                  <c:v>0.23799999999999999</c:v>
                </c:pt>
                <c:pt idx="406">
                  <c:v>0.49399999999999999</c:v>
                </c:pt>
                <c:pt idx="407">
                  <c:v>0.26</c:v>
                </c:pt>
                <c:pt idx="408">
                  <c:v>0.16300000000000001</c:v>
                </c:pt>
                <c:pt idx="409">
                  <c:v>0.16599999999999998</c:v>
                </c:pt>
                <c:pt idx="410">
                  <c:v>0.186</c:v>
                </c:pt>
                <c:pt idx="411">
                  <c:v>0.193</c:v>
                </c:pt>
                <c:pt idx="412">
                  <c:v>0.19400000000000001</c:v>
                </c:pt>
                <c:pt idx="413">
                  <c:v>0.185</c:v>
                </c:pt>
                <c:pt idx="414">
                  <c:v>0.159</c:v>
                </c:pt>
                <c:pt idx="415">
                  <c:v>0.14399999999999999</c:v>
                </c:pt>
                <c:pt idx="416">
                  <c:v>0.151</c:v>
                </c:pt>
                <c:pt idx="417">
                  <c:v>0.155</c:v>
                </c:pt>
                <c:pt idx="418">
                  <c:v>0.14499999999999999</c:v>
                </c:pt>
                <c:pt idx="419">
                  <c:v>5.1999999999999998E-2</c:v>
                </c:pt>
                <c:pt idx="420">
                  <c:v>5.0999999999999997E-2</c:v>
                </c:pt>
                <c:pt idx="421">
                  <c:v>5.7000000000000002E-2</c:v>
                </c:pt>
                <c:pt idx="422">
                  <c:v>7.3999999999999996E-2</c:v>
                </c:pt>
                <c:pt idx="423">
                  <c:v>8.4000000000000005E-2</c:v>
                </c:pt>
                <c:pt idx="424">
                  <c:v>0.69599999999999995</c:v>
                </c:pt>
                <c:pt idx="425">
                  <c:v>0.42</c:v>
                </c:pt>
                <c:pt idx="426">
                  <c:v>0.26200000000000001</c:v>
                </c:pt>
                <c:pt idx="427">
                  <c:v>0.24</c:v>
                </c:pt>
                <c:pt idx="428">
                  <c:v>0.32900000000000001</c:v>
                </c:pt>
                <c:pt idx="429">
                  <c:v>0.46</c:v>
                </c:pt>
                <c:pt idx="430">
                  <c:v>0.55499999999999994</c:v>
                </c:pt>
                <c:pt idx="431">
                  <c:v>0.57099999999999995</c:v>
                </c:pt>
                <c:pt idx="432">
                  <c:v>0.51</c:v>
                </c:pt>
                <c:pt idx="433">
                  <c:v>0.41400000000000003</c:v>
                </c:pt>
                <c:pt idx="434">
                  <c:v>0.35299999999999998</c:v>
                </c:pt>
                <c:pt idx="435">
                  <c:v>0.372</c:v>
                </c:pt>
                <c:pt idx="436">
                  <c:v>0.47099999999999997</c:v>
                </c:pt>
                <c:pt idx="437">
                  <c:v>0.58899999999999997</c:v>
                </c:pt>
                <c:pt idx="438">
                  <c:v>0.63900000000000001</c:v>
                </c:pt>
                <c:pt idx="439">
                  <c:v>0.58499999999999996</c:v>
                </c:pt>
                <c:pt idx="440">
                  <c:v>0.46399999999999997</c:v>
                </c:pt>
                <c:pt idx="441">
                  <c:v>0.35399999999999998</c:v>
                </c:pt>
                <c:pt idx="442">
                  <c:v>0.316</c:v>
                </c:pt>
                <c:pt idx="443">
                  <c:v>0.72499999999999998</c:v>
                </c:pt>
                <c:pt idx="444">
                  <c:v>0.75800000000000001</c:v>
                </c:pt>
                <c:pt idx="445">
                  <c:v>0.77800000000000002</c:v>
                </c:pt>
                <c:pt idx="446">
                  <c:v>0.76</c:v>
                </c:pt>
                <c:pt idx="447">
                  <c:v>0.67700000000000005</c:v>
                </c:pt>
                <c:pt idx="448">
                  <c:v>0.53699999999999992</c:v>
                </c:pt>
                <c:pt idx="449">
                  <c:v>0.38600000000000001</c:v>
                </c:pt>
                <c:pt idx="450">
                  <c:v>0.27300000000000002</c:v>
                </c:pt>
                <c:pt idx="451">
                  <c:v>0.21300000000000002</c:v>
                </c:pt>
                <c:pt idx="452">
                  <c:v>0.185</c:v>
                </c:pt>
                <c:pt idx="453">
                  <c:v>0.17499999999999999</c:v>
                </c:pt>
                <c:pt idx="454">
                  <c:v>0.19800000000000001</c:v>
                </c:pt>
                <c:pt idx="455">
                  <c:v>0.28500000000000003</c:v>
                </c:pt>
                <c:pt idx="456">
                  <c:v>0.46199999999999997</c:v>
                </c:pt>
                <c:pt idx="457">
                  <c:v>0.72500000000000009</c:v>
                </c:pt>
                <c:pt idx="458">
                  <c:v>0.20600000000000002</c:v>
                </c:pt>
                <c:pt idx="459">
                  <c:v>0.186</c:v>
                </c:pt>
                <c:pt idx="460">
                  <c:v>0.21299999999999997</c:v>
                </c:pt>
                <c:pt idx="461">
                  <c:v>0.27700000000000002</c:v>
                </c:pt>
                <c:pt idx="462">
                  <c:v>0.36499999999999999</c:v>
                </c:pt>
                <c:pt idx="463">
                  <c:v>0.442</c:v>
                </c:pt>
                <c:pt idx="464">
                  <c:v>0.36799999999999999</c:v>
                </c:pt>
                <c:pt idx="465">
                  <c:v>0.372</c:v>
                </c:pt>
                <c:pt idx="466">
                  <c:v>0.44400000000000001</c:v>
                </c:pt>
                <c:pt idx="467">
                  <c:v>0.53200000000000003</c:v>
                </c:pt>
                <c:pt idx="468">
                  <c:v>0.58699999999999997</c:v>
                </c:pt>
                <c:pt idx="469">
                  <c:v>0.58400000000000007</c:v>
                </c:pt>
                <c:pt idx="470">
                  <c:v>0.53700000000000003</c:v>
                </c:pt>
                <c:pt idx="471">
                  <c:v>0.54100000000000004</c:v>
                </c:pt>
                <c:pt idx="472">
                  <c:v>0.67400000000000004</c:v>
                </c:pt>
                <c:pt idx="473">
                  <c:v>0.96100000000000008</c:v>
                </c:pt>
                <c:pt idx="474">
                  <c:v>0.40100000000000002</c:v>
                </c:pt>
                <c:pt idx="475">
                  <c:v>0.19800000000000001</c:v>
                </c:pt>
                <c:pt idx="476">
                  <c:v>7.8E-2</c:v>
                </c:pt>
                <c:pt idx="477">
                  <c:v>3.9E-2</c:v>
                </c:pt>
                <c:pt idx="478">
                  <c:v>4.0999999999999995E-2</c:v>
                </c:pt>
                <c:pt idx="479">
                  <c:v>6.3E-2</c:v>
                </c:pt>
                <c:pt idx="480">
                  <c:v>9.0999999999999998E-2</c:v>
                </c:pt>
                <c:pt idx="481">
                  <c:v>0.11299999999999999</c:v>
                </c:pt>
                <c:pt idx="482">
                  <c:v>0.124</c:v>
                </c:pt>
                <c:pt idx="483">
                  <c:v>0.126</c:v>
                </c:pt>
                <c:pt idx="484">
                  <c:v>0.124</c:v>
                </c:pt>
                <c:pt idx="485">
                  <c:v>0.12</c:v>
                </c:pt>
                <c:pt idx="486">
                  <c:v>0.11399999999999999</c:v>
                </c:pt>
                <c:pt idx="487">
                  <c:v>0.23499999999999999</c:v>
                </c:pt>
                <c:pt idx="488">
                  <c:v>0.22699999999999998</c:v>
                </c:pt>
                <c:pt idx="489">
                  <c:v>0.29499999999999998</c:v>
                </c:pt>
                <c:pt idx="490">
                  <c:v>0.44</c:v>
                </c:pt>
                <c:pt idx="491">
                  <c:v>0.36</c:v>
                </c:pt>
                <c:pt idx="492">
                  <c:v>0.32500000000000001</c:v>
                </c:pt>
                <c:pt idx="493">
                  <c:v>0.316</c:v>
                </c:pt>
                <c:pt idx="494">
                  <c:v>0.32</c:v>
                </c:pt>
                <c:pt idx="495">
                  <c:v>0.32200000000000001</c:v>
                </c:pt>
                <c:pt idx="496">
                  <c:v>0.31200000000000006</c:v>
                </c:pt>
                <c:pt idx="497">
                  <c:v>0.28800000000000003</c:v>
                </c:pt>
                <c:pt idx="498">
                  <c:v>0.255</c:v>
                </c:pt>
                <c:pt idx="499">
                  <c:v>0.22</c:v>
                </c:pt>
                <c:pt idx="500">
                  <c:v>0.20300000000000001</c:v>
                </c:pt>
                <c:pt idx="501">
                  <c:v>0.219</c:v>
                </c:pt>
                <c:pt idx="502">
                  <c:v>0.25</c:v>
                </c:pt>
                <c:pt idx="503">
                  <c:v>0.27200000000000002</c:v>
                </c:pt>
                <c:pt idx="504">
                  <c:v>0.28200000000000003</c:v>
                </c:pt>
                <c:pt idx="505">
                  <c:v>0.29500000000000004</c:v>
                </c:pt>
                <c:pt idx="506">
                  <c:v>0.30800000000000005</c:v>
                </c:pt>
                <c:pt idx="507">
                  <c:v>0.30700000000000005</c:v>
                </c:pt>
                <c:pt idx="508">
                  <c:v>0.29500000000000004</c:v>
                </c:pt>
                <c:pt idx="509">
                  <c:v>0.28600000000000003</c:v>
                </c:pt>
                <c:pt idx="510">
                  <c:v>0.28600000000000003</c:v>
                </c:pt>
                <c:pt idx="511">
                  <c:v>0.28800000000000003</c:v>
                </c:pt>
                <c:pt idx="512">
                  <c:v>0.28600000000000003</c:v>
                </c:pt>
                <c:pt idx="513">
                  <c:v>0.28600000000000003</c:v>
                </c:pt>
                <c:pt idx="514">
                  <c:v>0.29200000000000004</c:v>
                </c:pt>
                <c:pt idx="515">
                  <c:v>0.28200000000000003</c:v>
                </c:pt>
                <c:pt idx="516">
                  <c:v>0.247</c:v>
                </c:pt>
                <c:pt idx="517">
                  <c:v>0.20200000000000001</c:v>
                </c:pt>
                <c:pt idx="518">
                  <c:v>0.17299999999999999</c:v>
                </c:pt>
                <c:pt idx="519">
                  <c:v>0.16200000000000001</c:v>
                </c:pt>
                <c:pt idx="520">
                  <c:v>0.14699999999999999</c:v>
                </c:pt>
                <c:pt idx="521">
                  <c:v>0.11899999999999999</c:v>
                </c:pt>
                <c:pt idx="522">
                  <c:v>8.4999999999999992E-2</c:v>
                </c:pt>
                <c:pt idx="523">
                  <c:v>6.3E-2</c:v>
                </c:pt>
                <c:pt idx="524">
                  <c:v>7.1999999999999995E-2</c:v>
                </c:pt>
                <c:pt idx="525">
                  <c:v>0.107</c:v>
                </c:pt>
                <c:pt idx="526">
                  <c:v>0.161</c:v>
                </c:pt>
                <c:pt idx="527">
                  <c:v>0.22000000000000003</c:v>
                </c:pt>
                <c:pt idx="528">
                  <c:v>0.27</c:v>
                </c:pt>
                <c:pt idx="529">
                  <c:v>0.29599999999999999</c:v>
                </c:pt>
                <c:pt idx="530">
                  <c:v>0.30599999999999999</c:v>
                </c:pt>
                <c:pt idx="531">
                  <c:v>0.34099999999999997</c:v>
                </c:pt>
                <c:pt idx="532">
                  <c:v>0.438</c:v>
                </c:pt>
                <c:pt idx="533">
                  <c:v>0.57599999999999996</c:v>
                </c:pt>
                <c:pt idx="534">
                  <c:v>0.54300000000000004</c:v>
                </c:pt>
                <c:pt idx="535">
                  <c:v>0.42700000000000005</c:v>
                </c:pt>
                <c:pt idx="536">
                  <c:v>0.41700000000000004</c:v>
                </c:pt>
                <c:pt idx="537">
                  <c:v>0.51</c:v>
                </c:pt>
                <c:pt idx="538">
                  <c:v>0.71599999999999997</c:v>
                </c:pt>
                <c:pt idx="539">
                  <c:v>1.0510000000000002</c:v>
                </c:pt>
                <c:pt idx="540">
                  <c:v>1.155</c:v>
                </c:pt>
                <c:pt idx="541">
                  <c:v>1.127</c:v>
                </c:pt>
                <c:pt idx="542">
                  <c:v>1.1200000000000001</c:v>
                </c:pt>
                <c:pt idx="543">
                  <c:v>1.0649999999999999</c:v>
                </c:pt>
                <c:pt idx="544">
                  <c:v>0.96700000000000008</c:v>
                </c:pt>
                <c:pt idx="545">
                  <c:v>0.81499999999999995</c:v>
                </c:pt>
                <c:pt idx="546">
                  <c:v>0.66599999999999993</c:v>
                </c:pt>
                <c:pt idx="547">
                  <c:v>0.64700000000000002</c:v>
                </c:pt>
                <c:pt idx="548">
                  <c:v>0.73199999999999998</c:v>
                </c:pt>
              </c:numCache>
              <c:extLst xmlns:c15="http://schemas.microsoft.com/office/drawing/2012/chart"/>
            </c:numRef>
          </c:xVal>
          <c:yVal>
            <c:numRef>
              <c:f>Sheet2!$Z$355:$Z$903</c:f>
              <c:numCache>
                <c:formatCode>General</c:formatCode>
                <c:ptCount val="549"/>
                <c:pt idx="0">
                  <c:v>-0.127</c:v>
                </c:pt>
                <c:pt idx="1">
                  <c:v>-0.22500000000000001</c:v>
                </c:pt>
                <c:pt idx="2">
                  <c:v>-0.31600000000000006</c:v>
                </c:pt>
                <c:pt idx="3">
                  <c:v>-0.41799999999999998</c:v>
                </c:pt>
                <c:pt idx="4">
                  <c:v>-0.53100000000000003</c:v>
                </c:pt>
                <c:pt idx="5">
                  <c:v>-0.63700000000000001</c:v>
                </c:pt>
                <c:pt idx="6">
                  <c:v>-0.71499999999999997</c:v>
                </c:pt>
                <c:pt idx="7">
                  <c:v>-0.75600000000000001</c:v>
                </c:pt>
                <c:pt idx="8">
                  <c:v>-0.76</c:v>
                </c:pt>
                <c:pt idx="9">
                  <c:v>-0.71699999999999997</c:v>
                </c:pt>
                <c:pt idx="10">
                  <c:v>-0.629</c:v>
                </c:pt>
                <c:pt idx="11">
                  <c:v>-0.51600000000000001</c:v>
                </c:pt>
                <c:pt idx="12">
                  <c:v>-0.85499999999999998</c:v>
                </c:pt>
                <c:pt idx="13">
                  <c:v>-0.83199999999999996</c:v>
                </c:pt>
                <c:pt idx="14">
                  <c:v>-0.77500000000000002</c:v>
                </c:pt>
                <c:pt idx="15">
                  <c:v>-0.69599999999999995</c:v>
                </c:pt>
                <c:pt idx="16">
                  <c:v>-0.61199999999999999</c:v>
                </c:pt>
                <c:pt idx="17">
                  <c:v>-0.53900000000000003</c:v>
                </c:pt>
                <c:pt idx="18">
                  <c:v>-0.48099999999999998</c:v>
                </c:pt>
                <c:pt idx="19">
                  <c:v>-0.44</c:v>
                </c:pt>
                <c:pt idx="20">
                  <c:v>-0.39999999999999997</c:v>
                </c:pt>
                <c:pt idx="21">
                  <c:v>-0.36199999999999999</c:v>
                </c:pt>
                <c:pt idx="22">
                  <c:v>-0.34700000000000003</c:v>
                </c:pt>
                <c:pt idx="23">
                  <c:v>-0.36899999999999999</c:v>
                </c:pt>
                <c:pt idx="24">
                  <c:v>-0.41499999999999998</c:v>
                </c:pt>
                <c:pt idx="25">
                  <c:v>-0.45500000000000007</c:v>
                </c:pt>
                <c:pt idx="26">
                  <c:v>-0.45699999999999996</c:v>
                </c:pt>
                <c:pt idx="27">
                  <c:v>-0.39999999999999997</c:v>
                </c:pt>
                <c:pt idx="28">
                  <c:v>-0.186</c:v>
                </c:pt>
                <c:pt idx="29">
                  <c:v>-0.21</c:v>
                </c:pt>
                <c:pt idx="30">
                  <c:v>-0.24999999999999997</c:v>
                </c:pt>
                <c:pt idx="31">
                  <c:v>-0.307</c:v>
                </c:pt>
                <c:pt idx="32">
                  <c:v>-0.35100000000000003</c:v>
                </c:pt>
                <c:pt idx="33">
                  <c:v>-0.36699999999999999</c:v>
                </c:pt>
                <c:pt idx="34">
                  <c:v>-0.35100000000000003</c:v>
                </c:pt>
                <c:pt idx="35">
                  <c:v>-0.317</c:v>
                </c:pt>
                <c:pt idx="36">
                  <c:v>-0.29899999999999999</c:v>
                </c:pt>
                <c:pt idx="37">
                  <c:v>-0.29399999999999998</c:v>
                </c:pt>
                <c:pt idx="38">
                  <c:v>-0.314</c:v>
                </c:pt>
                <c:pt idx="39">
                  <c:v>-0.32800000000000001</c:v>
                </c:pt>
                <c:pt idx="40">
                  <c:v>-0.34199999999999997</c:v>
                </c:pt>
                <c:pt idx="41">
                  <c:v>-0.34199999999999997</c:v>
                </c:pt>
                <c:pt idx="42">
                  <c:v>-0.33</c:v>
                </c:pt>
                <c:pt idx="43">
                  <c:v>-0.31</c:v>
                </c:pt>
                <c:pt idx="44">
                  <c:v>-0.26900000000000002</c:v>
                </c:pt>
                <c:pt idx="45">
                  <c:v>-0.17799999999999999</c:v>
                </c:pt>
                <c:pt idx="46">
                  <c:v>0.129</c:v>
                </c:pt>
                <c:pt idx="47">
                  <c:v>-4.7999999999999987E-2</c:v>
                </c:pt>
                <c:pt idx="48">
                  <c:v>-0.17</c:v>
                </c:pt>
                <c:pt idx="49">
                  <c:v>-0.22999999999999998</c:v>
                </c:pt>
                <c:pt idx="50">
                  <c:v>-0.24400000000000002</c:v>
                </c:pt>
                <c:pt idx="51">
                  <c:v>-0.218</c:v>
                </c:pt>
                <c:pt idx="52">
                  <c:v>-0.15300000000000002</c:v>
                </c:pt>
                <c:pt idx="53">
                  <c:v>-8.500000000000002E-2</c:v>
                </c:pt>
                <c:pt idx="54">
                  <c:v>-3.400000000000003E-2</c:v>
                </c:pt>
                <c:pt idx="55">
                  <c:v>-3.8999999999999979E-2</c:v>
                </c:pt>
                <c:pt idx="56">
                  <c:v>-9.3000000000000027E-2</c:v>
                </c:pt>
                <c:pt idx="57">
                  <c:v>-0.15299999999999997</c:v>
                </c:pt>
                <c:pt idx="58">
                  <c:v>-0.191</c:v>
                </c:pt>
                <c:pt idx="59">
                  <c:v>-0.21200000000000002</c:v>
                </c:pt>
                <c:pt idx="60">
                  <c:v>-0.191</c:v>
                </c:pt>
                <c:pt idx="61">
                  <c:v>-0.15399999999999997</c:v>
                </c:pt>
                <c:pt idx="62">
                  <c:v>-0.129</c:v>
                </c:pt>
                <c:pt idx="63">
                  <c:v>-0.13500000000000001</c:v>
                </c:pt>
                <c:pt idx="64">
                  <c:v>-0.15699999999999997</c:v>
                </c:pt>
                <c:pt idx="65">
                  <c:v>-0.16399999999999998</c:v>
                </c:pt>
                <c:pt idx="66">
                  <c:v>-0.124</c:v>
                </c:pt>
                <c:pt idx="67">
                  <c:v>-3.1999999999999973E-2</c:v>
                </c:pt>
                <c:pt idx="68">
                  <c:v>7.9000000000000015E-2</c:v>
                </c:pt>
                <c:pt idx="69">
                  <c:v>-6.3E-2</c:v>
                </c:pt>
                <c:pt idx="70">
                  <c:v>6.3E-2</c:v>
                </c:pt>
                <c:pt idx="71">
                  <c:v>0.193</c:v>
                </c:pt>
                <c:pt idx="72">
                  <c:v>0.308</c:v>
                </c:pt>
                <c:pt idx="73">
                  <c:v>0.41599999999999998</c:v>
                </c:pt>
                <c:pt idx="74">
                  <c:v>-0.501</c:v>
                </c:pt>
                <c:pt idx="75">
                  <c:v>-0.30500000000000005</c:v>
                </c:pt>
                <c:pt idx="76">
                  <c:v>-0.13100000000000001</c:v>
                </c:pt>
                <c:pt idx="77">
                  <c:v>-2.0000000000000018E-3</c:v>
                </c:pt>
                <c:pt idx="78">
                  <c:v>3.2999999999999988E-2</c:v>
                </c:pt>
                <c:pt idx="79">
                  <c:v>-2.8999999999999998E-2</c:v>
                </c:pt>
                <c:pt idx="80">
                  <c:v>-9.8000000000000004E-2</c:v>
                </c:pt>
                <c:pt idx="81">
                  <c:v>-0.16699999999999998</c:v>
                </c:pt>
                <c:pt idx="82">
                  <c:v>-0.22</c:v>
                </c:pt>
                <c:pt idx="83">
                  <c:v>-0.254</c:v>
                </c:pt>
                <c:pt idx="84">
                  <c:v>-0.26700000000000002</c:v>
                </c:pt>
                <c:pt idx="85">
                  <c:v>-0.23800000000000002</c:v>
                </c:pt>
                <c:pt idx="86">
                  <c:v>-0.156</c:v>
                </c:pt>
                <c:pt idx="87">
                  <c:v>-5.800000000000001E-2</c:v>
                </c:pt>
                <c:pt idx="88">
                  <c:v>-6.0000000000000019E-3</c:v>
                </c:pt>
                <c:pt idx="89">
                  <c:v>-3.6999999999999998E-2</c:v>
                </c:pt>
                <c:pt idx="90">
                  <c:v>-0.122</c:v>
                </c:pt>
                <c:pt idx="91">
                  <c:v>-0.19800000000000001</c:v>
                </c:pt>
                <c:pt idx="92">
                  <c:v>-0.21800000000000003</c:v>
                </c:pt>
                <c:pt idx="93">
                  <c:v>-0.19</c:v>
                </c:pt>
                <c:pt idx="94">
                  <c:v>-0.159</c:v>
                </c:pt>
                <c:pt idx="95">
                  <c:v>-0.10100000000000001</c:v>
                </c:pt>
                <c:pt idx="96">
                  <c:v>-4.5000000000000012E-2</c:v>
                </c:pt>
                <c:pt idx="97">
                  <c:v>-1.2999999999999984E-2</c:v>
                </c:pt>
                <c:pt idx="98">
                  <c:v>5.0000000000000044E-3</c:v>
                </c:pt>
                <c:pt idx="99">
                  <c:v>-2.0000000000000018E-3</c:v>
                </c:pt>
                <c:pt idx="100">
                  <c:v>-6.5999999999999989E-2</c:v>
                </c:pt>
                <c:pt idx="101">
                  <c:v>-0.17399999999999999</c:v>
                </c:pt>
                <c:pt idx="102">
                  <c:v>-0.23199999999999998</c:v>
                </c:pt>
                <c:pt idx="103">
                  <c:v>-0.17499999999999996</c:v>
                </c:pt>
                <c:pt idx="104">
                  <c:v>0.33399999999999996</c:v>
                </c:pt>
                <c:pt idx="105">
                  <c:v>0.191</c:v>
                </c:pt>
                <c:pt idx="106">
                  <c:v>4.1999999999999982E-2</c:v>
                </c:pt>
                <c:pt idx="107">
                  <c:v>-6.4000000000000001E-2</c:v>
                </c:pt>
                <c:pt idx="108">
                  <c:v>-9.7000000000000003E-2</c:v>
                </c:pt>
                <c:pt idx="109">
                  <c:v>-8.7999999999999995E-2</c:v>
                </c:pt>
                <c:pt idx="110">
                  <c:v>-0.06</c:v>
                </c:pt>
                <c:pt idx="111">
                  <c:v>-8.9999999999999802E-3</c:v>
                </c:pt>
                <c:pt idx="112">
                  <c:v>5.0000000000000017E-2</c:v>
                </c:pt>
                <c:pt idx="113">
                  <c:v>9.8000000000000032E-2</c:v>
                </c:pt>
                <c:pt idx="114">
                  <c:v>-3.7999999999999978E-2</c:v>
                </c:pt>
                <c:pt idx="115">
                  <c:v>7.7000000000000013E-2</c:v>
                </c:pt>
                <c:pt idx="116">
                  <c:v>0.19800000000000001</c:v>
                </c:pt>
                <c:pt idx="117">
                  <c:v>0.252</c:v>
                </c:pt>
                <c:pt idx="118">
                  <c:v>0.255</c:v>
                </c:pt>
                <c:pt idx="119">
                  <c:v>0.313</c:v>
                </c:pt>
                <c:pt idx="120">
                  <c:v>0.36699999999999999</c:v>
                </c:pt>
                <c:pt idx="121">
                  <c:v>-0.12099999999999998</c:v>
                </c:pt>
                <c:pt idx="122">
                  <c:v>-0.17100000000000001</c:v>
                </c:pt>
                <c:pt idx="123">
                  <c:v>-0.156</c:v>
                </c:pt>
                <c:pt idx="124">
                  <c:v>-0.11399999999999999</c:v>
                </c:pt>
                <c:pt idx="125">
                  <c:v>-9.8000000000000004E-2</c:v>
                </c:pt>
                <c:pt idx="126">
                  <c:v>-0.124</c:v>
                </c:pt>
                <c:pt idx="127">
                  <c:v>-0.13100000000000001</c:v>
                </c:pt>
                <c:pt idx="128">
                  <c:v>-0.109</c:v>
                </c:pt>
                <c:pt idx="129">
                  <c:v>-7.8999999999999987E-2</c:v>
                </c:pt>
                <c:pt idx="130">
                  <c:v>-4.0000000000000036E-3</c:v>
                </c:pt>
                <c:pt idx="131">
                  <c:v>0.15700000000000003</c:v>
                </c:pt>
                <c:pt idx="132">
                  <c:v>0.36</c:v>
                </c:pt>
                <c:pt idx="133">
                  <c:v>0.18</c:v>
                </c:pt>
                <c:pt idx="134">
                  <c:v>0.11399999999999999</c:v>
                </c:pt>
                <c:pt idx="135">
                  <c:v>-5.0000000000000044E-3</c:v>
                </c:pt>
                <c:pt idx="136">
                  <c:v>-9.799999999999999E-2</c:v>
                </c:pt>
                <c:pt idx="137">
                  <c:v>-0.13900000000000001</c:v>
                </c:pt>
                <c:pt idx="138">
                  <c:v>-0.15600000000000003</c:v>
                </c:pt>
                <c:pt idx="139">
                  <c:v>-0.14100000000000001</c:v>
                </c:pt>
                <c:pt idx="140">
                  <c:v>2.4000000000000021E-2</c:v>
                </c:pt>
                <c:pt idx="141">
                  <c:v>2.200000000000002E-2</c:v>
                </c:pt>
                <c:pt idx="142">
                  <c:v>-1.2000000000000011E-2</c:v>
                </c:pt>
                <c:pt idx="143">
                  <c:v>-5.099999999999999E-2</c:v>
                </c:pt>
                <c:pt idx="144">
                  <c:v>0.13400000000000001</c:v>
                </c:pt>
                <c:pt idx="145">
                  <c:v>0.19800000000000001</c:v>
                </c:pt>
                <c:pt idx="146">
                  <c:v>0.15699999999999997</c:v>
                </c:pt>
                <c:pt idx="147">
                  <c:v>0.13700000000000007</c:v>
                </c:pt>
                <c:pt idx="148">
                  <c:v>0.19400000000000001</c:v>
                </c:pt>
                <c:pt idx="149">
                  <c:v>-0.11299999999999999</c:v>
                </c:pt>
                <c:pt idx="150">
                  <c:v>-0.15700000000000003</c:v>
                </c:pt>
                <c:pt idx="151">
                  <c:v>-0.17200000000000004</c:v>
                </c:pt>
                <c:pt idx="152">
                  <c:v>-0.23699999999999999</c:v>
                </c:pt>
                <c:pt idx="153">
                  <c:v>-0.28499999999999998</c:v>
                </c:pt>
                <c:pt idx="154">
                  <c:v>-0.25799999999999995</c:v>
                </c:pt>
                <c:pt idx="155">
                  <c:v>0.58799999999999997</c:v>
                </c:pt>
                <c:pt idx="156">
                  <c:v>0.65900000000000003</c:v>
                </c:pt>
                <c:pt idx="157">
                  <c:v>-0.42599999999999999</c:v>
                </c:pt>
                <c:pt idx="158">
                  <c:v>-0.44399999999999995</c:v>
                </c:pt>
                <c:pt idx="159">
                  <c:v>-0.47299999999999998</c:v>
                </c:pt>
                <c:pt idx="160">
                  <c:v>-0.503</c:v>
                </c:pt>
                <c:pt idx="161">
                  <c:v>-0.52300000000000002</c:v>
                </c:pt>
                <c:pt idx="162">
                  <c:v>-0.53100000000000003</c:v>
                </c:pt>
                <c:pt idx="163">
                  <c:v>-0.53799999999999992</c:v>
                </c:pt>
                <c:pt idx="164">
                  <c:v>-0.54699999999999993</c:v>
                </c:pt>
                <c:pt idx="165">
                  <c:v>-0.57099999999999995</c:v>
                </c:pt>
                <c:pt idx="166">
                  <c:v>-0.60199999999999998</c:v>
                </c:pt>
                <c:pt idx="167">
                  <c:v>-0.63200000000000001</c:v>
                </c:pt>
                <c:pt idx="168">
                  <c:v>-0.65400000000000003</c:v>
                </c:pt>
                <c:pt idx="169">
                  <c:v>-0.19199999999999995</c:v>
                </c:pt>
                <c:pt idx="170">
                  <c:v>-0.32800000000000001</c:v>
                </c:pt>
                <c:pt idx="171">
                  <c:v>-0.44899999999999995</c:v>
                </c:pt>
                <c:pt idx="172">
                  <c:v>-0.51400000000000001</c:v>
                </c:pt>
                <c:pt idx="173">
                  <c:v>-0.54199999999999993</c:v>
                </c:pt>
                <c:pt idx="174">
                  <c:v>-0.55699999999999994</c:v>
                </c:pt>
                <c:pt idx="175">
                  <c:v>-0.58399999999999996</c:v>
                </c:pt>
                <c:pt idx="176">
                  <c:v>-0.60799999999999998</c:v>
                </c:pt>
                <c:pt idx="177">
                  <c:v>-0.61299999999999999</c:v>
                </c:pt>
                <c:pt idx="178">
                  <c:v>-0.58700000000000008</c:v>
                </c:pt>
                <c:pt idx="179">
                  <c:v>-0.52700000000000002</c:v>
                </c:pt>
                <c:pt idx="180">
                  <c:v>-0.44400000000000001</c:v>
                </c:pt>
                <c:pt idx="181">
                  <c:v>-0.36099999999999999</c:v>
                </c:pt>
                <c:pt idx="182">
                  <c:v>-0.33</c:v>
                </c:pt>
                <c:pt idx="183">
                  <c:v>-0.377</c:v>
                </c:pt>
                <c:pt idx="184">
                  <c:v>-0.47700000000000004</c:v>
                </c:pt>
                <c:pt idx="185">
                  <c:v>-0.57899999999999996</c:v>
                </c:pt>
                <c:pt idx="186">
                  <c:v>-0.65600000000000003</c:v>
                </c:pt>
                <c:pt idx="187">
                  <c:v>-0.66599999999999993</c:v>
                </c:pt>
                <c:pt idx="188">
                  <c:v>-0.61899999999999999</c:v>
                </c:pt>
                <c:pt idx="189">
                  <c:v>-0.55499999999999994</c:v>
                </c:pt>
                <c:pt idx="190">
                  <c:v>-0.51100000000000001</c:v>
                </c:pt>
                <c:pt idx="191">
                  <c:v>-0.51</c:v>
                </c:pt>
                <c:pt idx="192">
                  <c:v>-0.47499999999999998</c:v>
                </c:pt>
                <c:pt idx="193">
                  <c:v>-0.42599999999999999</c:v>
                </c:pt>
                <c:pt idx="194">
                  <c:v>-0.10900000000000001</c:v>
                </c:pt>
                <c:pt idx="195">
                  <c:v>-0.17299999999999999</c:v>
                </c:pt>
                <c:pt idx="196">
                  <c:v>-0.19</c:v>
                </c:pt>
                <c:pt idx="197">
                  <c:v>-0.17199999999999999</c:v>
                </c:pt>
                <c:pt idx="198">
                  <c:v>-0.155</c:v>
                </c:pt>
                <c:pt idx="199">
                  <c:v>-0.13899999999999998</c:v>
                </c:pt>
                <c:pt idx="200">
                  <c:v>-0.114</c:v>
                </c:pt>
                <c:pt idx="201">
                  <c:v>-9.8999999999999991E-2</c:v>
                </c:pt>
                <c:pt idx="202">
                  <c:v>-8.7999999999999995E-2</c:v>
                </c:pt>
                <c:pt idx="203">
                  <c:v>-8.4000000000000005E-2</c:v>
                </c:pt>
                <c:pt idx="204">
                  <c:v>-8.5000000000000006E-2</c:v>
                </c:pt>
                <c:pt idx="205">
                  <c:v>-8.2000000000000003E-2</c:v>
                </c:pt>
                <c:pt idx="206">
                  <c:v>-8.0999999999999989E-2</c:v>
                </c:pt>
                <c:pt idx="207">
                  <c:v>-8.6999999999999994E-2</c:v>
                </c:pt>
                <c:pt idx="208">
                  <c:v>-8.7999999999999995E-2</c:v>
                </c:pt>
                <c:pt idx="209">
                  <c:v>-7.8E-2</c:v>
                </c:pt>
                <c:pt idx="210">
                  <c:v>-7.9000000000000001E-2</c:v>
                </c:pt>
                <c:pt idx="211">
                  <c:v>-0.112</c:v>
                </c:pt>
                <c:pt idx="212">
                  <c:v>-0.13500000000000001</c:v>
                </c:pt>
                <c:pt idx="213">
                  <c:v>-0.14599999999999999</c:v>
                </c:pt>
                <c:pt idx="214">
                  <c:v>-0.14500000000000002</c:v>
                </c:pt>
                <c:pt idx="215">
                  <c:v>-0.14000000000000001</c:v>
                </c:pt>
                <c:pt idx="216">
                  <c:v>-0.14000000000000001</c:v>
                </c:pt>
                <c:pt idx="217">
                  <c:v>-0.13999999999999999</c:v>
                </c:pt>
                <c:pt idx="218">
                  <c:v>-0.13699999999999998</c:v>
                </c:pt>
                <c:pt idx="219">
                  <c:v>-0.14699999999999999</c:v>
                </c:pt>
                <c:pt idx="220">
                  <c:v>-0.159</c:v>
                </c:pt>
                <c:pt idx="221">
                  <c:v>-0.17699999999999999</c:v>
                </c:pt>
                <c:pt idx="222">
                  <c:v>-0.20299999999999999</c:v>
                </c:pt>
                <c:pt idx="223">
                  <c:v>-0.222</c:v>
                </c:pt>
                <c:pt idx="224">
                  <c:v>-0.248</c:v>
                </c:pt>
                <c:pt idx="225">
                  <c:v>-0.28800000000000003</c:v>
                </c:pt>
                <c:pt idx="226">
                  <c:v>-0.316</c:v>
                </c:pt>
                <c:pt idx="227">
                  <c:v>-0.34100000000000003</c:v>
                </c:pt>
                <c:pt idx="228">
                  <c:v>-0.35700000000000004</c:v>
                </c:pt>
                <c:pt idx="229">
                  <c:v>-0.34799999999999998</c:v>
                </c:pt>
                <c:pt idx="230">
                  <c:v>-0.32800000000000001</c:v>
                </c:pt>
                <c:pt idx="231">
                  <c:v>-0.33100000000000002</c:v>
                </c:pt>
                <c:pt idx="232">
                  <c:v>-0.33900000000000002</c:v>
                </c:pt>
                <c:pt idx="233">
                  <c:v>-0.34199999999999997</c:v>
                </c:pt>
                <c:pt idx="234">
                  <c:v>-0.33499999999999996</c:v>
                </c:pt>
                <c:pt idx="235">
                  <c:v>7.7999999999999958E-2</c:v>
                </c:pt>
                <c:pt idx="236">
                  <c:v>-7.8999999999999987E-2</c:v>
                </c:pt>
                <c:pt idx="237">
                  <c:v>-0.251</c:v>
                </c:pt>
                <c:pt idx="238">
                  <c:v>-0.436</c:v>
                </c:pt>
                <c:pt idx="239">
                  <c:v>-0.47499999999999998</c:v>
                </c:pt>
                <c:pt idx="240">
                  <c:v>-0.39899999999999997</c:v>
                </c:pt>
                <c:pt idx="241">
                  <c:v>-0.32200000000000006</c:v>
                </c:pt>
                <c:pt idx="242">
                  <c:v>-0.32699999999999996</c:v>
                </c:pt>
                <c:pt idx="243">
                  <c:v>-0.34899999999999998</c:v>
                </c:pt>
                <c:pt idx="244">
                  <c:v>-0.32300000000000001</c:v>
                </c:pt>
                <c:pt idx="245">
                  <c:v>-0.24099999999999999</c:v>
                </c:pt>
                <c:pt idx="246">
                  <c:v>-0.122</c:v>
                </c:pt>
                <c:pt idx="247">
                  <c:v>-0.06</c:v>
                </c:pt>
                <c:pt idx="248">
                  <c:v>-9.9000000000000032E-2</c:v>
                </c:pt>
                <c:pt idx="249">
                  <c:v>-0.17800000000000002</c:v>
                </c:pt>
                <c:pt idx="250">
                  <c:v>-0.26500000000000001</c:v>
                </c:pt>
                <c:pt idx="251">
                  <c:v>-0.24100000000000002</c:v>
                </c:pt>
                <c:pt idx="252">
                  <c:v>0.11299999999999999</c:v>
                </c:pt>
                <c:pt idx="253">
                  <c:v>1.0999999999999982E-2</c:v>
                </c:pt>
                <c:pt idx="254">
                  <c:v>-7.5999999999999998E-2</c:v>
                </c:pt>
                <c:pt idx="255">
                  <c:v>-0.13200000000000001</c:v>
                </c:pt>
                <c:pt idx="256">
                  <c:v>-0.15500000000000003</c:v>
                </c:pt>
                <c:pt idx="257">
                  <c:v>-0.157</c:v>
                </c:pt>
                <c:pt idx="258">
                  <c:v>-0.154</c:v>
                </c:pt>
                <c:pt idx="259">
                  <c:v>-0.151</c:v>
                </c:pt>
                <c:pt idx="260">
                  <c:v>-0.153</c:v>
                </c:pt>
                <c:pt idx="261">
                  <c:v>-0.158</c:v>
                </c:pt>
                <c:pt idx="262">
                  <c:v>-0.158</c:v>
                </c:pt>
                <c:pt idx="263">
                  <c:v>-0.14399999999999999</c:v>
                </c:pt>
                <c:pt idx="264">
                  <c:v>-0.11300000000000002</c:v>
                </c:pt>
                <c:pt idx="265">
                  <c:v>-6.9000000000000006E-2</c:v>
                </c:pt>
                <c:pt idx="266">
                  <c:v>-2.1999999999999999E-2</c:v>
                </c:pt>
                <c:pt idx="267">
                  <c:v>1.9000000000000003E-2</c:v>
                </c:pt>
                <c:pt idx="268">
                  <c:v>4.9000000000000002E-2</c:v>
                </c:pt>
                <c:pt idx="269">
                  <c:v>6.3E-2</c:v>
                </c:pt>
                <c:pt idx="270">
                  <c:v>6.5000000000000002E-2</c:v>
                </c:pt>
                <c:pt idx="271">
                  <c:v>6.1000000000000006E-2</c:v>
                </c:pt>
                <c:pt idx="272">
                  <c:v>5.1000000000000004E-2</c:v>
                </c:pt>
                <c:pt idx="273">
                  <c:v>3.6000000000000004E-2</c:v>
                </c:pt>
                <c:pt idx="274">
                  <c:v>1.1999999999999997E-2</c:v>
                </c:pt>
                <c:pt idx="275">
                  <c:v>-1.1999999999999997E-2</c:v>
                </c:pt>
                <c:pt idx="276">
                  <c:v>-0.03</c:v>
                </c:pt>
                <c:pt idx="277">
                  <c:v>-3.2000000000000001E-2</c:v>
                </c:pt>
                <c:pt idx="278">
                  <c:v>-1.3999999999999999E-2</c:v>
                </c:pt>
                <c:pt idx="279">
                  <c:v>9.000000000000008E-3</c:v>
                </c:pt>
                <c:pt idx="280">
                  <c:v>2.9999999999999985E-2</c:v>
                </c:pt>
                <c:pt idx="281">
                  <c:v>6.1000000000000026E-2</c:v>
                </c:pt>
                <c:pt idx="282">
                  <c:v>0.11199999999999999</c:v>
                </c:pt>
                <c:pt idx="283">
                  <c:v>0.191</c:v>
                </c:pt>
                <c:pt idx="284">
                  <c:v>-1.7000000000000015E-2</c:v>
                </c:pt>
                <c:pt idx="285">
                  <c:v>-0.11799999999999999</c:v>
                </c:pt>
                <c:pt idx="286">
                  <c:v>-0.17499999999999999</c:v>
                </c:pt>
                <c:pt idx="287">
                  <c:v>-0.20600000000000002</c:v>
                </c:pt>
                <c:pt idx="288">
                  <c:v>-0.223</c:v>
                </c:pt>
                <c:pt idx="289">
                  <c:v>-0.23300000000000001</c:v>
                </c:pt>
                <c:pt idx="290">
                  <c:v>-0.26199999999999996</c:v>
                </c:pt>
                <c:pt idx="291">
                  <c:v>-0.28199999999999997</c:v>
                </c:pt>
                <c:pt idx="292">
                  <c:v>-0.28999999999999998</c:v>
                </c:pt>
                <c:pt idx="293">
                  <c:v>-0.28899999999999998</c:v>
                </c:pt>
                <c:pt idx="294">
                  <c:v>-0.27899999999999997</c:v>
                </c:pt>
                <c:pt idx="295">
                  <c:v>-0.26200000000000001</c:v>
                </c:pt>
                <c:pt idx="296">
                  <c:v>-0.23399999999999999</c:v>
                </c:pt>
                <c:pt idx="297">
                  <c:v>-0.186</c:v>
                </c:pt>
                <c:pt idx="298">
                  <c:v>-0.13200000000000001</c:v>
                </c:pt>
                <c:pt idx="299">
                  <c:v>-9.7000000000000003E-2</c:v>
                </c:pt>
                <c:pt idx="300">
                  <c:v>-8.7999999999999995E-2</c:v>
                </c:pt>
                <c:pt idx="301">
                  <c:v>-9.8000000000000004E-2</c:v>
                </c:pt>
                <c:pt idx="302">
                  <c:v>-0.11699999999999999</c:v>
                </c:pt>
                <c:pt idx="303">
                  <c:v>-0.14200000000000002</c:v>
                </c:pt>
                <c:pt idx="304">
                  <c:v>-0.154</c:v>
                </c:pt>
                <c:pt idx="305">
                  <c:v>-0.157</c:v>
                </c:pt>
                <c:pt idx="306">
                  <c:v>-0.16400000000000001</c:v>
                </c:pt>
                <c:pt idx="307">
                  <c:v>-0.16700000000000001</c:v>
                </c:pt>
                <c:pt idx="308">
                  <c:v>-0.16300000000000001</c:v>
                </c:pt>
                <c:pt idx="309">
                  <c:v>-0.157</c:v>
                </c:pt>
                <c:pt idx="310">
                  <c:v>-0.14799999999999999</c:v>
                </c:pt>
                <c:pt idx="311">
                  <c:v>-0.124</c:v>
                </c:pt>
                <c:pt idx="312">
                  <c:v>-9.2999999999999999E-2</c:v>
                </c:pt>
                <c:pt idx="313">
                  <c:v>-7.3999999999999996E-2</c:v>
                </c:pt>
                <c:pt idx="314">
                  <c:v>-6.7000000000000004E-2</c:v>
                </c:pt>
                <c:pt idx="315">
                  <c:v>-6.5000000000000002E-2</c:v>
                </c:pt>
                <c:pt idx="316">
                  <c:v>-6.5000000000000002E-2</c:v>
                </c:pt>
                <c:pt idx="317">
                  <c:v>-6.7000000000000004E-2</c:v>
                </c:pt>
                <c:pt idx="318">
                  <c:v>-7.2999999999999995E-2</c:v>
                </c:pt>
                <c:pt idx="319">
                  <c:v>-7.9000000000000001E-2</c:v>
                </c:pt>
                <c:pt idx="320">
                  <c:v>-7.3000000000000009E-2</c:v>
                </c:pt>
                <c:pt idx="321">
                  <c:v>-4.4000000000000011E-2</c:v>
                </c:pt>
                <c:pt idx="322">
                  <c:v>2.4999999999999994E-2</c:v>
                </c:pt>
                <c:pt idx="323">
                  <c:v>-0.26500000000000001</c:v>
                </c:pt>
                <c:pt idx="324">
                  <c:v>-0.218</c:v>
                </c:pt>
                <c:pt idx="325">
                  <c:v>-0.18</c:v>
                </c:pt>
                <c:pt idx="326">
                  <c:v>-0.13500000000000001</c:v>
                </c:pt>
                <c:pt idx="327">
                  <c:v>-7.400000000000001E-2</c:v>
                </c:pt>
                <c:pt idx="328">
                  <c:v>-6.9999999999999993E-3</c:v>
                </c:pt>
                <c:pt idx="329">
                  <c:v>3.6999999999999998E-2</c:v>
                </c:pt>
                <c:pt idx="330">
                  <c:v>4.1000000000000002E-2</c:v>
                </c:pt>
                <c:pt idx="331">
                  <c:v>9.0000000000000011E-3</c:v>
                </c:pt>
                <c:pt idx="332">
                  <c:v>-3.7000000000000005E-2</c:v>
                </c:pt>
                <c:pt idx="333">
                  <c:v>-7.400000000000001E-2</c:v>
                </c:pt>
                <c:pt idx="334">
                  <c:v>-8.8999999999999996E-2</c:v>
                </c:pt>
                <c:pt idx="335">
                  <c:v>-8.4999999999999992E-2</c:v>
                </c:pt>
                <c:pt idx="336">
                  <c:v>-7.5999999999999998E-2</c:v>
                </c:pt>
                <c:pt idx="337">
                  <c:v>-7.400000000000001E-2</c:v>
                </c:pt>
                <c:pt idx="338">
                  <c:v>-8.199999999999999E-2</c:v>
                </c:pt>
                <c:pt idx="339">
                  <c:v>-9.3000000000000013E-2</c:v>
                </c:pt>
                <c:pt idx="340">
                  <c:v>-0.10099999999999999</c:v>
                </c:pt>
                <c:pt idx="341">
                  <c:v>-0.108</c:v>
                </c:pt>
                <c:pt idx="342">
                  <c:v>-0.11499999999999999</c:v>
                </c:pt>
                <c:pt idx="343">
                  <c:v>-0.122</c:v>
                </c:pt>
                <c:pt idx="344">
                  <c:v>-0.121</c:v>
                </c:pt>
                <c:pt idx="345">
                  <c:v>-0.10700000000000001</c:v>
                </c:pt>
                <c:pt idx="346">
                  <c:v>-6.4999999999999988E-2</c:v>
                </c:pt>
                <c:pt idx="347">
                  <c:v>2.4999999999999994E-2</c:v>
                </c:pt>
                <c:pt idx="348">
                  <c:v>-0.56799999999999995</c:v>
                </c:pt>
                <c:pt idx="349">
                  <c:v>-0.49299999999999999</c:v>
                </c:pt>
                <c:pt idx="350">
                  <c:v>-0.36299999999999999</c:v>
                </c:pt>
                <c:pt idx="351">
                  <c:v>-0.28100000000000003</c:v>
                </c:pt>
                <c:pt idx="352">
                  <c:v>-0.20300000000000001</c:v>
                </c:pt>
                <c:pt idx="353">
                  <c:v>-0.129</c:v>
                </c:pt>
                <c:pt idx="354">
                  <c:v>-7.8000000000000014E-2</c:v>
                </c:pt>
                <c:pt idx="355">
                  <c:v>-7.8000000000000014E-2</c:v>
                </c:pt>
                <c:pt idx="356">
                  <c:v>-0.53699999999999992</c:v>
                </c:pt>
                <c:pt idx="357">
                  <c:v>-0.55700000000000005</c:v>
                </c:pt>
                <c:pt idx="358">
                  <c:v>-0.53499999999999992</c:v>
                </c:pt>
                <c:pt idx="359">
                  <c:v>-0.5</c:v>
                </c:pt>
                <c:pt idx="360">
                  <c:v>-0.432</c:v>
                </c:pt>
                <c:pt idx="361">
                  <c:v>-0.35800000000000004</c:v>
                </c:pt>
                <c:pt idx="362">
                  <c:v>-0.30399999999999994</c:v>
                </c:pt>
                <c:pt idx="363">
                  <c:v>-0.29800000000000004</c:v>
                </c:pt>
                <c:pt idx="364">
                  <c:v>-0.32700000000000007</c:v>
                </c:pt>
                <c:pt idx="365">
                  <c:v>-0.38500000000000001</c:v>
                </c:pt>
                <c:pt idx="366">
                  <c:v>-0.77800000000000002</c:v>
                </c:pt>
                <c:pt idx="367">
                  <c:v>-0.748</c:v>
                </c:pt>
                <c:pt idx="368">
                  <c:v>-0.70600000000000007</c:v>
                </c:pt>
                <c:pt idx="369">
                  <c:v>-0.68099999999999994</c:v>
                </c:pt>
                <c:pt idx="370">
                  <c:v>-0.66899999999999993</c:v>
                </c:pt>
                <c:pt idx="371">
                  <c:v>-0.64200000000000002</c:v>
                </c:pt>
                <c:pt idx="372">
                  <c:v>-0.60699999999999998</c:v>
                </c:pt>
                <c:pt idx="373">
                  <c:v>-0.60299999999999998</c:v>
                </c:pt>
                <c:pt idx="374">
                  <c:v>-0.42299999999999999</c:v>
                </c:pt>
                <c:pt idx="375">
                  <c:v>-0.26400000000000001</c:v>
                </c:pt>
                <c:pt idx="376">
                  <c:v>-0.13899999999999998</c:v>
                </c:pt>
                <c:pt idx="377">
                  <c:v>-3.0000000000000027E-3</c:v>
                </c:pt>
                <c:pt idx="378">
                  <c:v>0.105</c:v>
                </c:pt>
                <c:pt idx="379">
                  <c:v>6.6000000000000003E-2</c:v>
                </c:pt>
                <c:pt idx="380">
                  <c:v>-0.54700000000000004</c:v>
                </c:pt>
                <c:pt idx="381">
                  <c:v>-0.53</c:v>
                </c:pt>
                <c:pt idx="382">
                  <c:v>-0.628</c:v>
                </c:pt>
                <c:pt idx="383">
                  <c:v>-0.74199999999999999</c:v>
                </c:pt>
                <c:pt idx="384">
                  <c:v>-0.4</c:v>
                </c:pt>
                <c:pt idx="385">
                  <c:v>-0.45999999999999996</c:v>
                </c:pt>
                <c:pt idx="386">
                  <c:v>-0.495</c:v>
                </c:pt>
                <c:pt idx="387">
                  <c:v>-0.49399999999999999</c:v>
                </c:pt>
                <c:pt idx="388">
                  <c:v>-0.44899999999999995</c:v>
                </c:pt>
                <c:pt idx="389">
                  <c:v>-0.46700000000000003</c:v>
                </c:pt>
                <c:pt idx="390">
                  <c:v>-0.41800000000000004</c:v>
                </c:pt>
                <c:pt idx="391">
                  <c:v>-0.376</c:v>
                </c:pt>
                <c:pt idx="392">
                  <c:v>-0.34199999999999997</c:v>
                </c:pt>
                <c:pt idx="393">
                  <c:v>-0.311</c:v>
                </c:pt>
                <c:pt idx="394">
                  <c:v>-0.27799999999999997</c:v>
                </c:pt>
                <c:pt idx="395">
                  <c:v>-0.25</c:v>
                </c:pt>
                <c:pt idx="396">
                  <c:v>-0.23400000000000001</c:v>
                </c:pt>
                <c:pt idx="397">
                  <c:v>-0.23499999999999999</c:v>
                </c:pt>
                <c:pt idx="398">
                  <c:v>-0.25</c:v>
                </c:pt>
                <c:pt idx="399">
                  <c:v>-0.26700000000000002</c:v>
                </c:pt>
                <c:pt idx="400">
                  <c:v>-0.28599999999999998</c:v>
                </c:pt>
                <c:pt idx="401">
                  <c:v>-0.313</c:v>
                </c:pt>
                <c:pt idx="402">
                  <c:v>-0.12900000000000003</c:v>
                </c:pt>
                <c:pt idx="403">
                  <c:v>-0.16699999999999998</c:v>
                </c:pt>
                <c:pt idx="404">
                  <c:v>-0.15399999999999997</c:v>
                </c:pt>
                <c:pt idx="405">
                  <c:v>-0.10400000000000001</c:v>
                </c:pt>
                <c:pt idx="406">
                  <c:v>-0.26900000000000007</c:v>
                </c:pt>
                <c:pt idx="407">
                  <c:v>-0.32800000000000001</c:v>
                </c:pt>
                <c:pt idx="408">
                  <c:v>-0.33300000000000002</c:v>
                </c:pt>
                <c:pt idx="409">
                  <c:v>-0.33999999999999997</c:v>
                </c:pt>
                <c:pt idx="410">
                  <c:v>-0.34499999999999997</c:v>
                </c:pt>
                <c:pt idx="411">
                  <c:v>-0.34799999999999998</c:v>
                </c:pt>
                <c:pt idx="412">
                  <c:v>-0.34799999999999998</c:v>
                </c:pt>
                <c:pt idx="413">
                  <c:v>-0.33699999999999997</c:v>
                </c:pt>
                <c:pt idx="414">
                  <c:v>-0.33299999999999996</c:v>
                </c:pt>
                <c:pt idx="415">
                  <c:v>-0.34100000000000003</c:v>
                </c:pt>
                <c:pt idx="416">
                  <c:v>-0.32900000000000001</c:v>
                </c:pt>
                <c:pt idx="417">
                  <c:v>-0.25</c:v>
                </c:pt>
                <c:pt idx="418">
                  <c:v>-0.154</c:v>
                </c:pt>
                <c:pt idx="419">
                  <c:v>7.000000000000001E-3</c:v>
                </c:pt>
                <c:pt idx="420">
                  <c:v>-5.1000000000000004E-2</c:v>
                </c:pt>
                <c:pt idx="421">
                  <c:v>-0.159</c:v>
                </c:pt>
                <c:pt idx="422">
                  <c:v>-0.26300000000000001</c:v>
                </c:pt>
                <c:pt idx="423">
                  <c:v>-0.32100000000000001</c:v>
                </c:pt>
                <c:pt idx="424">
                  <c:v>-0.27600000000000002</c:v>
                </c:pt>
                <c:pt idx="425">
                  <c:v>-0.19400000000000001</c:v>
                </c:pt>
                <c:pt idx="426">
                  <c:v>-7.1999999999999995E-2</c:v>
                </c:pt>
                <c:pt idx="427">
                  <c:v>4.8000000000000001E-2</c:v>
                </c:pt>
                <c:pt idx="428">
                  <c:v>0.15100000000000002</c:v>
                </c:pt>
                <c:pt idx="429">
                  <c:v>0.22800000000000004</c:v>
                </c:pt>
                <c:pt idx="430">
                  <c:v>0.25600000000000001</c:v>
                </c:pt>
                <c:pt idx="431">
                  <c:v>0.219</c:v>
                </c:pt>
                <c:pt idx="432">
                  <c:v>0.13300000000000001</c:v>
                </c:pt>
                <c:pt idx="433">
                  <c:v>2.5000000000000022E-2</c:v>
                </c:pt>
                <c:pt idx="434">
                  <c:v>-6.2E-2</c:v>
                </c:pt>
                <c:pt idx="435">
                  <c:v>-8.6000000000000021E-2</c:v>
                </c:pt>
                <c:pt idx="436">
                  <c:v>-5.6999999999999995E-2</c:v>
                </c:pt>
                <c:pt idx="437">
                  <c:v>-1.3000000000000012E-2</c:v>
                </c:pt>
                <c:pt idx="438">
                  <c:v>-6.0000000000000053E-3</c:v>
                </c:pt>
                <c:pt idx="439">
                  <c:v>-5.7999999999999996E-2</c:v>
                </c:pt>
                <c:pt idx="440">
                  <c:v>-0.14600000000000002</c:v>
                </c:pt>
                <c:pt idx="441">
                  <c:v>-0.22600000000000001</c:v>
                </c:pt>
                <c:pt idx="442">
                  <c:v>-0.27500000000000002</c:v>
                </c:pt>
                <c:pt idx="443">
                  <c:v>-0.27099999999999996</c:v>
                </c:pt>
                <c:pt idx="444">
                  <c:v>-0.21899999999999997</c:v>
                </c:pt>
                <c:pt idx="445">
                  <c:v>-0.10999999999999999</c:v>
                </c:pt>
                <c:pt idx="446">
                  <c:v>1.0000000000000009E-3</c:v>
                </c:pt>
                <c:pt idx="447">
                  <c:v>4.6999999999999986E-2</c:v>
                </c:pt>
                <c:pt idx="448">
                  <c:v>7.0000000000000062E-3</c:v>
                </c:pt>
                <c:pt idx="449">
                  <c:v>-7.8000000000000014E-2</c:v>
                </c:pt>
                <c:pt idx="450">
                  <c:v>-0.14399999999999999</c:v>
                </c:pt>
                <c:pt idx="451">
                  <c:v>-0.16199999999999998</c:v>
                </c:pt>
                <c:pt idx="452">
                  <c:v>-0.14800000000000002</c:v>
                </c:pt>
                <c:pt idx="453">
                  <c:v>-0.11899999999999999</c:v>
                </c:pt>
                <c:pt idx="454">
                  <c:v>-9.2999999999999999E-2</c:v>
                </c:pt>
                <c:pt idx="455">
                  <c:v>-7.400000000000001E-2</c:v>
                </c:pt>
                <c:pt idx="456">
                  <c:v>-3.5000000000000031E-2</c:v>
                </c:pt>
                <c:pt idx="457">
                  <c:v>2.300000000000002E-2</c:v>
                </c:pt>
                <c:pt idx="458">
                  <c:v>-0.46200000000000008</c:v>
                </c:pt>
                <c:pt idx="459">
                  <c:v>-0.35600000000000004</c:v>
                </c:pt>
                <c:pt idx="460">
                  <c:v>-0.223</c:v>
                </c:pt>
                <c:pt idx="461">
                  <c:v>-0.11299999999999999</c:v>
                </c:pt>
                <c:pt idx="462">
                  <c:v>-4.6999999999999986E-2</c:v>
                </c:pt>
                <c:pt idx="463">
                  <c:v>-0.16799999999999998</c:v>
                </c:pt>
                <c:pt idx="464">
                  <c:v>-0.21399999999999997</c:v>
                </c:pt>
                <c:pt idx="465">
                  <c:v>-0.21100000000000002</c:v>
                </c:pt>
                <c:pt idx="466">
                  <c:v>-0.154</c:v>
                </c:pt>
                <c:pt idx="467">
                  <c:v>-7.5000000000000011E-2</c:v>
                </c:pt>
                <c:pt idx="468">
                  <c:v>-3.7000000000000033E-2</c:v>
                </c:pt>
                <c:pt idx="469">
                  <c:v>-3.2000000000000028E-2</c:v>
                </c:pt>
                <c:pt idx="470">
                  <c:v>0.128</c:v>
                </c:pt>
                <c:pt idx="471">
                  <c:v>0.20200000000000001</c:v>
                </c:pt>
                <c:pt idx="472">
                  <c:v>0.33400000000000002</c:v>
                </c:pt>
                <c:pt idx="473">
                  <c:v>0.54400000000000004</c:v>
                </c:pt>
                <c:pt idx="474">
                  <c:v>0.14299999999999999</c:v>
                </c:pt>
                <c:pt idx="475">
                  <c:v>-5.099999999999999E-2</c:v>
                </c:pt>
                <c:pt idx="476">
                  <c:v>-0.193</c:v>
                </c:pt>
                <c:pt idx="477">
                  <c:v>-0.28300000000000003</c:v>
                </c:pt>
                <c:pt idx="478">
                  <c:v>-0.33800000000000002</c:v>
                </c:pt>
                <c:pt idx="479">
                  <c:v>-0.35899999999999999</c:v>
                </c:pt>
                <c:pt idx="480">
                  <c:v>-0.34299999999999997</c:v>
                </c:pt>
                <c:pt idx="481">
                  <c:v>-0.30299999999999999</c:v>
                </c:pt>
                <c:pt idx="482">
                  <c:v>-0.26200000000000001</c:v>
                </c:pt>
                <c:pt idx="483">
                  <c:v>-0.24399999999999999</c:v>
                </c:pt>
                <c:pt idx="484">
                  <c:v>-0.25600000000000001</c:v>
                </c:pt>
                <c:pt idx="485">
                  <c:v>-0.29300000000000004</c:v>
                </c:pt>
                <c:pt idx="486">
                  <c:v>-0.34199999999999997</c:v>
                </c:pt>
                <c:pt idx="487">
                  <c:v>-0.374</c:v>
                </c:pt>
                <c:pt idx="488">
                  <c:v>-0.25800000000000001</c:v>
                </c:pt>
                <c:pt idx="489">
                  <c:v>-0.21400000000000002</c:v>
                </c:pt>
                <c:pt idx="490">
                  <c:v>-0.46300000000000002</c:v>
                </c:pt>
                <c:pt idx="491">
                  <c:v>-0.56800000000000006</c:v>
                </c:pt>
                <c:pt idx="492">
                  <c:v>-0.64900000000000002</c:v>
                </c:pt>
                <c:pt idx="493">
                  <c:v>-0.69399999999999995</c:v>
                </c:pt>
                <c:pt idx="494">
                  <c:v>-0.68899999999999995</c:v>
                </c:pt>
                <c:pt idx="495">
                  <c:v>-0.64500000000000002</c:v>
                </c:pt>
                <c:pt idx="496">
                  <c:v>-0.59099999999999997</c:v>
                </c:pt>
                <c:pt idx="497">
                  <c:v>-0.54499999999999993</c:v>
                </c:pt>
                <c:pt idx="498">
                  <c:v>-0.51400000000000001</c:v>
                </c:pt>
                <c:pt idx="499">
                  <c:v>-0.497</c:v>
                </c:pt>
                <c:pt idx="500">
                  <c:v>-0.49</c:v>
                </c:pt>
                <c:pt idx="501">
                  <c:v>-0.48699999999999999</c:v>
                </c:pt>
                <c:pt idx="502">
                  <c:v>-0.49299999999999999</c:v>
                </c:pt>
                <c:pt idx="503">
                  <c:v>-0.51300000000000001</c:v>
                </c:pt>
                <c:pt idx="504">
                  <c:v>-0.52800000000000002</c:v>
                </c:pt>
                <c:pt idx="505">
                  <c:v>-0.51500000000000001</c:v>
                </c:pt>
                <c:pt idx="506">
                  <c:v>-0.47699999999999998</c:v>
                </c:pt>
                <c:pt idx="507">
                  <c:v>-0.44499999999999995</c:v>
                </c:pt>
                <c:pt idx="508">
                  <c:v>-0.42599999999999999</c:v>
                </c:pt>
                <c:pt idx="509">
                  <c:v>-0.41499999999999998</c:v>
                </c:pt>
                <c:pt idx="510">
                  <c:v>-0.40300000000000002</c:v>
                </c:pt>
                <c:pt idx="511">
                  <c:v>-0.40200000000000002</c:v>
                </c:pt>
                <c:pt idx="512">
                  <c:v>-0.42099999999999999</c:v>
                </c:pt>
                <c:pt idx="513">
                  <c:v>-0.439</c:v>
                </c:pt>
                <c:pt idx="514">
                  <c:v>-0.43799999999999994</c:v>
                </c:pt>
                <c:pt idx="515">
                  <c:v>-0.42799999999999999</c:v>
                </c:pt>
                <c:pt idx="516">
                  <c:v>-0.42199999999999999</c:v>
                </c:pt>
                <c:pt idx="517">
                  <c:v>-0.42199999999999999</c:v>
                </c:pt>
                <c:pt idx="518">
                  <c:v>-0.42599999999999999</c:v>
                </c:pt>
                <c:pt idx="519">
                  <c:v>-0.434</c:v>
                </c:pt>
                <c:pt idx="520">
                  <c:v>-0.44900000000000001</c:v>
                </c:pt>
                <c:pt idx="521">
                  <c:v>-0.46500000000000002</c:v>
                </c:pt>
                <c:pt idx="522">
                  <c:v>-0.47500000000000003</c:v>
                </c:pt>
                <c:pt idx="523">
                  <c:v>-0.47100000000000003</c:v>
                </c:pt>
                <c:pt idx="524">
                  <c:v>-0.45300000000000001</c:v>
                </c:pt>
                <c:pt idx="525">
                  <c:v>-0.43900000000000006</c:v>
                </c:pt>
                <c:pt idx="526">
                  <c:v>-0.43600000000000005</c:v>
                </c:pt>
                <c:pt idx="527">
                  <c:v>-0.43499999999999994</c:v>
                </c:pt>
                <c:pt idx="528">
                  <c:v>-0.41799999999999993</c:v>
                </c:pt>
                <c:pt idx="529">
                  <c:v>-0.373</c:v>
                </c:pt>
                <c:pt idx="530">
                  <c:v>-0.29400000000000004</c:v>
                </c:pt>
                <c:pt idx="531">
                  <c:v>-0.17500000000000002</c:v>
                </c:pt>
                <c:pt idx="532">
                  <c:v>-1.6000000000000014E-2</c:v>
                </c:pt>
                <c:pt idx="533">
                  <c:v>0.13100000000000001</c:v>
                </c:pt>
                <c:pt idx="534">
                  <c:v>0.18400000000000002</c:v>
                </c:pt>
                <c:pt idx="535">
                  <c:v>5.3000000000000019E-2</c:v>
                </c:pt>
                <c:pt idx="536">
                  <c:v>-4.0000000000000036E-3</c:v>
                </c:pt>
                <c:pt idx="537">
                  <c:v>1.100000000000001E-2</c:v>
                </c:pt>
                <c:pt idx="538">
                  <c:v>0.12200000000000003</c:v>
                </c:pt>
                <c:pt idx="539">
                  <c:v>0.36899999999999999</c:v>
                </c:pt>
                <c:pt idx="540">
                  <c:v>0.22000000000000003</c:v>
                </c:pt>
                <c:pt idx="541">
                  <c:v>9.1999999999999971E-2</c:v>
                </c:pt>
                <c:pt idx="542">
                  <c:v>3.5000000000000031E-2</c:v>
                </c:pt>
                <c:pt idx="543">
                  <c:v>2.0000000000000018E-3</c:v>
                </c:pt>
                <c:pt idx="544">
                  <c:v>-1.7000000000000015E-2</c:v>
                </c:pt>
                <c:pt idx="545">
                  <c:v>-6.9000000000000006E-2</c:v>
                </c:pt>
                <c:pt idx="546">
                  <c:v>-0.13</c:v>
                </c:pt>
                <c:pt idx="547">
                  <c:v>-8.7000000000000022E-2</c:v>
                </c:pt>
                <c:pt idx="548">
                  <c:v>3.3999999999999975E-2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852-4031-A15D-3AF3A4FF8985}"/>
            </c:ext>
          </c:extLst>
        </c:ser>
        <c:ser>
          <c:idx val="6"/>
          <c:order val="6"/>
          <c:tx>
            <c:strRef>
              <c:f>Sheet2!$V$904</c:f>
              <c:strCache>
                <c:ptCount val="1"/>
                <c:pt idx="0">
                  <c:v>含膏白云岩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Sheet2!$Y$904:$Y$907</c:f>
              <c:numCache>
                <c:formatCode>General</c:formatCode>
                <c:ptCount val="4"/>
                <c:pt idx="0">
                  <c:v>0.123</c:v>
                </c:pt>
                <c:pt idx="1">
                  <c:v>0.13400000000000001</c:v>
                </c:pt>
                <c:pt idx="2">
                  <c:v>0.14899999999999999</c:v>
                </c:pt>
                <c:pt idx="3">
                  <c:v>0.16200000000000001</c:v>
                </c:pt>
              </c:numCache>
            </c:numRef>
          </c:xVal>
          <c:yVal>
            <c:numRef>
              <c:f>Sheet2!$Z$904:$Z$907</c:f>
              <c:numCache>
                <c:formatCode>General</c:formatCode>
                <c:ptCount val="4"/>
                <c:pt idx="0">
                  <c:v>-0.15200000000000002</c:v>
                </c:pt>
                <c:pt idx="1">
                  <c:v>-0.13800000000000001</c:v>
                </c:pt>
                <c:pt idx="2">
                  <c:v>-0.16400000000000001</c:v>
                </c:pt>
                <c:pt idx="3">
                  <c:v>-0.27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6-4099-869E-4848EFAE00F8}"/>
            </c:ext>
          </c:extLst>
        </c:ser>
        <c:ser>
          <c:idx val="7"/>
          <c:order val="7"/>
          <c:tx>
            <c:strRef>
              <c:f>Sheet2!$V$912</c:f>
              <c:strCache>
                <c:ptCount val="1"/>
                <c:pt idx="0">
                  <c:v>膏质白云岩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Sheet2!$Y$908:$Y$946</c:f>
              <c:numCache>
                <c:formatCode>General</c:formatCode>
                <c:ptCount val="39"/>
                <c:pt idx="0">
                  <c:v>0.45299999999999996</c:v>
                </c:pt>
                <c:pt idx="1">
                  <c:v>0.72099999999999997</c:v>
                </c:pt>
                <c:pt idx="2">
                  <c:v>0.93899999999999995</c:v>
                </c:pt>
                <c:pt idx="3">
                  <c:v>1.036</c:v>
                </c:pt>
                <c:pt idx="4">
                  <c:v>0.997</c:v>
                </c:pt>
                <c:pt idx="5">
                  <c:v>0.81800000000000006</c:v>
                </c:pt>
                <c:pt idx="6">
                  <c:v>0.60199999999999998</c:v>
                </c:pt>
                <c:pt idx="7">
                  <c:v>0.48299999999999998</c:v>
                </c:pt>
                <c:pt idx="8">
                  <c:v>0.498</c:v>
                </c:pt>
                <c:pt idx="9">
                  <c:v>0.54700000000000004</c:v>
                </c:pt>
                <c:pt idx="10">
                  <c:v>0.54900000000000004</c:v>
                </c:pt>
                <c:pt idx="11">
                  <c:v>0.47699999999999998</c:v>
                </c:pt>
                <c:pt idx="12">
                  <c:v>0.372</c:v>
                </c:pt>
                <c:pt idx="13">
                  <c:v>0.313</c:v>
                </c:pt>
                <c:pt idx="14">
                  <c:v>0.40600000000000003</c:v>
                </c:pt>
                <c:pt idx="15">
                  <c:v>0.66999999999999993</c:v>
                </c:pt>
                <c:pt idx="16">
                  <c:v>0.68300000000000005</c:v>
                </c:pt>
                <c:pt idx="17">
                  <c:v>0.54400000000000004</c:v>
                </c:pt>
                <c:pt idx="18">
                  <c:v>0.38100000000000001</c:v>
                </c:pt>
                <c:pt idx="19">
                  <c:v>0.24</c:v>
                </c:pt>
                <c:pt idx="20">
                  <c:v>0.154</c:v>
                </c:pt>
                <c:pt idx="21">
                  <c:v>0.11799999999999999</c:v>
                </c:pt>
                <c:pt idx="22">
                  <c:v>0.10300000000000001</c:v>
                </c:pt>
                <c:pt idx="23">
                  <c:v>1.2130000000000001</c:v>
                </c:pt>
                <c:pt idx="24">
                  <c:v>1.256</c:v>
                </c:pt>
                <c:pt idx="25">
                  <c:v>1.2609999999999999</c:v>
                </c:pt>
                <c:pt idx="26">
                  <c:v>1.248</c:v>
                </c:pt>
                <c:pt idx="27">
                  <c:v>1.202</c:v>
                </c:pt>
                <c:pt idx="28">
                  <c:v>1.1120000000000001</c:v>
                </c:pt>
                <c:pt idx="29">
                  <c:v>0.98599999999999999</c:v>
                </c:pt>
                <c:pt idx="30">
                  <c:v>0.86699999999999999</c:v>
                </c:pt>
                <c:pt idx="31">
                  <c:v>0.79800000000000004</c:v>
                </c:pt>
                <c:pt idx="32">
                  <c:v>0.11399999999999999</c:v>
                </c:pt>
                <c:pt idx="33">
                  <c:v>0.154</c:v>
                </c:pt>
                <c:pt idx="34">
                  <c:v>0.19</c:v>
                </c:pt>
                <c:pt idx="35">
                  <c:v>0.21299999999999999</c:v>
                </c:pt>
                <c:pt idx="36">
                  <c:v>0.22900000000000001</c:v>
                </c:pt>
                <c:pt idx="37">
                  <c:v>0.249</c:v>
                </c:pt>
                <c:pt idx="38">
                  <c:v>0.27800000000000002</c:v>
                </c:pt>
              </c:numCache>
            </c:numRef>
          </c:xVal>
          <c:yVal>
            <c:numRef>
              <c:f>Sheet2!$Z$908:$Z$946</c:f>
              <c:numCache>
                <c:formatCode>General</c:formatCode>
                <c:ptCount val="39"/>
                <c:pt idx="0">
                  <c:v>-0.13799999999999998</c:v>
                </c:pt>
                <c:pt idx="1">
                  <c:v>-0.127</c:v>
                </c:pt>
                <c:pt idx="2">
                  <c:v>-9.600000000000003E-2</c:v>
                </c:pt>
                <c:pt idx="3">
                  <c:v>-4.0000000000000036E-3</c:v>
                </c:pt>
                <c:pt idx="4">
                  <c:v>0.11099999999999999</c:v>
                </c:pt>
                <c:pt idx="5">
                  <c:v>0.20200000000000001</c:v>
                </c:pt>
                <c:pt idx="6">
                  <c:v>0.23299999999999998</c:v>
                </c:pt>
                <c:pt idx="7">
                  <c:v>0.20600000000000002</c:v>
                </c:pt>
                <c:pt idx="8">
                  <c:v>0.17899999999999999</c:v>
                </c:pt>
                <c:pt idx="9">
                  <c:v>0.18500000000000003</c:v>
                </c:pt>
                <c:pt idx="10">
                  <c:v>0.18600000000000003</c:v>
                </c:pt>
                <c:pt idx="11">
                  <c:v>0.14099999999999999</c:v>
                </c:pt>
                <c:pt idx="12">
                  <c:v>6.4000000000000029E-2</c:v>
                </c:pt>
                <c:pt idx="13">
                  <c:v>-3.0000000000000027E-3</c:v>
                </c:pt>
                <c:pt idx="14">
                  <c:v>-1.7999999999999988E-2</c:v>
                </c:pt>
                <c:pt idx="15">
                  <c:v>7.5000000000000011E-2</c:v>
                </c:pt>
                <c:pt idx="16">
                  <c:v>0.21300000000000002</c:v>
                </c:pt>
                <c:pt idx="17">
                  <c:v>3.9000000000000035E-2</c:v>
                </c:pt>
                <c:pt idx="18">
                  <c:v>-0.11000000000000001</c:v>
                </c:pt>
                <c:pt idx="19">
                  <c:v>-0.19400000000000003</c:v>
                </c:pt>
                <c:pt idx="20">
                  <c:v>-0.219</c:v>
                </c:pt>
                <c:pt idx="21">
                  <c:v>-0.22699999999999998</c:v>
                </c:pt>
                <c:pt idx="22">
                  <c:v>-0.47400000000000003</c:v>
                </c:pt>
                <c:pt idx="23">
                  <c:v>-0.13400000000000001</c:v>
                </c:pt>
                <c:pt idx="24">
                  <c:v>-0.16999999999999998</c:v>
                </c:pt>
                <c:pt idx="25">
                  <c:v>-0.15100000000000002</c:v>
                </c:pt>
                <c:pt idx="26">
                  <c:v>-5.1999999999999991E-2</c:v>
                </c:pt>
                <c:pt idx="27">
                  <c:v>4.9999999999999989E-2</c:v>
                </c:pt>
                <c:pt idx="28">
                  <c:v>0.13800000000000001</c:v>
                </c:pt>
                <c:pt idx="29">
                  <c:v>0.18599999999999997</c:v>
                </c:pt>
                <c:pt idx="30">
                  <c:v>0.18400000000000002</c:v>
                </c:pt>
                <c:pt idx="31">
                  <c:v>0.14199999999999999</c:v>
                </c:pt>
                <c:pt idx="32">
                  <c:v>-0.63500000000000001</c:v>
                </c:pt>
                <c:pt idx="33">
                  <c:v>-0.57699999999999996</c:v>
                </c:pt>
                <c:pt idx="34">
                  <c:v>-0.53499999999999992</c:v>
                </c:pt>
                <c:pt idx="35">
                  <c:v>-0.503</c:v>
                </c:pt>
                <c:pt idx="36">
                  <c:v>-0.53099999999999992</c:v>
                </c:pt>
                <c:pt idx="37">
                  <c:v>-0.61699999999999999</c:v>
                </c:pt>
                <c:pt idx="38">
                  <c:v>-0.64599999999999991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66-4099-869E-4848EFAE00F8}"/>
            </c:ext>
          </c:extLst>
        </c:ser>
        <c:ser>
          <c:idx val="8"/>
          <c:order val="8"/>
          <c:tx>
            <c:strRef>
              <c:f>Sheet2!$V$947</c:f>
              <c:strCache>
                <c:ptCount val="1"/>
                <c:pt idx="0">
                  <c:v>含灰白云岩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Sheet2!$Y$947:$Y$1112</c:f>
              <c:numCache>
                <c:formatCode>General</c:formatCode>
                <c:ptCount val="166"/>
                <c:pt idx="0">
                  <c:v>0.20400000000000001</c:v>
                </c:pt>
                <c:pt idx="1">
                  <c:v>0.248</c:v>
                </c:pt>
                <c:pt idx="2">
                  <c:v>0.30100000000000005</c:v>
                </c:pt>
                <c:pt idx="3">
                  <c:v>0.36799999999999999</c:v>
                </c:pt>
                <c:pt idx="4">
                  <c:v>0.47099999999999997</c:v>
                </c:pt>
                <c:pt idx="5">
                  <c:v>8.7000000000000008E-2</c:v>
                </c:pt>
                <c:pt idx="6">
                  <c:v>7.3999999999999996E-2</c:v>
                </c:pt>
                <c:pt idx="7">
                  <c:v>6.4000000000000001E-2</c:v>
                </c:pt>
                <c:pt idx="8">
                  <c:v>6.5000000000000002E-2</c:v>
                </c:pt>
                <c:pt idx="9">
                  <c:v>7.8E-2</c:v>
                </c:pt>
                <c:pt idx="10">
                  <c:v>9.2999999999999999E-2</c:v>
                </c:pt>
                <c:pt idx="11">
                  <c:v>0.1</c:v>
                </c:pt>
                <c:pt idx="12">
                  <c:v>9.8000000000000004E-2</c:v>
                </c:pt>
                <c:pt idx="13">
                  <c:v>8.4999999999999992E-2</c:v>
                </c:pt>
                <c:pt idx="14">
                  <c:v>7.0000000000000007E-2</c:v>
                </c:pt>
                <c:pt idx="15">
                  <c:v>4.0999999999999995E-2</c:v>
                </c:pt>
                <c:pt idx="16">
                  <c:v>3.9E-2</c:v>
                </c:pt>
                <c:pt idx="17">
                  <c:v>4.1000000000000002E-2</c:v>
                </c:pt>
                <c:pt idx="18">
                  <c:v>4.5999999999999999E-2</c:v>
                </c:pt>
                <c:pt idx="19">
                  <c:v>5.8999999999999997E-2</c:v>
                </c:pt>
                <c:pt idx="20">
                  <c:v>0.10200000000000001</c:v>
                </c:pt>
                <c:pt idx="21">
                  <c:v>0.187</c:v>
                </c:pt>
                <c:pt idx="22">
                  <c:v>0.313</c:v>
                </c:pt>
                <c:pt idx="23">
                  <c:v>0.46499999999999997</c:v>
                </c:pt>
                <c:pt idx="24">
                  <c:v>0.63200000000000001</c:v>
                </c:pt>
                <c:pt idx="25">
                  <c:v>0.622</c:v>
                </c:pt>
                <c:pt idx="26">
                  <c:v>0.42299999999999999</c:v>
                </c:pt>
                <c:pt idx="27">
                  <c:v>0.248</c:v>
                </c:pt>
                <c:pt idx="28">
                  <c:v>0.129</c:v>
                </c:pt>
                <c:pt idx="29">
                  <c:v>0.11199999999999999</c:v>
                </c:pt>
                <c:pt idx="30">
                  <c:v>0.19500000000000001</c:v>
                </c:pt>
                <c:pt idx="31">
                  <c:v>0.29099999999999998</c:v>
                </c:pt>
                <c:pt idx="32">
                  <c:v>0.40500000000000003</c:v>
                </c:pt>
                <c:pt idx="33">
                  <c:v>0.51500000000000001</c:v>
                </c:pt>
                <c:pt idx="34">
                  <c:v>0.56400000000000006</c:v>
                </c:pt>
                <c:pt idx="35">
                  <c:v>0.55200000000000005</c:v>
                </c:pt>
                <c:pt idx="36">
                  <c:v>0.50700000000000001</c:v>
                </c:pt>
                <c:pt idx="37">
                  <c:v>0.443</c:v>
                </c:pt>
                <c:pt idx="38">
                  <c:v>0.307</c:v>
                </c:pt>
                <c:pt idx="39">
                  <c:v>0.374</c:v>
                </c:pt>
                <c:pt idx="40">
                  <c:v>0.47399999999999998</c:v>
                </c:pt>
                <c:pt idx="41">
                  <c:v>0.67599999999999993</c:v>
                </c:pt>
                <c:pt idx="42">
                  <c:v>0.74099999999999999</c:v>
                </c:pt>
                <c:pt idx="43">
                  <c:v>0.70499999999999996</c:v>
                </c:pt>
                <c:pt idx="44">
                  <c:v>0.48799999999999999</c:v>
                </c:pt>
                <c:pt idx="45">
                  <c:v>0.27700000000000002</c:v>
                </c:pt>
                <c:pt idx="46">
                  <c:v>0.59000000000000008</c:v>
                </c:pt>
                <c:pt idx="47">
                  <c:v>0.42899999999999999</c:v>
                </c:pt>
                <c:pt idx="48">
                  <c:v>0.39700000000000002</c:v>
                </c:pt>
                <c:pt idx="49">
                  <c:v>0.59299999999999997</c:v>
                </c:pt>
                <c:pt idx="50">
                  <c:v>0.46500000000000002</c:v>
                </c:pt>
                <c:pt idx="51">
                  <c:v>0.39400000000000002</c:v>
                </c:pt>
                <c:pt idx="52">
                  <c:v>0.34800000000000003</c:v>
                </c:pt>
                <c:pt idx="53">
                  <c:v>0.317</c:v>
                </c:pt>
                <c:pt idx="54">
                  <c:v>0.29499999999999998</c:v>
                </c:pt>
                <c:pt idx="55">
                  <c:v>0.28899999999999998</c:v>
                </c:pt>
                <c:pt idx="56">
                  <c:v>0.29700000000000004</c:v>
                </c:pt>
                <c:pt idx="57">
                  <c:v>0.30500000000000005</c:v>
                </c:pt>
                <c:pt idx="58">
                  <c:v>0.30600000000000005</c:v>
                </c:pt>
                <c:pt idx="59">
                  <c:v>0.30700000000000005</c:v>
                </c:pt>
                <c:pt idx="60">
                  <c:v>0.30000000000000004</c:v>
                </c:pt>
                <c:pt idx="61">
                  <c:v>0.28300000000000003</c:v>
                </c:pt>
                <c:pt idx="62">
                  <c:v>0.26600000000000001</c:v>
                </c:pt>
                <c:pt idx="63">
                  <c:v>0.25900000000000001</c:v>
                </c:pt>
                <c:pt idx="64">
                  <c:v>0.38200000000000001</c:v>
                </c:pt>
                <c:pt idx="65">
                  <c:v>0.44</c:v>
                </c:pt>
                <c:pt idx="66">
                  <c:v>0.58699999999999997</c:v>
                </c:pt>
                <c:pt idx="67">
                  <c:v>0.73599999999999999</c:v>
                </c:pt>
                <c:pt idx="68">
                  <c:v>0.80200000000000005</c:v>
                </c:pt>
                <c:pt idx="69">
                  <c:v>0.79200000000000004</c:v>
                </c:pt>
                <c:pt idx="70">
                  <c:v>0.76800000000000002</c:v>
                </c:pt>
                <c:pt idx="71">
                  <c:v>0.77500000000000002</c:v>
                </c:pt>
                <c:pt idx="72">
                  <c:v>0.80200000000000005</c:v>
                </c:pt>
                <c:pt idx="73">
                  <c:v>0.82899999999999996</c:v>
                </c:pt>
                <c:pt idx="74">
                  <c:v>0.82299999999999995</c:v>
                </c:pt>
                <c:pt idx="75">
                  <c:v>0.75</c:v>
                </c:pt>
                <c:pt idx="76">
                  <c:v>0.629</c:v>
                </c:pt>
                <c:pt idx="77">
                  <c:v>0.54800000000000004</c:v>
                </c:pt>
                <c:pt idx="78">
                  <c:v>0.60199999999999998</c:v>
                </c:pt>
                <c:pt idx="79">
                  <c:v>0.79699999999999993</c:v>
                </c:pt>
                <c:pt idx="80">
                  <c:v>1.0920000000000001</c:v>
                </c:pt>
                <c:pt idx="81">
                  <c:v>0.34799999999999998</c:v>
                </c:pt>
                <c:pt idx="82">
                  <c:v>0.43900000000000006</c:v>
                </c:pt>
                <c:pt idx="83">
                  <c:v>0.56099999999999994</c:v>
                </c:pt>
                <c:pt idx="84">
                  <c:v>0.73799999999999999</c:v>
                </c:pt>
                <c:pt idx="85">
                  <c:v>0.63900000000000001</c:v>
                </c:pt>
                <c:pt idx="86">
                  <c:v>0.63400000000000001</c:v>
                </c:pt>
                <c:pt idx="87">
                  <c:v>0.66100000000000003</c:v>
                </c:pt>
                <c:pt idx="88">
                  <c:v>0.66500000000000004</c:v>
                </c:pt>
                <c:pt idx="89">
                  <c:v>0.627</c:v>
                </c:pt>
                <c:pt idx="90">
                  <c:v>0.59099999999999997</c:v>
                </c:pt>
                <c:pt idx="91">
                  <c:v>0.57699999999999996</c:v>
                </c:pt>
                <c:pt idx="92">
                  <c:v>0.60099999999999998</c:v>
                </c:pt>
                <c:pt idx="93">
                  <c:v>0.66600000000000004</c:v>
                </c:pt>
                <c:pt idx="94">
                  <c:v>0.77</c:v>
                </c:pt>
                <c:pt idx="95">
                  <c:v>0.91900000000000004</c:v>
                </c:pt>
                <c:pt idx="96">
                  <c:v>1.1419999999999999</c:v>
                </c:pt>
                <c:pt idx="97">
                  <c:v>0.35499999999999998</c:v>
                </c:pt>
                <c:pt idx="98">
                  <c:v>0.41499999999999998</c:v>
                </c:pt>
                <c:pt idx="99">
                  <c:v>0.48599999999999999</c:v>
                </c:pt>
                <c:pt idx="100">
                  <c:v>0.55300000000000005</c:v>
                </c:pt>
                <c:pt idx="101">
                  <c:v>0.61</c:v>
                </c:pt>
                <c:pt idx="102">
                  <c:v>0.64500000000000002</c:v>
                </c:pt>
                <c:pt idx="103">
                  <c:v>0.64100000000000001</c:v>
                </c:pt>
                <c:pt idx="104">
                  <c:v>0.58499999999999996</c:v>
                </c:pt>
                <c:pt idx="105">
                  <c:v>0.46399999999999997</c:v>
                </c:pt>
                <c:pt idx="106">
                  <c:v>0.39699999999999996</c:v>
                </c:pt>
                <c:pt idx="107">
                  <c:v>0.36</c:v>
                </c:pt>
                <c:pt idx="108">
                  <c:v>0.34899999999999998</c:v>
                </c:pt>
                <c:pt idx="109">
                  <c:v>0.35399999999999998</c:v>
                </c:pt>
                <c:pt idx="110">
                  <c:v>0.36399999999999999</c:v>
                </c:pt>
                <c:pt idx="111">
                  <c:v>0.37</c:v>
                </c:pt>
                <c:pt idx="112">
                  <c:v>0.35799999999999998</c:v>
                </c:pt>
                <c:pt idx="113">
                  <c:v>0.76400000000000001</c:v>
                </c:pt>
                <c:pt idx="114">
                  <c:v>0.66700000000000004</c:v>
                </c:pt>
                <c:pt idx="115">
                  <c:v>0.59699999999999998</c:v>
                </c:pt>
                <c:pt idx="116">
                  <c:v>0.51400000000000001</c:v>
                </c:pt>
                <c:pt idx="117">
                  <c:v>0.72499999999999998</c:v>
                </c:pt>
                <c:pt idx="118">
                  <c:v>0.56599999999999995</c:v>
                </c:pt>
                <c:pt idx="119">
                  <c:v>0.47099999999999997</c:v>
                </c:pt>
                <c:pt idx="120">
                  <c:v>0.439</c:v>
                </c:pt>
                <c:pt idx="121">
                  <c:v>0.45500000000000002</c:v>
                </c:pt>
                <c:pt idx="122">
                  <c:v>0.52</c:v>
                </c:pt>
                <c:pt idx="123">
                  <c:v>0.60499999999999998</c:v>
                </c:pt>
                <c:pt idx="124">
                  <c:v>0.65700000000000003</c:v>
                </c:pt>
                <c:pt idx="125">
                  <c:v>0.67900000000000005</c:v>
                </c:pt>
                <c:pt idx="126">
                  <c:v>0.68300000000000005</c:v>
                </c:pt>
                <c:pt idx="127">
                  <c:v>0.69000000000000006</c:v>
                </c:pt>
                <c:pt idx="128">
                  <c:v>0.50700000000000001</c:v>
                </c:pt>
                <c:pt idx="129">
                  <c:v>0.65399999999999991</c:v>
                </c:pt>
                <c:pt idx="130">
                  <c:v>0.754</c:v>
                </c:pt>
                <c:pt idx="131">
                  <c:v>0.77200000000000002</c:v>
                </c:pt>
                <c:pt idx="132">
                  <c:v>0.71799999999999997</c:v>
                </c:pt>
                <c:pt idx="133">
                  <c:v>0.64400000000000002</c:v>
                </c:pt>
                <c:pt idx="134">
                  <c:v>0.59899999999999998</c:v>
                </c:pt>
                <c:pt idx="135">
                  <c:v>0.59899999999999998</c:v>
                </c:pt>
                <c:pt idx="136">
                  <c:v>0.623</c:v>
                </c:pt>
                <c:pt idx="137">
                  <c:v>0.65400000000000003</c:v>
                </c:pt>
                <c:pt idx="138">
                  <c:v>0.68900000000000006</c:v>
                </c:pt>
                <c:pt idx="139">
                  <c:v>0.72499999999999998</c:v>
                </c:pt>
                <c:pt idx="140">
                  <c:v>0.75800000000000001</c:v>
                </c:pt>
                <c:pt idx="141">
                  <c:v>0.26</c:v>
                </c:pt>
                <c:pt idx="142">
                  <c:v>0.10299999999999999</c:v>
                </c:pt>
                <c:pt idx="143">
                  <c:v>9.8000000000000004E-2</c:v>
                </c:pt>
                <c:pt idx="144">
                  <c:v>9.6000000000000002E-2</c:v>
                </c:pt>
                <c:pt idx="145">
                  <c:v>9.8000000000000004E-2</c:v>
                </c:pt>
                <c:pt idx="146">
                  <c:v>0.10200000000000001</c:v>
                </c:pt>
                <c:pt idx="147">
                  <c:v>0.113</c:v>
                </c:pt>
                <c:pt idx="148">
                  <c:v>0.129</c:v>
                </c:pt>
                <c:pt idx="149">
                  <c:v>0.34500000000000003</c:v>
                </c:pt>
                <c:pt idx="150">
                  <c:v>0.30099999999999999</c:v>
                </c:pt>
                <c:pt idx="151">
                  <c:v>0.54900000000000004</c:v>
                </c:pt>
                <c:pt idx="152">
                  <c:v>0.60200000000000009</c:v>
                </c:pt>
                <c:pt idx="153">
                  <c:v>0.60199999999999998</c:v>
                </c:pt>
                <c:pt idx="154">
                  <c:v>0.56299999999999994</c:v>
                </c:pt>
                <c:pt idx="155">
                  <c:v>0.51600000000000001</c:v>
                </c:pt>
                <c:pt idx="156">
                  <c:v>0.54499999999999993</c:v>
                </c:pt>
                <c:pt idx="157">
                  <c:v>0.66500000000000004</c:v>
                </c:pt>
                <c:pt idx="158">
                  <c:v>0.73899999999999999</c:v>
                </c:pt>
                <c:pt idx="159">
                  <c:v>0.70299999999999996</c:v>
                </c:pt>
                <c:pt idx="160">
                  <c:v>0.53300000000000003</c:v>
                </c:pt>
                <c:pt idx="161">
                  <c:v>0.39</c:v>
                </c:pt>
                <c:pt idx="162">
                  <c:v>0.35899999999999999</c:v>
                </c:pt>
                <c:pt idx="163">
                  <c:v>0.438</c:v>
                </c:pt>
                <c:pt idx="164">
                  <c:v>0.52300000000000002</c:v>
                </c:pt>
                <c:pt idx="165">
                  <c:v>0.65100000000000002</c:v>
                </c:pt>
              </c:numCache>
            </c:numRef>
          </c:xVal>
          <c:yVal>
            <c:numRef>
              <c:f>Sheet2!$Z$947:$Z$1112</c:f>
              <c:numCache>
                <c:formatCode>General</c:formatCode>
                <c:ptCount val="166"/>
                <c:pt idx="0">
                  <c:v>-0.58200000000000007</c:v>
                </c:pt>
                <c:pt idx="1">
                  <c:v>-0.49399999999999994</c:v>
                </c:pt>
                <c:pt idx="2">
                  <c:v>-0.376</c:v>
                </c:pt>
                <c:pt idx="3">
                  <c:v>-0.251</c:v>
                </c:pt>
                <c:pt idx="4">
                  <c:v>-5.1000000000000018E-2</c:v>
                </c:pt>
                <c:pt idx="5">
                  <c:v>-0.22499999999999998</c:v>
                </c:pt>
                <c:pt idx="6">
                  <c:v>-0.313</c:v>
                </c:pt>
                <c:pt idx="7">
                  <c:v>-0.38</c:v>
                </c:pt>
                <c:pt idx="8">
                  <c:v>-0.38700000000000001</c:v>
                </c:pt>
                <c:pt idx="9">
                  <c:v>-0.38200000000000001</c:v>
                </c:pt>
                <c:pt idx="10">
                  <c:v>-0.38999999999999996</c:v>
                </c:pt>
                <c:pt idx="11">
                  <c:v>-0.39999999999999997</c:v>
                </c:pt>
                <c:pt idx="12">
                  <c:v>-0.41599999999999998</c:v>
                </c:pt>
                <c:pt idx="13">
                  <c:v>-0.42499999999999999</c:v>
                </c:pt>
                <c:pt idx="14">
                  <c:v>-0.43</c:v>
                </c:pt>
                <c:pt idx="15">
                  <c:v>-0.36000000000000004</c:v>
                </c:pt>
                <c:pt idx="16">
                  <c:v>-0.32400000000000001</c:v>
                </c:pt>
                <c:pt idx="17">
                  <c:v>-0.29800000000000004</c:v>
                </c:pt>
                <c:pt idx="18">
                  <c:v>-0.26400000000000001</c:v>
                </c:pt>
                <c:pt idx="19">
                  <c:v>-0.20499999999999999</c:v>
                </c:pt>
                <c:pt idx="20">
                  <c:v>-0.123</c:v>
                </c:pt>
                <c:pt idx="21">
                  <c:v>-5.4999999999999993E-2</c:v>
                </c:pt>
                <c:pt idx="22">
                  <c:v>-6.6000000000000031E-2</c:v>
                </c:pt>
                <c:pt idx="23">
                  <c:v>-0.18099999999999999</c:v>
                </c:pt>
                <c:pt idx="24">
                  <c:v>-0.32900000000000001</c:v>
                </c:pt>
                <c:pt idx="25">
                  <c:v>-0.15500000000000003</c:v>
                </c:pt>
                <c:pt idx="26">
                  <c:v>-0.21700000000000003</c:v>
                </c:pt>
                <c:pt idx="27">
                  <c:v>-0.33799999999999997</c:v>
                </c:pt>
                <c:pt idx="28">
                  <c:v>-0.435</c:v>
                </c:pt>
                <c:pt idx="29">
                  <c:v>-0.60299999999999998</c:v>
                </c:pt>
                <c:pt idx="30">
                  <c:v>-0.60000000000000009</c:v>
                </c:pt>
                <c:pt idx="31">
                  <c:v>-0.499</c:v>
                </c:pt>
                <c:pt idx="32">
                  <c:v>-0.32999999999999996</c:v>
                </c:pt>
                <c:pt idx="33">
                  <c:v>-0.15699999999999997</c:v>
                </c:pt>
                <c:pt idx="34">
                  <c:v>-3.8000000000000006E-2</c:v>
                </c:pt>
                <c:pt idx="35">
                  <c:v>-2.0000000000000018E-3</c:v>
                </c:pt>
                <c:pt idx="36">
                  <c:v>-4.7999999999999987E-2</c:v>
                </c:pt>
                <c:pt idx="37">
                  <c:v>-0.12099999999999998</c:v>
                </c:pt>
                <c:pt idx="38">
                  <c:v>-0.14100000000000001</c:v>
                </c:pt>
                <c:pt idx="39">
                  <c:v>-8.1000000000000016E-2</c:v>
                </c:pt>
                <c:pt idx="40">
                  <c:v>-1.5000000000000013E-2</c:v>
                </c:pt>
                <c:pt idx="41">
                  <c:v>-4.7999999999999987E-2</c:v>
                </c:pt>
                <c:pt idx="42">
                  <c:v>2.300000000000002E-2</c:v>
                </c:pt>
                <c:pt idx="43">
                  <c:v>0.15699999999999997</c:v>
                </c:pt>
                <c:pt idx="44">
                  <c:v>2.6999999999999968E-2</c:v>
                </c:pt>
                <c:pt idx="45">
                  <c:v>-0.10600000000000001</c:v>
                </c:pt>
                <c:pt idx="46">
                  <c:v>-0.25799999999999995</c:v>
                </c:pt>
                <c:pt idx="47">
                  <c:v>-0.23899999999999999</c:v>
                </c:pt>
                <c:pt idx="48">
                  <c:v>-0.16300000000000001</c:v>
                </c:pt>
                <c:pt idx="49">
                  <c:v>-0.66399999999999992</c:v>
                </c:pt>
                <c:pt idx="50">
                  <c:v>-0.65500000000000003</c:v>
                </c:pt>
                <c:pt idx="51">
                  <c:v>-0.59</c:v>
                </c:pt>
                <c:pt idx="52">
                  <c:v>-0.52500000000000002</c:v>
                </c:pt>
                <c:pt idx="53">
                  <c:v>-0.47799999999999998</c:v>
                </c:pt>
                <c:pt idx="54">
                  <c:v>-0.45300000000000001</c:v>
                </c:pt>
                <c:pt idx="55">
                  <c:v>-0.438</c:v>
                </c:pt>
                <c:pt idx="56">
                  <c:v>-0.42099999999999999</c:v>
                </c:pt>
                <c:pt idx="57">
                  <c:v>-0.40800000000000003</c:v>
                </c:pt>
                <c:pt idx="58">
                  <c:v>-0.40200000000000002</c:v>
                </c:pt>
                <c:pt idx="59">
                  <c:v>-0.39400000000000002</c:v>
                </c:pt>
                <c:pt idx="60">
                  <c:v>-0.39299999999999996</c:v>
                </c:pt>
                <c:pt idx="61">
                  <c:v>-0.40099999999999997</c:v>
                </c:pt>
                <c:pt idx="62">
                  <c:v>-0.41599999999999998</c:v>
                </c:pt>
                <c:pt idx="63">
                  <c:v>-0.42599999999999999</c:v>
                </c:pt>
                <c:pt idx="64">
                  <c:v>-0.37200000000000005</c:v>
                </c:pt>
                <c:pt idx="65">
                  <c:v>-0.28500000000000003</c:v>
                </c:pt>
                <c:pt idx="66">
                  <c:v>-0.14899999999999997</c:v>
                </c:pt>
                <c:pt idx="67">
                  <c:v>-4.4999999999999984E-2</c:v>
                </c:pt>
                <c:pt idx="68">
                  <c:v>-5.5000000000000049E-2</c:v>
                </c:pt>
                <c:pt idx="69">
                  <c:v>-0.16599999999999998</c:v>
                </c:pt>
                <c:pt idx="70">
                  <c:v>-0.30399999999999994</c:v>
                </c:pt>
                <c:pt idx="71">
                  <c:v>-0.40200000000000002</c:v>
                </c:pt>
                <c:pt idx="72">
                  <c:v>-0.44699999999999995</c:v>
                </c:pt>
                <c:pt idx="73">
                  <c:v>-0.434</c:v>
                </c:pt>
                <c:pt idx="74">
                  <c:v>-0.38199999999999995</c:v>
                </c:pt>
                <c:pt idx="75">
                  <c:v>-0.33800000000000002</c:v>
                </c:pt>
                <c:pt idx="76">
                  <c:v>-0.311</c:v>
                </c:pt>
                <c:pt idx="77">
                  <c:v>-0.247</c:v>
                </c:pt>
                <c:pt idx="78">
                  <c:v>-8.7000000000000022E-2</c:v>
                </c:pt>
                <c:pt idx="79">
                  <c:v>0.15899999999999997</c:v>
                </c:pt>
                <c:pt idx="80">
                  <c:v>0.44900000000000007</c:v>
                </c:pt>
                <c:pt idx="81">
                  <c:v>-0.24100000000000002</c:v>
                </c:pt>
                <c:pt idx="82">
                  <c:v>-0.13899999999999996</c:v>
                </c:pt>
                <c:pt idx="83">
                  <c:v>1.1999999999999955E-2</c:v>
                </c:pt>
                <c:pt idx="84">
                  <c:v>0.15200000000000002</c:v>
                </c:pt>
                <c:pt idx="85">
                  <c:v>1.4000000000000012E-2</c:v>
                </c:pt>
                <c:pt idx="86">
                  <c:v>-3.0000000000000027E-2</c:v>
                </c:pt>
                <c:pt idx="87">
                  <c:v>-5.099999999999999E-2</c:v>
                </c:pt>
                <c:pt idx="88">
                  <c:v>-7.400000000000001E-2</c:v>
                </c:pt>
                <c:pt idx="89">
                  <c:v>-0.11499999999999999</c:v>
                </c:pt>
                <c:pt idx="90">
                  <c:v>-0.15400000000000003</c:v>
                </c:pt>
                <c:pt idx="91">
                  <c:v>-0.152</c:v>
                </c:pt>
                <c:pt idx="92">
                  <c:v>-0.10799999999999998</c:v>
                </c:pt>
                <c:pt idx="93">
                  <c:v>-5.4999999999999993E-2</c:v>
                </c:pt>
                <c:pt idx="94">
                  <c:v>-3.0000000000000027E-2</c:v>
                </c:pt>
                <c:pt idx="95">
                  <c:v>2.300000000000002E-2</c:v>
                </c:pt>
                <c:pt idx="96">
                  <c:v>0.19199999999999998</c:v>
                </c:pt>
                <c:pt idx="97">
                  <c:v>-0.56700000000000006</c:v>
                </c:pt>
                <c:pt idx="98">
                  <c:v>-0.59</c:v>
                </c:pt>
                <c:pt idx="99">
                  <c:v>-0.64600000000000002</c:v>
                </c:pt>
                <c:pt idx="100">
                  <c:v>-0.70599999999999996</c:v>
                </c:pt>
                <c:pt idx="101">
                  <c:v>-0.74500000000000011</c:v>
                </c:pt>
                <c:pt idx="102">
                  <c:v>-0.76800000000000002</c:v>
                </c:pt>
                <c:pt idx="103">
                  <c:v>-0.78800000000000003</c:v>
                </c:pt>
                <c:pt idx="104">
                  <c:v>-0.77800000000000002</c:v>
                </c:pt>
                <c:pt idx="105">
                  <c:v>-0.34599999999999997</c:v>
                </c:pt>
                <c:pt idx="106">
                  <c:v>-0.36799999999999999</c:v>
                </c:pt>
                <c:pt idx="107">
                  <c:v>-0.372</c:v>
                </c:pt>
                <c:pt idx="108">
                  <c:v>-0.36299999999999999</c:v>
                </c:pt>
                <c:pt idx="109">
                  <c:v>-0.34900000000000003</c:v>
                </c:pt>
                <c:pt idx="110">
                  <c:v>-0.33</c:v>
                </c:pt>
                <c:pt idx="111">
                  <c:v>-0.30399999999999999</c:v>
                </c:pt>
                <c:pt idx="112">
                  <c:v>-0.27999999999999997</c:v>
                </c:pt>
                <c:pt idx="113">
                  <c:v>-0.62</c:v>
                </c:pt>
                <c:pt idx="114">
                  <c:v>-0.68399999999999994</c:v>
                </c:pt>
                <c:pt idx="115">
                  <c:v>-0.61799999999999999</c:v>
                </c:pt>
                <c:pt idx="116">
                  <c:v>-0.54099999999999993</c:v>
                </c:pt>
                <c:pt idx="117">
                  <c:v>-0.16300000000000001</c:v>
                </c:pt>
                <c:pt idx="118">
                  <c:v>-0.32899999999999996</c:v>
                </c:pt>
                <c:pt idx="119">
                  <c:v>-0.44199999999999995</c:v>
                </c:pt>
                <c:pt idx="120">
                  <c:v>-0.50900000000000001</c:v>
                </c:pt>
                <c:pt idx="121">
                  <c:v>-0.55099999999999993</c:v>
                </c:pt>
                <c:pt idx="122">
                  <c:v>-0.56200000000000006</c:v>
                </c:pt>
                <c:pt idx="123">
                  <c:v>-0.55600000000000005</c:v>
                </c:pt>
                <c:pt idx="124">
                  <c:v>-0.57000000000000006</c:v>
                </c:pt>
                <c:pt idx="125">
                  <c:v>-0.58400000000000007</c:v>
                </c:pt>
                <c:pt idx="126">
                  <c:v>-0.59200000000000008</c:v>
                </c:pt>
                <c:pt idx="127">
                  <c:v>-0.58199999999999996</c:v>
                </c:pt>
                <c:pt idx="128">
                  <c:v>-0.315</c:v>
                </c:pt>
                <c:pt idx="129">
                  <c:v>-0.33700000000000002</c:v>
                </c:pt>
                <c:pt idx="130">
                  <c:v>-0.38100000000000001</c:v>
                </c:pt>
                <c:pt idx="131">
                  <c:v>-0.44200000000000006</c:v>
                </c:pt>
                <c:pt idx="132">
                  <c:v>-0.49399999999999994</c:v>
                </c:pt>
                <c:pt idx="133">
                  <c:v>-0.49700000000000005</c:v>
                </c:pt>
                <c:pt idx="134">
                  <c:v>-0.43499999999999994</c:v>
                </c:pt>
                <c:pt idx="135">
                  <c:v>-0.33900000000000002</c:v>
                </c:pt>
                <c:pt idx="136">
                  <c:v>-0.26799999999999996</c:v>
                </c:pt>
                <c:pt idx="137">
                  <c:v>-0.25099999999999995</c:v>
                </c:pt>
                <c:pt idx="138">
                  <c:v>-0.26899999999999996</c:v>
                </c:pt>
                <c:pt idx="139">
                  <c:v>-0.27099999999999996</c:v>
                </c:pt>
                <c:pt idx="140">
                  <c:v>-0.21899999999999997</c:v>
                </c:pt>
                <c:pt idx="141">
                  <c:v>-0.54200000000000004</c:v>
                </c:pt>
                <c:pt idx="142">
                  <c:v>-0.45100000000000001</c:v>
                </c:pt>
                <c:pt idx="143">
                  <c:v>-0.51100000000000001</c:v>
                </c:pt>
                <c:pt idx="144">
                  <c:v>-0.56099999999999994</c:v>
                </c:pt>
                <c:pt idx="145">
                  <c:v>-0.58199999999999996</c:v>
                </c:pt>
                <c:pt idx="146">
                  <c:v>-0.56199999999999994</c:v>
                </c:pt>
                <c:pt idx="147">
                  <c:v>-0.5</c:v>
                </c:pt>
                <c:pt idx="148">
                  <c:v>-0.41599999999999998</c:v>
                </c:pt>
                <c:pt idx="149">
                  <c:v>-0.46400000000000002</c:v>
                </c:pt>
                <c:pt idx="150">
                  <c:v>-0.54699999999999993</c:v>
                </c:pt>
                <c:pt idx="151">
                  <c:v>-0.65</c:v>
                </c:pt>
                <c:pt idx="152">
                  <c:v>-0.52800000000000002</c:v>
                </c:pt>
                <c:pt idx="153">
                  <c:v>-0.502</c:v>
                </c:pt>
                <c:pt idx="154">
                  <c:v>-0.57600000000000007</c:v>
                </c:pt>
                <c:pt idx="155">
                  <c:v>-0.56799999999999995</c:v>
                </c:pt>
                <c:pt idx="156">
                  <c:v>-0.26100000000000001</c:v>
                </c:pt>
                <c:pt idx="157">
                  <c:v>-0.26700000000000002</c:v>
                </c:pt>
                <c:pt idx="158">
                  <c:v>-0.24400000000000002</c:v>
                </c:pt>
                <c:pt idx="159">
                  <c:v>-0.23800000000000002</c:v>
                </c:pt>
                <c:pt idx="160">
                  <c:v>-0.27899999999999997</c:v>
                </c:pt>
                <c:pt idx="161">
                  <c:v>-0.32099999999999995</c:v>
                </c:pt>
                <c:pt idx="162">
                  <c:v>-0.32899999999999996</c:v>
                </c:pt>
                <c:pt idx="163">
                  <c:v>-0.30399999999999999</c:v>
                </c:pt>
                <c:pt idx="164">
                  <c:v>-0.26100000000000001</c:v>
                </c:pt>
                <c:pt idx="165">
                  <c:v>-0.14400000000000002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66-4099-869E-4848EFAE00F8}"/>
            </c:ext>
          </c:extLst>
        </c:ser>
        <c:ser>
          <c:idx val="9"/>
          <c:order val="9"/>
          <c:tx>
            <c:strRef>
              <c:f>Sheet2!$V$1116</c:f>
              <c:strCache>
                <c:ptCount val="1"/>
                <c:pt idx="0">
                  <c:v>灰质白云岩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Sheet2!$Y$1113:$Y$1231</c:f>
              <c:numCache>
                <c:formatCode>General</c:formatCode>
                <c:ptCount val="119"/>
                <c:pt idx="0">
                  <c:v>0.246</c:v>
                </c:pt>
                <c:pt idx="1">
                  <c:v>0.23799999999999999</c:v>
                </c:pt>
                <c:pt idx="2">
                  <c:v>0.217</c:v>
                </c:pt>
                <c:pt idx="3">
                  <c:v>0.191</c:v>
                </c:pt>
                <c:pt idx="4">
                  <c:v>0.17600000000000002</c:v>
                </c:pt>
                <c:pt idx="5">
                  <c:v>0.185</c:v>
                </c:pt>
                <c:pt idx="6">
                  <c:v>0.221</c:v>
                </c:pt>
                <c:pt idx="7">
                  <c:v>0.28500000000000003</c:v>
                </c:pt>
                <c:pt idx="8">
                  <c:v>0.36899999999999999</c:v>
                </c:pt>
                <c:pt idx="9">
                  <c:v>0.44400000000000001</c:v>
                </c:pt>
                <c:pt idx="10">
                  <c:v>0.47099999999999997</c:v>
                </c:pt>
                <c:pt idx="11">
                  <c:v>0.43099999999999999</c:v>
                </c:pt>
                <c:pt idx="12">
                  <c:v>0.35399999999999998</c:v>
                </c:pt>
                <c:pt idx="13">
                  <c:v>0.28900000000000003</c:v>
                </c:pt>
                <c:pt idx="14">
                  <c:v>0.26200000000000001</c:v>
                </c:pt>
                <c:pt idx="15">
                  <c:v>0.253</c:v>
                </c:pt>
                <c:pt idx="16">
                  <c:v>0.254</c:v>
                </c:pt>
                <c:pt idx="17">
                  <c:v>0.27700000000000002</c:v>
                </c:pt>
                <c:pt idx="18">
                  <c:v>0.34499999999999997</c:v>
                </c:pt>
                <c:pt idx="19">
                  <c:v>0.76100000000000001</c:v>
                </c:pt>
                <c:pt idx="20">
                  <c:v>0.65599999999999992</c:v>
                </c:pt>
                <c:pt idx="21">
                  <c:v>0.55499999999999994</c:v>
                </c:pt>
                <c:pt idx="22">
                  <c:v>0.52300000000000002</c:v>
                </c:pt>
                <c:pt idx="23">
                  <c:v>0.56899999999999995</c:v>
                </c:pt>
                <c:pt idx="24">
                  <c:v>0.68900000000000006</c:v>
                </c:pt>
                <c:pt idx="25">
                  <c:v>0.66300000000000003</c:v>
                </c:pt>
                <c:pt idx="26">
                  <c:v>0.60199999999999998</c:v>
                </c:pt>
                <c:pt idx="27">
                  <c:v>0.54300000000000004</c:v>
                </c:pt>
                <c:pt idx="28">
                  <c:v>0.505</c:v>
                </c:pt>
                <c:pt idx="29">
                  <c:v>0.47299999999999998</c:v>
                </c:pt>
                <c:pt idx="30">
                  <c:v>0.71299999999999997</c:v>
                </c:pt>
                <c:pt idx="31">
                  <c:v>0.40500000000000003</c:v>
                </c:pt>
                <c:pt idx="32">
                  <c:v>0.23499999999999999</c:v>
                </c:pt>
                <c:pt idx="33">
                  <c:v>0.15000000000000002</c:v>
                </c:pt>
                <c:pt idx="34">
                  <c:v>0.11499999999999999</c:v>
                </c:pt>
                <c:pt idx="35">
                  <c:v>0.10200000000000001</c:v>
                </c:pt>
                <c:pt idx="36">
                  <c:v>0.104</c:v>
                </c:pt>
                <c:pt idx="37">
                  <c:v>0.11</c:v>
                </c:pt>
                <c:pt idx="38">
                  <c:v>0.115</c:v>
                </c:pt>
                <c:pt idx="39">
                  <c:v>0.10800000000000001</c:v>
                </c:pt>
                <c:pt idx="40">
                  <c:v>9.0999999999999998E-2</c:v>
                </c:pt>
                <c:pt idx="41">
                  <c:v>8.7999999999999995E-2</c:v>
                </c:pt>
                <c:pt idx="42">
                  <c:v>0.11599999999999999</c:v>
                </c:pt>
                <c:pt idx="43">
                  <c:v>0.16400000000000001</c:v>
                </c:pt>
                <c:pt idx="44">
                  <c:v>0.20200000000000001</c:v>
                </c:pt>
                <c:pt idx="45">
                  <c:v>0.216</c:v>
                </c:pt>
                <c:pt idx="46">
                  <c:v>0.20599999999999999</c:v>
                </c:pt>
                <c:pt idx="47">
                  <c:v>0.2</c:v>
                </c:pt>
                <c:pt idx="48">
                  <c:v>0.189</c:v>
                </c:pt>
                <c:pt idx="49">
                  <c:v>0.16600000000000001</c:v>
                </c:pt>
                <c:pt idx="50">
                  <c:v>0.13600000000000001</c:v>
                </c:pt>
                <c:pt idx="51">
                  <c:v>0.124</c:v>
                </c:pt>
                <c:pt idx="52">
                  <c:v>0.126</c:v>
                </c:pt>
                <c:pt idx="53">
                  <c:v>0.13200000000000001</c:v>
                </c:pt>
                <c:pt idx="54">
                  <c:v>0.14100000000000001</c:v>
                </c:pt>
                <c:pt idx="55">
                  <c:v>0.18</c:v>
                </c:pt>
                <c:pt idx="56">
                  <c:v>0.23799999999999999</c:v>
                </c:pt>
                <c:pt idx="57">
                  <c:v>0.22800000000000001</c:v>
                </c:pt>
                <c:pt idx="58">
                  <c:v>0.221</c:v>
                </c:pt>
                <c:pt idx="59">
                  <c:v>0.23100000000000001</c:v>
                </c:pt>
                <c:pt idx="60">
                  <c:v>0.28600000000000003</c:v>
                </c:pt>
                <c:pt idx="61">
                  <c:v>0.25700000000000001</c:v>
                </c:pt>
                <c:pt idx="62">
                  <c:v>0.188</c:v>
                </c:pt>
                <c:pt idx="63">
                  <c:v>0.20400000000000001</c:v>
                </c:pt>
                <c:pt idx="64">
                  <c:v>0.26</c:v>
                </c:pt>
                <c:pt idx="65">
                  <c:v>0.33400000000000002</c:v>
                </c:pt>
                <c:pt idx="66">
                  <c:v>0.41600000000000004</c:v>
                </c:pt>
                <c:pt idx="67">
                  <c:v>0.46899999999999997</c:v>
                </c:pt>
                <c:pt idx="68">
                  <c:v>0.46599999999999997</c:v>
                </c:pt>
                <c:pt idx="69">
                  <c:v>0.42700000000000005</c:v>
                </c:pt>
                <c:pt idx="70">
                  <c:v>0.36899999999999999</c:v>
                </c:pt>
                <c:pt idx="71">
                  <c:v>0.29799999999999999</c:v>
                </c:pt>
                <c:pt idx="72">
                  <c:v>0.23599999999999999</c:v>
                </c:pt>
                <c:pt idx="73">
                  <c:v>0.24100000000000002</c:v>
                </c:pt>
                <c:pt idx="74">
                  <c:v>0.36</c:v>
                </c:pt>
                <c:pt idx="75">
                  <c:v>0.68399999999999994</c:v>
                </c:pt>
                <c:pt idx="76">
                  <c:v>0.61899999999999999</c:v>
                </c:pt>
                <c:pt idx="77">
                  <c:v>0.30499999999999999</c:v>
                </c:pt>
                <c:pt idx="78">
                  <c:v>0.39</c:v>
                </c:pt>
                <c:pt idx="79">
                  <c:v>0.54300000000000004</c:v>
                </c:pt>
                <c:pt idx="80">
                  <c:v>0.36499999999999999</c:v>
                </c:pt>
                <c:pt idx="81">
                  <c:v>0.21700000000000003</c:v>
                </c:pt>
                <c:pt idx="82">
                  <c:v>0.13600000000000001</c:v>
                </c:pt>
                <c:pt idx="83">
                  <c:v>0.11399999999999999</c:v>
                </c:pt>
                <c:pt idx="84">
                  <c:v>0.111</c:v>
                </c:pt>
                <c:pt idx="85">
                  <c:v>0.108</c:v>
                </c:pt>
                <c:pt idx="86">
                  <c:v>9.9000000000000005E-2</c:v>
                </c:pt>
                <c:pt idx="87">
                  <c:v>8.7000000000000008E-2</c:v>
                </c:pt>
                <c:pt idx="88">
                  <c:v>7.3999999999999996E-2</c:v>
                </c:pt>
                <c:pt idx="89">
                  <c:v>7.0000000000000007E-2</c:v>
                </c:pt>
                <c:pt idx="90">
                  <c:v>0.06</c:v>
                </c:pt>
                <c:pt idx="91">
                  <c:v>5.6000000000000001E-2</c:v>
                </c:pt>
                <c:pt idx="92">
                  <c:v>0.05</c:v>
                </c:pt>
                <c:pt idx="93">
                  <c:v>4.3999999999999997E-2</c:v>
                </c:pt>
                <c:pt idx="94">
                  <c:v>4.0999999999999995E-2</c:v>
                </c:pt>
                <c:pt idx="95">
                  <c:v>4.8000000000000001E-2</c:v>
                </c:pt>
                <c:pt idx="96">
                  <c:v>1.7000000000000001E-2</c:v>
                </c:pt>
                <c:pt idx="97">
                  <c:v>4.7E-2</c:v>
                </c:pt>
                <c:pt idx="98">
                  <c:v>0.11199999999999999</c:v>
                </c:pt>
                <c:pt idx="99">
                  <c:v>0.2</c:v>
                </c:pt>
                <c:pt idx="100">
                  <c:v>0.17399999999999999</c:v>
                </c:pt>
                <c:pt idx="101">
                  <c:v>0.247</c:v>
                </c:pt>
                <c:pt idx="102">
                  <c:v>0.45299999999999996</c:v>
                </c:pt>
                <c:pt idx="103">
                  <c:v>0.27700000000000002</c:v>
                </c:pt>
                <c:pt idx="104">
                  <c:v>0.16600000000000001</c:v>
                </c:pt>
                <c:pt idx="105">
                  <c:v>0.20500000000000002</c:v>
                </c:pt>
                <c:pt idx="106">
                  <c:v>0.39600000000000002</c:v>
                </c:pt>
                <c:pt idx="107">
                  <c:v>0.68599999999999994</c:v>
                </c:pt>
                <c:pt idx="108">
                  <c:v>1.133</c:v>
                </c:pt>
                <c:pt idx="109">
                  <c:v>0.98899999999999988</c:v>
                </c:pt>
                <c:pt idx="110">
                  <c:v>0.88500000000000001</c:v>
                </c:pt>
                <c:pt idx="111">
                  <c:v>0.94199999999999995</c:v>
                </c:pt>
                <c:pt idx="112">
                  <c:v>0.90500000000000003</c:v>
                </c:pt>
                <c:pt idx="113">
                  <c:v>0.39700000000000002</c:v>
                </c:pt>
                <c:pt idx="114">
                  <c:v>0.52700000000000002</c:v>
                </c:pt>
                <c:pt idx="115">
                  <c:v>0.76400000000000001</c:v>
                </c:pt>
                <c:pt idx="116">
                  <c:v>1.048</c:v>
                </c:pt>
                <c:pt idx="117">
                  <c:v>1.3359999999999999</c:v>
                </c:pt>
                <c:pt idx="118">
                  <c:v>1.5529999999999999</c:v>
                </c:pt>
              </c:numCache>
            </c:numRef>
          </c:xVal>
          <c:yVal>
            <c:numRef>
              <c:f>Sheet2!$Z$1113:$Z$1231</c:f>
              <c:numCache>
                <c:formatCode>General</c:formatCode>
                <c:ptCount val="119"/>
                <c:pt idx="0">
                  <c:v>-0.76400000000000001</c:v>
                </c:pt>
                <c:pt idx="1">
                  <c:v>-0.64500000000000002</c:v>
                </c:pt>
                <c:pt idx="2">
                  <c:v>-0.53900000000000003</c:v>
                </c:pt>
                <c:pt idx="3">
                  <c:v>-0.46199999999999997</c:v>
                </c:pt>
                <c:pt idx="4">
                  <c:v>-0.41699999999999998</c:v>
                </c:pt>
                <c:pt idx="5">
                  <c:v>-0.39799999999999996</c:v>
                </c:pt>
                <c:pt idx="6">
                  <c:v>-0.41099999999999998</c:v>
                </c:pt>
                <c:pt idx="7">
                  <c:v>-0.41000000000000003</c:v>
                </c:pt>
                <c:pt idx="8">
                  <c:v>-0.375</c:v>
                </c:pt>
                <c:pt idx="9">
                  <c:v>-0.32500000000000001</c:v>
                </c:pt>
                <c:pt idx="10">
                  <c:v>-0.28500000000000003</c:v>
                </c:pt>
                <c:pt idx="11">
                  <c:v>-0.27500000000000002</c:v>
                </c:pt>
                <c:pt idx="12">
                  <c:v>-0.28499999999999998</c:v>
                </c:pt>
                <c:pt idx="13">
                  <c:v>-0.27</c:v>
                </c:pt>
                <c:pt idx="14">
                  <c:v>-0.22500000000000001</c:v>
                </c:pt>
                <c:pt idx="15">
                  <c:v>-0.17200000000000001</c:v>
                </c:pt>
                <c:pt idx="16">
                  <c:v>-0.16900000000000004</c:v>
                </c:pt>
                <c:pt idx="17">
                  <c:v>-0.19800000000000001</c:v>
                </c:pt>
                <c:pt idx="18">
                  <c:v>-0.23400000000000001</c:v>
                </c:pt>
                <c:pt idx="19">
                  <c:v>-0.22200000000000003</c:v>
                </c:pt>
                <c:pt idx="20">
                  <c:v>-0.20399999999999996</c:v>
                </c:pt>
                <c:pt idx="21">
                  <c:v>-0.16299999999999998</c:v>
                </c:pt>
                <c:pt idx="22">
                  <c:v>-0.11000000000000004</c:v>
                </c:pt>
                <c:pt idx="23">
                  <c:v>-2.899999999999997E-2</c:v>
                </c:pt>
                <c:pt idx="24">
                  <c:v>-2.7000000000000024E-2</c:v>
                </c:pt>
                <c:pt idx="25">
                  <c:v>-0.14200000000000002</c:v>
                </c:pt>
                <c:pt idx="26">
                  <c:v>-0.25299999999999995</c:v>
                </c:pt>
                <c:pt idx="27">
                  <c:v>-0.30899999999999994</c:v>
                </c:pt>
                <c:pt idx="28">
                  <c:v>-0.27200000000000002</c:v>
                </c:pt>
                <c:pt idx="29">
                  <c:v>-0.17399999999999999</c:v>
                </c:pt>
                <c:pt idx="30">
                  <c:v>-0.30499999999999999</c:v>
                </c:pt>
                <c:pt idx="31">
                  <c:v>-0.48099999999999998</c:v>
                </c:pt>
                <c:pt idx="32">
                  <c:v>-0.54300000000000004</c:v>
                </c:pt>
                <c:pt idx="33">
                  <c:v>-0.54899999999999993</c:v>
                </c:pt>
                <c:pt idx="34">
                  <c:v>-0.52900000000000003</c:v>
                </c:pt>
                <c:pt idx="35">
                  <c:v>-0.51100000000000001</c:v>
                </c:pt>
                <c:pt idx="36">
                  <c:v>-0.504</c:v>
                </c:pt>
                <c:pt idx="37">
                  <c:v>-0.51800000000000002</c:v>
                </c:pt>
                <c:pt idx="38">
                  <c:v>-0.55399999999999994</c:v>
                </c:pt>
                <c:pt idx="39">
                  <c:v>-0.61399999999999999</c:v>
                </c:pt>
                <c:pt idx="40">
                  <c:v>-0.68899999999999995</c:v>
                </c:pt>
                <c:pt idx="41">
                  <c:v>-0.749</c:v>
                </c:pt>
                <c:pt idx="42">
                  <c:v>-0.77700000000000002</c:v>
                </c:pt>
                <c:pt idx="43">
                  <c:v>-0.77300000000000002</c:v>
                </c:pt>
                <c:pt idx="44">
                  <c:v>-0.752</c:v>
                </c:pt>
                <c:pt idx="45">
                  <c:v>-0.72099999999999997</c:v>
                </c:pt>
                <c:pt idx="46">
                  <c:v>-0.68199999999999994</c:v>
                </c:pt>
                <c:pt idx="47">
                  <c:v>-0.63100000000000001</c:v>
                </c:pt>
                <c:pt idx="48">
                  <c:v>-0.59499999999999997</c:v>
                </c:pt>
                <c:pt idx="49">
                  <c:v>-0.58499999999999996</c:v>
                </c:pt>
                <c:pt idx="50">
                  <c:v>-0.59599999999999997</c:v>
                </c:pt>
                <c:pt idx="51">
                  <c:v>-0.60099999999999998</c:v>
                </c:pt>
                <c:pt idx="52">
                  <c:v>-0.60500000000000009</c:v>
                </c:pt>
                <c:pt idx="53">
                  <c:v>-0.626</c:v>
                </c:pt>
                <c:pt idx="54">
                  <c:v>-0.67300000000000004</c:v>
                </c:pt>
                <c:pt idx="55">
                  <c:v>-0.70599999999999996</c:v>
                </c:pt>
                <c:pt idx="56">
                  <c:v>-0.76800000000000002</c:v>
                </c:pt>
                <c:pt idx="57">
                  <c:v>-0.78699999999999992</c:v>
                </c:pt>
                <c:pt idx="58">
                  <c:v>-0.78499999999999992</c:v>
                </c:pt>
                <c:pt idx="59">
                  <c:v>-0.78499999999999992</c:v>
                </c:pt>
                <c:pt idx="60">
                  <c:v>-0.79</c:v>
                </c:pt>
                <c:pt idx="61">
                  <c:v>-0.14300000000000002</c:v>
                </c:pt>
                <c:pt idx="62">
                  <c:v>-0.28600000000000003</c:v>
                </c:pt>
                <c:pt idx="63">
                  <c:v>-0.41600000000000004</c:v>
                </c:pt>
                <c:pt idx="64">
                  <c:v>-0.51200000000000001</c:v>
                </c:pt>
                <c:pt idx="65">
                  <c:v>-0.57100000000000006</c:v>
                </c:pt>
                <c:pt idx="66">
                  <c:v>-0.60199999999999998</c:v>
                </c:pt>
                <c:pt idx="67">
                  <c:v>-0.61199999999999999</c:v>
                </c:pt>
                <c:pt idx="68">
                  <c:v>-0.60600000000000009</c:v>
                </c:pt>
                <c:pt idx="69">
                  <c:v>-0.55899999999999994</c:v>
                </c:pt>
                <c:pt idx="70">
                  <c:v>-0.47299999999999998</c:v>
                </c:pt>
                <c:pt idx="71">
                  <c:v>-0.38500000000000001</c:v>
                </c:pt>
                <c:pt idx="72">
                  <c:v>-0.31000000000000005</c:v>
                </c:pt>
                <c:pt idx="73">
                  <c:v>-0.21999999999999997</c:v>
                </c:pt>
                <c:pt idx="74">
                  <c:v>-9.5000000000000001E-2</c:v>
                </c:pt>
                <c:pt idx="75">
                  <c:v>-0.59500000000000008</c:v>
                </c:pt>
                <c:pt idx="76">
                  <c:v>-4.4000000000000039E-2</c:v>
                </c:pt>
                <c:pt idx="77">
                  <c:v>-0.29900000000000004</c:v>
                </c:pt>
                <c:pt idx="78">
                  <c:v>-0.26600000000000001</c:v>
                </c:pt>
                <c:pt idx="79">
                  <c:v>-0.13699999999999996</c:v>
                </c:pt>
                <c:pt idx="80">
                  <c:v>-0.48099999999999998</c:v>
                </c:pt>
                <c:pt idx="81">
                  <c:v>-0.60599999999999998</c:v>
                </c:pt>
                <c:pt idx="82">
                  <c:v>-0.66500000000000004</c:v>
                </c:pt>
                <c:pt idx="83">
                  <c:v>-0.57299999999999995</c:v>
                </c:pt>
                <c:pt idx="84">
                  <c:v>-0.39799999999999996</c:v>
                </c:pt>
                <c:pt idx="85">
                  <c:v>-0.249</c:v>
                </c:pt>
                <c:pt idx="86">
                  <c:v>-0.193</c:v>
                </c:pt>
                <c:pt idx="87">
                  <c:v>-0.22499999999999998</c:v>
                </c:pt>
                <c:pt idx="88">
                  <c:v>-0.313</c:v>
                </c:pt>
                <c:pt idx="89">
                  <c:v>-0.43</c:v>
                </c:pt>
                <c:pt idx="90">
                  <c:v>-0.437</c:v>
                </c:pt>
                <c:pt idx="91">
                  <c:v>-0.441</c:v>
                </c:pt>
                <c:pt idx="92">
                  <c:v>-0.438</c:v>
                </c:pt>
                <c:pt idx="93">
                  <c:v>-0.40800000000000003</c:v>
                </c:pt>
                <c:pt idx="94">
                  <c:v>-0.36000000000000004</c:v>
                </c:pt>
                <c:pt idx="95">
                  <c:v>-0.495</c:v>
                </c:pt>
                <c:pt idx="96">
                  <c:v>-0.53</c:v>
                </c:pt>
                <c:pt idx="97">
                  <c:v>-0.56499999999999995</c:v>
                </c:pt>
                <c:pt idx="98">
                  <c:v>-0.60299999999999998</c:v>
                </c:pt>
                <c:pt idx="99">
                  <c:v>-0.124</c:v>
                </c:pt>
                <c:pt idx="100">
                  <c:v>-0.155</c:v>
                </c:pt>
                <c:pt idx="101">
                  <c:v>-0.15599999999999997</c:v>
                </c:pt>
                <c:pt idx="102">
                  <c:v>-0.13799999999999998</c:v>
                </c:pt>
                <c:pt idx="103">
                  <c:v>-0.10600000000000001</c:v>
                </c:pt>
                <c:pt idx="104">
                  <c:v>-0.18100000000000002</c:v>
                </c:pt>
                <c:pt idx="105">
                  <c:v>-0.17699999999999996</c:v>
                </c:pt>
                <c:pt idx="106">
                  <c:v>-0.10499999999999998</c:v>
                </c:pt>
                <c:pt idx="107">
                  <c:v>1.6000000000000014E-2</c:v>
                </c:pt>
                <c:pt idx="108">
                  <c:v>0.13800000000000001</c:v>
                </c:pt>
                <c:pt idx="109">
                  <c:v>2.0000000000000018E-3</c:v>
                </c:pt>
                <c:pt idx="110">
                  <c:v>-0.35699999999999998</c:v>
                </c:pt>
                <c:pt idx="111">
                  <c:v>-0.41300000000000003</c:v>
                </c:pt>
                <c:pt idx="112">
                  <c:v>-0.36199999999999999</c:v>
                </c:pt>
                <c:pt idx="113">
                  <c:v>-0.16300000000000001</c:v>
                </c:pt>
                <c:pt idx="114">
                  <c:v>-2.7999999999999969E-2</c:v>
                </c:pt>
                <c:pt idx="115">
                  <c:v>0.13600000000000001</c:v>
                </c:pt>
                <c:pt idx="116">
                  <c:v>0.29399999999999998</c:v>
                </c:pt>
                <c:pt idx="117">
                  <c:v>0.42199999999999993</c:v>
                </c:pt>
                <c:pt idx="118">
                  <c:v>0.51400000000000001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66-4099-869E-4848EFAE00F8}"/>
            </c:ext>
          </c:extLst>
        </c:ser>
        <c:ser>
          <c:idx val="10"/>
          <c:order val="10"/>
          <c:tx>
            <c:strRef>
              <c:f>Sheet2!$V$1232</c:f>
              <c:strCache>
                <c:ptCount val="1"/>
                <c:pt idx="0">
                  <c:v>白云质灰岩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5"/>
              </a:solidFill>
              <a:ln w="952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Sheet2!$Y$1232:$Y$1294</c:f>
              <c:numCache>
                <c:formatCode>General</c:formatCode>
                <c:ptCount val="63"/>
                <c:pt idx="0">
                  <c:v>0.22499999999999998</c:v>
                </c:pt>
                <c:pt idx="1">
                  <c:v>0.26600000000000001</c:v>
                </c:pt>
                <c:pt idx="2">
                  <c:v>0.35299999999999998</c:v>
                </c:pt>
                <c:pt idx="3">
                  <c:v>0.44600000000000001</c:v>
                </c:pt>
                <c:pt idx="4">
                  <c:v>0.56699999999999995</c:v>
                </c:pt>
                <c:pt idx="5">
                  <c:v>0.68399999999999994</c:v>
                </c:pt>
                <c:pt idx="6">
                  <c:v>0.432</c:v>
                </c:pt>
                <c:pt idx="7">
                  <c:v>0.312</c:v>
                </c:pt>
                <c:pt idx="8">
                  <c:v>0.27</c:v>
                </c:pt>
                <c:pt idx="9">
                  <c:v>0.311</c:v>
                </c:pt>
                <c:pt idx="10">
                  <c:v>0.38400000000000001</c:v>
                </c:pt>
                <c:pt idx="11">
                  <c:v>0.441</c:v>
                </c:pt>
                <c:pt idx="12">
                  <c:v>0.46500000000000002</c:v>
                </c:pt>
                <c:pt idx="13">
                  <c:v>0.441</c:v>
                </c:pt>
                <c:pt idx="14">
                  <c:v>0.248</c:v>
                </c:pt>
                <c:pt idx="15">
                  <c:v>0.186</c:v>
                </c:pt>
                <c:pt idx="16">
                  <c:v>0.245</c:v>
                </c:pt>
                <c:pt idx="17">
                  <c:v>0.34199999999999997</c:v>
                </c:pt>
                <c:pt idx="18">
                  <c:v>0.501</c:v>
                </c:pt>
                <c:pt idx="19">
                  <c:v>0.13500000000000001</c:v>
                </c:pt>
                <c:pt idx="20">
                  <c:v>0.14599999999999999</c:v>
                </c:pt>
                <c:pt idx="21">
                  <c:v>0.184</c:v>
                </c:pt>
                <c:pt idx="22">
                  <c:v>0.23899999999999999</c:v>
                </c:pt>
                <c:pt idx="23">
                  <c:v>0.3</c:v>
                </c:pt>
                <c:pt idx="24">
                  <c:v>0.372</c:v>
                </c:pt>
                <c:pt idx="25">
                  <c:v>0.43099999999999999</c:v>
                </c:pt>
                <c:pt idx="26">
                  <c:v>0.435</c:v>
                </c:pt>
                <c:pt idx="27">
                  <c:v>0.36799999999999999</c:v>
                </c:pt>
                <c:pt idx="28">
                  <c:v>0.253</c:v>
                </c:pt>
                <c:pt idx="29">
                  <c:v>0.152</c:v>
                </c:pt>
                <c:pt idx="30">
                  <c:v>0.26300000000000001</c:v>
                </c:pt>
                <c:pt idx="31">
                  <c:v>0.43299999999999994</c:v>
                </c:pt>
                <c:pt idx="32">
                  <c:v>0.55800000000000005</c:v>
                </c:pt>
                <c:pt idx="33">
                  <c:v>0.61499999999999999</c:v>
                </c:pt>
                <c:pt idx="34">
                  <c:v>0.20199999999999999</c:v>
                </c:pt>
                <c:pt idx="35">
                  <c:v>0.29700000000000004</c:v>
                </c:pt>
                <c:pt idx="36">
                  <c:v>0.38700000000000001</c:v>
                </c:pt>
                <c:pt idx="37">
                  <c:v>0.46</c:v>
                </c:pt>
                <c:pt idx="38">
                  <c:v>0.505</c:v>
                </c:pt>
                <c:pt idx="39">
                  <c:v>0.50600000000000001</c:v>
                </c:pt>
                <c:pt idx="40">
                  <c:v>0.45599999999999996</c:v>
                </c:pt>
                <c:pt idx="41">
                  <c:v>0.55400000000000005</c:v>
                </c:pt>
                <c:pt idx="42">
                  <c:v>0.55099999999999993</c:v>
                </c:pt>
                <c:pt idx="43">
                  <c:v>0.42600000000000005</c:v>
                </c:pt>
                <c:pt idx="44">
                  <c:v>0.378</c:v>
                </c:pt>
                <c:pt idx="45">
                  <c:v>0.35899999999999999</c:v>
                </c:pt>
                <c:pt idx="46">
                  <c:v>0.255</c:v>
                </c:pt>
                <c:pt idx="47">
                  <c:v>0.315</c:v>
                </c:pt>
                <c:pt idx="48">
                  <c:v>0.38900000000000001</c:v>
                </c:pt>
                <c:pt idx="49">
                  <c:v>0.151</c:v>
                </c:pt>
                <c:pt idx="50">
                  <c:v>0.15999999999999998</c:v>
                </c:pt>
                <c:pt idx="51">
                  <c:v>0.16</c:v>
                </c:pt>
                <c:pt idx="52">
                  <c:v>0.15799999999999997</c:v>
                </c:pt>
                <c:pt idx="53">
                  <c:v>0.16300000000000001</c:v>
                </c:pt>
                <c:pt idx="54">
                  <c:v>0.17599999999999999</c:v>
                </c:pt>
                <c:pt idx="55">
                  <c:v>0.19</c:v>
                </c:pt>
                <c:pt idx="56">
                  <c:v>0.19700000000000001</c:v>
                </c:pt>
                <c:pt idx="57">
                  <c:v>0.19399999999999998</c:v>
                </c:pt>
                <c:pt idx="58">
                  <c:v>0.182</c:v>
                </c:pt>
                <c:pt idx="59">
                  <c:v>0.157</c:v>
                </c:pt>
                <c:pt idx="60">
                  <c:v>0.124</c:v>
                </c:pt>
                <c:pt idx="61">
                  <c:v>9.9000000000000005E-2</c:v>
                </c:pt>
                <c:pt idx="62">
                  <c:v>0.28700000000000003</c:v>
                </c:pt>
              </c:numCache>
            </c:numRef>
          </c:xVal>
          <c:yVal>
            <c:numRef>
              <c:f>Sheet2!$Z$1232:$Z$1294</c:f>
              <c:numCache>
                <c:formatCode>General</c:formatCode>
                <c:ptCount val="63"/>
                <c:pt idx="0">
                  <c:v>-0.26299999999999996</c:v>
                </c:pt>
                <c:pt idx="1">
                  <c:v>-0.35299999999999998</c:v>
                </c:pt>
                <c:pt idx="2">
                  <c:v>-0.43900000000000006</c:v>
                </c:pt>
                <c:pt idx="3">
                  <c:v>-0.53200000000000003</c:v>
                </c:pt>
                <c:pt idx="4">
                  <c:v>-0.57899999999999996</c:v>
                </c:pt>
                <c:pt idx="5">
                  <c:v>-0.59500000000000008</c:v>
                </c:pt>
                <c:pt idx="6">
                  <c:v>-0.20600000000000002</c:v>
                </c:pt>
                <c:pt idx="7">
                  <c:v>-0.32300000000000001</c:v>
                </c:pt>
                <c:pt idx="8">
                  <c:v>-0.35199999999999998</c:v>
                </c:pt>
                <c:pt idx="9">
                  <c:v>-0.27800000000000002</c:v>
                </c:pt>
                <c:pt idx="10">
                  <c:v>-0.154</c:v>
                </c:pt>
                <c:pt idx="11">
                  <c:v>-4.5999999999999985E-2</c:v>
                </c:pt>
                <c:pt idx="12">
                  <c:v>2.1000000000000019E-2</c:v>
                </c:pt>
                <c:pt idx="13">
                  <c:v>2.4000000000000021E-2</c:v>
                </c:pt>
                <c:pt idx="14">
                  <c:v>-0.27700000000000002</c:v>
                </c:pt>
                <c:pt idx="15">
                  <c:v>-0.17499999999999999</c:v>
                </c:pt>
                <c:pt idx="16">
                  <c:v>-1.7000000000000015E-2</c:v>
                </c:pt>
                <c:pt idx="17">
                  <c:v>0.10300000000000001</c:v>
                </c:pt>
                <c:pt idx="18">
                  <c:v>0.20200000000000001</c:v>
                </c:pt>
                <c:pt idx="19">
                  <c:v>-0.77199999999999991</c:v>
                </c:pt>
                <c:pt idx="20">
                  <c:v>-0.82799999999999996</c:v>
                </c:pt>
                <c:pt idx="21">
                  <c:v>-0.86299999999999999</c:v>
                </c:pt>
                <c:pt idx="22">
                  <c:v>-0.875</c:v>
                </c:pt>
                <c:pt idx="23">
                  <c:v>-0.86199999999999999</c:v>
                </c:pt>
                <c:pt idx="24">
                  <c:v>-0.81299999999999994</c:v>
                </c:pt>
                <c:pt idx="25">
                  <c:v>-0.75</c:v>
                </c:pt>
                <c:pt idx="26">
                  <c:v>-0.71199999999999997</c:v>
                </c:pt>
                <c:pt idx="27">
                  <c:v>-0.73199999999999998</c:v>
                </c:pt>
                <c:pt idx="28">
                  <c:v>-0.80100000000000005</c:v>
                </c:pt>
                <c:pt idx="29">
                  <c:v>-0.87800000000000011</c:v>
                </c:pt>
                <c:pt idx="30">
                  <c:v>-0.91400000000000003</c:v>
                </c:pt>
                <c:pt idx="31">
                  <c:v>-0.81299999999999994</c:v>
                </c:pt>
                <c:pt idx="32">
                  <c:v>-0.69500000000000006</c:v>
                </c:pt>
                <c:pt idx="33">
                  <c:v>-0.56000000000000005</c:v>
                </c:pt>
                <c:pt idx="34">
                  <c:v>-0.66099999999999992</c:v>
                </c:pt>
                <c:pt idx="35">
                  <c:v>-0.75</c:v>
                </c:pt>
                <c:pt idx="36">
                  <c:v>-0.79299999999999993</c:v>
                </c:pt>
                <c:pt idx="37">
                  <c:v>-0.79899999999999993</c:v>
                </c:pt>
                <c:pt idx="38">
                  <c:v>-0.78900000000000003</c:v>
                </c:pt>
                <c:pt idx="39">
                  <c:v>-0.74900000000000011</c:v>
                </c:pt>
                <c:pt idx="40">
                  <c:v>-0.64200000000000002</c:v>
                </c:pt>
                <c:pt idx="41">
                  <c:v>-0.42199999999999993</c:v>
                </c:pt>
                <c:pt idx="42">
                  <c:v>-0.54700000000000004</c:v>
                </c:pt>
                <c:pt idx="43">
                  <c:v>-0.77700000000000002</c:v>
                </c:pt>
                <c:pt idx="44">
                  <c:v>-0.78699999999999992</c:v>
                </c:pt>
                <c:pt idx="45">
                  <c:v>-0.71700000000000008</c:v>
                </c:pt>
                <c:pt idx="46">
                  <c:v>-2.4999999999999994E-2</c:v>
                </c:pt>
                <c:pt idx="47">
                  <c:v>6.8999999999999992E-2</c:v>
                </c:pt>
                <c:pt idx="48">
                  <c:v>0.14799999999999999</c:v>
                </c:pt>
                <c:pt idx="49">
                  <c:v>-0.94599999999999995</c:v>
                </c:pt>
                <c:pt idx="50">
                  <c:v>-0.98399999999999999</c:v>
                </c:pt>
                <c:pt idx="51">
                  <c:v>-0.97399999999999998</c:v>
                </c:pt>
                <c:pt idx="52">
                  <c:v>-0.92699999999999994</c:v>
                </c:pt>
                <c:pt idx="53">
                  <c:v>-0.86599999999999999</c:v>
                </c:pt>
                <c:pt idx="54">
                  <c:v>-0.82</c:v>
                </c:pt>
                <c:pt idx="55">
                  <c:v>-0.80699999999999994</c:v>
                </c:pt>
                <c:pt idx="56">
                  <c:v>-0.82</c:v>
                </c:pt>
                <c:pt idx="57">
                  <c:v>-0.84799999999999998</c:v>
                </c:pt>
                <c:pt idx="58">
                  <c:v>-0.88400000000000001</c:v>
                </c:pt>
                <c:pt idx="59">
                  <c:v>-0.89800000000000002</c:v>
                </c:pt>
                <c:pt idx="60">
                  <c:v>-0.85799999999999998</c:v>
                </c:pt>
                <c:pt idx="61">
                  <c:v>-0.81899999999999995</c:v>
                </c:pt>
                <c:pt idx="62">
                  <c:v>-0.78600000000000003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66-4099-869E-4848EFAE00F8}"/>
            </c:ext>
          </c:extLst>
        </c:ser>
        <c:ser>
          <c:idx val="11"/>
          <c:order val="11"/>
          <c:tx>
            <c:strRef>
              <c:f>Sheet2!$V$1297</c:f>
              <c:strCache>
                <c:ptCount val="1"/>
                <c:pt idx="0">
                  <c:v>泥质灰岩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Sheet2!$Y$1295:$Y$1355</c:f>
              <c:numCache>
                <c:formatCode>General</c:formatCode>
                <c:ptCount val="61"/>
                <c:pt idx="0">
                  <c:v>0.33399999999999996</c:v>
                </c:pt>
                <c:pt idx="1">
                  <c:v>0.47699999999999998</c:v>
                </c:pt>
                <c:pt idx="2">
                  <c:v>0.51600000000000001</c:v>
                </c:pt>
                <c:pt idx="3">
                  <c:v>0.47799999999999998</c:v>
                </c:pt>
                <c:pt idx="4">
                  <c:v>0.43500000000000005</c:v>
                </c:pt>
                <c:pt idx="5">
                  <c:v>0.41800000000000004</c:v>
                </c:pt>
                <c:pt idx="6">
                  <c:v>0.47899999999999998</c:v>
                </c:pt>
                <c:pt idx="7">
                  <c:v>0.53800000000000003</c:v>
                </c:pt>
                <c:pt idx="8">
                  <c:v>0.55500000000000005</c:v>
                </c:pt>
                <c:pt idx="9">
                  <c:v>0.48299999999999998</c:v>
                </c:pt>
                <c:pt idx="10">
                  <c:v>0.44900000000000001</c:v>
                </c:pt>
                <c:pt idx="11">
                  <c:v>0.46199999999999997</c:v>
                </c:pt>
                <c:pt idx="12">
                  <c:v>0.438</c:v>
                </c:pt>
                <c:pt idx="13">
                  <c:v>0.38</c:v>
                </c:pt>
                <c:pt idx="14">
                  <c:v>0.36099999999999999</c:v>
                </c:pt>
                <c:pt idx="15">
                  <c:v>0.38400000000000001</c:v>
                </c:pt>
                <c:pt idx="16">
                  <c:v>0.40699999999999997</c:v>
                </c:pt>
                <c:pt idx="17">
                  <c:v>0.184</c:v>
                </c:pt>
                <c:pt idx="18">
                  <c:v>0.19800000000000001</c:v>
                </c:pt>
                <c:pt idx="19">
                  <c:v>0.20899999999999999</c:v>
                </c:pt>
                <c:pt idx="20">
                  <c:v>0.215</c:v>
                </c:pt>
                <c:pt idx="21">
                  <c:v>0.215</c:v>
                </c:pt>
                <c:pt idx="22">
                  <c:v>0.20800000000000002</c:v>
                </c:pt>
                <c:pt idx="23">
                  <c:v>0.19800000000000001</c:v>
                </c:pt>
                <c:pt idx="24">
                  <c:v>0.19</c:v>
                </c:pt>
                <c:pt idx="25">
                  <c:v>0.182</c:v>
                </c:pt>
                <c:pt idx="26">
                  <c:v>0.70900000000000007</c:v>
                </c:pt>
                <c:pt idx="27">
                  <c:v>0.55800000000000005</c:v>
                </c:pt>
                <c:pt idx="28">
                  <c:v>0.45299999999999996</c:v>
                </c:pt>
                <c:pt idx="29">
                  <c:v>0.436</c:v>
                </c:pt>
                <c:pt idx="30">
                  <c:v>0.47400000000000003</c:v>
                </c:pt>
                <c:pt idx="31">
                  <c:v>0.499</c:v>
                </c:pt>
                <c:pt idx="32">
                  <c:v>0.48299999999999998</c:v>
                </c:pt>
                <c:pt idx="33">
                  <c:v>0.44400000000000001</c:v>
                </c:pt>
                <c:pt idx="34">
                  <c:v>0.42899999999999999</c:v>
                </c:pt>
                <c:pt idx="35">
                  <c:v>0.44700000000000001</c:v>
                </c:pt>
                <c:pt idx="36">
                  <c:v>0.46700000000000003</c:v>
                </c:pt>
                <c:pt idx="37">
                  <c:v>0.438</c:v>
                </c:pt>
                <c:pt idx="38">
                  <c:v>0.35499999999999998</c:v>
                </c:pt>
                <c:pt idx="39">
                  <c:v>0.26300000000000001</c:v>
                </c:pt>
                <c:pt idx="40">
                  <c:v>0.21000000000000002</c:v>
                </c:pt>
                <c:pt idx="41">
                  <c:v>0.44900000000000001</c:v>
                </c:pt>
                <c:pt idx="42">
                  <c:v>0.47500000000000003</c:v>
                </c:pt>
                <c:pt idx="43">
                  <c:v>0.41500000000000004</c:v>
                </c:pt>
                <c:pt idx="44">
                  <c:v>0.307</c:v>
                </c:pt>
                <c:pt idx="45">
                  <c:v>0.222</c:v>
                </c:pt>
                <c:pt idx="46">
                  <c:v>0.21600000000000003</c:v>
                </c:pt>
                <c:pt idx="47">
                  <c:v>0.29099999999999998</c:v>
                </c:pt>
                <c:pt idx="48">
                  <c:v>0.375</c:v>
                </c:pt>
                <c:pt idx="49">
                  <c:v>0.38900000000000001</c:v>
                </c:pt>
                <c:pt idx="50">
                  <c:v>0.219</c:v>
                </c:pt>
                <c:pt idx="51">
                  <c:v>9.5000000000000001E-2</c:v>
                </c:pt>
                <c:pt idx="52">
                  <c:v>3.7999999999999999E-2</c:v>
                </c:pt>
                <c:pt idx="53">
                  <c:v>3.7999999999999999E-2</c:v>
                </c:pt>
                <c:pt idx="54">
                  <c:v>0.11800000000000001</c:v>
                </c:pt>
                <c:pt idx="55">
                  <c:v>0.222</c:v>
                </c:pt>
                <c:pt idx="56">
                  <c:v>0.27300000000000002</c:v>
                </c:pt>
                <c:pt idx="57">
                  <c:v>0.29299999999999998</c:v>
                </c:pt>
                <c:pt idx="58">
                  <c:v>0.29400000000000004</c:v>
                </c:pt>
                <c:pt idx="59">
                  <c:v>0.29499999999999998</c:v>
                </c:pt>
                <c:pt idx="60">
                  <c:v>0.30499999999999999</c:v>
                </c:pt>
              </c:numCache>
            </c:numRef>
          </c:xVal>
          <c:yVal>
            <c:numRef>
              <c:f>Sheet2!$Z$1295:$Z$1355</c:f>
              <c:numCache>
                <c:formatCode>General</c:formatCode>
                <c:ptCount val="61"/>
                <c:pt idx="0">
                  <c:v>-0.54699999999999993</c:v>
                </c:pt>
                <c:pt idx="1">
                  <c:v>-0.58699999999999997</c:v>
                </c:pt>
                <c:pt idx="2">
                  <c:v>-0.65800000000000003</c:v>
                </c:pt>
                <c:pt idx="3">
                  <c:v>-0.76100000000000001</c:v>
                </c:pt>
                <c:pt idx="4">
                  <c:v>-0.82399999999999995</c:v>
                </c:pt>
                <c:pt idx="5">
                  <c:v>-0.83299999999999996</c:v>
                </c:pt>
                <c:pt idx="6">
                  <c:v>-0.747</c:v>
                </c:pt>
                <c:pt idx="7">
                  <c:v>-0.627</c:v>
                </c:pt>
                <c:pt idx="8">
                  <c:v>-0.41599999999999998</c:v>
                </c:pt>
                <c:pt idx="9">
                  <c:v>-0.24100000000000005</c:v>
                </c:pt>
                <c:pt idx="10">
                  <c:v>-0.69399999999999995</c:v>
                </c:pt>
                <c:pt idx="11">
                  <c:v>-0.65400000000000003</c:v>
                </c:pt>
                <c:pt idx="12">
                  <c:v>-0.67899999999999994</c:v>
                </c:pt>
                <c:pt idx="13">
                  <c:v>-0.77</c:v>
                </c:pt>
                <c:pt idx="14">
                  <c:v>-0.84099999999999997</c:v>
                </c:pt>
                <c:pt idx="15">
                  <c:v>-0.85199999999999998</c:v>
                </c:pt>
                <c:pt idx="16">
                  <c:v>-0.82799999999999996</c:v>
                </c:pt>
                <c:pt idx="17">
                  <c:v>-0.76900000000000002</c:v>
                </c:pt>
                <c:pt idx="18">
                  <c:v>-0.84</c:v>
                </c:pt>
                <c:pt idx="19">
                  <c:v>-0.92</c:v>
                </c:pt>
                <c:pt idx="20">
                  <c:v>-0.98</c:v>
                </c:pt>
                <c:pt idx="21">
                  <c:v>-0.999</c:v>
                </c:pt>
                <c:pt idx="22">
                  <c:v>-0.97699999999999998</c:v>
                </c:pt>
                <c:pt idx="23">
                  <c:v>-0.94199999999999995</c:v>
                </c:pt>
                <c:pt idx="24">
                  <c:v>-0.90600000000000003</c:v>
                </c:pt>
                <c:pt idx="25">
                  <c:v>-0.875</c:v>
                </c:pt>
                <c:pt idx="26">
                  <c:v>-0.41000000000000003</c:v>
                </c:pt>
                <c:pt idx="27">
                  <c:v>-0.502</c:v>
                </c:pt>
                <c:pt idx="28">
                  <c:v>-0.54</c:v>
                </c:pt>
                <c:pt idx="29">
                  <c:v>-0.52899999999999991</c:v>
                </c:pt>
                <c:pt idx="30">
                  <c:v>-0.5169999999999999</c:v>
                </c:pt>
                <c:pt idx="31">
                  <c:v>-0.56200000000000006</c:v>
                </c:pt>
                <c:pt idx="32">
                  <c:v>-0.66599999999999993</c:v>
                </c:pt>
                <c:pt idx="33">
                  <c:v>-0.76800000000000002</c:v>
                </c:pt>
                <c:pt idx="34">
                  <c:v>-0.78299999999999992</c:v>
                </c:pt>
                <c:pt idx="35">
                  <c:v>-0.72199999999999998</c:v>
                </c:pt>
                <c:pt idx="36">
                  <c:v>-0.65399999999999991</c:v>
                </c:pt>
                <c:pt idx="37">
                  <c:v>-0.629</c:v>
                </c:pt>
                <c:pt idx="38">
                  <c:v>-0.64300000000000002</c:v>
                </c:pt>
                <c:pt idx="39">
                  <c:v>-0.66499999999999992</c:v>
                </c:pt>
                <c:pt idx="40">
                  <c:v>-0.65999999999999992</c:v>
                </c:pt>
                <c:pt idx="41">
                  <c:v>-0.46200000000000002</c:v>
                </c:pt>
                <c:pt idx="42">
                  <c:v>-0.49799999999999994</c:v>
                </c:pt>
                <c:pt idx="43">
                  <c:v>-0.59899999999999998</c:v>
                </c:pt>
                <c:pt idx="44">
                  <c:v>-0.71799999999999997</c:v>
                </c:pt>
                <c:pt idx="45">
                  <c:v>-0.79100000000000004</c:v>
                </c:pt>
                <c:pt idx="46">
                  <c:v>-0.77400000000000002</c:v>
                </c:pt>
                <c:pt idx="47">
                  <c:v>-0.67399999999999993</c:v>
                </c:pt>
                <c:pt idx="48">
                  <c:v>-0.55500000000000005</c:v>
                </c:pt>
                <c:pt idx="49">
                  <c:v>-0.48899999999999999</c:v>
                </c:pt>
                <c:pt idx="50">
                  <c:v>-0.52900000000000003</c:v>
                </c:pt>
                <c:pt idx="51">
                  <c:v>-0.66199999999999992</c:v>
                </c:pt>
                <c:pt idx="52">
                  <c:v>-0.74299999999999999</c:v>
                </c:pt>
                <c:pt idx="53">
                  <c:v>-0.76100000000000001</c:v>
                </c:pt>
                <c:pt idx="54">
                  <c:v>-0.71599999999999997</c:v>
                </c:pt>
                <c:pt idx="55">
                  <c:v>-0.64900000000000002</c:v>
                </c:pt>
                <c:pt idx="56">
                  <c:v>-0.63300000000000001</c:v>
                </c:pt>
                <c:pt idx="57">
                  <c:v>-0.67600000000000005</c:v>
                </c:pt>
                <c:pt idx="58">
                  <c:v>-0.74</c:v>
                </c:pt>
                <c:pt idx="59">
                  <c:v>-0.752</c:v>
                </c:pt>
                <c:pt idx="60">
                  <c:v>-0.61399999999999999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66-4099-869E-4848EFAE00F8}"/>
            </c:ext>
          </c:extLst>
        </c:ser>
        <c:ser>
          <c:idx val="12"/>
          <c:order val="12"/>
          <c:tx>
            <c:strRef>
              <c:f>Sheet2!$V$1361</c:f>
              <c:strCache>
                <c:ptCount val="1"/>
                <c:pt idx="0">
                  <c:v>灰岩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Sheet2!$Y$1356:$Y$1448</c:f>
              <c:numCache>
                <c:formatCode>General</c:formatCode>
                <c:ptCount val="93"/>
                <c:pt idx="0">
                  <c:v>0.318</c:v>
                </c:pt>
                <c:pt idx="1">
                  <c:v>0.371</c:v>
                </c:pt>
                <c:pt idx="2">
                  <c:v>0.40400000000000003</c:v>
                </c:pt>
                <c:pt idx="3">
                  <c:v>0.41799999999999998</c:v>
                </c:pt>
                <c:pt idx="4">
                  <c:v>0.42</c:v>
                </c:pt>
                <c:pt idx="5">
                  <c:v>0.42400000000000004</c:v>
                </c:pt>
                <c:pt idx="6">
                  <c:v>0.14799999999999999</c:v>
                </c:pt>
                <c:pt idx="7">
                  <c:v>0.19600000000000001</c:v>
                </c:pt>
                <c:pt idx="8">
                  <c:v>0.222</c:v>
                </c:pt>
                <c:pt idx="9">
                  <c:v>0.23200000000000001</c:v>
                </c:pt>
                <c:pt idx="10">
                  <c:v>0.25900000000000001</c:v>
                </c:pt>
                <c:pt idx="11">
                  <c:v>0.32100000000000001</c:v>
                </c:pt>
                <c:pt idx="12">
                  <c:v>0.59199999999999997</c:v>
                </c:pt>
                <c:pt idx="13">
                  <c:v>0.41299999999999998</c:v>
                </c:pt>
                <c:pt idx="14">
                  <c:v>0.36099999999999999</c:v>
                </c:pt>
                <c:pt idx="15">
                  <c:v>0.20500000000000002</c:v>
                </c:pt>
                <c:pt idx="16">
                  <c:v>0.127</c:v>
                </c:pt>
                <c:pt idx="17">
                  <c:v>0.10500000000000001</c:v>
                </c:pt>
                <c:pt idx="18">
                  <c:v>0.29800000000000004</c:v>
                </c:pt>
                <c:pt idx="19">
                  <c:v>0.31</c:v>
                </c:pt>
                <c:pt idx="20">
                  <c:v>0.374</c:v>
                </c:pt>
                <c:pt idx="21">
                  <c:v>0.41699999999999998</c:v>
                </c:pt>
                <c:pt idx="22">
                  <c:v>0.39499999999999996</c:v>
                </c:pt>
                <c:pt idx="23">
                  <c:v>0.35800000000000004</c:v>
                </c:pt>
                <c:pt idx="24">
                  <c:v>0.34200000000000003</c:v>
                </c:pt>
                <c:pt idx="25">
                  <c:v>0.36399999999999999</c:v>
                </c:pt>
                <c:pt idx="26">
                  <c:v>0.40800000000000003</c:v>
                </c:pt>
                <c:pt idx="27">
                  <c:v>0.435</c:v>
                </c:pt>
                <c:pt idx="28">
                  <c:v>0.42399999999999999</c:v>
                </c:pt>
                <c:pt idx="29">
                  <c:v>0.20500000000000002</c:v>
                </c:pt>
                <c:pt idx="30">
                  <c:v>0.21199999999999999</c:v>
                </c:pt>
                <c:pt idx="31">
                  <c:v>0.20500000000000002</c:v>
                </c:pt>
                <c:pt idx="32">
                  <c:v>0.23499999999999999</c:v>
                </c:pt>
                <c:pt idx="33">
                  <c:v>0.28900000000000003</c:v>
                </c:pt>
                <c:pt idx="34">
                  <c:v>0.33500000000000002</c:v>
                </c:pt>
                <c:pt idx="35">
                  <c:v>0.35399999999999998</c:v>
                </c:pt>
                <c:pt idx="36">
                  <c:v>0.31899999999999995</c:v>
                </c:pt>
                <c:pt idx="37">
                  <c:v>0.25800000000000001</c:v>
                </c:pt>
                <c:pt idx="38">
                  <c:v>0.20799999999999999</c:v>
                </c:pt>
                <c:pt idx="39">
                  <c:v>0.185</c:v>
                </c:pt>
                <c:pt idx="40">
                  <c:v>0.184</c:v>
                </c:pt>
                <c:pt idx="41">
                  <c:v>0.23499999999999999</c:v>
                </c:pt>
                <c:pt idx="42">
                  <c:v>0.36099999999999999</c:v>
                </c:pt>
                <c:pt idx="43">
                  <c:v>0.249</c:v>
                </c:pt>
                <c:pt idx="44">
                  <c:v>0.33799999999999997</c:v>
                </c:pt>
                <c:pt idx="45">
                  <c:v>0.44000000000000006</c:v>
                </c:pt>
                <c:pt idx="46">
                  <c:v>0.48299999999999998</c:v>
                </c:pt>
                <c:pt idx="47">
                  <c:v>0.47599999999999998</c:v>
                </c:pt>
                <c:pt idx="48">
                  <c:v>0.53600000000000003</c:v>
                </c:pt>
                <c:pt idx="49">
                  <c:v>0.56000000000000005</c:v>
                </c:pt>
                <c:pt idx="50">
                  <c:v>0.505</c:v>
                </c:pt>
                <c:pt idx="51">
                  <c:v>0.41799999999999998</c:v>
                </c:pt>
                <c:pt idx="52">
                  <c:v>0.36099999999999999</c:v>
                </c:pt>
                <c:pt idx="53">
                  <c:v>0.36299999999999999</c:v>
                </c:pt>
                <c:pt idx="54">
                  <c:v>0.38500000000000001</c:v>
                </c:pt>
                <c:pt idx="55">
                  <c:v>0.38800000000000001</c:v>
                </c:pt>
                <c:pt idx="56">
                  <c:v>0.36899999999999999</c:v>
                </c:pt>
                <c:pt idx="57">
                  <c:v>0.17499999999999999</c:v>
                </c:pt>
                <c:pt idx="58">
                  <c:v>0.20799999999999999</c:v>
                </c:pt>
                <c:pt idx="59">
                  <c:v>0.22999999999999998</c:v>
                </c:pt>
                <c:pt idx="60">
                  <c:v>0.22899999999999998</c:v>
                </c:pt>
                <c:pt idx="61">
                  <c:v>0.20299999999999999</c:v>
                </c:pt>
                <c:pt idx="62">
                  <c:v>0.17300000000000001</c:v>
                </c:pt>
                <c:pt idx="63">
                  <c:v>0.13600000000000001</c:v>
                </c:pt>
                <c:pt idx="64">
                  <c:v>0.14400000000000002</c:v>
                </c:pt>
                <c:pt idx="65">
                  <c:v>0.16200000000000001</c:v>
                </c:pt>
                <c:pt idx="66">
                  <c:v>0.17599999999999999</c:v>
                </c:pt>
                <c:pt idx="67">
                  <c:v>0.18099999999999999</c:v>
                </c:pt>
                <c:pt idx="68">
                  <c:v>0.19</c:v>
                </c:pt>
                <c:pt idx="69">
                  <c:v>0.27800000000000002</c:v>
                </c:pt>
                <c:pt idx="70">
                  <c:v>0.308</c:v>
                </c:pt>
                <c:pt idx="71">
                  <c:v>0.32700000000000001</c:v>
                </c:pt>
                <c:pt idx="72">
                  <c:v>0.32300000000000001</c:v>
                </c:pt>
                <c:pt idx="73">
                  <c:v>0.30000000000000004</c:v>
                </c:pt>
                <c:pt idx="74">
                  <c:v>0.27200000000000002</c:v>
                </c:pt>
                <c:pt idx="75">
                  <c:v>0.26200000000000001</c:v>
                </c:pt>
                <c:pt idx="76">
                  <c:v>0.27699999999999997</c:v>
                </c:pt>
                <c:pt idx="77">
                  <c:v>0.309</c:v>
                </c:pt>
                <c:pt idx="78">
                  <c:v>0.33199999999999996</c:v>
                </c:pt>
                <c:pt idx="79">
                  <c:v>0.32300000000000001</c:v>
                </c:pt>
                <c:pt idx="80">
                  <c:v>0.28500000000000003</c:v>
                </c:pt>
                <c:pt idx="81">
                  <c:v>0.74099999999999999</c:v>
                </c:pt>
                <c:pt idx="82">
                  <c:v>0.80899999999999994</c:v>
                </c:pt>
                <c:pt idx="83">
                  <c:v>0.68599999999999994</c:v>
                </c:pt>
                <c:pt idx="84">
                  <c:v>0.96300000000000008</c:v>
                </c:pt>
                <c:pt idx="85">
                  <c:v>0.41100000000000003</c:v>
                </c:pt>
                <c:pt idx="86">
                  <c:v>0.34899999999999998</c:v>
                </c:pt>
                <c:pt idx="87">
                  <c:v>0.32800000000000001</c:v>
                </c:pt>
                <c:pt idx="88">
                  <c:v>0.32400000000000001</c:v>
                </c:pt>
                <c:pt idx="89">
                  <c:v>0.29600000000000004</c:v>
                </c:pt>
                <c:pt idx="90">
                  <c:v>0.29000000000000004</c:v>
                </c:pt>
                <c:pt idx="91">
                  <c:v>0.307</c:v>
                </c:pt>
                <c:pt idx="92">
                  <c:v>0.36499999999999999</c:v>
                </c:pt>
              </c:numCache>
            </c:numRef>
          </c:xVal>
          <c:yVal>
            <c:numRef>
              <c:f>Sheet2!$Z$1356:$Z$1448</c:f>
              <c:numCache>
                <c:formatCode>General</c:formatCode>
                <c:ptCount val="93"/>
                <c:pt idx="0">
                  <c:v>-0.749</c:v>
                </c:pt>
                <c:pt idx="1">
                  <c:v>-0.76200000000000001</c:v>
                </c:pt>
                <c:pt idx="2">
                  <c:v>-0.77499999999999991</c:v>
                </c:pt>
                <c:pt idx="3">
                  <c:v>-0.78800000000000003</c:v>
                </c:pt>
                <c:pt idx="4">
                  <c:v>-0.79</c:v>
                </c:pt>
                <c:pt idx="5">
                  <c:v>-0.73199999999999998</c:v>
                </c:pt>
                <c:pt idx="6">
                  <c:v>-0.314</c:v>
                </c:pt>
                <c:pt idx="7">
                  <c:v>-0.437</c:v>
                </c:pt>
                <c:pt idx="8">
                  <c:v>-0.63900000000000001</c:v>
                </c:pt>
                <c:pt idx="9">
                  <c:v>-0.82099999999999995</c:v>
                </c:pt>
                <c:pt idx="10">
                  <c:v>-0.82600000000000007</c:v>
                </c:pt>
                <c:pt idx="11">
                  <c:v>-0.63900000000000001</c:v>
                </c:pt>
                <c:pt idx="12">
                  <c:v>-0.29000000000000004</c:v>
                </c:pt>
                <c:pt idx="13">
                  <c:v>-0.56100000000000005</c:v>
                </c:pt>
                <c:pt idx="14">
                  <c:v>-0.64700000000000002</c:v>
                </c:pt>
                <c:pt idx="15">
                  <c:v>-0.81199999999999994</c:v>
                </c:pt>
                <c:pt idx="16">
                  <c:v>-0.93300000000000005</c:v>
                </c:pt>
                <c:pt idx="17">
                  <c:v>-0.88400000000000001</c:v>
                </c:pt>
                <c:pt idx="18">
                  <c:v>-0.80100000000000005</c:v>
                </c:pt>
                <c:pt idx="19">
                  <c:v>-0.86499999999999999</c:v>
                </c:pt>
                <c:pt idx="20">
                  <c:v>-0.90700000000000003</c:v>
                </c:pt>
                <c:pt idx="21">
                  <c:v>-0.93300000000000005</c:v>
                </c:pt>
                <c:pt idx="22">
                  <c:v>-0.96</c:v>
                </c:pt>
                <c:pt idx="23">
                  <c:v>-0.96699999999999997</c:v>
                </c:pt>
                <c:pt idx="24">
                  <c:v>-0.96699999999999997</c:v>
                </c:pt>
                <c:pt idx="25">
                  <c:v>-0.96</c:v>
                </c:pt>
                <c:pt idx="26">
                  <c:v>-0.93499999999999994</c:v>
                </c:pt>
                <c:pt idx="27">
                  <c:v>-0.88800000000000001</c:v>
                </c:pt>
                <c:pt idx="28">
                  <c:v>-0.82699999999999996</c:v>
                </c:pt>
                <c:pt idx="29">
                  <c:v>-0.61599999999999999</c:v>
                </c:pt>
                <c:pt idx="30">
                  <c:v>-0.70300000000000007</c:v>
                </c:pt>
                <c:pt idx="31">
                  <c:v>-0.79399999999999993</c:v>
                </c:pt>
                <c:pt idx="32">
                  <c:v>-0.80999999999999994</c:v>
                </c:pt>
                <c:pt idx="33">
                  <c:v>-0.749</c:v>
                </c:pt>
                <c:pt idx="34">
                  <c:v>-0.65600000000000003</c:v>
                </c:pt>
                <c:pt idx="35">
                  <c:v>-0.58899999999999997</c:v>
                </c:pt>
                <c:pt idx="36">
                  <c:v>-0.60399999999999998</c:v>
                </c:pt>
                <c:pt idx="37">
                  <c:v>-0.68100000000000005</c:v>
                </c:pt>
                <c:pt idx="38">
                  <c:v>-0.78399999999999992</c:v>
                </c:pt>
                <c:pt idx="39">
                  <c:v>-0.86599999999999999</c:v>
                </c:pt>
                <c:pt idx="40">
                  <c:v>-0.89</c:v>
                </c:pt>
                <c:pt idx="41">
                  <c:v>-0.81299999999999994</c:v>
                </c:pt>
                <c:pt idx="42">
                  <c:v>-0.61099999999999999</c:v>
                </c:pt>
                <c:pt idx="43">
                  <c:v>-0.68800000000000006</c:v>
                </c:pt>
                <c:pt idx="44">
                  <c:v>-0.58800000000000008</c:v>
                </c:pt>
                <c:pt idx="45">
                  <c:v>-0.64200000000000002</c:v>
                </c:pt>
                <c:pt idx="46">
                  <c:v>-0.72299999999999998</c:v>
                </c:pt>
                <c:pt idx="47">
                  <c:v>-0.71799999999999997</c:v>
                </c:pt>
                <c:pt idx="48">
                  <c:v>-0.379</c:v>
                </c:pt>
                <c:pt idx="49">
                  <c:v>-0.40900000000000003</c:v>
                </c:pt>
                <c:pt idx="50">
                  <c:v>-0.49199999999999994</c:v>
                </c:pt>
                <c:pt idx="51">
                  <c:v>-0.623</c:v>
                </c:pt>
                <c:pt idx="52">
                  <c:v>-0.71899999999999997</c:v>
                </c:pt>
                <c:pt idx="53">
                  <c:v>-0.75700000000000001</c:v>
                </c:pt>
                <c:pt idx="54">
                  <c:v>-0.72799999999999998</c:v>
                </c:pt>
                <c:pt idx="55">
                  <c:v>-0.59799999999999998</c:v>
                </c:pt>
                <c:pt idx="56">
                  <c:v>-0.35899999999999999</c:v>
                </c:pt>
                <c:pt idx="57">
                  <c:v>-0.38700000000000001</c:v>
                </c:pt>
                <c:pt idx="58">
                  <c:v>-0.6</c:v>
                </c:pt>
                <c:pt idx="59">
                  <c:v>-0.80499999999999994</c:v>
                </c:pt>
                <c:pt idx="60">
                  <c:v>-0.94799999999999995</c:v>
                </c:pt>
                <c:pt idx="61">
                  <c:v>-0.97299999999999998</c:v>
                </c:pt>
                <c:pt idx="62">
                  <c:v>-0.72699999999999998</c:v>
                </c:pt>
                <c:pt idx="63">
                  <c:v>-0.82500000000000007</c:v>
                </c:pt>
                <c:pt idx="64">
                  <c:v>-0.871</c:v>
                </c:pt>
                <c:pt idx="65">
                  <c:v>-0.91100000000000003</c:v>
                </c:pt>
                <c:pt idx="66">
                  <c:v>-0.92999999999999994</c:v>
                </c:pt>
                <c:pt idx="67">
                  <c:v>-0.86099999999999999</c:v>
                </c:pt>
                <c:pt idx="68">
                  <c:v>-0.80799999999999994</c:v>
                </c:pt>
                <c:pt idx="69">
                  <c:v>-0.64599999999999991</c:v>
                </c:pt>
                <c:pt idx="70">
                  <c:v>-0.622</c:v>
                </c:pt>
                <c:pt idx="71">
                  <c:v>-0.59</c:v>
                </c:pt>
                <c:pt idx="72">
                  <c:v>-0.59799999999999998</c:v>
                </c:pt>
                <c:pt idx="73">
                  <c:v>-0.62799999999999989</c:v>
                </c:pt>
                <c:pt idx="74">
                  <c:v>-0.64799999999999991</c:v>
                </c:pt>
                <c:pt idx="75">
                  <c:v>-0.66099999999999992</c:v>
                </c:pt>
                <c:pt idx="76">
                  <c:v>-0.67499999999999993</c:v>
                </c:pt>
                <c:pt idx="77">
                  <c:v>-0.69100000000000006</c:v>
                </c:pt>
                <c:pt idx="78">
                  <c:v>-0.68700000000000006</c:v>
                </c:pt>
                <c:pt idx="79">
                  <c:v>-0.63</c:v>
                </c:pt>
                <c:pt idx="80">
                  <c:v>-0.5169999999999999</c:v>
                </c:pt>
                <c:pt idx="81">
                  <c:v>2.300000000000002E-2</c:v>
                </c:pt>
                <c:pt idx="82">
                  <c:v>0.13400000000000001</c:v>
                </c:pt>
                <c:pt idx="83">
                  <c:v>1.6000000000000014E-2</c:v>
                </c:pt>
                <c:pt idx="84">
                  <c:v>0.13700000000000007</c:v>
                </c:pt>
                <c:pt idx="85">
                  <c:v>-0.38500000000000001</c:v>
                </c:pt>
                <c:pt idx="86">
                  <c:v>-0.47199999999999998</c:v>
                </c:pt>
                <c:pt idx="87">
                  <c:v>-0.54600000000000004</c:v>
                </c:pt>
                <c:pt idx="88">
                  <c:v>-0.26600000000000001</c:v>
                </c:pt>
                <c:pt idx="89">
                  <c:v>-0.25</c:v>
                </c:pt>
                <c:pt idx="90">
                  <c:v>-0.24200000000000002</c:v>
                </c:pt>
                <c:pt idx="91">
                  <c:v>-0.249</c:v>
                </c:pt>
                <c:pt idx="92">
                  <c:v>-0.253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66-4099-869E-4848EFAE00F8}"/>
            </c:ext>
          </c:extLst>
        </c:ser>
        <c:ser>
          <c:idx val="13"/>
          <c:order val="13"/>
          <c:tx>
            <c:strRef>
              <c:f>Sheet2!$V$1449</c:f>
              <c:strCache>
                <c:ptCount val="1"/>
                <c:pt idx="0">
                  <c:v>石膏岩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Sheet2!$Y$1449:$Y$1491</c:f>
              <c:numCache>
                <c:formatCode>General</c:formatCode>
                <c:ptCount val="43"/>
                <c:pt idx="0">
                  <c:v>0.23299999999999998</c:v>
                </c:pt>
                <c:pt idx="1">
                  <c:v>0.16300000000000001</c:v>
                </c:pt>
                <c:pt idx="2">
                  <c:v>0.14799999999999999</c:v>
                </c:pt>
                <c:pt idx="3">
                  <c:v>0.158</c:v>
                </c:pt>
                <c:pt idx="4">
                  <c:v>0.17899999999999999</c:v>
                </c:pt>
                <c:pt idx="5">
                  <c:v>0.216</c:v>
                </c:pt>
                <c:pt idx="6">
                  <c:v>0.254</c:v>
                </c:pt>
                <c:pt idx="7">
                  <c:v>0.27</c:v>
                </c:pt>
                <c:pt idx="8">
                  <c:v>0.25900000000000001</c:v>
                </c:pt>
                <c:pt idx="9">
                  <c:v>0.24</c:v>
                </c:pt>
                <c:pt idx="10">
                  <c:v>0.22900000000000001</c:v>
                </c:pt>
                <c:pt idx="11">
                  <c:v>0.23099999999999998</c:v>
                </c:pt>
                <c:pt idx="12">
                  <c:v>0.249</c:v>
                </c:pt>
                <c:pt idx="13">
                  <c:v>0.28000000000000003</c:v>
                </c:pt>
                <c:pt idx="14">
                  <c:v>0.309</c:v>
                </c:pt>
                <c:pt idx="15">
                  <c:v>0.32100000000000001</c:v>
                </c:pt>
                <c:pt idx="16">
                  <c:v>0.313</c:v>
                </c:pt>
                <c:pt idx="17">
                  <c:v>0.29299999999999998</c:v>
                </c:pt>
                <c:pt idx="18">
                  <c:v>0.26600000000000001</c:v>
                </c:pt>
                <c:pt idx="19">
                  <c:v>0.25</c:v>
                </c:pt>
                <c:pt idx="20">
                  <c:v>0.251</c:v>
                </c:pt>
                <c:pt idx="21">
                  <c:v>0.255</c:v>
                </c:pt>
                <c:pt idx="22">
                  <c:v>0.254</c:v>
                </c:pt>
                <c:pt idx="23">
                  <c:v>0.247</c:v>
                </c:pt>
                <c:pt idx="24">
                  <c:v>0.23399999999999999</c:v>
                </c:pt>
                <c:pt idx="25">
                  <c:v>0.22099999999999997</c:v>
                </c:pt>
                <c:pt idx="26">
                  <c:v>0.217</c:v>
                </c:pt>
                <c:pt idx="27">
                  <c:v>0.21299999999999999</c:v>
                </c:pt>
                <c:pt idx="28">
                  <c:v>0.20900000000000002</c:v>
                </c:pt>
                <c:pt idx="29">
                  <c:v>0.19900000000000001</c:v>
                </c:pt>
                <c:pt idx="30">
                  <c:v>0.184</c:v>
                </c:pt>
                <c:pt idx="31">
                  <c:v>0.16800000000000001</c:v>
                </c:pt>
                <c:pt idx="32">
                  <c:v>0.14800000000000002</c:v>
                </c:pt>
                <c:pt idx="33">
                  <c:v>0.129</c:v>
                </c:pt>
                <c:pt idx="34">
                  <c:v>0.24</c:v>
                </c:pt>
                <c:pt idx="35">
                  <c:v>0.23200000000000001</c:v>
                </c:pt>
                <c:pt idx="36">
                  <c:v>0.22800000000000001</c:v>
                </c:pt>
                <c:pt idx="37">
                  <c:v>0.23</c:v>
                </c:pt>
                <c:pt idx="38">
                  <c:v>0.23699999999999999</c:v>
                </c:pt>
                <c:pt idx="39">
                  <c:v>0.24099999999999999</c:v>
                </c:pt>
                <c:pt idx="40">
                  <c:v>0.23300000000000001</c:v>
                </c:pt>
                <c:pt idx="41">
                  <c:v>0.20400000000000001</c:v>
                </c:pt>
                <c:pt idx="42">
                  <c:v>0.158</c:v>
                </c:pt>
              </c:numCache>
            </c:numRef>
          </c:xVal>
          <c:yVal>
            <c:numRef>
              <c:f>Sheet2!$Z$1449:$Z$1491</c:f>
              <c:numCache>
                <c:formatCode>General</c:formatCode>
                <c:ptCount val="43"/>
                <c:pt idx="0">
                  <c:v>-5.2999999999999992E-2</c:v>
                </c:pt>
                <c:pt idx="1">
                  <c:v>-0.14300000000000002</c:v>
                </c:pt>
                <c:pt idx="2">
                  <c:v>-0.17</c:v>
                </c:pt>
                <c:pt idx="3">
                  <c:v>-0.14799999999999999</c:v>
                </c:pt>
                <c:pt idx="4">
                  <c:v>-0.16099999999999998</c:v>
                </c:pt>
                <c:pt idx="5">
                  <c:v>-0.20500000000000002</c:v>
                </c:pt>
                <c:pt idx="6">
                  <c:v>-0.19400000000000001</c:v>
                </c:pt>
                <c:pt idx="7">
                  <c:v>-0.16500000000000001</c:v>
                </c:pt>
                <c:pt idx="8">
                  <c:v>-0.17499999999999999</c:v>
                </c:pt>
                <c:pt idx="9">
                  <c:v>-0.21199999999999999</c:v>
                </c:pt>
                <c:pt idx="10">
                  <c:v>-0.246</c:v>
                </c:pt>
                <c:pt idx="11">
                  <c:v>-0.245</c:v>
                </c:pt>
                <c:pt idx="12">
                  <c:v>-0.22000000000000003</c:v>
                </c:pt>
                <c:pt idx="13">
                  <c:v>-0.21600000000000003</c:v>
                </c:pt>
                <c:pt idx="14">
                  <c:v>-0.21400000000000002</c:v>
                </c:pt>
                <c:pt idx="15">
                  <c:v>-0.20200000000000001</c:v>
                </c:pt>
                <c:pt idx="16">
                  <c:v>-0.192</c:v>
                </c:pt>
                <c:pt idx="17">
                  <c:v>-0.189</c:v>
                </c:pt>
                <c:pt idx="18">
                  <c:v>-0.191</c:v>
                </c:pt>
                <c:pt idx="19">
                  <c:v>-0.191</c:v>
                </c:pt>
                <c:pt idx="20">
                  <c:v>-0.18099999999999999</c:v>
                </c:pt>
                <c:pt idx="21">
                  <c:v>-0.16699999999999998</c:v>
                </c:pt>
                <c:pt idx="22">
                  <c:v>-0.16299999999999998</c:v>
                </c:pt>
                <c:pt idx="23">
                  <c:v>-0.17299999999999999</c:v>
                </c:pt>
                <c:pt idx="24">
                  <c:v>-0.18099999999999999</c:v>
                </c:pt>
                <c:pt idx="25">
                  <c:v>-0.17899999999999999</c:v>
                </c:pt>
                <c:pt idx="26">
                  <c:v>-0.17600000000000002</c:v>
                </c:pt>
                <c:pt idx="27">
                  <c:v>-0.183</c:v>
                </c:pt>
                <c:pt idx="28">
                  <c:v>-0.17499999999999999</c:v>
                </c:pt>
                <c:pt idx="29">
                  <c:v>-0.16599999999999998</c:v>
                </c:pt>
                <c:pt idx="30">
                  <c:v>-0.15499999999999997</c:v>
                </c:pt>
                <c:pt idx="31">
                  <c:v>-0.14900000000000002</c:v>
                </c:pt>
                <c:pt idx="32">
                  <c:v>-0.15600000000000003</c:v>
                </c:pt>
                <c:pt idx="33">
                  <c:v>-0.15700000000000003</c:v>
                </c:pt>
                <c:pt idx="34">
                  <c:v>-0.52200000000000002</c:v>
                </c:pt>
                <c:pt idx="35">
                  <c:v>-0.69499999999999995</c:v>
                </c:pt>
                <c:pt idx="36">
                  <c:v>-0.872</c:v>
                </c:pt>
                <c:pt idx="37">
                  <c:v>-0.99199999999999999</c:v>
                </c:pt>
                <c:pt idx="38">
                  <c:v>-0.94799999999999995</c:v>
                </c:pt>
                <c:pt idx="39">
                  <c:v>-0.78199999999999992</c:v>
                </c:pt>
                <c:pt idx="40">
                  <c:v>-0.64900000000000002</c:v>
                </c:pt>
                <c:pt idx="41">
                  <c:v>-0.65100000000000002</c:v>
                </c:pt>
                <c:pt idx="42">
                  <c:v>-0.70499999999999996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66-4099-869E-4848EFAE0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879424"/>
        <c:axId val="804884224"/>
        <c:extLst/>
      </c:scatterChart>
      <c:valAx>
        <c:axId val="804879424"/>
        <c:scaling>
          <c:orientation val="minMax"/>
          <c:max val="2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4884224"/>
        <c:crossesAt val="-1"/>
        <c:crossBetween val="midCat"/>
      </c:valAx>
      <c:valAx>
        <c:axId val="804884224"/>
        <c:scaling>
          <c:orientation val="minMax"/>
          <c:max val="1"/>
          <c:min val="-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4879424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07413302628009"/>
          <c:y val="0.22922119258620008"/>
          <c:w val="0.11864748280638163"/>
          <c:h val="0.49350719842088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661987</xdr:colOff>
      <xdr:row>12</xdr:row>
      <xdr:rowOff>152400</xdr:rowOff>
    </xdr:from>
    <xdr:to>
      <xdr:col>15</xdr:col>
      <xdr:colOff>433387</xdr:colOff>
      <xdr:row>28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D1EA285-BED1-02E4-1AB8-47190A522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435428</xdr:colOff>
      <xdr:row>0</xdr:row>
      <xdr:rowOff>0</xdr:rowOff>
    </xdr:from>
    <xdr:to>
      <xdr:col>39</xdr:col>
      <xdr:colOff>492164</xdr:colOff>
      <xdr:row>59</xdr:row>
      <xdr:rowOff>144657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E5E6BCB-7FD0-D821-3493-EC22724FE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95249</xdr:colOff>
      <xdr:row>1231</xdr:row>
      <xdr:rowOff>170745</xdr:rowOff>
    </xdr:from>
    <xdr:to>
      <xdr:col>46</xdr:col>
      <xdr:colOff>507485</xdr:colOff>
      <xdr:row>1293</xdr:row>
      <xdr:rowOff>119063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47279AE7-E248-4C28-FF53-7568E0F75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0.482003240744" createdVersion="8" refreshedVersion="8" minRefreshableVersion="3" recordCount="1494" xr:uid="{608FAA35-1B4A-4004-B9AA-DA92765BB3E9}">
  <cacheSource type="worksheet">
    <worksheetSource ref="A1:Z1495" sheet="Sheet2"/>
  </cacheSource>
  <cacheFields count="26">
    <cacheField name="井名" numFmtId="0">
      <sharedItems/>
    </cacheField>
    <cacheField name="深度" numFmtId="0">
      <sharedItems containsSemiMixedTypes="0" containsString="0" containsNumber="1" minValue="3241.625" maxValue="4039.125"/>
    </cacheField>
    <cacheField name="GR" numFmtId="0">
      <sharedItems containsSemiMixedTypes="0" containsString="0" containsNumber="1" minValue="10.996" maxValue="179.303"/>
    </cacheField>
    <cacheField name="CAL" numFmtId="0">
      <sharedItems containsSemiMixedTypes="0" containsString="0" containsNumber="1" minValue="20.634" maxValue="186.67400000000001"/>
    </cacheField>
    <cacheField name="U" numFmtId="0">
      <sharedItems containsSemiMixedTypes="0" containsString="0" containsNumber="1" minValue="0.379" maxValue="25.888999999999999"/>
    </cacheField>
    <cacheField name="AC" numFmtId="0">
      <sharedItems containsSemiMixedTypes="0" containsString="0" containsNumber="1" minValue="0.88900000000000001" maxValue="319.05700000000002"/>
    </cacheField>
    <cacheField name="DEN" numFmtId="0">
      <sharedItems containsSemiMixedTypes="0" containsString="0" containsNumber="1" minValue="2.2559999999999998" maxValue="2.9689999999999999"/>
    </cacheField>
    <cacheField name="CNL" numFmtId="0">
      <sharedItems containsSemiMixedTypes="0" containsString="0" containsNumber="1" minValue="0.79500000000000004" maxValue="24.742000000000001"/>
    </cacheField>
    <cacheField name="PE" numFmtId="0">
      <sharedItems containsSemiMixedTypes="0" containsString="0" containsNumber="1" minValue="2.2149999999999999" maxValue="6.04"/>
    </cacheField>
    <cacheField name="RS" numFmtId="0">
      <sharedItems containsSemiMixedTypes="0" containsString="0" containsNumber="1" minValue="25.492000000000001" maxValue="51655.59"/>
    </cacheField>
    <cacheField name="RD" numFmtId="0">
      <sharedItems containsSemiMixedTypes="0" containsString="0" containsNumber="1" minValue="25.116" maxValue="97939.672000000006"/>
    </cacheField>
    <cacheField name="POR" numFmtId="0">
      <sharedItems containsSemiMixedTypes="0" containsString="0" containsNumber="1" minValue="0" maxValue="7.5010000000000003"/>
    </cacheField>
    <cacheField name="PERM" numFmtId="0">
      <sharedItems containsString="0" containsBlank="1" containsNumber="1" minValue="0" maxValue="97.369"/>
    </cacheField>
    <cacheField name="SW" numFmtId="0">
      <sharedItems containsSemiMixedTypes="0" containsString="0" containsNumber="1" minValue="0" maxValue="100"/>
    </cacheField>
    <cacheField name="GR1" numFmtId="0">
      <sharedItems containsSemiMixedTypes="0" containsString="0" containsNumber="1" minValue="0" maxValue="1"/>
    </cacheField>
    <cacheField name="PE1" numFmtId="0">
      <sharedItems containsSemiMixedTypes="0" containsString="0" containsNumber="1" minValue="0" maxValue="1"/>
    </cacheField>
    <cacheField name="AC1" numFmtId="0">
      <sharedItems containsSemiMixedTypes="0" containsString="0" containsNumber="1" minValue="0" maxValue="1"/>
    </cacheField>
    <cacheField name="DEN1" numFmtId="0">
      <sharedItems containsSemiMixedTypes="0" containsString="0" containsNumber="1" minValue="0" maxValue="1"/>
    </cacheField>
    <cacheField name="CNL1" numFmtId="0">
      <sharedItems containsString="0" containsBlank="1" containsNumber="1" minValue="0" maxValue="1"/>
    </cacheField>
    <cacheField name="解释结论" numFmtId="0">
      <sharedItems containsBlank="1"/>
    </cacheField>
    <cacheField name="层位" numFmtId="0">
      <sharedItems/>
    </cacheField>
    <cacheField name="岩性" numFmtId="0">
      <sharedItems count="19">
        <s v="凝灰质泥岩"/>
        <s v="白云质泥岩"/>
        <s v="灰质泥岩"/>
        <s v="泥质白云岩"/>
        <s v="含泥白云岩"/>
        <s v="白云岩"/>
        <s v="白云岩 "/>
        <s v="含膏白云岩"/>
        <s v="膏质白云岩"/>
        <s v="含灰白云岩"/>
        <s v="含灰白云岩   "/>
        <s v="灰质白云岩"/>
        <s v="灰质白云岩  "/>
        <s v="白云质灰岩"/>
        <s v="泥质灰岩"/>
        <s v="灰岩"/>
        <s v="灰岩 "/>
        <s v="石膏岩"/>
        <s v="硅质白云岩"/>
      </sharedItems>
    </cacheField>
    <cacheField name="序号" numFmtId="0">
      <sharedItems containsString="0" containsBlank="1" containsNumber="1" containsInteger="1" minValue="1" maxValue="20"/>
    </cacheField>
    <cacheField name="备注" numFmtId="0">
      <sharedItems containsBlank="1"/>
    </cacheField>
    <cacheField name="∆ Φ1" numFmtId="0">
      <sharedItems containsSemiMixedTypes="0" containsString="0" containsNumber="1" minValue="1.7000000000000001E-2" maxValue="2"/>
    </cacheField>
    <cacheField name="∆ Φ2" numFmtId="0">
      <sharedItems containsSemiMixedTypes="0" containsString="0" containsNumber="1" minValue="-0.999" maxValue="0.991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4">
  <r>
    <s v="延1956"/>
    <n v="3936.5"/>
    <n v="76.724000000000004"/>
    <n v="23.117000000000001"/>
    <n v="3.887"/>
    <n v="203.886"/>
    <n v="2.6469999999999998"/>
    <n v="13.337"/>
    <n v="3.0390000000000001"/>
    <n v="120.794"/>
    <n v="130.11099999999999"/>
    <n v="0.01"/>
    <n v="1E-3"/>
    <n v="100"/>
    <n v="0.48699999999999999"/>
    <n v="0.29599999999999999"/>
    <n v="0.995"/>
    <n v="0.14199999999999999"/>
    <n v="0.99299999999999999"/>
    <m/>
    <s v="马五41b"/>
    <x v="0"/>
    <m/>
    <m/>
    <n v="1.482"/>
    <n v="0.191"/>
  </r>
  <r>
    <s v="延1956"/>
    <n v="3936.625"/>
    <n v="107.634"/>
    <n v="23.033999999999999"/>
    <n v="3.9430000000000001"/>
    <n v="201.137"/>
    <n v="2.6850000000000001"/>
    <n v="13.131"/>
    <n v="3.1230000000000002"/>
    <n v="105.94"/>
    <n v="114.10899999999999"/>
    <n v="0.01"/>
    <n v="1E-3"/>
    <n v="100"/>
    <n v="0.72199999999999998"/>
    <n v="0.38700000000000001"/>
    <n v="0.95799999999999996"/>
    <n v="0.27800000000000002"/>
    <n v="0.98399999999999999"/>
    <m/>
    <s v="马五41b"/>
    <x v="0"/>
    <m/>
    <m/>
    <n v="1.68"/>
    <n v="0.33499999999999996"/>
  </r>
  <r>
    <s v="延1956"/>
    <n v="3936.75"/>
    <n v="128.381"/>
    <n v="22.913"/>
    <n v="4.3449999999999998"/>
    <n v="197.09399999999999"/>
    <n v="2.7229999999999999"/>
    <n v="12.595000000000001"/>
    <n v="3.194"/>
    <n v="105.033"/>
    <n v="113.17"/>
    <n v="0.01"/>
    <n v="1E-3"/>
    <n v="100"/>
    <n v="0.92200000000000004"/>
    <n v="0.46500000000000002"/>
    <n v="0.88300000000000001"/>
    <n v="0.42299999999999999"/>
    <n v="0.93899999999999995"/>
    <m/>
    <s v="马五41b"/>
    <x v="0"/>
    <m/>
    <m/>
    <n v="1.8050000000000002"/>
    <n v="0.45700000000000002"/>
  </r>
  <r>
    <s v="延1956"/>
    <n v="3936.875"/>
    <n v="128.87700000000001"/>
    <n v="22.802"/>
    <n v="4.3860000000000001"/>
    <n v="193.38399999999999"/>
    <n v="2.7549999999999999"/>
    <n v="11.945"/>
    <n v="3.2509999999999999"/>
    <n v="123.167"/>
    <n v="132.78700000000001"/>
    <n v="0.01"/>
    <n v="1E-3"/>
    <n v="100"/>
    <n v="0.96799999999999997"/>
    <n v="0.52900000000000003"/>
    <n v="0.80700000000000005"/>
    <n v="0.55000000000000004"/>
    <n v="0.878"/>
    <m/>
    <s v="马五41b"/>
    <x v="0"/>
    <m/>
    <m/>
    <n v="1.7749999999999999"/>
    <n v="0.43899999999999995"/>
  </r>
  <r>
    <s v="延1958"/>
    <n v="3893.125"/>
    <n v="77.641999999999996"/>
    <n v="34.194000000000003"/>
    <n v="4.7240000000000002"/>
    <n v="277.44400000000002"/>
    <n v="2.3130000000000002"/>
    <n v="15.52"/>
    <n v="2.6669999999999998"/>
    <n v="259.59300000000002"/>
    <n v="282.48099999999999"/>
    <n v="0.01"/>
    <n v="1E-3"/>
    <n v="100"/>
    <n v="0.58899999999999997"/>
    <n v="0.17299999999999999"/>
    <n v="0.59599999999999997"/>
    <n v="0.192"/>
    <n v="0.61399999999999999"/>
    <m/>
    <s v="马五41b"/>
    <x v="0"/>
    <n v="11"/>
    <m/>
    <n v="1.1850000000000001"/>
    <n v="0.41599999999999998"/>
  </r>
  <r>
    <s v="延1958"/>
    <n v="3893.25"/>
    <n v="90.778000000000006"/>
    <n v="32.795999999999999"/>
    <n v="5.1749999999999998"/>
    <n v="308.98399999999998"/>
    <n v="2.2869999999999999"/>
    <n v="18.37"/>
    <n v="2.7010000000000001"/>
    <n v="175.45400000000001"/>
    <n v="190.91"/>
    <n v="0.01"/>
    <n v="1E-3"/>
    <n v="100"/>
    <n v="0.71799999999999997"/>
    <n v="0.191"/>
    <n v="0.83399999999999996"/>
    <n v="8.1000000000000003E-2"/>
    <n v="0.80800000000000005"/>
    <m/>
    <s v="马五41b"/>
    <x v="0"/>
    <n v="11"/>
    <m/>
    <n v="1.552"/>
    <n v="0.52699999999999991"/>
  </r>
  <r>
    <s v="延1958"/>
    <n v="3893.375"/>
    <n v="101.339"/>
    <n v="30.614000000000001"/>
    <n v="5.431"/>
    <n v="319.05700000000002"/>
    <n v="2.2610000000000001"/>
    <n v="19.928999999999998"/>
    <n v="2.7040000000000002"/>
    <n v="133.70599999999999"/>
    <n v="145.446"/>
    <n v="0.01"/>
    <n v="1E-3"/>
    <n v="100"/>
    <n v="0.84799999999999998"/>
    <n v="0.20799999999999999"/>
    <n v="0.96799999999999997"/>
    <n v="3.3000000000000002E-2"/>
    <n v="0.95"/>
    <m/>
    <s v="马五41b"/>
    <x v="0"/>
    <n v="11"/>
    <m/>
    <n v="1.8159999999999998"/>
    <n v="0.64"/>
  </r>
  <r>
    <s v="延1958"/>
    <n v="3893.5"/>
    <n v="104.98699999999999"/>
    <n v="28.292000000000002"/>
    <n v="5.4290000000000003"/>
    <n v="305.64100000000002"/>
    <n v="2.2610000000000001"/>
    <n v="19.8"/>
    <n v="2.6749999999999998"/>
    <n v="125.541"/>
    <n v="136.529"/>
    <n v="0.01"/>
    <n v="1E-3"/>
    <n v="100"/>
    <n v="0.92600000000000005"/>
    <n v="0.19600000000000001"/>
    <n v="0.95599999999999996"/>
    <n v="8.9999999999999993E-3"/>
    <n v="0.996"/>
    <m/>
    <s v="马五41b"/>
    <x v="0"/>
    <n v="11"/>
    <m/>
    <n v="1.8820000000000001"/>
    <n v="0.73"/>
  </r>
  <r>
    <s v="延1958"/>
    <n v="3893.625"/>
    <n v="103.24"/>
    <n v="26.28"/>
    <n v="5.3470000000000004"/>
    <n v="276.85399999999998"/>
    <n v="2.2559999999999998"/>
    <n v="18.468"/>
    <n v="2.6320000000000001"/>
    <n v="137.291"/>
    <n v="149.28899999999999"/>
    <n v="0.01"/>
    <n v="1E-3"/>
    <n v="100"/>
    <n v="0.93600000000000005"/>
    <n v="0.16300000000000001"/>
    <n v="0.81899999999999995"/>
    <n v="5.0000000000000001E-3"/>
    <n v="0.94799999999999995"/>
    <m/>
    <s v="马五41b"/>
    <x v="0"/>
    <n v="11"/>
    <m/>
    <n v="1.7549999999999999"/>
    <n v="0.77300000000000002"/>
  </r>
  <r>
    <s v="延1958"/>
    <n v="3893.75"/>
    <n v="101.596"/>
    <n v="24.382999999999999"/>
    <n v="5.2389999999999999"/>
    <n v="246.869"/>
    <n v="2.3050000000000002"/>
    <n v="16.890999999999998"/>
    <n v="2.59"/>
    <n v="161.97900000000001"/>
    <n v="176.13300000000001"/>
    <n v="0.01"/>
    <n v="1E-3"/>
    <n v="100"/>
    <n v="0.91700000000000004"/>
    <n v="0.124"/>
    <n v="0.629"/>
    <n v="4.4999999999999998E-2"/>
    <n v="0.85499999999999998"/>
    <m/>
    <s v="马五41b"/>
    <x v="0"/>
    <n v="11"/>
    <m/>
    <n v="1.546"/>
    <n v="0.79300000000000004"/>
  </r>
  <r>
    <s v="靖40"/>
    <n v="3811.25"/>
    <n v="118.215"/>
    <n v="26.509"/>
    <n v="2.8450000000000002"/>
    <n v="222.47499999999999"/>
    <n v="2.5070000000000001"/>
    <n v="18.725999999999999"/>
    <n v="2.5830000000000002"/>
    <n v="50.438000000000002"/>
    <n v="55.426000000000002"/>
    <n v="0"/>
    <n v="0"/>
    <n v="100"/>
    <n v="0.75600000000000001"/>
    <n v="0.17499999999999999"/>
    <n v="0.84799999999999998"/>
    <n v="0.17599999999999999"/>
    <n v="0.752"/>
    <m/>
    <s v="马五41b"/>
    <x v="0"/>
    <n v="7"/>
    <m/>
    <n v="1.6040000000000001"/>
    <n v="0.58099999999999996"/>
  </r>
  <r>
    <s v="靖40"/>
    <n v="3811.375"/>
    <n v="143.626"/>
    <n v="27.053999999999998"/>
    <n v="3.0430000000000001"/>
    <n v="233.01"/>
    <n v="2.4510000000000001"/>
    <n v="21.442"/>
    <n v="2.5339999999999998"/>
    <n v="35.299999999999997"/>
    <n v="38.790999999999997"/>
    <n v="0"/>
    <n v="0"/>
    <n v="100"/>
    <n v="0.92300000000000004"/>
    <n v="0.13"/>
    <n v="0.96399999999999997"/>
    <n v="5.2999999999999999E-2"/>
    <n v="0.872"/>
    <m/>
    <s v="马五41b"/>
    <x v="0"/>
    <n v="7"/>
    <m/>
    <n v="1.887"/>
    <n v="0.79300000000000004"/>
  </r>
  <r>
    <s v="靖40"/>
    <n v="3811.5"/>
    <n v="156.965"/>
    <n v="27.617000000000001"/>
    <n v="3.2069999999999999"/>
    <n v="236.559"/>
    <n v="2.4239999999999999"/>
    <n v="23.486000000000001"/>
    <n v="2.5249999999999999"/>
    <n v="31.306000000000001"/>
    <n v="34.402999999999999"/>
    <n v="0"/>
    <n v="0"/>
    <n v="100"/>
    <n v="0.999"/>
    <n v="0.13500000000000001"/>
    <n v="0.98799999999999999"/>
    <n v="6.0000000000000001E-3"/>
    <n v="0.95799999999999996"/>
    <m/>
    <s v="马五41b"/>
    <x v="0"/>
    <n v="7"/>
    <m/>
    <n v="1.9870000000000001"/>
    <n v="0.86399999999999999"/>
  </r>
  <r>
    <s v="靖40"/>
    <n v="3811.625"/>
    <n v="156.10900000000001"/>
    <n v="27.782"/>
    <n v="3.319"/>
    <n v="231.739"/>
    <n v="2.4369999999999998"/>
    <n v="24.605"/>
    <n v="2.5819999999999999"/>
    <n v="32.122999999999998"/>
    <n v="35.299999999999997"/>
    <n v="0"/>
    <n v="0"/>
    <n v="100"/>
    <n v="0.98199999999999998"/>
    <n v="0.20599999999999999"/>
    <n v="0.91400000000000003"/>
    <n v="0.05"/>
    <n v="0.97"/>
    <m/>
    <s v="马五41b"/>
    <x v="0"/>
    <n v="7"/>
    <m/>
    <n v="1.8959999999999999"/>
    <n v="0.77600000000000002"/>
  </r>
  <r>
    <s v="靖40"/>
    <n v="3811.75"/>
    <n v="147.97900000000001"/>
    <n v="26.434999999999999"/>
    <n v="3.4089999999999998"/>
    <n v="222.15100000000001"/>
    <n v="2.4740000000000002"/>
    <n v="21.347999999999999"/>
    <n v="2.6859999999999999"/>
    <n v="36.015999999999998"/>
    <n v="39.578000000000003"/>
    <n v="0"/>
    <n v="0"/>
    <n v="100"/>
    <n v="0.92200000000000004"/>
    <n v="0.31900000000000001"/>
    <n v="0.78800000000000003"/>
    <n v="0.14699999999999999"/>
    <n v="0.81399999999999995"/>
    <m/>
    <s v="马五41b"/>
    <x v="0"/>
    <n v="7"/>
    <m/>
    <n v="1.71"/>
    <n v="0.60299999999999998"/>
  </r>
  <r>
    <s v="延1059"/>
    <n v="3486.75"/>
    <n v="139.85599999999999"/>
    <n v="21.925000000000001"/>
    <n v="4.6180000000000003"/>
    <n v="208.565"/>
    <n v="2.6880000000000002"/>
    <n v="9.9930000000000003"/>
    <n v="2.98"/>
    <n v="35.325000000000003"/>
    <n v="37.185000000000002"/>
    <n v="0"/>
    <n v="0.01"/>
    <n v="0"/>
    <n v="0.874"/>
    <n v="0.10100000000000001"/>
    <n v="0.77100000000000002"/>
    <n v="9.2999999999999999E-2"/>
    <n v="0.97"/>
    <m/>
    <s v="马五41b"/>
    <x v="0"/>
    <m/>
    <m/>
    <n v="1.645"/>
    <n v="0.77300000000000002"/>
  </r>
  <r>
    <s v="延1059"/>
    <n v="3486.875"/>
    <n v="158.54300000000001"/>
    <n v="21.876999999999999"/>
    <n v="4.4169999999999998"/>
    <n v="219.32900000000001"/>
    <n v="2.6739999999999999"/>
    <n v="10.273999999999999"/>
    <n v="2.899"/>
    <n v="33.286999999999999"/>
    <n v="35.039000000000001"/>
    <n v="0"/>
    <n v="0.01"/>
    <n v="0"/>
    <n v="1"/>
    <n v="4.7E-2"/>
    <n v="0.91300000000000003"/>
    <n v="2.8000000000000001E-2"/>
    <n v="1"/>
    <m/>
    <s v="马五41b"/>
    <x v="0"/>
    <m/>
    <m/>
    <n v="1.913"/>
    <n v="0.95299999999999996"/>
  </r>
  <r>
    <s v="延1059"/>
    <n v="3487"/>
    <n v="158.59299999999999"/>
    <n v="21.782"/>
    <n v="4.22"/>
    <n v="225.947"/>
    <n v="2.6680000000000001"/>
    <n v="10.242000000000001"/>
    <n v="2.972"/>
    <n v="35.594000000000001"/>
    <n v="37.468000000000004"/>
    <n v="0"/>
    <n v="0.01"/>
    <n v="0"/>
    <n v="1"/>
    <n v="0.10100000000000001"/>
    <n v="1"/>
    <n v="0"/>
    <n v="0.997"/>
    <m/>
    <s v="马五41b"/>
    <x v="0"/>
    <m/>
    <m/>
    <n v="2"/>
    <n v="0.89900000000000002"/>
  </r>
  <r>
    <s v="延1059"/>
    <n v="3487.125"/>
    <n v="133.50800000000001"/>
    <n v="21.831"/>
    <n v="4.1100000000000003"/>
    <n v="219.84100000000001"/>
    <n v="2.6739999999999999"/>
    <n v="9.8369999999999997"/>
    <n v="3.38"/>
    <n v="41.942999999999998"/>
    <n v="44.15"/>
    <n v="0"/>
    <n v="0.01"/>
    <n v="0"/>
    <n v="0.83099999999999996"/>
    <n v="0.45200000000000001"/>
    <n v="0.91900000000000004"/>
    <n v="2.8000000000000001E-2"/>
    <n v="0.95299999999999996"/>
    <m/>
    <s v="马五41b"/>
    <x v="0"/>
    <m/>
    <m/>
    <n v="1.75"/>
    <n v="0.37899999999999995"/>
  </r>
  <r>
    <s v="延1059"/>
    <n v="3487.25"/>
    <n v="102.256"/>
    <n v="21.864999999999998"/>
    <n v="3.8559999999999999"/>
    <n v="204.48"/>
    <n v="2.6960000000000002"/>
    <n v="9.1880000000000006"/>
    <n v="3.593"/>
    <n v="54.124000000000002"/>
    <n v="56.972999999999999"/>
    <n v="0"/>
    <n v="0.01"/>
    <n v="0"/>
    <n v="0.62"/>
    <n v="0.65300000000000002"/>
    <n v="0.71699999999999997"/>
    <n v="0.13100000000000001"/>
    <n v="0.88400000000000001"/>
    <m/>
    <s v="马五41b"/>
    <x v="0"/>
    <m/>
    <m/>
    <n v="1.337"/>
    <n v="-3.3000000000000029E-2"/>
  </r>
  <r>
    <s v="横3"/>
    <n v="3249.75"/>
    <n v="171.464"/>
    <n v="23.577999999999999"/>
    <n v="5.5620000000000003"/>
    <n v="215.19300000000001"/>
    <n v="2.6760000000000002"/>
    <n v="10.782"/>
    <n v="3.496"/>
    <n v="46.262999999999998"/>
    <n v="47.694000000000003"/>
    <n v="0"/>
    <n v="0"/>
    <n v="100"/>
    <n v="0.95899999999999996"/>
    <n v="0.62"/>
    <n v="0.98"/>
    <n v="0.56399999999999995"/>
    <n v="0.73299999999999998"/>
    <m/>
    <s v="马五41b"/>
    <x v="0"/>
    <m/>
    <m/>
    <n v="1.9390000000000001"/>
    <n v="0.33899999999999997"/>
  </r>
  <r>
    <s v="横3"/>
    <n v="3249.875"/>
    <n v="179.303"/>
    <n v="23.026"/>
    <n v="6.0650000000000004"/>
    <n v="216.68100000000001"/>
    <n v="2.67"/>
    <n v="10.259"/>
    <n v="3.5659999999999998"/>
    <n v="37.253999999999998"/>
    <n v="38.405999999999999"/>
    <n v="0"/>
    <n v="0"/>
    <n v="100"/>
    <n v="0.98699999999999999"/>
    <n v="0.69"/>
    <n v="0.98899999999999999"/>
    <n v="0.56100000000000005"/>
    <n v="0.64600000000000002"/>
    <m/>
    <s v="马五41b"/>
    <x v="0"/>
    <m/>
    <m/>
    <n v="1.976"/>
    <n v="0.29700000000000004"/>
  </r>
  <r>
    <s v="延1085"/>
    <n v="3296.25"/>
    <n v="128.036"/>
    <n v="24.08"/>
    <n v="4.5030000000000001"/>
    <n v="212.51300000000001"/>
    <n v="2.4950000000000001"/>
    <n v="13.191000000000001"/>
    <n v="3.1890000000000001"/>
    <n v="89.962999999999994"/>
    <n v="92.745000000000005"/>
    <n v="0.01"/>
    <n v="1E-3"/>
    <n v="100"/>
    <n v="0.67"/>
    <n v="0.20300000000000001"/>
    <n v="0.55700000000000005"/>
    <n v="6.8000000000000005E-2"/>
    <n v="0.83399999999999996"/>
    <m/>
    <s v="马五41b"/>
    <x v="0"/>
    <m/>
    <m/>
    <n v="1.2270000000000001"/>
    <n v="0.46700000000000003"/>
  </r>
  <r>
    <s v="延1085"/>
    <n v="3296.375"/>
    <n v="155.21199999999999"/>
    <n v="23.664000000000001"/>
    <n v="5.0750000000000002"/>
    <n v="234.37700000000001"/>
    <n v="2.5129999999999999"/>
    <n v="14.109"/>
    <n v="3.1280000000000001"/>
    <n v="56.893000000000001"/>
    <n v="58.652000000000001"/>
    <n v="0.01"/>
    <n v="1E-3"/>
    <n v="100"/>
    <n v="0.876"/>
    <n v="0.158"/>
    <n v="0.81599999999999995"/>
    <n v="2.3E-2"/>
    <n v="0.96699999999999997"/>
    <m/>
    <s v="马五41b"/>
    <x v="0"/>
    <m/>
    <m/>
    <n v="1.6919999999999999"/>
    <n v="0.71799999999999997"/>
  </r>
  <r>
    <s v="延1085"/>
    <n v="3296.5"/>
    <n v="159.88999999999999"/>
    <n v="22.882000000000001"/>
    <n v="5.2249999999999996"/>
    <n v="238.803"/>
    <n v="2.6110000000000002"/>
    <n v="13.577"/>
    <n v="3.03"/>
    <n v="46.841999999999999"/>
    <n v="48.290999999999997"/>
    <n v="0.01"/>
    <n v="1E-3"/>
    <n v="100"/>
    <n v="0.98399999999999999"/>
    <n v="0.114"/>
    <n v="0.97399999999999998"/>
    <n v="0.17100000000000001"/>
    <n v="0.98"/>
    <m/>
    <s v="马五41b"/>
    <x v="0"/>
    <m/>
    <m/>
    <n v="1.958"/>
    <n v="0.87"/>
  </r>
  <r>
    <s v="延1085"/>
    <n v="3296.625"/>
    <n v="144.23400000000001"/>
    <n v="22.497"/>
    <n v="5.016"/>
    <n v="231.69"/>
    <n v="2.7309999999999999"/>
    <n v="10.981999999999999"/>
    <n v="2.99"/>
    <n v="38.142000000000003"/>
    <n v="39.322000000000003"/>
    <n v="0.01"/>
    <n v="1E-3"/>
    <n v="100"/>
    <n v="0.94599999999999995"/>
    <n v="7.4999999999999997E-2"/>
    <n v="0.95699999999999996"/>
    <n v="0.44800000000000001"/>
    <n v="0.86599999999999999"/>
    <m/>
    <s v="马五41b"/>
    <x v="0"/>
    <m/>
    <m/>
    <n v="1.903"/>
    <n v="0.871"/>
  </r>
  <r>
    <s v="延1136"/>
    <n v="3475.75"/>
    <n v="75.415000000000006"/>
    <n v="23.440999999999999"/>
    <n v="2.532"/>
    <n v="188.62100000000001"/>
    <n v="2.6280000000000001"/>
    <n v="11.109"/>
    <n v="2.544"/>
    <n v="121.89700000000001"/>
    <n v="107.80200000000001"/>
    <n v="0.01"/>
    <n v="1E-3"/>
    <n v="100"/>
    <n v="0.42299999999999999"/>
    <n v="0.129"/>
    <n v="0.41199999999999998"/>
    <n v="0.318"/>
    <n v="0.76600000000000001"/>
    <m/>
    <s v="马五41b"/>
    <x v="0"/>
    <m/>
    <m/>
    <n v="0.83499999999999996"/>
    <n v="0.29399999999999998"/>
  </r>
  <r>
    <s v="延1136"/>
    <n v="3475.875"/>
    <n v="96.472999999999999"/>
    <n v="23.853999999999999"/>
    <n v="3.0129999999999999"/>
    <n v="206.01300000000001"/>
    <n v="2.5680000000000001"/>
    <n v="12.465"/>
    <n v="2.2519999999999998"/>
    <n v="81.176000000000002"/>
    <n v="69.213999999999999"/>
    <n v="0.01"/>
    <n v="1E-3"/>
    <n v="100"/>
    <n v="0.55200000000000005"/>
    <n v="2.9000000000000001E-2"/>
    <n v="0.60899999999999999"/>
    <n v="0.17599999999999999"/>
    <n v="0.85799999999999998"/>
    <m/>
    <s v="马五41b"/>
    <x v="0"/>
    <m/>
    <m/>
    <n v="1.161"/>
    <n v="0.52300000000000002"/>
  </r>
  <r>
    <s v="延1136"/>
    <n v="3476"/>
    <n v="121.154"/>
    <n v="24.324999999999999"/>
    <n v="4.0730000000000004"/>
    <n v="223.10599999999999"/>
    <n v="2.516"/>
    <n v="13.477"/>
    <n v="2.2149999999999999"/>
    <n v="52.582000000000001"/>
    <n v="43.360999999999997"/>
    <n v="0.01"/>
    <n v="1E-3"/>
    <n v="100"/>
    <n v="0.70899999999999996"/>
    <n v="2E-3"/>
    <n v="0.81299999999999994"/>
    <n v="4.4999999999999998E-2"/>
    <n v="0.93100000000000005"/>
    <m/>
    <s v="马五41b"/>
    <x v="0"/>
    <m/>
    <m/>
    <n v="1.5219999999999998"/>
    <n v="0.70699999999999996"/>
  </r>
  <r>
    <s v="延1136"/>
    <n v="3476.125"/>
    <n v="144.292"/>
    <n v="24.672000000000001"/>
    <n v="4.9610000000000003"/>
    <n v="233.839"/>
    <n v="2.508"/>
    <n v="14.298999999999999"/>
    <n v="2.3740000000000001"/>
    <n v="37.01"/>
    <n v="30.100999999999999"/>
    <n v="0.01"/>
    <n v="1E-3"/>
    <n v="100"/>
    <n v="0.86299999999999999"/>
    <n v="3.9E-2"/>
    <n v="0.95599999999999996"/>
    <n v="4.0000000000000001E-3"/>
    <n v="0.98899999999999999"/>
    <m/>
    <s v="马五41b"/>
    <x v="0"/>
    <m/>
    <m/>
    <n v="1.819"/>
    <n v="0.82399999999999995"/>
  </r>
  <r>
    <s v="延1136"/>
    <n v="3476.25"/>
    <n v="160.61799999999999"/>
    <n v="24.738"/>
    <n v="5.3410000000000002"/>
    <n v="235.434"/>
    <n v="2.58"/>
    <n v="13.973000000000001"/>
    <n v="2.7"/>
    <n v="30.706"/>
    <n v="25.116"/>
    <n v="0.01"/>
    <n v="1E-3"/>
    <n v="100"/>
    <n v="0.97899999999999998"/>
    <n v="0.128"/>
    <n v="0.996"/>
    <n v="0.14099999999999999"/>
    <n v="0.98199999999999998"/>
    <m/>
    <s v="马五41b"/>
    <x v="0"/>
    <m/>
    <m/>
    <n v="1.9750000000000001"/>
    <n v="0.85099999999999998"/>
  </r>
  <r>
    <s v="延1136"/>
    <n v="3476.375"/>
    <n v="159.57400000000001"/>
    <n v="24.488"/>
    <n v="5.3029999999999999"/>
    <n v="225.535"/>
    <n v="2.669"/>
    <n v="12.622999999999999"/>
    <n v="3.125"/>
    <n v="30.881"/>
    <n v="25.559000000000001"/>
    <n v="0.01"/>
    <n v="1E-3"/>
    <n v="100"/>
    <n v="0.995"/>
    <n v="0.252"/>
    <n v="0.90600000000000003"/>
    <n v="0.35"/>
    <n v="0.90500000000000003"/>
    <m/>
    <s v="马五41b"/>
    <x v="0"/>
    <m/>
    <m/>
    <n v="1.901"/>
    <n v="0.74299999999999999"/>
  </r>
  <r>
    <s v="延1137"/>
    <n v="3481.625"/>
    <n v="159.649"/>
    <n v="22.358000000000001"/>
    <n v="8.0229999999999997"/>
    <n v="211.73400000000001"/>
    <n v="2.734"/>
    <n v="15.29"/>
    <n v="3.367"/>
    <n v="37.500999999999998"/>
    <n v="43.465000000000003"/>
    <n v="0.01"/>
    <n v="1E-3"/>
    <n v="100"/>
    <n v="0.94699999999999995"/>
    <n v="0.11799999999999999"/>
    <n v="0.83399999999999996"/>
    <n v="0.314"/>
    <n v="0.88400000000000001"/>
    <m/>
    <s v="马五41b"/>
    <x v="0"/>
    <n v="10"/>
    <m/>
    <n v="1.7809999999999999"/>
    <n v="0.82899999999999996"/>
  </r>
  <r>
    <s v="延1137"/>
    <n v="3481.75"/>
    <n v="173.285"/>
    <n v="22.413"/>
    <n v="8.7490000000000006"/>
    <n v="223.70699999999999"/>
    <n v="2.6880000000000002"/>
    <n v="16.536000000000001"/>
    <n v="3.4969999999999999"/>
    <n v="33.811"/>
    <n v="38.503"/>
    <n v="0.01"/>
    <n v="1E-3"/>
    <n v="100"/>
    <n v="0.99399999999999999"/>
    <n v="0.222"/>
    <n v="0.95899999999999996"/>
    <n v="0.17599999999999999"/>
    <n v="0.95399999999999996"/>
    <m/>
    <s v="马五41b"/>
    <x v="0"/>
    <n v="10"/>
    <m/>
    <n v="1.9529999999999998"/>
    <n v="0.77200000000000002"/>
  </r>
  <r>
    <s v="延1137"/>
    <n v="3481.875"/>
    <n v="171.06200000000001"/>
    <n v="22.536999999999999"/>
    <n v="8.8800000000000008"/>
    <n v="228.69"/>
    <n v="2.637"/>
    <n v="17.526"/>
    <n v="3.6760000000000002"/>
    <n v="34.393000000000001"/>
    <n v="38.872"/>
    <n v="0.01"/>
    <n v="1E-3"/>
    <n v="100"/>
    <n v="0.95199999999999996"/>
    <n v="0.32800000000000001"/>
    <n v="0.98799999999999999"/>
    <n v="6.0999999999999999E-2"/>
    <n v="0.995"/>
    <m/>
    <s v="马五41b"/>
    <x v="0"/>
    <n v="10"/>
    <m/>
    <n v="1.94"/>
    <n v="0.62399999999999989"/>
  </r>
  <r>
    <s v="延1137"/>
    <n v="3482"/>
    <n v="158.10900000000001"/>
    <n v="22.637"/>
    <n v="8.3529999999999998"/>
    <n v="226.48099999999999"/>
    <n v="2.613"/>
    <n v="17.673999999999999"/>
    <n v="3.7909999999999999"/>
    <n v="36.97"/>
    <n v="42.015000000000001"/>
    <n v="0.01"/>
    <n v="1E-3"/>
    <n v="100"/>
    <n v="0.83099999999999996"/>
    <n v="0.40500000000000003"/>
    <n v="0.91100000000000003"/>
    <n v="1.2E-2"/>
    <n v="0.97799999999999998"/>
    <m/>
    <s v="马五41b"/>
    <x v="0"/>
    <n v="10"/>
    <m/>
    <n v="1.742"/>
    <n v="0.42599999999999993"/>
  </r>
  <r>
    <s v="延1137"/>
    <n v="3482.125"/>
    <n v="130.81"/>
    <n v="22.736999999999998"/>
    <n v="6.7060000000000004"/>
    <n v="215.67400000000001"/>
    <n v="2.6059999999999999"/>
    <n v="16.789000000000001"/>
    <n v="3.8980000000000001"/>
    <n v="46.962000000000003"/>
    <n v="54.716999999999999"/>
    <n v="0.01"/>
    <n v="1E-3"/>
    <n v="100"/>
    <n v="0.66400000000000003"/>
    <n v="0.47099999999999997"/>
    <n v="0.73199999999999998"/>
    <n v="2.1000000000000001E-2"/>
    <n v="0.90500000000000003"/>
    <m/>
    <s v="马五41b"/>
    <x v="0"/>
    <n v="10"/>
    <m/>
    <n v="1.3959999999999999"/>
    <n v="0.19300000000000006"/>
  </r>
  <r>
    <s v="延971"/>
    <n v="3486.875"/>
    <n v="61.442999999999998"/>
    <n v="22.652999999999999"/>
    <n v="5.2140000000000004"/>
    <n v="199.559"/>
    <n v="2.581"/>
    <n v="10.602"/>
    <n v="2.9129999999999998"/>
    <n v="282.40600000000001"/>
    <n v="337.63"/>
    <n v="0.01"/>
    <n v="1E-3"/>
    <n v="100"/>
    <n v="0.371"/>
    <n v="7.0000000000000001E-3"/>
    <n v="0.54800000000000004"/>
    <n v="0.152"/>
    <n v="0.57499999999999996"/>
    <m/>
    <s v="马五41b"/>
    <x v="0"/>
    <m/>
    <m/>
    <n v="0.91900000000000004"/>
    <n v="0.36399999999999999"/>
  </r>
  <r>
    <s v="延971"/>
    <n v="3487"/>
    <n v="78.638999999999996"/>
    <n v="22.875"/>
    <n v="7.6559999999999997"/>
    <n v="215.166"/>
    <n v="2.5310000000000001"/>
    <n v="13.173"/>
    <n v="2.9420000000000002"/>
    <n v="135.31399999999999"/>
    <n v="161.40799999999999"/>
    <n v="0.01"/>
    <n v="1E-3"/>
    <n v="100"/>
    <n v="0.49399999999999999"/>
    <n v="0.01"/>
    <n v="0.748"/>
    <n v="2.7E-2"/>
    <n v="0.73699999999999999"/>
    <m/>
    <s v="马五41b"/>
    <x v="0"/>
    <m/>
    <m/>
    <n v="1.242"/>
    <n v="0.48399999999999999"/>
  </r>
  <r>
    <s v="延971"/>
    <n v="3487.125"/>
    <n v="103.795"/>
    <n v="23.204000000000001"/>
    <n v="9.4350000000000005"/>
    <n v="227.31100000000001"/>
    <n v="2.5289999999999999"/>
    <n v="15.502000000000001"/>
    <n v="3.08"/>
    <n v="78.906999999999996"/>
    <n v="92.784999999999997"/>
    <n v="0.01"/>
    <n v="1E-3"/>
    <n v="100"/>
    <n v="0.67700000000000005"/>
    <n v="0.06"/>
    <n v="0.91400000000000003"/>
    <n v="1E-3"/>
    <n v="0.89200000000000002"/>
    <m/>
    <s v="马五41b"/>
    <x v="0"/>
    <m/>
    <m/>
    <n v="1.5910000000000002"/>
    <n v="0.61699999999999999"/>
  </r>
  <r>
    <s v="延971"/>
    <n v="3487.25"/>
    <n v="128.72399999999999"/>
    <n v="23.581"/>
    <n v="9.5530000000000008"/>
    <n v="231.49600000000001"/>
    <n v="2.5819999999999999"/>
    <n v="16.707000000000001"/>
    <n v="3.3130000000000002"/>
    <n v="69.001999999999995"/>
    <n v="80.394999999999996"/>
    <n v="0.01"/>
    <n v="1E-3"/>
    <n v="100"/>
    <n v="0.872"/>
    <n v="0.151"/>
    <n v="0.98899999999999999"/>
    <n v="9.6000000000000002E-2"/>
    <n v="0.98399999999999999"/>
    <m/>
    <s v="马五41b"/>
    <x v="0"/>
    <m/>
    <m/>
    <n v="1.861"/>
    <n v="0.72099999999999997"/>
  </r>
  <r>
    <s v="延971"/>
    <n v="3487.375"/>
    <n v="140.24799999999999"/>
    <n v="23.91"/>
    <n v="8.2370000000000001"/>
    <n v="227.11799999999999"/>
    <n v="2.6720000000000002"/>
    <n v="16.145"/>
    <n v="3.5960000000000001"/>
    <n v="70.575999999999993"/>
    <n v="81.998000000000005"/>
    <n v="0.01"/>
    <n v="1E-3"/>
    <n v="100"/>
    <n v="0.98199999999999998"/>
    <n v="0.26800000000000002"/>
    <n v="0.95399999999999996"/>
    <n v="0.28399999999999997"/>
    <n v="0.97099999999999997"/>
    <m/>
    <s v="马五41b"/>
    <x v="0"/>
    <m/>
    <m/>
    <n v="1.9359999999999999"/>
    <n v="0.71399999999999997"/>
  </r>
  <r>
    <s v="延994"/>
    <n v="3851.875"/>
    <n v="74.878"/>
    <n v="22.881"/>
    <n v="1.708"/>
    <n v="203.18100000000001"/>
    <n v="2.6859999999999999"/>
    <n v="10.875"/>
    <n v="2.9329999999999998"/>
    <n v="394.22699999999998"/>
    <n v="433.80200000000002"/>
    <n v="0.01"/>
    <n v="1E-3"/>
    <n v="100"/>
    <n v="0.59299999999999997"/>
    <n v="0.317"/>
    <n v="0.60099999999999998"/>
    <n v="0.109"/>
    <n v="0.71899999999999997"/>
    <m/>
    <s v="马五41b"/>
    <x v="0"/>
    <m/>
    <m/>
    <n v="1.194"/>
    <n v="0.27599999999999997"/>
  </r>
  <r>
    <s v="延994"/>
    <n v="3852"/>
    <n v="104.33"/>
    <n v="23.47"/>
    <n v="2.6120000000000001"/>
    <n v="229.65700000000001"/>
    <n v="2.6640000000000001"/>
    <n v="13.12"/>
    <n v="3.085"/>
    <n v="139.065"/>
    <n v="151.56899999999999"/>
    <n v="0.01"/>
    <n v="1E-3"/>
    <n v="100"/>
    <n v="0.81899999999999995"/>
    <n v="0.41199999999999998"/>
    <n v="0.83699999999999997"/>
    <n v="7.6999999999999999E-2"/>
    <n v="0.92600000000000005"/>
    <m/>
    <s v="马五41b"/>
    <x v="0"/>
    <m/>
    <m/>
    <n v="1.6559999999999999"/>
    <n v="0.40699999999999997"/>
  </r>
  <r>
    <s v="延994"/>
    <n v="3852.125"/>
    <n v="125.288"/>
    <n v="23.573"/>
    <n v="3.6920000000000002"/>
    <n v="245.976"/>
    <n v="2.6850000000000001"/>
    <n v="14.131"/>
    <n v="3.1859999999999999"/>
    <n v="64.19"/>
    <n v="69.486000000000004"/>
    <n v="0.01"/>
    <n v="1E-3"/>
    <n v="100"/>
    <n v="0.95799999999999996"/>
    <n v="0.46500000000000002"/>
    <n v="0.96399999999999997"/>
    <n v="0.19400000000000001"/>
    <n v="0.97899999999999998"/>
    <m/>
    <s v="马五41b"/>
    <x v="0"/>
    <m/>
    <m/>
    <n v="1.9219999999999999"/>
    <n v="0.49299999999999994"/>
  </r>
  <r>
    <s v="延994"/>
    <n v="3852.25"/>
    <n v="132.965"/>
    <n v="23.135999999999999"/>
    <n v="4.1859999999999999"/>
    <n v="251.36"/>
    <n v="2.714"/>
    <n v="13.63"/>
    <n v="3.2130000000000001"/>
    <n v="50.38"/>
    <n v="54.45"/>
    <n v="0.01"/>
    <n v="1E-3"/>
    <n v="100"/>
    <n v="0.99299999999999999"/>
    <n v="0.46500000000000002"/>
    <n v="0.97299999999999998"/>
    <n v="0.3"/>
    <n v="0.90400000000000003"/>
    <m/>
    <s v="马五41b"/>
    <x v="0"/>
    <m/>
    <m/>
    <n v="1.966"/>
    <n v="0.52800000000000002"/>
  </r>
  <r>
    <s v="延994"/>
    <n v="3852.375"/>
    <n v="130.78"/>
    <n v="22.571999999999999"/>
    <n v="4.226"/>
    <n v="244.02"/>
    <n v="2.722"/>
    <n v="12.689"/>
    <n v="3.165"/>
    <n v="50.942999999999998"/>
    <n v="54.976999999999997"/>
    <n v="0.01"/>
    <n v="1E-3"/>
    <n v="100"/>
    <n v="0.95299999999999996"/>
    <n v="0.41499999999999998"/>
    <n v="0.84899999999999998"/>
    <n v="0.36399999999999999"/>
    <n v="0.80700000000000005"/>
    <m/>
    <s v="马五41b"/>
    <x v="0"/>
    <m/>
    <m/>
    <n v="1.802"/>
    <n v="0.53800000000000003"/>
  </r>
  <r>
    <s v="延919"/>
    <n v="3827.5"/>
    <n v="120.45399999999999"/>
    <n v="21.891999999999999"/>
    <n v="3.5870000000000002"/>
    <n v="183.93899999999999"/>
    <n v="2.601"/>
    <n v="8.0449999999999999"/>
    <n v="2.31"/>
    <n v="51.848999999999997"/>
    <n v="78.983999999999995"/>
    <n v="0"/>
    <n v="0"/>
    <n v="100"/>
    <n v="0.73199999999999998"/>
    <n v="2.7E-2"/>
    <n v="0.66400000000000003"/>
    <n v="0.193"/>
    <n v="0.372"/>
    <m/>
    <s v="马五41b"/>
    <x v="0"/>
    <n v="6"/>
    <s v="取心"/>
    <n v="1.3959999999999999"/>
    <n v="0.70499999999999996"/>
  </r>
  <r>
    <s v="延919"/>
    <n v="3827.625"/>
    <n v="145.25399999999999"/>
    <n v="21.949000000000002"/>
    <n v="4.0110000000000001"/>
    <n v="189.43700000000001"/>
    <n v="2.5670000000000002"/>
    <n v="9.2210000000000001"/>
    <n v="2.2490000000000001"/>
    <n v="43.234000000000002"/>
    <n v="64.097999999999999"/>
    <n v="0"/>
    <n v="0"/>
    <n v="100"/>
    <n v="0.879"/>
    <n v="2E-3"/>
    <n v="0.75800000000000001"/>
    <n v="7.6999999999999999E-2"/>
    <n v="0.54600000000000004"/>
    <m/>
    <s v="马五41b"/>
    <x v="0"/>
    <n v="6"/>
    <s v="取心"/>
    <n v="1.637"/>
    <n v="0.877"/>
  </r>
  <r>
    <s v="延919"/>
    <n v="3827.75"/>
    <n v="161.00700000000001"/>
    <n v="21.77"/>
    <n v="4.2300000000000004"/>
    <n v="193.43100000000001"/>
    <n v="2.548"/>
    <n v="10.584"/>
    <n v="2.2440000000000002"/>
    <n v="35.51"/>
    <n v="50.366999999999997"/>
    <n v="0"/>
    <n v="0"/>
    <n v="100"/>
    <n v="0.96699999999999997"/>
    <n v="5.0000000000000001E-3"/>
    <n v="0.82399999999999995"/>
    <n v="1.7000000000000001E-2"/>
    <n v="0.73799999999999999"/>
    <m/>
    <s v="马五41b"/>
    <x v="0"/>
    <n v="6"/>
    <s v="取心"/>
    <n v="1.7909999999999999"/>
    <n v="0.96199999999999997"/>
  </r>
  <r>
    <s v="延919"/>
    <n v="3827.875"/>
    <n v="167.90799999999999"/>
    <n v="21.616"/>
    <n v="4.16"/>
    <n v="195.85499999999999"/>
    <n v="2.5419999999999998"/>
    <n v="11.912000000000001"/>
    <n v="2.2789999999999999"/>
    <n v="30.664999999999999"/>
    <n v="41.499000000000002"/>
    <n v="0"/>
    <n v="0"/>
    <n v="100"/>
    <n v="0.99199999999999999"/>
    <n v="0.03"/>
    <n v="0.86299999999999999"/>
    <n v="2E-3"/>
    <n v="0.90800000000000003"/>
    <m/>
    <s v="马五41b"/>
    <x v="0"/>
    <n v="6"/>
    <s v="取心"/>
    <n v="1.855"/>
    <n v="0.96199999999999997"/>
  </r>
  <r>
    <s v="延919"/>
    <n v="3828"/>
    <n v="163.446"/>
    <n v="21.536000000000001"/>
    <n v="4.2709999999999999"/>
    <n v="197.12100000000001"/>
    <n v="2.544"/>
    <n v="12.744999999999999"/>
    <n v="2.351"/>
    <n v="30.38"/>
    <n v="39.113999999999997"/>
    <n v="0"/>
    <n v="0"/>
    <n v="100"/>
    <n v="0.94699999999999995"/>
    <n v="7.4999999999999997E-2"/>
    <n v="0.88400000000000001"/>
    <n v="1.4E-2"/>
    <n v="0.996"/>
    <m/>
    <s v="马五41b"/>
    <x v="0"/>
    <n v="6"/>
    <s v="取心"/>
    <n v="1.831"/>
    <n v="0.872"/>
  </r>
  <r>
    <s v="延919"/>
    <n v="3828.125"/>
    <n v="150.24100000000001"/>
    <n v="21.754999999999999"/>
    <n v="4.7"/>
    <n v="197.982"/>
    <n v="2.5499999999999998"/>
    <n v="12.786"/>
    <n v="2.4609999999999999"/>
    <n v="31.98"/>
    <n v="39.904000000000003"/>
    <n v="0"/>
    <n v="0"/>
    <n v="100"/>
    <n v="0.85799999999999998"/>
    <n v="0.13900000000000001"/>
    <n v="0.90200000000000002"/>
    <n v="4.3999999999999997E-2"/>
    <n v="0.98699999999999999"/>
    <m/>
    <s v="马五41b"/>
    <x v="0"/>
    <n v="6"/>
    <s v="取心"/>
    <n v="1.76"/>
    <n v="0.71899999999999997"/>
  </r>
  <r>
    <s v="延914"/>
    <n v="3386.5"/>
    <n v="97.311000000000007"/>
    <n v="22.172000000000001"/>
    <n v="4.5449999999999999"/>
    <n v="199.42099999999999"/>
    <n v="2.5950000000000002"/>
    <n v="6.0979999999999999"/>
    <n v="3.1960000000000002"/>
    <n v="51.323999999999998"/>
    <n v="55.786999999999999"/>
    <n v="0"/>
    <n v="0"/>
    <n v="100"/>
    <n v="0.60099999999999998"/>
    <n v="0.126"/>
    <n v="0.872"/>
    <n v="0.17100000000000001"/>
    <n v="0.79300000000000004"/>
    <m/>
    <s v="马五41b"/>
    <x v="0"/>
    <n v="9"/>
    <s v="取心"/>
    <n v="1.4729999999999999"/>
    <n v="0.47499999999999998"/>
  </r>
  <r>
    <s v="延914"/>
    <n v="3386.625"/>
    <n v="136.68700000000001"/>
    <n v="22.282"/>
    <n v="5.0839999999999996"/>
    <n v="204.12100000000001"/>
    <n v="2.5670000000000002"/>
    <n v="6.7290000000000001"/>
    <n v="3.1859999999999999"/>
    <n v="35.344999999999999"/>
    <n v="38.417999999999999"/>
    <n v="0"/>
    <n v="0"/>
    <n v="100"/>
    <n v="0.875"/>
    <n v="5.8000000000000003E-2"/>
    <n v="0.96899999999999997"/>
    <n v="7.6999999999999999E-2"/>
    <n v="0.92400000000000004"/>
    <m/>
    <s v="马五41b"/>
    <x v="0"/>
    <n v="9"/>
    <s v="取心"/>
    <n v="1.8439999999999999"/>
    <n v="0.81699999999999995"/>
  </r>
  <r>
    <s v="延914"/>
    <n v="3386.75"/>
    <n v="154.90899999999999"/>
    <n v="22.355"/>
    <n v="5.4320000000000004"/>
    <n v="205.63399999999999"/>
    <n v="2.5499999999999998"/>
    <n v="7.0990000000000002"/>
    <n v="3.1720000000000002"/>
    <n v="26.478000000000002"/>
    <n v="28.78"/>
    <n v="0"/>
    <n v="0"/>
    <n v="100"/>
    <n v="0.999"/>
    <n v="7.0000000000000001E-3"/>
    <n v="0.999"/>
    <n v="0.02"/>
    <n v="1"/>
    <m/>
    <s v="马五41b"/>
    <x v="0"/>
    <n v="9"/>
    <s v="取心"/>
    <n v="1.998"/>
    <n v="0.99199999999999999"/>
  </r>
  <r>
    <s v="延914"/>
    <n v="3386.875"/>
    <n v="148.28700000000001"/>
    <n v="22.265000000000001"/>
    <n v="5.641"/>
    <n v="203.56700000000001"/>
    <n v="2.544"/>
    <n v="7.0810000000000004"/>
    <n v="3.16"/>
    <n v="25.492000000000001"/>
    <n v="27.709"/>
    <n v="0"/>
    <n v="0"/>
    <n v="100"/>
    <n v="0.94599999999999995"/>
    <n v="1E-3"/>
    <n v="0.95299999999999996"/>
    <n v="1E-3"/>
    <n v="0.99299999999999999"/>
    <m/>
    <s v="马五41b"/>
    <x v="0"/>
    <n v="9"/>
    <s v="取心"/>
    <n v="1.899"/>
    <n v="0.94499999999999995"/>
  </r>
  <r>
    <s v="延990"/>
    <n v="3732.125"/>
    <n v="102.852"/>
    <n v="22.606999999999999"/>
    <n v="3.613"/>
    <n v="202.66499999999999"/>
    <n v="2.7429999999999999"/>
    <n v="9.1890000000000001"/>
    <n v="3.8820000000000001"/>
    <n v="107.21599999999999"/>
    <n v="122.60599999999999"/>
    <n v="0.01"/>
    <n v="1E-3"/>
    <n v="100"/>
    <n v="0.91200000000000003"/>
    <n v="0.77"/>
    <n v="0.58299999999999996"/>
    <n v="0.219"/>
    <n v="0.60399999999999998"/>
    <m/>
    <s v="马五41b"/>
    <x v="0"/>
    <n v="6"/>
    <m/>
    <n v="1.4950000000000001"/>
    <n v="0.14200000000000002"/>
  </r>
  <r>
    <s v="延990"/>
    <n v="3732.25"/>
    <n v="102.239"/>
    <n v="22.75"/>
    <n v="3.528"/>
    <n v="202.81399999999999"/>
    <n v="2.7309999999999999"/>
    <n v="9.6829999999999998"/>
    <n v="3.9649999999999999"/>
    <n v="98.655000000000001"/>
    <n v="112.535"/>
    <n v="0.01"/>
    <n v="1E-3"/>
    <n v="100"/>
    <n v="0.93899999999999995"/>
    <n v="0.85"/>
    <n v="0.60799999999999998"/>
    <n v="9.1999999999999998E-2"/>
    <n v="0.68200000000000005"/>
    <m/>
    <s v="马五41b"/>
    <x v="0"/>
    <n v="6"/>
    <m/>
    <n v="1.5469999999999999"/>
    <n v="8.8999999999999968E-2"/>
  </r>
  <r>
    <s v="延990"/>
    <n v="3732.375"/>
    <n v="96.39"/>
    <n v="22.917000000000002"/>
    <n v="3.3039999999999998"/>
    <n v="199.238"/>
    <n v="2.73"/>
    <n v="9.8949999999999996"/>
    <n v="3.97"/>
    <n v="108.5"/>
    <n v="124.11799999999999"/>
    <n v="0.01"/>
    <n v="1E-3"/>
    <n v="100"/>
    <n v="0.9"/>
    <n v="0.878"/>
    <n v="0.57999999999999996"/>
    <n v="4.4999999999999998E-2"/>
    <n v="0.73"/>
    <m/>
    <s v="马五41b"/>
    <x v="0"/>
    <n v="6"/>
    <m/>
    <n v="1.48"/>
    <n v="2.200000000000002E-2"/>
  </r>
  <r>
    <s v="延990"/>
    <n v="3732.5"/>
    <n v="87.566999999999993"/>
    <n v="23.13"/>
    <n v="2.8940000000000001"/>
    <n v="193.35"/>
    <n v="2.7469999999999999"/>
    <n v="9.7189999999999994"/>
    <n v="3.91"/>
    <n v="136.20400000000001"/>
    <n v="156.71100000000001"/>
    <n v="0.01"/>
    <n v="1E-3"/>
    <n v="100"/>
    <n v="0.82"/>
    <n v="0.85299999999999998"/>
    <n v="0.51100000000000001"/>
    <n v="0.124"/>
    <n v="0.72799999999999998"/>
    <m/>
    <s v="马五41b"/>
    <x v="0"/>
    <n v="6"/>
    <m/>
    <n v="1.331"/>
    <n v="-3.3000000000000029E-2"/>
  </r>
  <r>
    <s v="延990"/>
    <n v="3732.625"/>
    <n v="76.349000000000004"/>
    <n v="23.393000000000001"/>
    <n v="2.6829999999999998"/>
    <n v="187.62799999999999"/>
    <n v="2.7789999999999999"/>
    <n v="9.1920000000000002"/>
    <n v="3.8079999999999998"/>
    <n v="180.749"/>
    <n v="209.11600000000001"/>
    <n v="0.01"/>
    <n v="1E-3"/>
    <n v="100"/>
    <n v="0.71199999999999997"/>
    <n v="0.78900000000000003"/>
    <n v="0.43"/>
    <n v="0.33900000000000002"/>
    <n v="0.67200000000000004"/>
    <m/>
    <s v="马五41b"/>
    <x v="0"/>
    <n v="6"/>
    <m/>
    <n v="1.1419999999999999"/>
    <n v="-7.7000000000000068E-2"/>
  </r>
  <r>
    <s v="延982"/>
    <n v="3385.125"/>
    <n v="87.204999999999998"/>
    <n v="23.151"/>
    <n v="6.3940000000000001"/>
    <n v="187.7"/>
    <n v="2.7480000000000002"/>
    <n v="9.0739999999999998"/>
    <n v="2.46"/>
    <n v="68.965999999999994"/>
    <n v="86.314999999999998"/>
    <n v="0.01"/>
    <n v="1E-3"/>
    <n v="100"/>
    <n v="0.55700000000000005"/>
    <n v="1.2999999999999999E-2"/>
    <n v="0.40400000000000003"/>
    <n v="0.46800000000000003"/>
    <n v="0.59699999999999998"/>
    <m/>
    <s v="马五41b"/>
    <x v="0"/>
    <n v="11"/>
    <m/>
    <n v="0.96100000000000008"/>
    <n v="0.54400000000000004"/>
  </r>
  <r>
    <s v="延982"/>
    <n v="3385.375"/>
    <n v="140.24299999999999"/>
    <n v="24.170999999999999"/>
    <n v="6.024"/>
    <n v="234.05799999999999"/>
    <n v="2.6659999999999999"/>
    <n v="11.426"/>
    <n v="2.4430000000000001"/>
    <n v="37.680999999999997"/>
    <n v="45.453000000000003"/>
    <n v="0.01"/>
    <n v="1E-3"/>
    <n v="100"/>
    <n v="0.93100000000000005"/>
    <n v="6.0000000000000001E-3"/>
    <n v="0.85799999999999998"/>
    <n v="0.24199999999999999"/>
    <n v="0.76800000000000002"/>
    <m/>
    <s v="马五41b"/>
    <x v="0"/>
    <n v="11"/>
    <m/>
    <n v="1.7890000000000001"/>
    <n v="0.92500000000000004"/>
  </r>
  <r>
    <s v="延982"/>
    <n v="3385.5"/>
    <n v="150.61199999999999"/>
    <n v="24.931000000000001"/>
    <n v="5.7359999999999998"/>
    <n v="249.642"/>
    <n v="2.609"/>
    <n v="13.172000000000001"/>
    <n v="2.4620000000000002"/>
    <n v="34.886000000000003"/>
    <n v="41.057000000000002"/>
    <n v="0.01"/>
    <n v="1E-3"/>
    <n v="100"/>
    <n v="0.996"/>
    <n v="1.6E-2"/>
    <n v="1"/>
    <n v="9.2999999999999999E-2"/>
    <n v="0.89100000000000001"/>
    <m/>
    <s v="马五41b"/>
    <x v="0"/>
    <n v="11"/>
    <m/>
    <n v="1.996"/>
    <n v="0.98"/>
  </r>
  <r>
    <s v="延982"/>
    <n v="3385.625"/>
    <n v="143.88300000000001"/>
    <n v="25.3"/>
    <n v="5.569"/>
    <n v="249.4"/>
    <n v="2.5750000000000002"/>
    <n v="14.534000000000001"/>
    <n v="2.4900000000000002"/>
    <n v="39.781999999999996"/>
    <n v="45.706000000000003"/>
    <n v="0.01"/>
    <n v="1E-3"/>
    <n v="100"/>
    <n v="0.94099999999999995"/>
    <n v="0.03"/>
    <n v="0.98899999999999999"/>
    <n v="8.0000000000000002E-3"/>
    <n v="0.98299999999999998"/>
    <m/>
    <s v="马五41b"/>
    <x v="0"/>
    <n v="11"/>
    <m/>
    <n v="1.93"/>
    <n v="0.91099999999999992"/>
  </r>
  <r>
    <s v="延982"/>
    <n v="3385.75"/>
    <n v="123.336"/>
    <n v="25.027999999999999"/>
    <n v="5.2389999999999999"/>
    <n v="237.511"/>
    <n v="2.5720000000000001"/>
    <n v="14.795"/>
    <n v="2.5470000000000002"/>
    <n v="56.314"/>
    <n v="63.445999999999998"/>
    <n v="0.01"/>
    <n v="1E-3"/>
    <n v="100"/>
    <n v="0.79"/>
    <n v="5.8999999999999997E-2"/>
    <n v="0.86599999999999999"/>
    <n v="5.0000000000000001E-3"/>
    <n v="0.99399999999999999"/>
    <m/>
    <s v="马五41b"/>
    <x v="0"/>
    <n v="11"/>
    <m/>
    <n v="1.6560000000000001"/>
    <n v="0.73100000000000009"/>
  </r>
  <r>
    <s v="延982"/>
    <n v="3385.875"/>
    <n v="98.736000000000004"/>
    <n v="24.05"/>
    <n v="4.5609999999999999"/>
    <n v="217.57900000000001"/>
    <n v="2.597"/>
    <n v="13.718"/>
    <n v="2.6360000000000001"/>
    <n v="93.278000000000006"/>
    <n v="104.867"/>
    <n v="0.01"/>
    <n v="1E-3"/>
    <n v="100"/>
    <n v="0.61599999999999999"/>
    <n v="0.10199999999999999"/>
    <n v="0.66800000000000004"/>
    <n v="7.6999999999999999E-2"/>
    <n v="0.91100000000000003"/>
    <m/>
    <s v="马五41b"/>
    <x v="0"/>
    <n v="11"/>
    <m/>
    <n v="1.284"/>
    <n v="0.51400000000000001"/>
  </r>
  <r>
    <s v="延982"/>
    <n v="3386"/>
    <n v="80.05"/>
    <n v="23.097000000000001"/>
    <n v="3.8210000000000002"/>
    <n v="194.84"/>
    <n v="2.6440000000000001"/>
    <n v="11.409000000000001"/>
    <n v="2.7320000000000002"/>
    <n v="147.79599999999999"/>
    <n v="168.62899999999999"/>
    <n v="0.01"/>
    <n v="1E-3"/>
    <n v="100"/>
    <n v="0.48699999999999999"/>
    <n v="0.14699999999999999"/>
    <n v="0.44800000000000001"/>
    <n v="0.20399999999999999"/>
    <n v="0.745"/>
    <m/>
    <s v="马五41b"/>
    <x v="0"/>
    <n v="11"/>
    <m/>
    <n v="0.93500000000000005"/>
    <n v="0.33999999999999997"/>
  </r>
  <r>
    <s v="延981"/>
    <n v="3453"/>
    <n v="107.56399999999999"/>
    <n v="22.9"/>
    <n v="1.5629999999999999"/>
    <n v="209.99100000000001"/>
    <n v="2.5939999999999999"/>
    <n v="11.117000000000001"/>
    <n v="3.101"/>
    <n v="50.343000000000004"/>
    <n v="42.817999999999998"/>
    <n v="0.01"/>
    <n v="1E-3"/>
    <n v="100"/>
    <n v="0.64300000000000002"/>
    <n v="0.20399999999999999"/>
    <n v="0.86199999999999999"/>
    <n v="0.112"/>
    <n v="0.86299999999999999"/>
    <m/>
    <s v="马五41b"/>
    <x v="0"/>
    <n v="9"/>
    <m/>
    <n v="1.5049999999999999"/>
    <n v="0.43900000000000006"/>
  </r>
  <r>
    <s v="延981"/>
    <n v="3453.125"/>
    <n v="136.08799999999999"/>
    <n v="23.353999999999999"/>
    <n v="1.417"/>
    <n v="215.67"/>
    <n v="2.653"/>
    <n v="12.192"/>
    <n v="3.0459999999999998"/>
    <n v="46.738999999999997"/>
    <n v="37.886000000000003"/>
    <n v="0.01"/>
    <n v="1E-3"/>
    <n v="100"/>
    <n v="0.84899999999999998"/>
    <n v="0.17699999999999999"/>
    <n v="0.96"/>
    <n v="0.254"/>
    <n v="0.95299999999999996"/>
    <m/>
    <s v="马五41b"/>
    <x v="0"/>
    <n v="9"/>
    <m/>
    <n v="1.8089999999999999"/>
    <n v="0.67199999999999993"/>
  </r>
  <r>
    <s v="延981"/>
    <n v="3453.25"/>
    <n v="151.291"/>
    <n v="23.398"/>
    <n v="1.349"/>
    <n v="217.16399999999999"/>
    <n v="2.71"/>
    <n v="12.558"/>
    <n v="3.1179999999999999"/>
    <n v="56.442999999999998"/>
    <n v="43.683999999999997"/>
    <n v="0.01"/>
    <n v="1E-3"/>
    <n v="100"/>
    <n v="0.97799999999999998"/>
    <n v="0.19800000000000001"/>
    <n v="0.995"/>
    <n v="0.40100000000000002"/>
    <n v="0.99399999999999999"/>
    <m/>
    <s v="马五41b"/>
    <x v="0"/>
    <n v="9"/>
    <m/>
    <n v="1.9729999999999999"/>
    <n v="0.78"/>
  </r>
  <r>
    <s v="延981"/>
    <n v="3453.375"/>
    <n v="142.86500000000001"/>
    <n v="23.082999999999998"/>
    <n v="1.3069999999999999"/>
    <n v="213.93799999999999"/>
    <n v="2.7490000000000001"/>
    <n v="11.986000000000001"/>
    <n v="3.19"/>
    <n v="89.521000000000001"/>
    <n v="66.091999999999999"/>
    <n v="0.01"/>
    <n v="1E-3"/>
    <n v="100"/>
    <n v="0.95099999999999996"/>
    <n v="0.23100000000000001"/>
    <n v="0.96"/>
    <n v="0.51"/>
    <n v="0.96299999999999997"/>
    <m/>
    <s v="马五41b"/>
    <x v="0"/>
    <n v="9"/>
    <m/>
    <n v="1.911"/>
    <n v="0.72"/>
  </r>
  <r>
    <s v="延1087"/>
    <n v="3404.25"/>
    <n v="90.441999999999993"/>
    <n v="22.994"/>
    <n v="1.8049999999999999"/>
    <n v="203.803"/>
    <n v="2.6819999999999999"/>
    <n v="14.118"/>
    <n v="3.15"/>
    <n v="79.947999999999993"/>
    <n v="70.116"/>
    <n v="0.64100000000000001"/>
    <n v="0.1"/>
    <n v="100"/>
    <n v="0.627"/>
    <n v="0.14000000000000001"/>
    <n v="0.621"/>
    <n v="0.33700000000000002"/>
    <n v="0.71699999999999997"/>
    <m/>
    <s v="马五41b"/>
    <x v="0"/>
    <n v="12"/>
    <m/>
    <n v="1.248"/>
    <n v="0.48699999999999999"/>
  </r>
  <r>
    <s v="延1087"/>
    <n v="3404.375"/>
    <n v="114.444"/>
    <n v="23.49"/>
    <n v="1.3979999999999999"/>
    <n v="219.08799999999999"/>
    <n v="2.6230000000000002"/>
    <n v="15.903"/>
    <n v="2.9609999999999999"/>
    <n v="55.014000000000003"/>
    <n v="48.938000000000002"/>
    <n v="0"/>
    <n v="0.1"/>
    <n v="100"/>
    <n v="0.81599999999999995"/>
    <n v="8.3000000000000004E-2"/>
    <n v="0.79400000000000004"/>
    <n v="0.192"/>
    <n v="0.81599999999999995"/>
    <m/>
    <s v="马五41b"/>
    <x v="0"/>
    <n v="12"/>
    <m/>
    <n v="1.6099999999999999"/>
    <n v="0.73299999999999998"/>
  </r>
  <r>
    <s v="延1087"/>
    <n v="3404.5"/>
    <n v="133.92699999999999"/>
    <n v="23.774000000000001"/>
    <n v="1.2310000000000001"/>
    <n v="230.655"/>
    <n v="2.5720000000000001"/>
    <n v="17.873000000000001"/>
    <n v="2.8250000000000002"/>
    <n v="43.593000000000004"/>
    <n v="40.191000000000003"/>
    <n v="0"/>
    <n v="0.1"/>
    <n v="100"/>
    <n v="0.97"/>
    <n v="4.2000000000000003E-2"/>
    <n v="0.92600000000000005"/>
    <n v="6.7000000000000004E-2"/>
    <n v="0.92600000000000005"/>
    <m/>
    <s v="马五41b"/>
    <x v="0"/>
    <n v="12"/>
    <m/>
    <n v="1.8959999999999999"/>
    <n v="0.92799999999999994"/>
  </r>
  <r>
    <s v="延1087"/>
    <n v="3404.625"/>
    <n v="137.72499999999999"/>
    <n v="23.773"/>
    <n v="1.405"/>
    <n v="237.20500000000001"/>
    <n v="2.5449999999999999"/>
    <n v="19.21"/>
    <n v="2.734"/>
    <n v="42.970999999999997"/>
    <n v="41.023000000000003"/>
    <n v="0"/>
    <n v="0.1"/>
    <n v="100"/>
    <n v="1"/>
    <n v="1.4999999999999999E-2"/>
    <n v="1"/>
    <n v="0"/>
    <n v="1"/>
    <m/>
    <s v="马五41b"/>
    <x v="0"/>
    <n v="12"/>
    <m/>
    <n v="2"/>
    <n v="0.98499999999999999"/>
  </r>
  <r>
    <s v="延1087"/>
    <n v="3404.75"/>
    <n v="126.27"/>
    <n v="23.757999999999999"/>
    <n v="1.583"/>
    <n v="233.58199999999999"/>
    <n v="2.5459999999999998"/>
    <n v="18.917000000000002"/>
    <n v="2.6949999999999998"/>
    <n v="50.329000000000001"/>
    <n v="48.942"/>
    <n v="0"/>
    <n v="0.1"/>
    <n v="100"/>
    <n v="0.91"/>
    <n v="3.0000000000000001E-3"/>
    <n v="0.95899999999999996"/>
    <n v="2E-3"/>
    <n v="0.98399999999999999"/>
    <m/>
    <s v="马五41b"/>
    <x v="0"/>
    <n v="12"/>
    <m/>
    <n v="1.869"/>
    <n v="0.90700000000000003"/>
  </r>
  <r>
    <s v="延1087"/>
    <n v="3404.875"/>
    <n v="108.29900000000001"/>
    <n v="23.940999999999999"/>
    <n v="1.865"/>
    <n v="225.36799999999999"/>
    <n v="2.57"/>
    <n v="17.077000000000002"/>
    <n v="2.6850000000000001"/>
    <n v="65.911000000000001"/>
    <n v="63.948999999999998"/>
    <n v="0"/>
    <n v="0.1"/>
    <n v="100"/>
    <n v="0.76800000000000002"/>
    <n v="0"/>
    <n v="0.86599999999999999"/>
    <n v="6.2E-2"/>
    <n v="0.88100000000000001"/>
    <m/>
    <s v="马五41b"/>
    <x v="0"/>
    <n v="12"/>
    <m/>
    <n v="1.6339999999999999"/>
    <n v="0.76800000000000002"/>
  </r>
  <r>
    <s v="延1087"/>
    <n v="3405"/>
    <n v="94.6"/>
    <n v="24.047000000000001"/>
    <n v="2.0710000000000002"/>
    <n v="214.7"/>
    <n v="2.5960000000000001"/>
    <n v="15.063000000000001"/>
    <n v="2.702"/>
    <n v="87.259"/>
    <n v="83.606999999999999"/>
    <n v="0"/>
    <n v="0.1"/>
    <n v="100"/>
    <n v="0.66"/>
    <n v="5.0000000000000001E-3"/>
    <n v="0.745"/>
    <n v="0.126"/>
    <n v="0.76900000000000002"/>
    <m/>
    <s v="马五41b"/>
    <x v="0"/>
    <n v="12"/>
    <m/>
    <n v="1.405"/>
    <n v="0.65500000000000003"/>
  </r>
  <r>
    <s v="延1087"/>
    <n v="3405.125"/>
    <n v="88.716999999999999"/>
    <n v="23.687000000000001"/>
    <n v="2.1360000000000001"/>
    <n v="199.55500000000001"/>
    <n v="2.6080000000000001"/>
    <n v="13.795"/>
    <n v="2.8650000000000002"/>
    <n v="108.02"/>
    <n v="102.67400000000001"/>
    <n v="2E-3"/>
    <n v="0.1"/>
    <n v="100"/>
    <n v="0.61299999999999999"/>
    <n v="5.3999999999999999E-2"/>
    <n v="0.57299999999999995"/>
    <n v="0.155"/>
    <n v="0.69899999999999995"/>
    <m/>
    <s v="马五41b"/>
    <x v="0"/>
    <n v="12"/>
    <m/>
    <n v="1.1859999999999999"/>
    <n v="0.55899999999999994"/>
  </r>
  <r>
    <s v="延949"/>
    <n v="3865.125"/>
    <n v="105.13800000000001"/>
    <n v="22.311"/>
    <n v="2.484"/>
    <n v="210.989"/>
    <n v="2.7050000000000001"/>
    <n v="10.137"/>
    <n v="2.9870000000000001"/>
    <n v="92.347999999999999"/>
    <n v="109.857"/>
    <n v="0"/>
    <n v="0"/>
    <n v="100"/>
    <n v="0.68899999999999995"/>
    <n v="0.44800000000000001"/>
    <n v="0.752"/>
    <n v="0.29199999999999998"/>
    <n v="0.77400000000000002"/>
    <m/>
    <s v="马五41b"/>
    <x v="0"/>
    <n v="14"/>
    <m/>
    <n v="1.4409999999999998"/>
    <n v="0.24099999999999994"/>
  </r>
  <r>
    <s v="延949"/>
    <n v="3865.25"/>
    <n v="124.76600000000001"/>
    <n v="22.678999999999998"/>
    <n v="3.629"/>
    <n v="222.68899999999999"/>
    <n v="2.6819999999999999"/>
    <n v="11.317"/>
    <n v="3.0230000000000001"/>
    <n v="68.028000000000006"/>
    <n v="79.840999999999994"/>
    <n v="0"/>
    <n v="0"/>
    <n v="100"/>
    <n v="0.85"/>
    <n v="0.51800000000000002"/>
    <n v="0.91800000000000004"/>
    <n v="0.17100000000000001"/>
    <n v="0.93300000000000005"/>
    <m/>
    <s v="马五41b"/>
    <x v="0"/>
    <n v="14"/>
    <m/>
    <n v="1.768"/>
    <n v="0.33199999999999996"/>
  </r>
  <r>
    <s v="延949"/>
    <n v="3865.375"/>
    <n v="137.77000000000001"/>
    <n v="22.960999999999999"/>
    <n v="4.76"/>
    <n v="227.386"/>
    <n v="2.677"/>
    <n v="11.709"/>
    <n v="3.0259999999999998"/>
    <n v="58.74"/>
    <n v="68.658000000000001"/>
    <n v="0"/>
    <n v="0"/>
    <n v="100"/>
    <n v="0.96"/>
    <n v="0.53"/>
    <n v="0.99299999999999999"/>
    <n v="0.13600000000000001"/>
    <n v="0.995"/>
    <m/>
    <s v="马五41b"/>
    <x v="0"/>
    <n v="14"/>
    <m/>
    <n v="1.9529999999999998"/>
    <n v="0.42999999999999994"/>
  </r>
  <r>
    <s v="延949"/>
    <n v="3865.5"/>
    <n v="141.33699999999999"/>
    <n v="22.641999999999999"/>
    <n v="5.2649999999999997"/>
    <n v="223.80500000000001"/>
    <n v="2.694"/>
    <n v="11.244"/>
    <n v="3.0179999999999998"/>
    <n v="64.165000000000006"/>
    <n v="75.323999999999998"/>
    <n v="0"/>
    <n v="0"/>
    <n v="100"/>
    <n v="0.997"/>
    <n v="0.51700000000000002"/>
    <n v="0.95599999999999996"/>
    <n v="0.21099999999999999"/>
    <n v="0.94599999999999995"/>
    <m/>
    <s v="马五41b"/>
    <x v="0"/>
    <n v="14"/>
    <m/>
    <n v="1.9529999999999998"/>
    <n v="0.48"/>
  </r>
  <r>
    <s v="延949"/>
    <n v="3865.625"/>
    <n v="133.755"/>
    <n v="22.216999999999999"/>
    <n v="5.4009999999999998"/>
    <n v="213.529"/>
    <n v="2.722"/>
    <n v="10.249000000000001"/>
    <n v="3"/>
    <n v="82.055000000000007"/>
    <n v="96.872"/>
    <n v="0"/>
    <n v="0"/>
    <n v="100"/>
    <n v="0.94499999999999995"/>
    <n v="0.48599999999999999"/>
    <n v="0.82299999999999995"/>
    <n v="0.34899999999999998"/>
    <n v="0.82299999999999995"/>
    <m/>
    <s v="马五41b"/>
    <x v="0"/>
    <n v="14"/>
    <m/>
    <n v="1.7679999999999998"/>
    <n v="0.45899999999999996"/>
  </r>
  <r>
    <s v="延1950"/>
    <n v="3812.875"/>
    <n v="74.917000000000002"/>
    <n v="22.082999999999998"/>
    <n v="3.1269999999999998"/>
    <n v="178.03"/>
    <n v="2.7519999999999998"/>
    <n v="15.749000000000001"/>
    <n v="2.8650000000000002"/>
    <n v="77.8"/>
    <n v="89.748999999999995"/>
    <n v="0.01"/>
    <n v="1E-3"/>
    <n v="100"/>
    <n v="0.54400000000000004"/>
    <n v="7.8E-2"/>
    <n v="0.41699999999999998"/>
    <n v="0.34799999999999998"/>
    <n v="0.57699999999999996"/>
    <m/>
    <s v="马五41b"/>
    <x v="0"/>
    <n v="11"/>
    <s v="取心"/>
    <n v="0.96100000000000008"/>
    <n v="0.46600000000000003"/>
  </r>
  <r>
    <s v="延1950"/>
    <n v="3813"/>
    <n v="84.320999999999998"/>
    <n v="22.306999999999999"/>
    <n v="3.444"/>
    <n v="184.99299999999999"/>
    <n v="2.7370000000000001"/>
    <n v="17.5"/>
    <n v="2.7879999999999998"/>
    <n v="65.382000000000005"/>
    <n v="75.103999999999999"/>
    <n v="0.01"/>
    <n v="1E-3"/>
    <n v="100"/>
    <n v="0.63400000000000001"/>
    <n v="1.2999999999999999E-2"/>
    <n v="0.54700000000000004"/>
    <n v="0.22900000000000001"/>
    <n v="0.66600000000000004"/>
    <m/>
    <s v="马五41b"/>
    <x v="0"/>
    <n v="11"/>
    <s v="取心"/>
    <n v="1.181"/>
    <n v="0.621"/>
  </r>
  <r>
    <s v="延1950"/>
    <n v="3813.125"/>
    <n v="95.855000000000004"/>
    <n v="22.375"/>
    <n v="4.0599999999999996"/>
    <n v="193.33"/>
    <n v="2.7149999999999999"/>
    <n v="19.545000000000002"/>
    <n v="2.77"/>
    <n v="58.804000000000002"/>
    <n v="67.344999999999999"/>
    <n v="0.01"/>
    <n v="1E-3"/>
    <n v="100"/>
    <n v="0.72699999999999998"/>
    <n v="1.0999999999999999E-2"/>
    <n v="0.69099999999999995"/>
    <n v="8.5999999999999993E-2"/>
    <n v="0.76100000000000001"/>
    <m/>
    <s v="马五41b"/>
    <x v="0"/>
    <n v="11"/>
    <s v="取心"/>
    <n v="1.4179999999999999"/>
    <n v="0.71599999999999997"/>
  </r>
  <r>
    <s v="延1950"/>
    <n v="3813.25"/>
    <n v="104.639"/>
    <n v="22.329000000000001"/>
    <n v="4.524"/>
    <n v="201.43299999999999"/>
    <n v="2.6949999999999998"/>
    <n v="21.324999999999999"/>
    <n v="2.7949999999999999"/>
    <n v="55.545000000000002"/>
    <n v="63.347999999999999"/>
    <n v="0.01"/>
    <n v="1E-3"/>
    <n v="100"/>
    <n v="0.8"/>
    <n v="5.3999999999999999E-2"/>
    <n v="0.82899999999999996"/>
    <n v="5.0000000000000001E-3"/>
    <n v="0.84299999999999997"/>
    <m/>
    <s v="马五41b"/>
    <x v="0"/>
    <n v="11"/>
    <s v="取心"/>
    <n v="1.629"/>
    <n v="0.746"/>
  </r>
  <r>
    <s v="延1950"/>
    <n v="3813.375"/>
    <n v="112.227"/>
    <n v="22.18"/>
    <n v="4.8449999999999998"/>
    <n v="208.97300000000001"/>
    <n v="2.6970000000000001"/>
    <n v="22.901"/>
    <n v="2.8540000000000001"/>
    <n v="57.334000000000003"/>
    <n v="65.084000000000003"/>
    <n v="0.01"/>
    <n v="1E-3"/>
    <n v="100"/>
    <n v="0.86899999999999999"/>
    <n v="0.13400000000000001"/>
    <n v="0.94399999999999995"/>
    <n v="8.3000000000000004E-2"/>
    <n v="0.91500000000000004"/>
    <m/>
    <s v="马五41b"/>
    <x v="0"/>
    <n v="11"/>
    <s v="取心"/>
    <n v="1.8129999999999999"/>
    <n v="0.73499999999999999"/>
  </r>
  <r>
    <s v="延1950"/>
    <n v="3813.5"/>
    <n v="120.226"/>
    <n v="22.143000000000001"/>
    <n v="5.2850000000000001"/>
    <n v="214.02699999999999"/>
    <n v="2.7250000000000001"/>
    <n v="24.238"/>
    <n v="2.9390000000000001"/>
    <n v="64.090999999999994"/>
    <n v="72.594999999999999"/>
    <n v="0.01"/>
    <n v="1E-3"/>
    <n v="100"/>
    <n v="0.92900000000000005"/>
    <n v="0.23300000000000001"/>
    <n v="0.998"/>
    <n v="0.27700000000000002"/>
    <n v="0.96399999999999997"/>
    <m/>
    <s v="马五41b"/>
    <x v="0"/>
    <n v="11"/>
    <s v="取心"/>
    <n v="1.927"/>
    <n v="0.69600000000000006"/>
  </r>
  <r>
    <s v="延1950"/>
    <n v="3813.625"/>
    <n v="124.96299999999999"/>
    <n v="22.094999999999999"/>
    <n v="5.7240000000000002"/>
    <n v="213.68799999999999"/>
    <n v="2.7549999999999999"/>
    <n v="24.742000000000001"/>
    <n v="3.0219999999999998"/>
    <n v="72.084000000000003"/>
    <n v="81.614000000000004"/>
    <n v="0.01"/>
    <n v="1E-3"/>
    <n v="100"/>
    <n v="0.94399999999999995"/>
    <n v="0.318"/>
    <n v="0.95199999999999996"/>
    <n v="0.45500000000000002"/>
    <n v="0.95899999999999996"/>
    <m/>
    <s v="马五41b"/>
    <x v="0"/>
    <n v="11"/>
    <s v="取心"/>
    <n v="1.8959999999999999"/>
    <n v="0.62599999999999989"/>
  </r>
  <r>
    <s v="延1950"/>
    <n v="3813.75"/>
    <n v="121.71"/>
    <n v="22.062999999999999"/>
    <n v="5.976"/>
    <n v="207.04900000000001"/>
    <n v="2.7749999999999999"/>
    <n v="23.588000000000001"/>
    <n v="3.077"/>
    <n v="82.210999999999999"/>
    <n v="92.909000000000006"/>
    <n v="0.01"/>
    <n v="1E-3"/>
    <n v="100"/>
    <n v="0.876"/>
    <n v="0.35699999999999998"/>
    <n v="0.80500000000000005"/>
    <n v="0.57499999999999996"/>
    <n v="0.86799999999999999"/>
    <m/>
    <s v="马五41b"/>
    <x v="0"/>
    <n v="11"/>
    <s v="取心"/>
    <n v="1.681"/>
    <n v="0.51900000000000002"/>
  </r>
  <r>
    <s v="延1952"/>
    <n v="3930.125"/>
    <n v="119.04"/>
    <n v="22.346"/>
    <n v="4.6479999999999997"/>
    <n v="178.215"/>
    <n v="2.7149999999999999"/>
    <n v="12.757"/>
    <n v="3.044"/>
    <n v="161.28"/>
    <n v="180.07599999999999"/>
    <n v="0.01"/>
    <n v="1E-3"/>
    <n v="100"/>
    <n v="0.88"/>
    <n v="0.24099999999999999"/>
    <n v="0.74399999999999999"/>
    <n v="0.53100000000000003"/>
    <n v="0.9"/>
    <m/>
    <s v="马五41b"/>
    <x v="0"/>
    <n v="14"/>
    <m/>
    <n v="1.6240000000000001"/>
    <n v="0.63900000000000001"/>
  </r>
  <r>
    <s v="延1952"/>
    <n v="3930.25"/>
    <n v="126.01300000000001"/>
    <n v="22.436"/>
    <n v="4.5259999999999998"/>
    <n v="181.19"/>
    <n v="2.718"/>
    <n v="13.282999999999999"/>
    <n v="3.149"/>
    <n v="174.167"/>
    <n v="194.41300000000001"/>
    <n v="0.01"/>
    <n v="1E-3"/>
    <n v="100"/>
    <n v="0.95499999999999996"/>
    <n v="0.312"/>
    <n v="0.83299999999999996"/>
    <n v="0.54200000000000004"/>
    <n v="0.94599999999999995"/>
    <m/>
    <s v="马五41b"/>
    <x v="0"/>
    <n v="14"/>
    <m/>
    <n v="1.7879999999999998"/>
    <n v="0.64300000000000002"/>
  </r>
  <r>
    <s v="延1952"/>
    <n v="3930.375"/>
    <n v="128.72800000000001"/>
    <n v="22.52"/>
    <n v="4.2809999999999997"/>
    <n v="183.989"/>
    <n v="2.7240000000000002"/>
    <n v="13.698"/>
    <n v="3.2570000000000001"/>
    <n v="196.97499999999999"/>
    <n v="219.892"/>
    <n v="0.01"/>
    <n v="1E-3"/>
    <n v="100"/>
    <n v="0.98799999999999999"/>
    <n v="0.38600000000000001"/>
    <n v="0.92300000000000004"/>
    <n v="0.56899999999999995"/>
    <n v="0.98699999999999999"/>
    <m/>
    <s v="马五41b"/>
    <x v="0"/>
    <n v="14"/>
    <m/>
    <n v="1.911"/>
    <n v="0.60199999999999998"/>
  </r>
  <r>
    <s v="延1952"/>
    <n v="3930.5"/>
    <n v="127.56100000000001"/>
    <n v="22.571000000000002"/>
    <n v="3.9489999999999998"/>
    <n v="185.69200000000001"/>
    <n v="2.73"/>
    <n v="13.762"/>
    <n v="3.3610000000000002"/>
    <n v="212.447"/>
    <n v="237.227"/>
    <n v="0.01"/>
    <n v="1E-3"/>
    <n v="100"/>
    <n v="0.98399999999999999"/>
    <n v="0.45800000000000002"/>
    <n v="0.98399999999999999"/>
    <n v="0.59899999999999998"/>
    <n v="0.999"/>
    <m/>
    <s v="马五41b"/>
    <x v="0"/>
    <n v="14"/>
    <m/>
    <n v="1.968"/>
    <n v="0.52600000000000002"/>
  </r>
  <r>
    <s v="延1952"/>
    <n v="3930.625"/>
    <n v="124.136"/>
    <n v="22.576000000000001"/>
    <n v="3.63"/>
    <n v="185.86699999999999"/>
    <n v="2.734"/>
    <n v="13.506"/>
    <n v="3.4540000000000002"/>
    <n v="225.84299999999999"/>
    <n v="252.215"/>
    <n v="0.01"/>
    <n v="1E-3"/>
    <n v="100"/>
    <n v="0.95699999999999996"/>
    <n v="0.52300000000000002"/>
    <n v="0.999"/>
    <n v="0.621"/>
    <n v="0.98099999999999998"/>
    <m/>
    <s v="马五41b"/>
    <x v="0"/>
    <n v="14"/>
    <m/>
    <n v="1.956"/>
    <n v="0.43399999999999994"/>
  </r>
  <r>
    <s v="延1952"/>
    <n v="3930.75"/>
    <n v="121.20699999999999"/>
    <n v="22.533999999999999"/>
    <n v="3.302"/>
    <n v="184.44499999999999"/>
    <n v="2.7360000000000002"/>
    <n v="13.073"/>
    <n v="3.5339999999999998"/>
    <n v="244.66"/>
    <n v="273.23599999999999"/>
    <n v="0.01"/>
    <n v="1E-3"/>
    <n v="100"/>
    <n v="0.92900000000000005"/>
    <n v="0.57999999999999996"/>
    <n v="0.96399999999999997"/>
    <n v="0.63300000000000001"/>
    <n v="0.94499999999999995"/>
    <m/>
    <s v="马五41b"/>
    <x v="0"/>
    <n v="14"/>
    <m/>
    <n v="1.893"/>
    <n v="0.34900000000000009"/>
  </r>
  <r>
    <s v="延1952"/>
    <n v="3927.375"/>
    <n v="112.43600000000001"/>
    <n v="22.202000000000002"/>
    <n v="4.7389999999999999"/>
    <n v="173.39"/>
    <n v="2.7639999999999998"/>
    <n v="8.2430000000000003"/>
    <n v="2.871"/>
    <n v="294.02499999999998"/>
    <n v="328.38799999999998"/>
    <n v="0.01"/>
    <n v="1E-3"/>
    <n v="100"/>
    <n v="0.78700000000000003"/>
    <n v="0.13600000000000001"/>
    <n v="0.59699999999999998"/>
    <n v="0.79400000000000004"/>
    <n v="0.47799999999999998"/>
    <m/>
    <s v="马五41b"/>
    <x v="1"/>
    <n v="11"/>
    <m/>
    <n v="1.3839999999999999"/>
    <n v="0.65100000000000002"/>
  </r>
  <r>
    <s v="延1952"/>
    <n v="3927.5"/>
    <n v="126.218"/>
    <n v="22.198"/>
    <n v="4.4359999999999999"/>
    <n v="173.25299999999999"/>
    <n v="2.7389999999999999"/>
    <n v="9.5909999999999993"/>
    <n v="2.8839999999999999"/>
    <n v="210.11799999999999"/>
    <n v="234.673"/>
    <n v="0.01"/>
    <n v="1E-3"/>
    <n v="100"/>
    <n v="0.94399999999999995"/>
    <n v="0.14199999999999999"/>
    <n v="0.60199999999999998"/>
    <n v="0.67500000000000004"/>
    <n v="0.59199999999999997"/>
    <m/>
    <s v="马五41b"/>
    <x v="1"/>
    <n v="11"/>
    <m/>
    <n v="1.5459999999999998"/>
    <n v="0.80199999999999994"/>
  </r>
  <r>
    <s v="延1952"/>
    <n v="3927.625"/>
    <n v="129.41999999999999"/>
    <n v="22.167000000000002"/>
    <n v="3.9820000000000002"/>
    <n v="172.23"/>
    <n v="2.7189999999999999"/>
    <n v="10.63"/>
    <n v="2.9239999999999999"/>
    <n v="189.40700000000001"/>
    <n v="211.53299999999999"/>
    <n v="0.01"/>
    <n v="1E-3"/>
    <n v="100"/>
    <n v="0.99299999999999999"/>
    <n v="0.16600000000000001"/>
    <n v="0.57599999999999996"/>
    <n v="0.56999999999999995"/>
    <n v="0.69299999999999995"/>
    <m/>
    <s v="马五41b"/>
    <x v="1"/>
    <n v="11"/>
    <m/>
    <n v="1.569"/>
    <n v="0.82699999999999996"/>
  </r>
  <r>
    <s v="延1952"/>
    <n v="3927.75"/>
    <n v="118.586"/>
    <n v="22.148"/>
    <n v="3.4710000000000001"/>
    <n v="171.60300000000001"/>
    <n v="2.7090000000000001"/>
    <n v="10.992000000000001"/>
    <n v="2.9910000000000001"/>
    <n v="198.08"/>
    <n v="221.215"/>
    <n v="0.01"/>
    <n v="1E-3"/>
    <n v="100"/>
    <n v="0.91900000000000004"/>
    <n v="0.20799999999999999"/>
    <n v="0.55300000000000005"/>
    <n v="0.51"/>
    <n v="0.73899999999999999"/>
    <m/>
    <s v="马五41b"/>
    <x v="1"/>
    <n v="11"/>
    <m/>
    <n v="1.472"/>
    <n v="0.71100000000000008"/>
  </r>
  <r>
    <s v="延1952"/>
    <n v="3927.875"/>
    <n v="94.3"/>
    <n v="22.167999999999999"/>
    <n v="2.9129999999999998"/>
    <n v="172.273"/>
    <n v="2.71"/>
    <n v="10.888999999999999"/>
    <n v="3.0760000000000001"/>
    <n v="226.82400000000001"/>
    <n v="253.303"/>
    <n v="0.01"/>
    <n v="1E-3"/>
    <n v="100"/>
    <n v="0.72"/>
    <n v="0.26400000000000001"/>
    <n v="0.56599999999999995"/>
    <n v="0.504"/>
    <n v="0.73799999999999999"/>
    <m/>
    <s v="马五41b"/>
    <x v="1"/>
    <n v="11"/>
    <m/>
    <n v="1.286"/>
    <n v="0.45599999999999996"/>
  </r>
  <r>
    <s v="延958"/>
    <n v="3809.625"/>
    <n v="67.191000000000003"/>
    <n v="24.167999999999999"/>
    <n v="5.6630000000000003"/>
    <n v="217.703"/>
    <n v="2.6469999999999998"/>
    <n v="8.9559999999999995"/>
    <n v="2.74"/>
    <n v="143.00200000000001"/>
    <n v="97.251000000000005"/>
    <n v="0.01"/>
    <n v="1E-3"/>
    <n v="100"/>
    <n v="0.42199999999999999"/>
    <n v="0.108"/>
    <n v="0.63600000000000001"/>
    <n v="0.314"/>
    <n v="0.36299999999999999"/>
    <m/>
    <s v="马五41b"/>
    <x v="2"/>
    <n v="13"/>
    <s v="岩心观察"/>
    <n v="1.0580000000000001"/>
    <n v="0.314"/>
  </r>
  <r>
    <s v="延958"/>
    <n v="3809.75"/>
    <n v="97.382999999999996"/>
    <n v="24.709"/>
    <n v="6.3410000000000002"/>
    <n v="238.95699999999999"/>
    <n v="2.589"/>
    <n v="9.8480000000000008"/>
    <n v="2.5270000000000001"/>
    <n v="87.08"/>
    <n v="57.311999999999998"/>
    <n v="0.01"/>
    <n v="1E-3"/>
    <n v="100"/>
    <n v="0.64800000000000002"/>
    <n v="3.2000000000000001E-2"/>
    <n v="0.83899999999999997"/>
    <n v="0.191"/>
    <n v="0.432"/>
    <m/>
    <s v="马五41b"/>
    <x v="2"/>
    <n v="13"/>
    <s v="岩心观察"/>
    <n v="1.4870000000000001"/>
    <n v="0.61599999999999999"/>
  </r>
  <r>
    <s v="延958"/>
    <n v="3809.875"/>
    <n v="128.87"/>
    <n v="25.39"/>
    <n v="6.7"/>
    <n v="254.98599999999999"/>
    <n v="2.544"/>
    <n v="11.487"/>
    <n v="2.4260000000000002"/>
    <n v="59.905000000000001"/>
    <n v="39.058999999999997"/>
    <n v="0.01"/>
    <n v="1E-3"/>
    <n v="100"/>
    <n v="0.86699999999999999"/>
    <n v="4.0000000000000001E-3"/>
    <n v="0.97499999999999998"/>
    <n v="0.09"/>
    <n v="0.55300000000000005"/>
    <m/>
    <s v="马五41b"/>
    <x v="2"/>
    <n v="13"/>
    <s v="岩心观察"/>
    <n v="1.8420000000000001"/>
    <n v="0.86299999999999999"/>
  </r>
  <r>
    <s v="延958"/>
    <n v="3810"/>
    <n v="148.92500000000001"/>
    <n v="25.885000000000002"/>
    <n v="6.4710000000000001"/>
    <n v="258.01400000000001"/>
    <n v="2.4940000000000002"/>
    <n v="14.016"/>
    <n v="2.4820000000000002"/>
    <n v="51.9"/>
    <n v="34.094999999999999"/>
    <n v="0.01"/>
    <n v="1E-3"/>
    <n v="100"/>
    <n v="0.99"/>
    <n v="3.9E-2"/>
    <n v="0.97899999999999998"/>
    <n v="4.0000000000000001E-3"/>
    <n v="0.72699999999999998"/>
    <m/>
    <s v="马五41b"/>
    <x v="2"/>
    <n v="13"/>
    <s v="岩心观察"/>
    <n v="1.9689999999999999"/>
    <n v="0.95099999999999996"/>
  </r>
  <r>
    <s v="延958"/>
    <n v="3810.125"/>
    <n v="150.51400000000001"/>
    <n v="25.923999999999999"/>
    <n v="6.3079999999999998"/>
    <n v="246.577"/>
    <n v="2.5030000000000001"/>
    <n v="16.832000000000001"/>
    <n v="2.7170000000000001"/>
    <n v="54.216000000000001"/>
    <n v="36.045000000000002"/>
    <n v="0.01"/>
    <n v="1E-3"/>
    <n v="100"/>
    <n v="0.98"/>
    <n v="0.13900000000000001"/>
    <n v="0.85399999999999998"/>
    <n v="4.9000000000000002E-2"/>
    <n v="0.90300000000000002"/>
    <m/>
    <s v="马五41b"/>
    <x v="2"/>
    <n v="13"/>
    <s v="岩心观察"/>
    <n v="1.8340000000000001"/>
    <n v="0.84099999999999997"/>
  </r>
  <r>
    <s v="延958"/>
    <n v="3810.25"/>
    <n v="135.904"/>
    <n v="25.54"/>
    <n v="5.5949999999999998"/>
    <n v="229.452"/>
    <n v="2.5760000000000001"/>
    <n v="18.593"/>
    <n v="3.0609999999999999"/>
    <n v="64.944000000000003"/>
    <n v="43.677999999999997"/>
    <n v="0.01"/>
    <n v="1E-3"/>
    <n v="100"/>
    <n v="0.86199999999999999"/>
    <n v="0.27300000000000002"/>
    <n v="0.69"/>
    <n v="0.215"/>
    <n v="0.99299999999999999"/>
    <m/>
    <s v="马五41b"/>
    <x v="2"/>
    <n v="13"/>
    <s v="岩心观察"/>
    <n v="1.552"/>
    <n v="0.58899999999999997"/>
  </r>
  <r>
    <s v="延958"/>
    <n v="3810.375"/>
    <n v="114.509"/>
    <n v="24.8"/>
    <n v="4.3289999999999997"/>
    <n v="216.226"/>
    <n v="2.66"/>
    <n v="18.030999999999999"/>
    <n v="3.3980000000000001"/>
    <n v="86.003"/>
    <n v="58.445999999999998"/>
    <n v="0.01"/>
    <n v="1E-3"/>
    <n v="100"/>
    <n v="0.71099999999999997"/>
    <n v="0.40100000000000002"/>
    <n v="0.56200000000000006"/>
    <n v="0.39100000000000001"/>
    <n v="0.94"/>
    <m/>
    <s v="马五41b"/>
    <x v="2"/>
    <n v="13"/>
    <s v="岩心观察"/>
    <n v="1.2730000000000001"/>
    <n v="0.30999999999999994"/>
  </r>
  <r>
    <s v="延1956"/>
    <n v="3929.5"/>
    <n v="66.563000000000002"/>
    <n v="22.574999999999999"/>
    <n v="4.4450000000000003"/>
    <n v="185.827"/>
    <n v="2.7320000000000002"/>
    <n v="7.0380000000000003"/>
    <n v="3.4790000000000001"/>
    <n v="432.42700000000002"/>
    <n v="470.90300000000002"/>
    <n v="0.01"/>
    <n v="1E-3"/>
    <n v="100"/>
    <n v="0.40500000000000003"/>
    <n v="0.79100000000000004"/>
    <n v="0.623"/>
    <n v="0.49199999999999999"/>
    <n v="0.372"/>
    <m/>
    <s v="马五41a"/>
    <x v="3"/>
    <m/>
    <m/>
    <n v="1.028"/>
    <n v="-0.38600000000000001"/>
  </r>
  <r>
    <s v="延1956"/>
    <n v="3929.625"/>
    <n v="72.088999999999999"/>
    <n v="22.623999999999999"/>
    <n v="4.3150000000000004"/>
    <n v="187.48"/>
    <n v="2.7320000000000002"/>
    <n v="7.1890000000000001"/>
    <n v="3.4249999999999998"/>
    <n v="386.19299999999998"/>
    <n v="420.34500000000003"/>
    <n v="0.01"/>
    <n v="1E-3"/>
    <n v="100"/>
    <n v="0.46500000000000002"/>
    <n v="0.74"/>
    <n v="0.66400000000000003"/>
    <n v="0.49"/>
    <n v="0.39300000000000002"/>
    <m/>
    <s v="马五41b"/>
    <x v="3"/>
    <m/>
    <m/>
    <n v="1.129"/>
    <n v="-0.27499999999999997"/>
  </r>
  <r>
    <s v="延1956"/>
    <n v="3929.75"/>
    <n v="78.308000000000007"/>
    <n v="22.594999999999999"/>
    <n v="4.165"/>
    <n v="186.49600000000001"/>
    <n v="2.74"/>
    <n v="7.0410000000000004"/>
    <n v="3.36"/>
    <n v="348.30799999999999"/>
    <n v="379.52300000000002"/>
    <n v="0.01"/>
    <n v="1E-3"/>
    <n v="100"/>
    <n v="0.51700000000000002"/>
    <n v="0.67400000000000004"/>
    <n v="0.65700000000000003"/>
    <n v="0.51400000000000001"/>
    <n v="0.38600000000000001"/>
    <m/>
    <s v="马五41b"/>
    <x v="3"/>
    <m/>
    <m/>
    <n v="1.1739999999999999"/>
    <n v="-0.15700000000000003"/>
  </r>
  <r>
    <s v="延1956"/>
    <n v="3929.875"/>
    <n v="89.528000000000006"/>
    <n v="22.472000000000001"/>
    <n v="3.649"/>
    <n v="182.416"/>
    <n v="2.7559999999999998"/>
    <n v="6.6760000000000002"/>
    <n v="3.2989999999999999"/>
    <n v="359.48700000000002"/>
    <n v="392.27699999999999"/>
    <n v="0.01"/>
    <n v="1E-3"/>
    <n v="100"/>
    <n v="0.60399999999999998"/>
    <n v="0.60799999999999998"/>
    <n v="0.58899999999999997"/>
    <n v="0.56799999999999995"/>
    <n v="0.35499999999999998"/>
    <m/>
    <s v="马五41b"/>
    <x v="3"/>
    <m/>
    <m/>
    <n v="1.1930000000000001"/>
    <n v="-4.0000000000000036E-3"/>
  </r>
  <r>
    <s v="延1956"/>
    <n v="3930"/>
    <n v="100.807"/>
    <n v="22.277000000000001"/>
    <n v="3.0640000000000001"/>
    <n v="175.91499999999999"/>
    <n v="2.774"/>
    <n v="6.2069999999999999"/>
    <n v="3.2549999999999999"/>
    <n v="412.48200000000003"/>
    <n v="450.839"/>
    <n v="0.01"/>
    <n v="1E-3"/>
    <n v="100"/>
    <n v="0.70199999999999996"/>
    <n v="0.55800000000000005"/>
    <n v="0.47099999999999997"/>
    <n v="0.63400000000000001"/>
    <n v="0.311"/>
    <m/>
    <s v="马五41b"/>
    <x v="3"/>
    <m/>
    <m/>
    <n v="1.173"/>
    <n v="0.14399999999999991"/>
  </r>
  <r>
    <s v="延1956"/>
    <n v="3930.125"/>
    <n v="100.85899999999999"/>
    <n v="22.065999999999999"/>
    <n v="2.214"/>
    <n v="168.851"/>
    <n v="2.786"/>
    <n v="5.66"/>
    <n v="3.2320000000000002"/>
    <n v="546.61300000000006"/>
    <n v="598.01599999999996"/>
    <n v="0.01"/>
    <n v="1E-3"/>
    <n v="100"/>
    <n v="0.72499999999999998"/>
    <n v="0.52800000000000002"/>
    <n v="0.33200000000000002"/>
    <n v="0.68500000000000005"/>
    <n v="0.25900000000000001"/>
    <m/>
    <s v="马五41b"/>
    <x v="3"/>
    <m/>
    <m/>
    <n v="1.0569999999999999"/>
    <n v="0.19699999999999995"/>
  </r>
  <r>
    <s v="延1956"/>
    <n v="3930.25"/>
    <n v="87.122"/>
    <n v="21.899000000000001"/>
    <n v="1.9379999999999999"/>
    <n v="163.28700000000001"/>
    <n v="2.7850000000000001"/>
    <n v="5.1669999999999998"/>
    <n v="3.2280000000000002"/>
    <n v="782.1"/>
    <n v="856.16300000000001"/>
    <n v="0.01"/>
    <n v="1E-3"/>
    <n v="100"/>
    <n v="0.63400000000000001"/>
    <n v="0.51900000000000002"/>
    <n v="0.214"/>
    <n v="0.69299999999999995"/>
    <n v="0.21"/>
    <m/>
    <s v="马五41b"/>
    <x v="3"/>
    <m/>
    <m/>
    <n v="0.84799999999999998"/>
    <n v="0.11499999999999999"/>
  </r>
  <r>
    <s v="延1956"/>
    <n v="3930.375"/>
    <n v="68.192999999999998"/>
    <n v="21.803000000000001"/>
    <n v="1.839"/>
    <n v="160.09800000000001"/>
    <n v="2.774"/>
    <n v="4.8369999999999997"/>
    <n v="3.2349999999999999"/>
    <n v="1230.1099999999999"/>
    <n v="1345.383"/>
    <n v="0.01"/>
    <n v="1E-3"/>
    <n v="100"/>
    <n v="0.48"/>
    <n v="0.52400000000000002"/>
    <n v="0.13900000000000001"/>
    <n v="0.66"/>
    <n v="0.17399999999999999"/>
    <m/>
    <s v="马五41b"/>
    <x v="3"/>
    <m/>
    <m/>
    <n v="0.61899999999999999"/>
    <n v="-4.4000000000000039E-2"/>
  </r>
  <r>
    <s v="延1954"/>
    <n v="3922.625"/>
    <n v="46.290999999999997"/>
    <n v="22.364000000000001"/>
    <n v="2.5569999999999999"/>
    <n v="162.99"/>
    <n v="2.8149999999999999"/>
    <n v="7.1040000000000001"/>
    <n v="3.3730000000000002"/>
    <n v="494.73099999999999"/>
    <n v="541.20299999999997"/>
    <n v="1.232"/>
    <n v="5.0000000000000001E-3"/>
    <n v="75.653000000000006"/>
    <n v="0.30099999999999999"/>
    <n v="0.57099999999999995"/>
    <n v="0.224"/>
    <n v="0.69299999999999995"/>
    <n v="0.2"/>
    <m/>
    <s v="马五41b"/>
    <x v="3"/>
    <m/>
    <m/>
    <n v="0.52500000000000002"/>
    <n v="-0.26999999999999996"/>
  </r>
  <r>
    <s v="延1954"/>
    <n v="3922.75"/>
    <n v="63.570999999999998"/>
    <n v="22.463999999999999"/>
    <n v="3.0049999999999999"/>
    <n v="166.06200000000001"/>
    <n v="2.81"/>
    <n v="7.7279999999999998"/>
    <n v="3.359"/>
    <n v="470.327"/>
    <n v="513.39200000000005"/>
    <n v="0.01"/>
    <n v="1E-3"/>
    <n v="100"/>
    <n v="0.47399999999999998"/>
    <n v="0.55000000000000004"/>
    <n v="0.35399999999999998"/>
    <n v="0.66800000000000004"/>
    <n v="0.28799999999999998"/>
    <m/>
    <s v="马五41b"/>
    <x v="3"/>
    <m/>
    <m/>
    <n v="0.82799999999999996"/>
    <n v="-7.6000000000000068E-2"/>
  </r>
  <r>
    <s v="延1954"/>
    <n v="3922.875"/>
    <n v="81.921999999999997"/>
    <n v="22.59"/>
    <n v="3.38"/>
    <n v="169.52600000000001"/>
    <n v="2.7959999999999998"/>
    <n v="8.4350000000000005"/>
    <n v="3.351"/>
    <n v="407.64400000000001"/>
    <n v="444.28199999999998"/>
    <n v="0.01"/>
    <n v="1E-3"/>
    <n v="100"/>
    <n v="0.66100000000000003"/>
    <n v="0.53700000000000003"/>
    <n v="0.503"/>
    <n v="0.59299999999999997"/>
    <n v="0.38800000000000001"/>
    <m/>
    <s v="马五41b"/>
    <x v="3"/>
    <m/>
    <m/>
    <n v="1.1640000000000001"/>
    <n v="0.124"/>
  </r>
  <r>
    <s v="延1954"/>
    <n v="3923"/>
    <n v="95.543000000000006"/>
    <n v="22.713999999999999"/>
    <n v="3.6120000000000001"/>
    <n v="172.68899999999999"/>
    <n v="2.7770000000000001"/>
    <n v="9.0709999999999997"/>
    <n v="3.3580000000000001"/>
    <n v="336.04"/>
    <n v="366.16699999999997"/>
    <n v="0.01"/>
    <n v="1E-3"/>
    <n v="100"/>
    <n v="0.80700000000000005"/>
    <n v="0.54500000000000004"/>
    <n v="0.64200000000000002"/>
    <n v="0.48599999999999999"/>
    <n v="0.48099999999999998"/>
    <m/>
    <s v="马五41b"/>
    <x v="3"/>
    <m/>
    <m/>
    <n v="1.4490000000000001"/>
    <n v="0.26200000000000001"/>
  </r>
  <r>
    <s v="延1954"/>
    <n v="3923.125"/>
    <n v="100.90600000000001"/>
    <n v="22.795000000000002"/>
    <n v="3.63"/>
    <n v="174.88900000000001"/>
    <n v="2.758"/>
    <n v="9.4809999999999999"/>
    <n v="3.3849999999999998"/>
    <n v="283.85000000000002"/>
    <n v="309.81900000000002"/>
    <n v="0.01"/>
    <n v="1E-3"/>
    <n v="100"/>
    <n v="0.872"/>
    <n v="0.58299999999999996"/>
    <n v="0.74299999999999999"/>
    <n v="0.376"/>
    <n v="0.54400000000000004"/>
    <m/>
    <s v="马五41b"/>
    <x v="3"/>
    <m/>
    <m/>
    <n v="1.615"/>
    <n v="0.28900000000000003"/>
  </r>
  <r>
    <s v="延1954"/>
    <n v="3923.25"/>
    <n v="97.432000000000002"/>
    <n v="22.808"/>
    <n v="3.3849999999999998"/>
    <n v="175.655"/>
    <n v="2.7440000000000002"/>
    <n v="9.5619999999999994"/>
    <n v="3.43"/>
    <n v="273.14999999999998"/>
    <n v="299.101"/>
    <n v="0.01"/>
    <n v="1E-3"/>
    <n v="100"/>
    <n v="0.84599999999999997"/>
    <n v="0.64900000000000002"/>
    <n v="0.78300000000000003"/>
    <n v="0.29199999999999998"/>
    <n v="0.56100000000000005"/>
    <m/>
    <s v="马五41b"/>
    <x v="3"/>
    <m/>
    <m/>
    <n v="1.629"/>
    <n v="0.19699999999999995"/>
  </r>
  <r>
    <s v="延1954"/>
    <n v="3923.375"/>
    <n v="89.399000000000001"/>
    <n v="22.768999999999998"/>
    <n v="2.964"/>
    <n v="175.268"/>
    <n v="2.7360000000000002"/>
    <n v="9.2720000000000002"/>
    <n v="3.4870000000000001"/>
    <n v="305.798"/>
    <n v="335.83800000000002"/>
    <n v="0.01"/>
    <n v="1E-3"/>
    <n v="100"/>
    <n v="0.76900000000000002"/>
    <n v="0.73399999999999999"/>
    <n v="0.77200000000000002"/>
    <n v="0.24199999999999999"/>
    <n v="0.52500000000000002"/>
    <m/>
    <s v="马五41b"/>
    <x v="3"/>
    <m/>
    <m/>
    <n v="1.5409999999999999"/>
    <n v="3.5000000000000031E-2"/>
  </r>
  <r>
    <s v="延1954"/>
    <n v="3923.5"/>
    <n v="81.162999999999997"/>
    <n v="22.722000000000001"/>
    <n v="2.4929999999999999"/>
    <n v="174.40600000000001"/>
    <n v="2.734"/>
    <n v="8.7189999999999994"/>
    <n v="3.5449999999999999"/>
    <n v="379.30099999999999"/>
    <n v="417.11900000000003"/>
    <n v="0.01"/>
    <n v="1E-3"/>
    <n v="100"/>
    <n v="0.68400000000000005"/>
    <n v="0.82199999999999995"/>
    <n v="0.73599999999999999"/>
    <n v="0.22700000000000001"/>
    <n v="0.44900000000000001"/>
    <m/>
    <s v="马五41b"/>
    <x v="3"/>
    <m/>
    <m/>
    <n v="1.42"/>
    <n v="-0.1379999999999999"/>
  </r>
  <r>
    <s v="延1954"/>
    <n v="3923.625"/>
    <n v="72.991"/>
    <n v="22.693999999999999"/>
    <n v="2.0139999999999998"/>
    <n v="173.58"/>
    <n v="2.7360000000000002"/>
    <n v="8.06"/>
    <n v="3.5950000000000002"/>
    <n v="491.142"/>
    <n v="539.96900000000005"/>
    <n v="0.01"/>
    <n v="1E-3"/>
    <n v="100"/>
    <n v="0.6"/>
    <n v="0.9"/>
    <n v="0.7"/>
    <n v="0.23599999999999999"/>
    <n v="0.35599999999999998"/>
    <m/>
    <s v="马五41b"/>
    <x v="3"/>
    <m/>
    <m/>
    <n v="1.2999999999999998"/>
    <n v="-0.30000000000000004"/>
  </r>
  <r>
    <s v="延924"/>
    <n v="4035.375"/>
    <n v="50.826999999999998"/>
    <n v="23.210999999999999"/>
    <n v="2.8530000000000002"/>
    <n v="177.94200000000001"/>
    <n v="2.758"/>
    <n v="9.5500000000000007"/>
    <n v="3.23"/>
    <n v="550.90700000000004"/>
    <n v="596.98900000000003"/>
    <n v="0"/>
    <n v="0"/>
    <n v="100"/>
    <n v="0.245"/>
    <n v="0.42299999999999999"/>
    <n v="0.73699999999999999"/>
    <n v="0.751"/>
    <n v="0.40699999999999997"/>
    <m/>
    <s v="马五41a"/>
    <x v="3"/>
    <m/>
    <m/>
    <n v="0.98199999999999998"/>
    <n v="-0.17799999999999999"/>
  </r>
  <r>
    <s v="延924"/>
    <n v="4035.5"/>
    <n v="68.558999999999997"/>
    <n v="23.57"/>
    <n v="3.2280000000000002"/>
    <n v="184.608"/>
    <n v="2.75"/>
    <n v="10.96"/>
    <n v="3.19"/>
    <n v="474.40499999999997"/>
    <n v="512.375"/>
    <n v="0"/>
    <n v="0"/>
    <n v="100"/>
    <n v="0.377"/>
    <n v="0.39800000000000002"/>
    <n v="0.95699999999999996"/>
    <n v="0.72699999999999998"/>
    <n v="0.51700000000000002"/>
    <m/>
    <s v="马五41b"/>
    <x v="3"/>
    <m/>
    <m/>
    <n v="1.3340000000000001"/>
    <n v="-2.1000000000000019E-2"/>
  </r>
  <r>
    <s v="延924"/>
    <n v="4035.625"/>
    <n v="87.162999999999997"/>
    <n v="23.635999999999999"/>
    <n v="3.859"/>
    <n v="183.251"/>
    <n v="2.734"/>
    <n v="12.739000000000001"/>
    <n v="3.14"/>
    <n v="445.411"/>
    <n v="477.79599999999999"/>
    <n v="0"/>
    <n v="0"/>
    <n v="100"/>
    <n v="0.52700000000000002"/>
    <n v="0.36499999999999999"/>
    <n v="0.96499999999999997"/>
    <n v="0.66900000000000004"/>
    <n v="0.66200000000000003"/>
    <m/>
    <s v="马五41b"/>
    <x v="3"/>
    <m/>
    <m/>
    <n v="1.492"/>
    <n v="0.16200000000000003"/>
  </r>
  <r>
    <s v="延924"/>
    <n v="4035.75"/>
    <n v="100.65900000000001"/>
    <n v="22.983000000000001"/>
    <n v="4.367"/>
    <n v="176.28299999999999"/>
    <n v="2.722"/>
    <n v="13.948"/>
    <n v="3.0950000000000002"/>
    <n v="438.58600000000001"/>
    <n v="463.25"/>
    <n v="0"/>
    <n v="0"/>
    <n v="100"/>
    <n v="0.64500000000000002"/>
    <n v="0.33400000000000002"/>
    <n v="0.77700000000000002"/>
    <n v="0.61699999999999999"/>
    <n v="0.77400000000000002"/>
    <m/>
    <s v="马五41b"/>
    <x v="3"/>
    <m/>
    <m/>
    <n v="1.4220000000000002"/>
    <n v="0.311"/>
  </r>
  <r>
    <s v="延924"/>
    <n v="4035.875"/>
    <n v="102.849"/>
    <n v="22.725999999999999"/>
    <n v="4.5529999999999999"/>
    <n v="169.07"/>
    <n v="2.7229999999999999"/>
    <n v="14.244999999999999"/>
    <n v="3.08"/>
    <n v="445.32799999999997"/>
    <n v="467.87799999999999"/>
    <n v="0"/>
    <n v="0"/>
    <n v="100"/>
    <n v="0.68100000000000005"/>
    <n v="0.32"/>
    <n v="0.54700000000000004"/>
    <n v="0.61099999999999999"/>
    <n v="0.81499999999999995"/>
    <m/>
    <s v="马五41b"/>
    <x v="3"/>
    <m/>
    <m/>
    <n v="1.2280000000000002"/>
    <n v="0.36100000000000004"/>
  </r>
  <r>
    <s v="延924"/>
    <n v="4036"/>
    <n v="93.128"/>
    <n v="23.106000000000002"/>
    <n v="4.4109999999999996"/>
    <n v="163.97800000000001"/>
    <n v="2.7330000000000001"/>
    <n v="13.999000000000001"/>
    <n v="3.0939999999999999"/>
    <n v="466.56200000000001"/>
    <n v="494.56799999999998"/>
    <n v="0"/>
    <n v="0"/>
    <n v="100"/>
    <n v="0.622"/>
    <n v="0.32600000000000001"/>
    <n v="0.37"/>
    <n v="0.64400000000000002"/>
    <n v="0.80300000000000005"/>
    <m/>
    <s v="马五41b"/>
    <x v="3"/>
    <m/>
    <m/>
    <n v="0.99199999999999999"/>
    <n v="0.29599999999999999"/>
  </r>
  <r>
    <s v="延924"/>
    <n v="4036.125"/>
    <n v="74.933999999999997"/>
    <n v="23.67"/>
    <n v="4.0069999999999997"/>
    <n v="161.935"/>
    <n v="2.7519999999999998"/>
    <n v="13.048"/>
    <n v="3.1509999999999998"/>
    <n v="505.76299999999998"/>
    <n v="545.90599999999995"/>
    <n v="0"/>
    <n v="0"/>
    <n v="100"/>
    <n v="0.48699999999999999"/>
    <n v="0.35799999999999998"/>
    <n v="0.28499999999999998"/>
    <n v="0.71299999999999997"/>
    <n v="0.73399999999999999"/>
    <m/>
    <s v="马五41b"/>
    <x v="3"/>
    <m/>
    <m/>
    <n v="0.77200000000000002"/>
    <n v="0.129"/>
  </r>
  <r>
    <s v="延924"/>
    <n v="4036.25"/>
    <n v="57.000999999999998"/>
    <n v="23.414999999999999"/>
    <n v="3.4140000000000001"/>
    <n v="160.56899999999999"/>
    <n v="2.7730000000000001"/>
    <n v="11.542"/>
    <n v="3.1930000000000001"/>
    <n v="545.32799999999997"/>
    <n v="590.625"/>
    <n v="0"/>
    <n v="0"/>
    <n v="100"/>
    <n v="0.34100000000000003"/>
    <n v="0.38900000000000001"/>
    <n v="0.23599999999999999"/>
    <n v="0.79700000000000004"/>
    <n v="0.61499999999999999"/>
    <m/>
    <s v="马五41b"/>
    <x v="3"/>
    <m/>
    <m/>
    <n v="0.57699999999999996"/>
    <n v="-4.7999999999999987E-2"/>
  </r>
  <r>
    <s v="延1958"/>
    <n v="3885.75"/>
    <n v="54.947000000000003"/>
    <n v="23.436"/>
    <n v="5.4649999999999999"/>
    <n v="170.322"/>
    <n v="2.7890000000000001"/>
    <n v="9.3420000000000005"/>
    <n v="3.2210000000000001"/>
    <n v="167.45699999999999"/>
    <n v="182.49700000000001"/>
    <n v="5.1020000000000003"/>
    <n v="2.1999999999999999E-2"/>
    <n v="41"/>
    <n v="0.33500000000000002"/>
    <n v="0.67700000000000005"/>
    <n v="3.4000000000000002E-2"/>
    <n v="0.97499999999999998"/>
    <n v="0.31"/>
    <s v="含气层"/>
    <s v="马五41a"/>
    <x v="3"/>
    <m/>
    <m/>
    <n v="0.36899999999999999"/>
    <n v="-0.34200000000000003"/>
  </r>
  <r>
    <s v="延1958"/>
    <n v="3885.875"/>
    <n v="70.066999999999993"/>
    <n v="23.423999999999999"/>
    <n v="6.23"/>
    <n v="172.93799999999999"/>
    <n v="2.7919999999999998"/>
    <n v="9.6560000000000006"/>
    <n v="3.262"/>
    <n v="156.01400000000001"/>
    <n v="170.02500000000001"/>
    <n v="0.01"/>
    <n v="1E-3"/>
    <n v="100"/>
    <n v="0.48"/>
    <n v="0.70399999999999996"/>
    <n v="4.5999999999999999E-2"/>
    <n v="0.98399999999999999"/>
    <n v="0.32800000000000001"/>
    <m/>
    <s v="马五41b"/>
    <x v="3"/>
    <m/>
    <m/>
    <n v="0.52600000000000002"/>
    <n v="-0.22399999999999998"/>
  </r>
  <r>
    <s v="延1958"/>
    <n v="3886"/>
    <n v="84.016000000000005"/>
    <n v="23.417000000000002"/>
    <n v="6.3239999999999998"/>
    <n v="176.691"/>
    <n v="2.7909999999999999"/>
    <n v="10.082000000000001"/>
    <n v="3.3029999999999999"/>
    <n v="139.41999999999999"/>
    <n v="151.94300000000001"/>
    <n v="0.01"/>
    <n v="1E-3"/>
    <n v="100"/>
    <n v="0.64"/>
    <n v="0.74099999999999999"/>
    <n v="6.7000000000000004E-2"/>
    <n v="0.98599999999999999"/>
    <n v="0.35199999999999998"/>
    <m/>
    <s v="马五41b"/>
    <x v="3"/>
    <m/>
    <m/>
    <n v="0.70700000000000007"/>
    <n v="-0.10099999999999998"/>
  </r>
  <r>
    <s v="延1958"/>
    <n v="3886.125"/>
    <n v="91.62"/>
    <n v="23.414000000000001"/>
    <n v="6.2619999999999996"/>
    <n v="180.321"/>
    <n v="2.7839999999999998"/>
    <n v="10.613"/>
    <n v="3.3439999999999999"/>
    <n v="123.709"/>
    <n v="134.82599999999999"/>
    <n v="0.01"/>
    <n v="1E-3"/>
    <n v="100"/>
    <n v="0.75800000000000001"/>
    <n v="0.77900000000000003"/>
    <n v="0.09"/>
    <n v="0.97899999999999998"/>
    <n v="0.38200000000000001"/>
    <m/>
    <s v="马五41b"/>
    <x v="3"/>
    <m/>
    <m/>
    <n v="0.84799999999999998"/>
    <n v="-2.1000000000000019E-2"/>
  </r>
  <r>
    <s v="延1958"/>
    <n v="3886.25"/>
    <n v="88.79"/>
    <n v="23.414000000000001"/>
    <n v="5.9550000000000001"/>
    <n v="182.36799999999999"/>
    <n v="2.7749999999999999"/>
    <n v="11.157"/>
    <n v="3.371"/>
    <n v="114.157"/>
    <n v="124.426"/>
    <n v="0.01"/>
    <n v="1E-3"/>
    <n v="100"/>
    <n v="0.78300000000000003"/>
    <n v="0.81"/>
    <n v="0.109"/>
    <n v="0.96399999999999997"/>
    <n v="0.41699999999999998"/>
    <m/>
    <s v="马五41b"/>
    <x v="3"/>
    <m/>
    <m/>
    <n v="0.89200000000000002"/>
    <n v="-2.7000000000000024E-2"/>
  </r>
  <r>
    <s v="延1958"/>
    <n v="3886.375"/>
    <n v="78.683000000000007"/>
    <n v="23.416"/>
    <n v="4.9020000000000001"/>
    <n v="181.97499999999999"/>
    <n v="2.7650000000000001"/>
    <n v="11.513999999999999"/>
    <n v="3.3730000000000002"/>
    <n v="112.80800000000001"/>
    <n v="122.973"/>
    <n v="0.01"/>
    <n v="1E-3"/>
    <n v="100"/>
    <n v="0.71199999999999997"/>
    <n v="0.82399999999999995"/>
    <n v="0.114"/>
    <n v="0.94699999999999995"/>
    <n v="0.44600000000000001"/>
    <m/>
    <s v="马五41b"/>
    <x v="3"/>
    <m/>
    <m/>
    <n v="0.82599999999999996"/>
    <n v="-0.11199999999999999"/>
  </r>
  <r>
    <s v="延1958"/>
    <n v="3886.5"/>
    <n v="64.451999999999998"/>
    <n v="23.416"/>
    <n v="3.71"/>
    <n v="179.22499999999999"/>
    <n v="2.7570000000000001"/>
    <n v="11.478999999999999"/>
    <n v="3.35"/>
    <n v="120.952"/>
    <n v="131.87299999999999"/>
    <n v="0.01"/>
    <n v="1E-3"/>
    <n v="100"/>
    <n v="0.57799999999999996"/>
    <n v="0.81399999999999995"/>
    <n v="0.104"/>
    <n v="0.93"/>
    <n v="0.45600000000000002"/>
    <s v="含气层"/>
    <s v="马五41b"/>
    <x v="3"/>
    <m/>
    <m/>
    <n v="0.68199999999999994"/>
    <n v="-0.23599999999999999"/>
  </r>
  <r>
    <s v="延1958"/>
    <n v="3886.625"/>
    <n v="49.085000000000001"/>
    <n v="23.414000000000001"/>
    <n v="2.9159999999999999"/>
    <n v="175.029"/>
    <n v="2.75"/>
    <n v="10.986000000000001"/>
    <n v="3.3159999999999998"/>
    <n v="138.64099999999999"/>
    <n v="151.184"/>
    <n v="7.1429999999999998"/>
    <n v="9.6000000000000002E-2"/>
    <n v="23.795000000000002"/>
    <n v="0.41599999999999998"/>
    <n v="0.78800000000000003"/>
    <n v="8.1000000000000003E-2"/>
    <n v="0.91600000000000004"/>
    <n v="0.439"/>
    <s v="含气层"/>
    <s v="马五41b"/>
    <x v="3"/>
    <m/>
    <m/>
    <n v="0.497"/>
    <n v="-0.37200000000000005"/>
  </r>
  <r>
    <s v="延946"/>
    <n v="3892"/>
    <n v="51.622"/>
    <n v="21.797999999999998"/>
    <n v="2.8170000000000002"/>
    <n v="171.21600000000001"/>
    <n v="2.58"/>
    <n v="8.0470000000000006"/>
    <n v="3.5009999999999999"/>
    <n v="717.24800000000005"/>
    <n v="776.83799999999997"/>
    <n v="7.4999999999999997E-2"/>
    <n v="1E-3"/>
    <n v="100"/>
    <n v="0.25800000000000001"/>
    <n v="0.30399999999999999"/>
    <n v="0.47"/>
    <n v="0.221"/>
    <n v="0.38100000000000001"/>
    <m/>
    <s v="马五41a"/>
    <x v="3"/>
    <m/>
    <m/>
    <n v="0.72799999999999998"/>
    <n v="-4.5999999999999985E-2"/>
  </r>
  <r>
    <s v="延946"/>
    <n v="3892.125"/>
    <n v="68.441000000000003"/>
    <n v="21.835999999999999"/>
    <n v="3.6440000000000001"/>
    <n v="176.024"/>
    <n v="2.5649999999999999"/>
    <n v="9.4489999999999998"/>
    <n v="3.488"/>
    <n v="523.452"/>
    <n v="566.94000000000005"/>
    <n v="6.8000000000000005E-2"/>
    <n v="1E-3"/>
    <n v="100"/>
    <n v="0.38700000000000001"/>
    <n v="0.28499999999999998"/>
    <n v="0.57299999999999995"/>
    <n v="0.14299999999999999"/>
    <n v="0.44600000000000001"/>
    <m/>
    <s v="马五41b"/>
    <x v="3"/>
    <m/>
    <m/>
    <n v="0.96"/>
    <n v="0.10200000000000004"/>
  </r>
  <r>
    <s v="延946"/>
    <n v="3892.25"/>
    <n v="84.772999999999996"/>
    <n v="21.978999999999999"/>
    <n v="4.1829999999999998"/>
    <n v="180.84"/>
    <n v="2.552"/>
    <n v="11.14"/>
    <n v="3.4809999999999999"/>
    <n v="372.39100000000002"/>
    <n v="403.33"/>
    <n v="5.8999999999999997E-2"/>
    <n v="1E-3"/>
    <n v="100"/>
    <n v="0.53"/>
    <n v="0.28100000000000003"/>
    <n v="0.68400000000000005"/>
    <n v="0.09"/>
    <n v="0.53100000000000003"/>
    <m/>
    <s v="马五41b"/>
    <x v="3"/>
    <m/>
    <m/>
    <n v="1.214"/>
    <n v="0.249"/>
  </r>
  <r>
    <s v="延946"/>
    <n v="3892.375"/>
    <n v="96.653000000000006"/>
    <n v="22.260999999999999"/>
    <n v="4.3319999999999999"/>
    <n v="184.297"/>
    <n v="2.54"/>
    <n v="12.82"/>
    <n v="3.4580000000000002"/>
    <n v="289.238"/>
    <n v="313.26799999999997"/>
    <n v="5.2999999999999999E-2"/>
    <n v="1E-3"/>
    <n v="100"/>
    <n v="0.64800000000000002"/>
    <n v="0.27500000000000002"/>
    <n v="0.77700000000000002"/>
    <n v="4.2000000000000003E-2"/>
    <n v="0.623"/>
    <m/>
    <s v="马五41b"/>
    <x v="3"/>
    <m/>
    <m/>
    <n v="1.425"/>
    <n v="0.373"/>
  </r>
  <r>
    <s v="延946"/>
    <n v="3892.5"/>
    <n v="100.02"/>
    <n v="22.367000000000001"/>
    <n v="3.9929999999999999"/>
    <n v="185.33"/>
    <n v="2.5339999999999998"/>
    <n v="13.91"/>
    <n v="3.4390000000000001"/>
    <n v="258.88600000000002"/>
    <n v="280.39400000000001"/>
    <n v="5.0999999999999997E-2"/>
    <n v="1E-3"/>
    <n v="100"/>
    <n v="0.70599999999999996"/>
    <n v="0.26700000000000002"/>
    <n v="0.82299999999999995"/>
    <n v="8.9999999999999993E-3"/>
    <n v="0.69499999999999995"/>
    <m/>
    <s v="马五41b"/>
    <x v="3"/>
    <m/>
    <m/>
    <n v="1.5289999999999999"/>
    <n v="0.43899999999999995"/>
  </r>
  <r>
    <s v="延946"/>
    <n v="3892.625"/>
    <n v="94.320999999999998"/>
    <n v="22.616"/>
    <n v="3.3180000000000001"/>
    <n v="183.14500000000001"/>
    <n v="2.5369999999999999"/>
    <n v="13.446999999999999"/>
    <n v="3.4319999999999999"/>
    <n v="278.38"/>
    <n v="301.50700000000001"/>
    <n v="5.3999999999999999E-2"/>
    <n v="1E-3"/>
    <n v="100"/>
    <n v="0.68799999999999994"/>
    <n v="0.26300000000000001"/>
    <n v="0.80200000000000005"/>
    <n v="7.0000000000000001E-3"/>
    <n v="0.70299999999999996"/>
    <m/>
    <s v="马五41b"/>
    <x v="3"/>
    <m/>
    <m/>
    <n v="1.49"/>
    <n v="0.42499999999999993"/>
  </r>
  <r>
    <s v="延946"/>
    <n v="3892.75"/>
    <n v="80.3"/>
    <n v="22.67"/>
    <n v="2.863"/>
    <n v="177.828"/>
    <n v="2.56"/>
    <n v="10.875999999999999"/>
    <n v="3.4340000000000002"/>
    <n v="361.42500000000001"/>
    <n v="391.45299999999997"/>
    <n v="6.0999999999999999E-2"/>
    <n v="1E-3"/>
    <n v="100"/>
    <n v="0.59599999999999997"/>
    <n v="0.26200000000000001"/>
    <n v="0.70799999999999996"/>
    <n v="6.5000000000000002E-2"/>
    <n v="0.61"/>
    <m/>
    <s v="马五41b"/>
    <x v="3"/>
    <m/>
    <m/>
    <n v="1.3039999999999998"/>
    <n v="0.33399999999999996"/>
  </r>
  <r>
    <s v="延946"/>
    <n v="3892.875"/>
    <n v="62.110999999999997"/>
    <n v="22.649000000000001"/>
    <n v="2.7759999999999998"/>
    <n v="171.37299999999999"/>
    <n v="2.6040000000000001"/>
    <n v="7.8460000000000001"/>
    <n v="3.4350000000000001"/>
    <n v="510.452"/>
    <n v="552.86"/>
    <n v="7.3999999999999996E-2"/>
    <n v="1E-3"/>
    <n v="100"/>
    <n v="0.45400000000000001"/>
    <n v="0.26300000000000001"/>
    <n v="0.56999999999999995"/>
    <n v="0.20200000000000001"/>
    <n v="0.45500000000000002"/>
    <m/>
    <s v="马五41b"/>
    <x v="3"/>
    <m/>
    <m/>
    <n v="1.024"/>
    <n v="0.191"/>
  </r>
  <r>
    <s v="延946"/>
    <n v="3893"/>
    <n v="45.585000000000001"/>
    <n v="22.67"/>
    <n v="2.726"/>
    <n v="166.024"/>
    <n v="2.6629999999999998"/>
    <n v="5.6550000000000002"/>
    <n v="3.4409999999999998"/>
    <n v="704.56899999999996"/>
    <n v="763.10400000000004"/>
    <n v="8.5000000000000006E-2"/>
    <n v="1E-3"/>
    <n v="100"/>
    <n v="0.30599999999999999"/>
    <n v="0.26400000000000001"/>
    <n v="0.437"/>
    <n v="0.40699999999999997"/>
    <n v="0.318"/>
    <m/>
    <s v="马五41b"/>
    <x v="3"/>
    <m/>
    <m/>
    <n v="0.74299999999999999"/>
    <n v="4.1999999999999982E-2"/>
  </r>
  <r>
    <s v="靖40"/>
    <n v="3805.625"/>
    <n v="36.231000000000002"/>
    <n v="21.986999999999998"/>
    <n v="2.1040000000000001"/>
    <n v="175.238"/>
    <n v="2.7229999999999999"/>
    <n v="8.9109999999999996"/>
    <n v="2.7989999999999999"/>
    <n v="382.95100000000002"/>
    <n v="420.82600000000002"/>
    <n v="5.6470000000000002"/>
    <n v="9.0999999999999998E-2"/>
    <n v="14.984999999999999"/>
    <n v="0.14000000000000001"/>
    <n v="0.39100000000000001"/>
    <n v="0.22800000000000001"/>
    <n v="0.73099999999999998"/>
    <n v="0.27800000000000002"/>
    <s v="含气层"/>
    <s v="马五41a"/>
    <x v="3"/>
    <m/>
    <m/>
    <n v="0.36799999999999999"/>
    <n v="-0.251"/>
  </r>
  <r>
    <s v="靖40"/>
    <n v="3805.75"/>
    <n v="44.789000000000001"/>
    <n v="22.2"/>
    <n v="2.5609999999999999"/>
    <n v="178.19499999999999"/>
    <n v="2.722"/>
    <n v="9.74"/>
    <n v="2.677"/>
    <n v="305.08199999999999"/>
    <n v="335.255"/>
    <n v="5.3029999999999999"/>
    <n v="7.0999999999999994E-2"/>
    <n v="18.027000000000001"/>
    <n v="0.21"/>
    <n v="0.26100000000000001"/>
    <n v="0.26100000000000001"/>
    <n v="0.73299999999999998"/>
    <n v="0.313"/>
    <s v="含气层"/>
    <s v="马五41b"/>
    <x v="3"/>
    <m/>
    <m/>
    <n v="0.47099999999999997"/>
    <n v="-5.1000000000000018E-2"/>
  </r>
  <r>
    <s v="靖40"/>
    <n v="3805.875"/>
    <n v="59.119"/>
    <n v="22.678000000000001"/>
    <n v="2.899"/>
    <n v="179.46"/>
    <n v="2.7309999999999999"/>
    <n v="10.257"/>
    <n v="2.5569999999999999"/>
    <n v="245.482"/>
    <n v="269.76100000000002"/>
    <n v="1.2529999999999999"/>
    <n v="1.2999999999999999E-2"/>
    <n v="79.861000000000004"/>
    <n v="0.318"/>
    <n v="0.14000000000000001"/>
    <n v="0.26900000000000002"/>
    <n v="0.752"/>
    <n v="0.33400000000000002"/>
    <s v="含气层"/>
    <s v="马五41b"/>
    <x v="3"/>
    <m/>
    <m/>
    <n v="0.58699999999999997"/>
    <n v="0.17799999999999999"/>
  </r>
  <r>
    <s v="靖40"/>
    <n v="3806"/>
    <n v="76.686999999999998"/>
    <n v="23.361999999999998"/>
    <n v="2.9409999999999998"/>
    <n v="177.63300000000001"/>
    <n v="2.734"/>
    <n v="10.428000000000001"/>
    <n v="2.476"/>
    <n v="212.95"/>
    <n v="234.011"/>
    <n v="0"/>
    <n v="0"/>
    <n v="100"/>
    <n v="0.435"/>
    <n v="5.8000000000000003E-2"/>
    <n v="0.251"/>
    <n v="0.754"/>
    <n v="0.33700000000000002"/>
    <m/>
    <s v="马五41b"/>
    <x v="3"/>
    <m/>
    <m/>
    <n v="0.68599999999999994"/>
    <n v="0.377"/>
  </r>
  <r>
    <s v="靖40"/>
    <n v="3806.125"/>
    <n v="87.325999999999993"/>
    <n v="24.009"/>
    <n v="2.8029999999999999"/>
    <n v="177.79599999999999"/>
    <n v="2.726"/>
    <n v="10.032999999999999"/>
    <n v="2.419"/>
    <n v="210.14099999999999"/>
    <n v="230.92400000000001"/>
    <n v="0"/>
    <n v="0"/>
    <n v="100"/>
    <n v="0.495"/>
    <n v="7.0000000000000001E-3"/>
    <n v="0.251"/>
    <n v="0.72699999999999998"/>
    <n v="0.318"/>
    <m/>
    <s v="马五41b"/>
    <x v="3"/>
    <m/>
    <m/>
    <n v="0.746"/>
    <n v="0.48799999999999999"/>
  </r>
  <r>
    <s v="靖40"/>
    <n v="3806.25"/>
    <n v="86.16"/>
    <n v="24.475000000000001"/>
    <n v="2.6749999999999998"/>
    <n v="177.321"/>
    <n v="2.7029999999999998"/>
    <n v="9.5670000000000002"/>
    <n v="2.411"/>
    <n v="221.13"/>
    <n v="243"/>
    <n v="0"/>
    <n v="0"/>
    <n v="100"/>
    <n v="0.47199999999999998"/>
    <n v="1.4999999999999999E-2"/>
    <n v="0.245"/>
    <n v="0.66500000000000004"/>
    <n v="0.29699999999999999"/>
    <m/>
    <s v="马五41b"/>
    <x v="3"/>
    <m/>
    <m/>
    <n v="0.71699999999999997"/>
    <n v="0.45699999999999996"/>
  </r>
  <r>
    <s v="靖40"/>
    <n v="3806.375"/>
    <n v="75.006"/>
    <n v="24.821999999999999"/>
    <n v="2.62"/>
    <n v="176.589"/>
    <n v="2.6669999999999998"/>
    <n v="9.1660000000000004"/>
    <n v="2.4809999999999999"/>
    <n v="238.434"/>
    <n v="262.01499999999999"/>
    <n v="0"/>
    <n v="0"/>
    <n v="100"/>
    <n v="0.38500000000000001"/>
    <n v="7.9000000000000001E-2"/>
    <n v="0.23599999999999999"/>
    <n v="0.58099999999999996"/>
    <n v="0.27700000000000002"/>
    <m/>
    <s v="马五41b"/>
    <x v="3"/>
    <m/>
    <m/>
    <n v="0.621"/>
    <n v="0.30599999999999999"/>
  </r>
  <r>
    <s v="靖40"/>
    <n v="3806.5"/>
    <n v="59.232999999999997"/>
    <n v="25.401"/>
    <n v="2.5910000000000002"/>
    <n v="175.99799999999999"/>
    <n v="2.64"/>
    <n v="8.6240000000000006"/>
    <n v="2.4990000000000001"/>
    <n v="256.52199999999999"/>
    <n v="281.892"/>
    <n v="0"/>
    <n v="0"/>
    <n v="100"/>
    <n v="0.27200000000000002"/>
    <n v="0.105"/>
    <n v="0.22900000000000001"/>
    <n v="0.51300000000000001"/>
    <n v="0.253"/>
    <m/>
    <s v="马五41b"/>
    <x v="3"/>
    <m/>
    <m/>
    <n v="0.501"/>
    <n v="0.16700000000000004"/>
  </r>
  <r>
    <s v="延1059"/>
    <n v="3477.625"/>
    <n v="50.207999999999998"/>
    <n v="21.873000000000001"/>
    <n v="2.5459999999999998"/>
    <n v="166.773"/>
    <n v="2.782"/>
    <n v="4.3079999999999998"/>
    <n v="3.5"/>
    <n v="294.31799999999998"/>
    <n v="309.80900000000003"/>
    <n v="0"/>
    <n v="0.01"/>
    <n v="0"/>
    <n v="0.26900000000000002"/>
    <n v="0.56499999999999995"/>
    <n v="0.22"/>
    <n v="0.53300000000000003"/>
    <n v="0.36099999999999999"/>
    <m/>
    <s v="马五41a"/>
    <x v="3"/>
    <m/>
    <m/>
    <n v="0.48899999999999999"/>
    <n v="-0.29599999999999993"/>
  </r>
  <r>
    <s v="延1059"/>
    <n v="3477.75"/>
    <n v="66.998999999999995"/>
    <n v="21.89"/>
    <n v="2.5539999999999998"/>
    <n v="174.19900000000001"/>
    <n v="2.7890000000000001"/>
    <n v="4.6639999999999997"/>
    <n v="3.2189999999999999"/>
    <n v="210.327"/>
    <n v="221.39699999999999"/>
    <n v="0"/>
    <n v="0.01"/>
    <n v="0"/>
    <n v="0.38200000000000001"/>
    <n v="0.30099999999999999"/>
    <n v="0.318"/>
    <n v="0.56499999999999995"/>
    <n v="0.39900000000000002"/>
    <m/>
    <s v="马五41b"/>
    <x v="3"/>
    <m/>
    <m/>
    <n v="0.7"/>
    <n v="8.1000000000000016E-2"/>
  </r>
  <r>
    <s v="延1059"/>
    <n v="3477.875"/>
    <n v="78.355999999999995"/>
    <n v="21.885000000000002"/>
    <n v="2.54"/>
    <n v="178.29"/>
    <n v="2.7919999999999998"/>
    <n v="4.9020000000000001"/>
    <n v="3.0569999999999999"/>
    <n v="168.64"/>
    <n v="177.51499999999999"/>
    <n v="0"/>
    <n v="0.01"/>
    <n v="0"/>
    <n v="0.45900000000000002"/>
    <n v="0.14899999999999999"/>
    <n v="0.372"/>
    <n v="0.57899999999999996"/>
    <n v="0.42499999999999999"/>
    <m/>
    <s v="马五41b"/>
    <x v="3"/>
    <m/>
    <m/>
    <n v="0.83099999999999996"/>
    <n v="0.31000000000000005"/>
  </r>
  <r>
    <s v="延1059"/>
    <n v="3478"/>
    <n v="79.27"/>
    <n v="21.88"/>
    <n v="2.5979999999999999"/>
    <n v="179.37799999999999"/>
    <n v="2.7959999999999998"/>
    <n v="4.8920000000000003"/>
    <n v="3.0640000000000001"/>
    <n v="146.55099999999999"/>
    <n v="154.26400000000001"/>
    <n v="0"/>
    <n v="0.01"/>
    <n v="0"/>
    <n v="0.46500000000000002"/>
    <n v="0.155"/>
    <n v="0.38600000000000001"/>
    <n v="0.59799999999999998"/>
    <n v="0.42399999999999999"/>
    <m/>
    <s v="马五41b"/>
    <x v="3"/>
    <m/>
    <m/>
    <n v="0.85099999999999998"/>
    <n v="0.31000000000000005"/>
  </r>
  <r>
    <s v="延1059"/>
    <n v="3478.125"/>
    <n v="74.305999999999997"/>
    <n v="21.895"/>
    <n v="2.419"/>
    <n v="179.036"/>
    <n v="2.8029999999999999"/>
    <n v="4.5810000000000004"/>
    <n v="3.2040000000000002"/>
    <n v="144.642"/>
    <n v="152.255"/>
    <n v="0"/>
    <n v="0.01"/>
    <n v="0"/>
    <n v="0.43099999999999999"/>
    <n v="0.28699999999999998"/>
    <n v="0.38100000000000001"/>
    <n v="0.63100000000000001"/>
    <n v="0.39100000000000001"/>
    <m/>
    <s v="马五41b"/>
    <x v="3"/>
    <m/>
    <m/>
    <n v="0.81200000000000006"/>
    <n v="0.14400000000000002"/>
  </r>
  <r>
    <s v="延1059"/>
    <n v="3478.25"/>
    <n v="66.037000000000006"/>
    <n v="21.895"/>
    <n v="1.798"/>
    <n v="177.90100000000001"/>
    <n v="2.8170000000000002"/>
    <n v="4.2069999999999999"/>
    <n v="3.3809999999999998"/>
    <n v="162.57499999999999"/>
    <n v="171.131"/>
    <n v="0"/>
    <n v="0.01"/>
    <n v="0"/>
    <n v="0.376"/>
    <n v="0.45300000000000001"/>
    <n v="0.36599999999999999"/>
    <n v="0.69599999999999995"/>
    <n v="0.35099999999999998"/>
    <m/>
    <s v="马五41b"/>
    <x v="3"/>
    <m/>
    <m/>
    <n v="0.74199999999999999"/>
    <n v="-7.7000000000000013E-2"/>
  </r>
  <r>
    <s v="横3"/>
    <n v="3245.75"/>
    <n v="70.216999999999999"/>
    <n v="23.294"/>
    <n v="4.0119999999999996"/>
    <n v="172.15199999999999"/>
    <n v="2.52"/>
    <n v="7.4450000000000003"/>
    <n v="3.7839999999999998"/>
    <n v="132.77600000000001"/>
    <n v="140.00299999999999"/>
    <n v="0"/>
    <n v="0"/>
    <n v="100"/>
    <n v="0.35899999999999999"/>
    <n v="0.89900000000000002"/>
    <n v="0.28799999999999998"/>
    <n v="8.4000000000000005E-2"/>
    <n v="0.20899999999999999"/>
    <m/>
    <s v="马五41a"/>
    <x v="3"/>
    <m/>
    <m/>
    <n v="0.64700000000000002"/>
    <n v="-0.54"/>
  </r>
  <r>
    <s v="横3"/>
    <n v="3245.875"/>
    <n v="107.663"/>
    <n v="23.116"/>
    <n v="4.4009999999999998"/>
    <n v="171.87700000000001"/>
    <n v="2.5"/>
    <n v="6.8769999999999998"/>
    <n v="3.7280000000000002"/>
    <n v="126.542"/>
    <n v="134.51599999999999"/>
    <n v="0"/>
    <n v="0"/>
    <n v="100"/>
    <n v="0.58199999999999996"/>
    <n v="0.83"/>
    <n v="0.27300000000000002"/>
    <n v="2.8000000000000001E-2"/>
    <n v="0.124"/>
    <m/>
    <s v="马五41b"/>
    <x v="3"/>
    <m/>
    <m/>
    <n v="0.85499999999999998"/>
    <n v="-0.248"/>
  </r>
  <r>
    <s v="横3"/>
    <n v="3246"/>
    <n v="135.864"/>
    <n v="22.800999999999998"/>
    <n v="4.7249999999999996"/>
    <n v="167.572"/>
    <n v="2.4889999999999999"/>
    <n v="6.4560000000000004"/>
    <n v="3.6080000000000001"/>
    <n v="128.226"/>
    <n v="138.517"/>
    <n v="0"/>
    <n v="0"/>
    <n v="100"/>
    <n v="0.72"/>
    <n v="0.69799999999999995"/>
    <n v="0.19900000000000001"/>
    <n v="6.0000000000000001E-3"/>
    <n v="6.0999999999999999E-2"/>
    <m/>
    <s v="马五41b"/>
    <x v="3"/>
    <m/>
    <m/>
    <n v="0.91900000000000004"/>
    <n v="2.200000000000002E-2"/>
  </r>
  <r>
    <s v="横3"/>
    <n v="3246.125"/>
    <n v="125.937"/>
    <n v="22.36"/>
    <n v="5.0629999999999997"/>
    <n v="160.90299999999999"/>
    <n v="2.5009999999999999"/>
    <n v="6.1779999999999999"/>
    <n v="3.444"/>
    <n v="150.06200000000001"/>
    <n v="163.93100000000001"/>
    <n v="0"/>
    <n v="0"/>
    <n v="100"/>
    <n v="0.63600000000000001"/>
    <n v="0.53500000000000003"/>
    <n v="9.6000000000000002E-2"/>
    <n v="5.5E-2"/>
    <n v="2.1000000000000001E-2"/>
    <m/>
    <s v="马五41b"/>
    <x v="3"/>
    <m/>
    <m/>
    <n v="0.73199999999999998"/>
    <n v="0.10099999999999998"/>
  </r>
  <r>
    <s v="横3"/>
    <n v="3246.25"/>
    <n v="93.796000000000006"/>
    <n v="22.096"/>
    <n v="5.2679999999999998"/>
    <n v="155.71600000000001"/>
    <n v="2.5390000000000001"/>
    <n v="6.0209999999999999"/>
    <n v="3.327"/>
    <n v="163.48099999999999"/>
    <n v="201.904"/>
    <n v="0"/>
    <n v="0"/>
    <n v="100"/>
    <n v="0.436"/>
    <n v="0.42499999999999999"/>
    <n v="2.1999999999999999E-2"/>
    <n v="0.18"/>
    <n v="1E-3"/>
    <m/>
    <s v="马五41b"/>
    <x v="3"/>
    <m/>
    <m/>
    <n v="0.45800000000000002"/>
    <n v="1.100000000000001E-2"/>
  </r>
  <r>
    <s v="横3"/>
    <n v="3246.375"/>
    <n v="62.017000000000003"/>
    <n v="22.096"/>
    <n v="5.1440000000000001"/>
    <n v="154.06100000000001"/>
    <n v="2.5979999999999999"/>
    <n v="6.0449999999999999"/>
    <n v="3.286"/>
    <n v="208.61600000000001"/>
    <n v="291.24599999999998"/>
    <n v="0"/>
    <n v="0"/>
    <n v="100"/>
    <n v="0.252"/>
    <n v="0.39500000000000002"/>
    <n v="5.0000000000000001E-3"/>
    <n v="0.36399999999999999"/>
    <n v="8.9999999999999993E-3"/>
    <m/>
    <s v="马五41b"/>
    <x v="3"/>
    <m/>
    <m/>
    <n v="0.25700000000000001"/>
    <n v="-0.14300000000000002"/>
  </r>
  <r>
    <s v="延1085"/>
    <n v="3288.75"/>
    <n v="61.16"/>
    <n v="22.696000000000002"/>
    <n v="2.9279999999999999"/>
    <n v="172.596"/>
    <n v="2.8090000000000002"/>
    <n v="7.7370000000000001"/>
    <n v="3.2839999999999998"/>
    <n v="368.42599999999999"/>
    <n v="379.82100000000003"/>
    <n v="0.01"/>
    <n v="1E-3"/>
    <n v="100"/>
    <n v="0.26100000000000001"/>
    <n v="0.22900000000000001"/>
    <n v="0.189"/>
    <n v="0.78700000000000003"/>
    <n v="0.52900000000000003"/>
    <m/>
    <s v="马五41b"/>
    <x v="3"/>
    <m/>
    <m/>
    <n v="0.45"/>
    <n v="3.2000000000000001E-2"/>
  </r>
  <r>
    <s v="延1085"/>
    <n v="3288.875"/>
    <n v="73.715999999999994"/>
    <n v="22.696000000000002"/>
    <n v="3.36"/>
    <n v="174.38800000000001"/>
    <n v="2.859"/>
    <n v="8.2569999999999997"/>
    <n v="3.2839999999999998"/>
    <n v="360.274"/>
    <n v="371.41699999999997"/>
    <n v="0.01"/>
    <n v="1E-3"/>
    <n v="100"/>
    <n v="0.36699999999999999"/>
    <n v="0.22900000000000001"/>
    <n v="0.215"/>
    <n v="0.86099999999999999"/>
    <n v="0.55500000000000005"/>
    <m/>
    <s v="马五41b"/>
    <x v="3"/>
    <m/>
    <m/>
    <n v="0.58199999999999996"/>
    <n v="0.13799999999999998"/>
  </r>
  <r>
    <s v="延1085"/>
    <n v="3289"/>
    <n v="96.622"/>
    <n v="22.696000000000002"/>
    <n v="4.2220000000000004"/>
    <n v="177.024"/>
    <n v="2.8730000000000002"/>
    <n v="8.7230000000000008"/>
    <n v="3.2839999999999998"/>
    <n v="300.76100000000002"/>
    <n v="310.06299999999999"/>
    <n v="0.01"/>
    <n v="1E-3"/>
    <n v="100"/>
    <n v="0.48899999999999999"/>
    <n v="0.22900000000000001"/>
    <n v="0.24099999999999999"/>
    <n v="0.94199999999999995"/>
    <n v="0.59099999999999997"/>
    <m/>
    <s v="马五41b"/>
    <x v="3"/>
    <m/>
    <m/>
    <n v="0.73"/>
    <n v="0.26"/>
  </r>
  <r>
    <s v="延1085"/>
    <n v="3289.125"/>
    <n v="101.001"/>
    <n v="22.696000000000002"/>
    <n v="4.5060000000000002"/>
    <n v="176.96199999999999"/>
    <n v="2.8730000000000002"/>
    <n v="8.843"/>
    <n v="3.2839999999999998"/>
    <n v="228.43600000000001"/>
    <n v="235.501"/>
    <n v="0.01"/>
    <n v="1E-3"/>
    <n v="100"/>
    <n v="0.58199999999999996"/>
    <n v="0.22900000000000001"/>
    <n v="0.25700000000000001"/>
    <n v="0.95899999999999996"/>
    <n v="0.61199999999999999"/>
    <m/>
    <s v="马五41b"/>
    <x v="3"/>
    <m/>
    <m/>
    <n v="0.83899999999999997"/>
    <n v="0.35299999999999998"/>
  </r>
  <r>
    <s v="延1085"/>
    <n v="3289.25"/>
    <n v="94.64"/>
    <n v="22.696000000000002"/>
    <n v="4.29"/>
    <n v="176.74299999999999"/>
    <n v="2.8690000000000002"/>
    <n v="8.8059999999999992"/>
    <n v="3.331"/>
    <n v="203.042"/>
    <n v="209.321"/>
    <n v="0.01"/>
    <n v="1E-3"/>
    <n v="100"/>
    <n v="0.57399999999999995"/>
    <n v="0.24199999999999999"/>
    <n v="0.255"/>
    <n v="0.95399999999999996"/>
    <n v="0.61499999999999999"/>
    <m/>
    <s v="马五41b"/>
    <x v="3"/>
    <m/>
    <m/>
    <n v="0.82899999999999996"/>
    <n v="0.33199999999999996"/>
  </r>
  <r>
    <s v="延1085"/>
    <n v="3289.375"/>
    <n v="75.616"/>
    <n v="22.696000000000002"/>
    <n v="3.5920000000000001"/>
    <n v="177.29"/>
    <n v="2.867"/>
    <n v="8.6829999999999998"/>
    <n v="3.4710000000000001"/>
    <n v="178.654"/>
    <n v="184.179"/>
    <n v="0.01"/>
    <n v="1E-3"/>
    <n v="100"/>
    <n v="0.48699999999999999"/>
    <n v="0.29499999999999998"/>
    <n v="0.25700000000000001"/>
    <n v="0.94699999999999995"/>
    <n v="0.60899999999999999"/>
    <m/>
    <s v="马五41b"/>
    <x v="3"/>
    <m/>
    <m/>
    <n v="0.74399999999999999"/>
    <n v="0.192"/>
  </r>
  <r>
    <s v="延1136"/>
    <n v="3467.75"/>
    <n v="57.581000000000003"/>
    <n v="24.312999999999999"/>
    <n v="3.5270000000000001"/>
    <n v="174.16800000000001"/>
    <n v="2.718"/>
    <n v="10.379"/>
    <n v="3.5649999999999999"/>
    <n v="301.89400000000001"/>
    <n v="286.46100000000001"/>
    <n v="0.01"/>
    <n v="1E-3"/>
    <n v="100"/>
    <n v="0.29899999999999999"/>
    <n v="0.41"/>
    <n v="0.253"/>
    <n v="0.52700000000000002"/>
    <n v="0.71599999999999997"/>
    <m/>
    <s v="马五41b"/>
    <x v="3"/>
    <m/>
    <m/>
    <n v="0.55200000000000005"/>
    <n v="-0.11099999999999999"/>
  </r>
  <r>
    <s v="延1136"/>
    <n v="3467.875"/>
    <n v="91.994"/>
    <n v="24.358000000000001"/>
    <n v="4.1760000000000002"/>
    <n v="181.56299999999999"/>
    <n v="2.6949999999999998"/>
    <n v="11.041"/>
    <n v="3.58"/>
    <n v="185.23099999999999"/>
    <n v="166.36199999999999"/>
    <n v="0.01"/>
    <n v="1E-3"/>
    <n v="100"/>
    <n v="0.50600000000000001"/>
    <n v="0.41499999999999998"/>
    <n v="0.34300000000000003"/>
    <n v="0.46800000000000003"/>
    <n v="0.77100000000000002"/>
    <m/>
    <s v="马五41b"/>
    <x v="3"/>
    <m/>
    <m/>
    <n v="0.84899999999999998"/>
    <n v="9.1000000000000025E-2"/>
  </r>
  <r>
    <s v="延1136"/>
    <n v="3468"/>
    <n v="125.687"/>
    <n v="24.33"/>
    <n v="4.8029999999999999"/>
    <n v="187.77699999999999"/>
    <n v="2.6859999999999999"/>
    <n v="11.686999999999999"/>
    <n v="3.5139999999999998"/>
    <n v="132.55600000000001"/>
    <n v="118.291"/>
    <n v="0.01"/>
    <n v="1E-3"/>
    <n v="100"/>
    <n v="0.72699999999999998"/>
    <n v="0.4"/>
    <n v="0.41899999999999998"/>
    <n v="0.44"/>
    <n v="0.81499999999999995"/>
    <m/>
    <s v="马五41b"/>
    <x v="3"/>
    <m/>
    <m/>
    <n v="1.1459999999999999"/>
    <n v="0.32699999999999996"/>
  </r>
  <r>
    <s v="延1136"/>
    <n v="3468.125"/>
    <n v="138.62200000000001"/>
    <n v="24.212"/>
    <n v="5.1189999999999998"/>
    <n v="189.15700000000001"/>
    <n v="2.6949999999999998"/>
    <n v="10.69"/>
    <n v="3.4390000000000001"/>
    <n v="106.553"/>
    <n v="94.725999999999999"/>
    <n v="0.01"/>
    <n v="1E-3"/>
    <n v="100"/>
    <n v="0.83899999999999997"/>
    <n v="0.378"/>
    <n v="0.44700000000000001"/>
    <n v="0.45300000000000001"/>
    <n v="0.77"/>
    <m/>
    <s v="马五41b"/>
    <x v="3"/>
    <m/>
    <m/>
    <n v="1.286"/>
    <n v="0.46099999999999997"/>
  </r>
  <r>
    <s v="延1136"/>
    <n v="3468.25"/>
    <n v="133.53200000000001"/>
    <n v="24.091999999999999"/>
    <n v="5.1559999999999997"/>
    <n v="184.06899999999999"/>
    <n v="2.722"/>
    <n v="9.3420000000000005"/>
    <n v="3.577"/>
    <n v="96.134"/>
    <n v="85.468000000000004"/>
    <n v="0.01"/>
    <n v="1E-3"/>
    <n v="100"/>
    <n v="0.82899999999999996"/>
    <n v="0.40699999999999997"/>
    <n v="0.40200000000000002"/>
    <n v="0.51"/>
    <n v="0.68300000000000005"/>
    <m/>
    <s v="马五41b"/>
    <x v="3"/>
    <m/>
    <m/>
    <n v="1.2309999999999999"/>
    <n v="0.42199999999999999"/>
  </r>
  <r>
    <s v="延1136"/>
    <n v="3468.375"/>
    <n v="119.374"/>
    <n v="23.963999999999999"/>
    <n v="4.8570000000000002"/>
    <n v="176.76499999999999"/>
    <n v="2.7589999999999999"/>
    <n v="6.48"/>
    <n v="3.9220000000000002"/>
    <n v="106.34699999999999"/>
    <n v="94.765000000000001"/>
    <n v="0.01"/>
    <n v="1E-3"/>
    <n v="100"/>
    <n v="0.748"/>
    <n v="0.5"/>
    <n v="0.32"/>
    <n v="0.59599999999999997"/>
    <n v="0.51"/>
    <m/>
    <s v="马五41b"/>
    <x v="3"/>
    <m/>
    <m/>
    <n v="1.0680000000000001"/>
    <n v="0.248"/>
  </r>
  <r>
    <s v="延1137"/>
    <n v="3473.5"/>
    <n v="76.632999999999996"/>
    <n v="22.478000000000002"/>
    <n v="4.8789999999999996"/>
    <n v="170.328"/>
    <n v="2.7709999999999999"/>
    <n v="10.315"/>
    <n v="3.7570000000000001"/>
    <n v="162.07300000000001"/>
    <n v="179.489"/>
    <n v="0.01"/>
    <n v="1E-3"/>
    <n v="100"/>
    <n v="0.435"/>
    <n v="0.35599999999999998"/>
    <n v="0.23400000000000001"/>
    <n v="0.46899999999999997"/>
    <n v="0.56100000000000005"/>
    <m/>
    <s v="马五41b"/>
    <x v="3"/>
    <m/>
    <m/>
    <n v="0.66900000000000004"/>
    <n v="7.9000000000000015E-2"/>
  </r>
  <r>
    <s v="延1137"/>
    <n v="3473.625"/>
    <n v="100.631"/>
    <n v="22.477"/>
    <n v="6.1689999999999996"/>
    <n v="175.833"/>
    <n v="2.7679999999999998"/>
    <n v="10.888"/>
    <n v="3.7719999999999998"/>
    <n v="129.06299999999999"/>
    <n v="146.31100000000001"/>
    <n v="0.01"/>
    <n v="1E-3"/>
    <n v="100"/>
    <n v="0.59499999999999997"/>
    <n v="0.36899999999999999"/>
    <n v="0.314"/>
    <n v="0.46899999999999997"/>
    <n v="0.60199999999999998"/>
    <m/>
    <s v="马五41b"/>
    <x v="3"/>
    <m/>
    <m/>
    <n v="0.90900000000000003"/>
    <n v="0.22599999999999998"/>
  </r>
  <r>
    <s v="延1137"/>
    <n v="3473.75"/>
    <n v="126.401"/>
    <n v="22.469000000000001"/>
    <n v="7.0359999999999996"/>
    <n v="182.20599999999999"/>
    <n v="2.7719999999999998"/>
    <n v="11.683999999999999"/>
    <n v="3.7959999999999998"/>
    <n v="101.36"/>
    <n v="115.17"/>
    <n v="0.01"/>
    <n v="1E-3"/>
    <n v="100"/>
    <n v="0.71699999999999997"/>
    <n v="0.38700000000000001"/>
    <n v="0.38200000000000001"/>
    <n v="0.496"/>
    <n v="0.64"/>
    <m/>
    <s v="马五41b"/>
    <x v="3"/>
    <m/>
    <m/>
    <n v="1.099"/>
    <n v="0.32999999999999996"/>
  </r>
  <r>
    <s v="延1137"/>
    <n v="3473.875"/>
    <n v="134.685"/>
    <n v="22.466999999999999"/>
    <n v="6.851"/>
    <n v="185.16499999999999"/>
    <n v="2.79"/>
    <n v="12.013999999999999"/>
    <n v="3.8250000000000002"/>
    <n v="83.94"/>
    <n v="95.933000000000007"/>
    <n v="0.01"/>
    <n v="1E-3"/>
    <n v="100"/>
    <n v="0.72799999999999998"/>
    <n v="0.40500000000000003"/>
    <n v="0.4"/>
    <n v="0.54800000000000004"/>
    <n v="0.64200000000000002"/>
    <m/>
    <s v="马五41b"/>
    <x v="3"/>
    <m/>
    <m/>
    <n v="1.1280000000000001"/>
    <n v="0.32299999999999995"/>
  </r>
  <r>
    <s v="延1137"/>
    <n v="3474"/>
    <n v="126.343"/>
    <n v="22.47"/>
    <n v="6.0430000000000001"/>
    <n v="183.92500000000001"/>
    <n v="2.8079999999999998"/>
    <n v="11.62"/>
    <n v="3.8460000000000001"/>
    <n v="81.593999999999994"/>
    <n v="94.242000000000004"/>
    <n v="0.01"/>
    <n v="1E-3"/>
    <n v="100"/>
    <n v="0.625"/>
    <n v="0.42299999999999999"/>
    <n v="0.35599999999999998"/>
    <n v="0.60299999999999998"/>
    <n v="0.58599999999999997"/>
    <m/>
    <s v="马五41b"/>
    <x v="3"/>
    <m/>
    <m/>
    <n v="0.98099999999999998"/>
    <n v="0.20200000000000001"/>
  </r>
  <r>
    <s v="延1137"/>
    <n v="3474.125"/>
    <n v="99.227000000000004"/>
    <n v="22.481000000000002"/>
    <n v="4.5819999999999999"/>
    <n v="177.828"/>
    <n v="2.8290000000000002"/>
    <n v="9.9169999999999998"/>
    <n v="3.879"/>
    <n v="104.279"/>
    <n v="129.215"/>
    <n v="0.01"/>
    <n v="1E-3"/>
    <n v="100"/>
    <n v="0.434"/>
    <n v="0.45300000000000001"/>
    <n v="0.26"/>
    <n v="0.65400000000000003"/>
    <n v="0.46400000000000002"/>
    <m/>
    <s v="马五41b"/>
    <x v="3"/>
    <m/>
    <m/>
    <n v="0.69399999999999995"/>
    <n v="-1.9000000000000017E-2"/>
  </r>
  <r>
    <s v="延971"/>
    <n v="3478.75"/>
    <n v="44.32"/>
    <n v="22.117000000000001"/>
    <n v="3.1989999999999998"/>
    <n v="165.26599999999999"/>
    <n v="2.835"/>
    <n v="5.4119999999999999"/>
    <n v="3.3849999999999998"/>
    <n v="714.57799999999997"/>
    <n v="841.20100000000002"/>
    <n v="1.615"/>
    <n v="0.01"/>
    <n v="77.265000000000001"/>
    <n v="0.23200000000000001"/>
    <n v="0.2"/>
    <n v="0.129"/>
    <n v="0.69499999999999995"/>
    <n v="0.26300000000000001"/>
    <m/>
    <s v="马五41a"/>
    <x v="3"/>
    <m/>
    <m/>
    <n v="0.36099999999999999"/>
    <n v="3.2000000000000001E-2"/>
  </r>
  <r>
    <s v="延971"/>
    <n v="3478.875"/>
    <n v="59.213000000000001"/>
    <n v="22.18"/>
    <n v="3.2679999999999998"/>
    <n v="170.13200000000001"/>
    <n v="2.84"/>
    <n v="5.5510000000000002"/>
    <n v="3.4169999999999998"/>
    <n v="588.83799999999997"/>
    <n v="691.08699999999999"/>
    <n v="1.675"/>
    <n v="0.01"/>
    <n v="73.02"/>
    <n v="0.34599999999999997"/>
    <n v="0.21299999999999999"/>
    <n v="0.191"/>
    <n v="0.70499999999999996"/>
    <n v="0.27400000000000002"/>
    <m/>
    <s v="马五41b"/>
    <x v="3"/>
    <m/>
    <m/>
    <n v="0.53699999999999992"/>
    <n v="0.13299999999999998"/>
  </r>
  <r>
    <s v="延971"/>
    <n v="3479"/>
    <n v="72.742999999999995"/>
    <n v="22.276"/>
    <n v="3.1379999999999999"/>
    <n v="174.614"/>
    <n v="2.8479999999999999"/>
    <n v="5.5110000000000001"/>
    <n v="3.4950000000000001"/>
    <n v="439.4"/>
    <n v="510.839"/>
    <n v="0.01"/>
    <n v="1E-3"/>
    <n v="100"/>
    <n v="0.45400000000000001"/>
    <n v="0.24199999999999999"/>
    <n v="0.25"/>
    <n v="0.72099999999999997"/>
    <n v="0.27400000000000002"/>
    <m/>
    <s v="马五41b"/>
    <x v="3"/>
    <m/>
    <m/>
    <n v="0.70399999999999996"/>
    <n v="0.21200000000000002"/>
  </r>
  <r>
    <s v="延971"/>
    <n v="3479.125"/>
    <n v="81.572999999999993"/>
    <n v="22.396000000000001"/>
    <n v="2.9079999999999999"/>
    <n v="177.98500000000001"/>
    <n v="2.8610000000000002"/>
    <n v="5.2809999999999997"/>
    <n v="3.621"/>
    <n v="349.94799999999998"/>
    <n v="403.46899999999999"/>
    <n v="0.01"/>
    <n v="1E-3"/>
    <n v="100"/>
    <n v="0.53"/>
    <n v="0.29199999999999998"/>
    <n v="0.29599999999999999"/>
    <n v="0.749"/>
    <n v="0.26100000000000001"/>
    <m/>
    <s v="马五41b"/>
    <x v="3"/>
    <m/>
    <m/>
    <n v="0.82600000000000007"/>
    <n v="0.23800000000000004"/>
  </r>
  <r>
    <s v="延971"/>
    <n v="3479.25"/>
    <n v="80.036000000000001"/>
    <n v="22.518999999999998"/>
    <n v="2.65"/>
    <n v="179.90600000000001"/>
    <n v="2.8759999999999999"/>
    <n v="4.8929999999999998"/>
    <n v="3.746"/>
    <n v="297.73200000000003"/>
    <n v="342.00599999999997"/>
    <n v="0.01"/>
    <n v="1E-3"/>
    <n v="100"/>
    <n v="0.53400000000000003"/>
    <n v="0.34599999999999997"/>
    <n v="0.32500000000000001"/>
    <n v="0.78200000000000003"/>
    <n v="0.23799999999999999"/>
    <m/>
    <s v="马五41b"/>
    <x v="3"/>
    <m/>
    <m/>
    <n v="0.85899999999999999"/>
    <n v="0.18800000000000006"/>
  </r>
  <r>
    <s v="延971"/>
    <n v="3479.375"/>
    <n v="73.814999999999998"/>
    <n v="22.625"/>
    <n v="2.379"/>
    <n v="180.46600000000001"/>
    <n v="2.8940000000000001"/>
    <n v="4.4169999999999998"/>
    <n v="3.827"/>
    <n v="276.42700000000002"/>
    <n v="316.97399999999999"/>
    <n v="0.01"/>
    <n v="1E-3"/>
    <n v="100"/>
    <n v="0.49299999999999999"/>
    <n v="0.38400000000000001"/>
    <n v="0.33600000000000002"/>
    <n v="0.82099999999999995"/>
    <n v="0.20799999999999999"/>
    <m/>
    <s v="马五41b"/>
    <x v="3"/>
    <m/>
    <m/>
    <n v="0.82899999999999996"/>
    <n v="0.10899999999999999"/>
  </r>
  <r>
    <s v="延971"/>
    <n v="3479.5"/>
    <n v="69.454999999999998"/>
    <n v="22.698"/>
    <n v="2.0990000000000002"/>
    <n v="179.404"/>
    <n v="2.9119999999999999"/>
    <n v="3.9430000000000001"/>
    <n v="3.8559999999999999"/>
    <n v="309.339"/>
    <n v="355.30399999999997"/>
    <n v="0.01"/>
    <n v="1E-3"/>
    <n v="100"/>
    <n v="0.45600000000000002"/>
    <n v="0.40100000000000002"/>
    <n v="0.32600000000000001"/>
    <n v="0.86199999999999999"/>
    <n v="0.17699999999999999"/>
    <m/>
    <s v="马五41b"/>
    <x v="3"/>
    <m/>
    <m/>
    <n v="0.78200000000000003"/>
    <n v="5.4999999999999993E-2"/>
  </r>
  <r>
    <s v="延971"/>
    <n v="3479.625"/>
    <n v="67.518000000000001"/>
    <n v="22.728000000000002"/>
    <n v="1.8149999999999999"/>
    <n v="176.482"/>
    <n v="2.9249999999999998"/>
    <n v="3.5529999999999999"/>
    <n v="3.8580000000000001"/>
    <n v="396.07"/>
    <n v="457.697"/>
    <n v="0.01"/>
    <n v="1E-3"/>
    <n v="100"/>
    <n v="0.437"/>
    <n v="0.40400000000000003"/>
    <n v="0.29299999999999998"/>
    <n v="0.89400000000000002"/>
    <n v="0.151"/>
    <m/>
    <s v="马五41b"/>
    <x v="3"/>
    <m/>
    <m/>
    <n v="0.73"/>
    <n v="3.2999999999999974E-2"/>
  </r>
  <r>
    <s v="延971"/>
    <n v="3479.75"/>
    <n v="59.389000000000003"/>
    <n v="22.712"/>
    <n v="1.5640000000000001"/>
    <n v="172.04599999999999"/>
    <n v="2.93"/>
    <n v="3.286"/>
    <n v="3.8450000000000002"/>
    <n v="545.69299999999998"/>
    <n v="634.84299999999996"/>
    <n v="0.01"/>
    <n v="1E-3"/>
    <n v="100"/>
    <n v="0.38300000000000001"/>
    <n v="0.4"/>
    <n v="0.24"/>
    <n v="0.90900000000000003"/>
    <n v="0.13200000000000001"/>
    <m/>
    <s v="马五41b"/>
    <x v="3"/>
    <m/>
    <m/>
    <n v="0.623"/>
    <n v="-1.7000000000000015E-2"/>
  </r>
  <r>
    <s v="延994"/>
    <n v="3845.375"/>
    <n v="70.471999999999994"/>
    <n v="22.234000000000002"/>
    <n v="1.996"/>
    <n v="165.76599999999999"/>
    <n v="2.7890000000000001"/>
    <n v="8.3049999999999997"/>
    <n v="3.1960000000000002"/>
    <n v="378.87200000000001"/>
    <n v="424.44400000000002"/>
    <n v="0.01"/>
    <n v="1E-3"/>
    <n v="100"/>
    <n v="0.49099999999999999"/>
    <n v="0.51300000000000001"/>
    <n v="0.13300000000000001"/>
    <n v="0.63600000000000001"/>
    <n v="0.34799999999999998"/>
    <m/>
    <s v="马五41b"/>
    <x v="3"/>
    <m/>
    <m/>
    <n v="0.624"/>
    <n v="-2.200000000000002E-2"/>
  </r>
  <r>
    <s v="延994"/>
    <n v="3845.5"/>
    <n v="79.111999999999995"/>
    <n v="22.292999999999999"/>
    <n v="2.15"/>
    <n v="169.922"/>
    <n v="2.778"/>
    <n v="8.6869999999999994"/>
    <n v="3.3820000000000001"/>
    <n v="298.61099999999999"/>
    <n v="332.28699999999998"/>
    <n v="0.01"/>
    <n v="1E-3"/>
    <n v="100"/>
    <n v="0.54700000000000004"/>
    <n v="0.64100000000000001"/>
    <n v="0.17799999999999999"/>
    <n v="0.57099999999999995"/>
    <n v="0.378"/>
    <m/>
    <s v="马五41b"/>
    <x v="3"/>
    <m/>
    <m/>
    <n v="0.72500000000000009"/>
    <n v="-9.3999999999999972E-2"/>
  </r>
  <r>
    <s v="延994"/>
    <n v="3845.625"/>
    <n v="81.828999999999994"/>
    <n v="22.356999999999999"/>
    <n v="2.2389999999999999"/>
    <n v="174.84"/>
    <n v="2.7610000000000001"/>
    <n v="8.7189999999999994"/>
    <n v="3.5539999999999998"/>
    <n v="247.071"/>
    <n v="273.97199999999998"/>
    <n v="0.01"/>
    <n v="1E-3"/>
    <n v="100"/>
    <n v="0.55900000000000005"/>
    <n v="0.75600000000000001"/>
    <n v="0.22900000000000001"/>
    <n v="0.48899999999999999"/>
    <n v="0.373"/>
    <m/>
    <s v="马五41b"/>
    <x v="3"/>
    <m/>
    <m/>
    <n v="0.78800000000000003"/>
    <n v="-0.19699999999999995"/>
  </r>
  <r>
    <s v="延994"/>
    <n v="3845.75"/>
    <n v="81.063999999999993"/>
    <n v="22.46"/>
    <n v="2.2320000000000002"/>
    <n v="179.70699999999999"/>
    <n v="2.7450000000000001"/>
    <n v="8.5410000000000004"/>
    <n v="3.694"/>
    <n v="215.642"/>
    <n v="238.76"/>
    <n v="0.01"/>
    <n v="1E-3"/>
    <n v="100"/>
    <n v="0.55400000000000005"/>
    <n v="0.84099999999999997"/>
    <n v="0.27300000000000002"/>
    <n v="0.42799999999999999"/>
    <n v="0.35899999999999999"/>
    <m/>
    <s v="马五41b"/>
    <x v="3"/>
    <m/>
    <m/>
    <n v="0.82700000000000007"/>
    <n v="-0.28699999999999992"/>
  </r>
  <r>
    <s v="延994"/>
    <n v="3845.875"/>
    <n v="80.626000000000005"/>
    <n v="22.609000000000002"/>
    <n v="2.238"/>
    <n v="182.952"/>
    <n v="2.7389999999999999"/>
    <n v="8.532"/>
    <n v="3.778"/>
    <n v="201.733"/>
    <n v="223.19900000000001"/>
    <n v="0.01"/>
    <n v="1E-3"/>
    <n v="100"/>
    <n v="0.55000000000000004"/>
    <n v="0.88100000000000001"/>
    <n v="0.29499999999999998"/>
    <n v="0.42799999999999999"/>
    <n v="0.374"/>
    <m/>
    <s v="马五41b"/>
    <x v="3"/>
    <m/>
    <m/>
    <n v="0.84499999999999997"/>
    <n v="-0.33099999999999996"/>
  </r>
  <r>
    <s v="延994"/>
    <n v="3846"/>
    <n v="80.228999999999999"/>
    <n v="22.704999999999998"/>
    <n v="2.2090000000000001"/>
    <n v="183.22300000000001"/>
    <n v="2.75"/>
    <n v="8.9109999999999996"/>
    <n v="3.786"/>
    <n v="205.029"/>
    <n v="226.78899999999999"/>
    <n v="0.01"/>
    <n v="1E-3"/>
    <n v="100"/>
    <n v="0.53300000000000003"/>
    <n v="0.86699999999999999"/>
    <n v="0.28899999999999998"/>
    <n v="0.497"/>
    <n v="0.42399999999999999"/>
    <m/>
    <s v="马五41b"/>
    <x v="3"/>
    <m/>
    <m/>
    <n v="0.82200000000000006"/>
    <n v="-0.33399999999999996"/>
  </r>
  <r>
    <s v="延994"/>
    <n v="3846.125"/>
    <n v="75.188000000000002"/>
    <n v="22.667999999999999"/>
    <n v="1.954"/>
    <n v="180.90299999999999"/>
    <n v="2.7690000000000001"/>
    <n v="9.4480000000000004"/>
    <n v="3.718"/>
    <n v="223.21799999999999"/>
    <n v="247.078"/>
    <n v="0.01"/>
    <n v="1E-3"/>
    <n v="100"/>
    <n v="0.46300000000000002"/>
    <n v="0.80600000000000005"/>
    <n v="0.25700000000000001"/>
    <n v="0.58699999999999997"/>
    <n v="0.47099999999999997"/>
    <s v="含气层"/>
    <s v="马五41b"/>
    <x v="3"/>
    <m/>
    <m/>
    <n v="0.72"/>
    <n v="-0.34300000000000003"/>
  </r>
  <r>
    <s v="延958"/>
    <n v="3804"/>
    <n v="69.194999999999993"/>
    <n v="22.707000000000001"/>
    <n v="2.0270000000000001"/>
    <n v="178.65100000000001"/>
    <n v="2.7480000000000002"/>
    <n v="8.1010000000000009"/>
    <n v="4.2309999999999999"/>
    <n v="205.46600000000001"/>
    <n v="230.09299999999999"/>
    <n v="0.01"/>
    <n v="1E-3"/>
    <n v="100"/>
    <n v="0.41399999999999998"/>
    <n v="0.74299999999999999"/>
    <n v="0.218"/>
    <n v="0.55200000000000005"/>
    <n v="0.307"/>
    <m/>
    <s v="马五41a"/>
    <x v="3"/>
    <n v="6"/>
    <s v="薄片"/>
    <n v="0.63200000000000001"/>
    <n v="-0.32900000000000001"/>
  </r>
  <r>
    <s v="延958"/>
    <n v="3804.125"/>
    <n v="82.472999999999999"/>
    <n v="22.741"/>
    <n v="2.5790000000000002"/>
    <n v="184.447"/>
    <n v="2.7290000000000001"/>
    <n v="9.1560000000000006"/>
    <n v="4.7220000000000004"/>
    <n v="178.32900000000001"/>
    <n v="194.899"/>
    <n v="0.01"/>
    <n v="1E-3"/>
    <n v="100"/>
    <n v="0.50900000000000001"/>
    <n v="0.91600000000000004"/>
    <n v="0.27200000000000002"/>
    <n v="0.51500000000000001"/>
    <n v="0.38100000000000001"/>
    <m/>
    <s v="马五41b"/>
    <x v="3"/>
    <n v="6"/>
    <s v="薄片"/>
    <n v="0.78100000000000003"/>
    <n v="-0.40700000000000003"/>
  </r>
  <r>
    <s v="延958"/>
    <n v="3804.25"/>
    <n v="92.944000000000003"/>
    <n v="22.765999999999998"/>
    <n v="3.1960000000000002"/>
    <n v="188.512"/>
    <n v="2.7229999999999999"/>
    <n v="10.445"/>
    <n v="4.9489999999999998"/>
    <n v="156.791"/>
    <n v="168.322"/>
    <n v="0.01"/>
    <n v="1E-3"/>
    <n v="100"/>
    <n v="0.57999999999999996"/>
    <n v="0.99099999999999999"/>
    <n v="0.309"/>
    <n v="0.50600000000000001"/>
    <n v="0.46500000000000002"/>
    <m/>
    <s v="马五41b"/>
    <x v="3"/>
    <n v="6"/>
    <s v="薄片"/>
    <n v="0.88900000000000001"/>
    <n v="-0.41100000000000003"/>
  </r>
  <r>
    <s v="延958"/>
    <n v="3804.375"/>
    <n v="98.397000000000006"/>
    <n v="22.797000000000001"/>
    <n v="3.5219999999999998"/>
    <n v="190.09800000000001"/>
    <n v="2.7280000000000002"/>
    <n v="11.554"/>
    <n v="4.9770000000000003"/>
    <n v="146.983"/>
    <n v="156.55099999999999"/>
    <n v="0.01"/>
    <n v="1E-3"/>
    <n v="100"/>
    <n v="0.61"/>
    <n v="0.98499999999999999"/>
    <n v="0.31900000000000001"/>
    <n v="0.51500000000000001"/>
    <n v="0.53200000000000003"/>
    <m/>
    <s v="马五41b"/>
    <x v="3"/>
    <n v="6"/>
    <s v="薄片"/>
    <n v="0.92900000000000005"/>
    <n v="-0.375"/>
  </r>
  <r>
    <s v="延958"/>
    <n v="3804.5"/>
    <n v="96.356999999999999"/>
    <n v="22.838999999999999"/>
    <n v="3.7160000000000002"/>
    <n v="188.523"/>
    <n v="2.7269999999999999"/>
    <n v="12.044"/>
    <n v="4.7699999999999996"/>
    <n v="152.46700000000001"/>
    <n v="162.43100000000001"/>
    <n v="0.01"/>
    <n v="1E-3"/>
    <n v="100"/>
    <n v="0.58499999999999996"/>
    <n v="0.88700000000000001"/>
    <n v="0.30199999999999999"/>
    <n v="0.50700000000000001"/>
    <n v="0.55500000000000005"/>
    <m/>
    <s v="马五41b"/>
    <x v="3"/>
    <n v="6"/>
    <s v="薄片"/>
    <n v="0.88700000000000001"/>
    <n v="-0.30200000000000005"/>
  </r>
  <r>
    <s v="延958"/>
    <n v="3804.625"/>
    <n v="86.805000000000007"/>
    <n v="22.87"/>
    <n v="4.3019999999999996"/>
    <n v="186.333"/>
    <n v="2.7109999999999999"/>
    <n v="11.712"/>
    <n v="4.3220000000000001"/>
    <n v="172.50299999999999"/>
    <n v="184.56700000000001"/>
    <n v="0.01"/>
    <n v="1E-3"/>
    <n v="100"/>
    <n v="0.504"/>
    <n v="0.70799999999999996"/>
    <n v="0.27800000000000002"/>
    <n v="0.46899999999999997"/>
    <n v="0.51900000000000002"/>
    <m/>
    <s v="马五41b"/>
    <x v="3"/>
    <n v="6"/>
    <s v="薄片"/>
    <n v="0.78200000000000003"/>
    <n v="-0.20399999999999996"/>
  </r>
  <r>
    <s v="延958"/>
    <n v="3804.75"/>
    <n v="70.546000000000006"/>
    <n v="22.873000000000001"/>
    <n v="4.9290000000000003"/>
    <n v="183.25899999999999"/>
    <n v="2.69"/>
    <n v="10.286"/>
    <n v="3.8319999999999999"/>
    <n v="209.94499999999999"/>
    <n v="225.833"/>
    <n v="0.01"/>
    <n v="1E-3"/>
    <n v="100"/>
    <n v="0.38"/>
    <n v="0.53500000000000003"/>
    <n v="0.24199999999999999"/>
    <n v="0.42799999999999999"/>
    <n v="0.41799999999999998"/>
    <m/>
    <s v="马五41b"/>
    <x v="3"/>
    <n v="6"/>
    <s v="薄片"/>
    <n v="0.622"/>
    <n v="-0.15500000000000003"/>
  </r>
  <r>
    <s v="延959"/>
    <n v="3873.875"/>
    <n v="69.271000000000001"/>
    <n v="22.084"/>
    <n v="3.7450000000000001"/>
    <n v="178.19"/>
    <n v="2.7080000000000002"/>
    <n v="10.462999999999999"/>
    <n v="3.1720000000000002"/>
    <n v="351.29300000000001"/>
    <n v="390.32499999999999"/>
    <n v="0"/>
    <n v="0"/>
    <n v="100"/>
    <n v="0.57599999999999996"/>
    <n v="0.216"/>
    <n v="0.39100000000000001"/>
    <n v="0.27500000000000002"/>
    <n v="0.54500000000000004"/>
    <m/>
    <s v="马五41b"/>
    <x v="3"/>
    <n v="3"/>
    <s v="薄片"/>
    <n v="0.96699999999999997"/>
    <n v="0.36"/>
  </r>
  <r>
    <s v="延959"/>
    <n v="3874"/>
    <n v="85.793999999999997"/>
    <n v="22.719000000000001"/>
    <n v="4.5030000000000001"/>
    <n v="180.43"/>
    <n v="2.6819999999999999"/>
    <n v="11.582000000000001"/>
    <n v="3.1269999999999998"/>
    <n v="242.94800000000001"/>
    <n v="269.94200000000001"/>
    <n v="0"/>
    <n v="0"/>
    <n v="100"/>
    <n v="0.71699999999999997"/>
    <n v="0.20799999999999999"/>
    <n v="0.432"/>
    <n v="0.13400000000000001"/>
    <n v="0.64900000000000002"/>
    <m/>
    <s v="马五41b"/>
    <x v="3"/>
    <n v="3"/>
    <s v="薄片"/>
    <n v="1.149"/>
    <n v="0.50900000000000001"/>
  </r>
  <r>
    <s v="延959"/>
    <n v="3874.125"/>
    <n v="95.102000000000004"/>
    <n v="23.285"/>
    <n v="4.6399999999999997"/>
    <n v="183.70699999999999"/>
    <n v="2.6619999999999999"/>
    <n v="12.398"/>
    <n v="3.1850000000000001"/>
    <n v="189.92400000000001"/>
    <n v="211.02799999999999"/>
    <n v="0"/>
    <n v="0"/>
    <n v="100"/>
    <n v="0.78900000000000003"/>
    <n v="0.27600000000000002"/>
    <n v="0.48499999999999999"/>
    <n v="4.7E-2"/>
    <n v="0.72399999999999998"/>
    <m/>
    <s v="马五41b"/>
    <x v="3"/>
    <n v="3"/>
    <s v="薄片"/>
    <n v="1.274"/>
    <n v="0.51300000000000001"/>
  </r>
  <r>
    <s v="延959"/>
    <n v="3874.25"/>
    <n v="97.483000000000004"/>
    <n v="23.576000000000001"/>
    <n v="4.5750000000000002"/>
    <n v="186.97800000000001"/>
    <n v="2.6589999999999998"/>
    <n v="12.944000000000001"/>
    <n v="3.4670000000000001"/>
    <n v="169.24"/>
    <n v="188.04400000000001"/>
    <n v="0"/>
    <n v="0"/>
    <n v="100"/>
    <n v="0.79500000000000004"/>
    <n v="0.42899999999999999"/>
    <n v="0.52600000000000002"/>
    <n v="6.6000000000000003E-2"/>
    <n v="0.77100000000000002"/>
    <m/>
    <s v="马五41b"/>
    <x v="3"/>
    <n v="3"/>
    <s v="薄片"/>
    <n v="1.3210000000000002"/>
    <n v="0.36600000000000005"/>
  </r>
  <r>
    <s v="延959"/>
    <n v="3874.375"/>
    <n v="93.828000000000003"/>
    <n v="23.416"/>
    <n v="4.3419999999999996"/>
    <n v="187.64099999999999"/>
    <n v="2.6779999999999999"/>
    <n v="13.185"/>
    <n v="3.7250000000000001"/>
    <n v="171.922"/>
    <n v="191.02500000000001"/>
    <n v="0"/>
    <n v="0"/>
    <n v="100"/>
    <n v="0.74199999999999999"/>
    <n v="0.51500000000000001"/>
    <n v="0.53"/>
    <n v="0.183"/>
    <n v="0.78400000000000003"/>
    <m/>
    <s v="马五41b"/>
    <x v="3"/>
    <n v="3"/>
    <s v="薄片"/>
    <n v="1.272"/>
    <n v="0.22699999999999998"/>
  </r>
  <r>
    <s v="延959"/>
    <n v="3874.5"/>
    <n v="83.825999999999993"/>
    <n v="23.113"/>
    <n v="3.6"/>
    <n v="186.86"/>
    <n v="2.7010000000000001"/>
    <n v="13.029"/>
    <n v="3.6230000000000002"/>
    <n v="195.39599999999999"/>
    <n v="217.107"/>
    <n v="0"/>
    <n v="0"/>
    <n v="100"/>
    <n v="0.628"/>
    <n v="0.432"/>
    <n v="0.51600000000000001"/>
    <n v="0.32100000000000001"/>
    <n v="0.75"/>
    <m/>
    <s v="马五41b"/>
    <x v="3"/>
    <n v="3"/>
    <s v="薄片"/>
    <n v="1.1440000000000001"/>
    <n v="0.19600000000000001"/>
  </r>
  <r>
    <s v="延919"/>
    <n v="3821.5"/>
    <n v="78.584999999999994"/>
    <n v="21.475000000000001"/>
    <n v="3.4350000000000001"/>
    <n v="156.11099999999999"/>
    <n v="2.7280000000000002"/>
    <n v="6.82"/>
    <n v="3.633"/>
    <n v="150.72200000000001"/>
    <n v="159.65"/>
    <n v="3.5999999999999997E-2"/>
    <n v="0.1"/>
    <n v="100"/>
    <n v="0.44900000000000001"/>
    <n v="0.77100000000000002"/>
    <n v="0.14299999999999999"/>
    <n v="0.71499999999999997"/>
    <n v="0.16800000000000001"/>
    <m/>
    <s v="马五41a"/>
    <x v="3"/>
    <n v="3"/>
    <s v="取心"/>
    <n v="0.59199999999999997"/>
    <n v="-0.32200000000000001"/>
  </r>
  <r>
    <s v="延919"/>
    <n v="3821.625"/>
    <n v="99.653000000000006"/>
    <n v="21.478999999999999"/>
    <n v="4.2300000000000004"/>
    <n v="160.202"/>
    <n v="2.722"/>
    <n v="7.2290000000000001"/>
    <n v="3.7229999999999999"/>
    <n v="141.75399999999999"/>
    <n v="149.86500000000001"/>
    <n v="5.0000000000000001E-3"/>
    <n v="0.1"/>
    <n v="100"/>
    <n v="0.57499999999999996"/>
    <n v="0.81599999999999995"/>
    <n v="0.221"/>
    <n v="0.69"/>
    <n v="0.23699999999999999"/>
    <m/>
    <s v="马五41b"/>
    <x v="3"/>
    <n v="3"/>
    <s v="取心"/>
    <n v="0.79599999999999993"/>
    <n v="-0.24099999999999999"/>
  </r>
  <r>
    <s v="延919"/>
    <n v="3821.75"/>
    <n v="113.562"/>
    <n v="21.494"/>
    <n v="5.226"/>
    <n v="164.89099999999999"/>
    <n v="2.7149999999999999"/>
    <n v="7.9169999999999998"/>
    <n v="3.782"/>
    <n v="135.01400000000001"/>
    <n v="142.49100000000001"/>
    <n v="0"/>
    <n v="0.1"/>
    <n v="100"/>
    <n v="0.65200000000000002"/>
    <n v="0.84099999999999997"/>
    <n v="0.309"/>
    <n v="0.66600000000000004"/>
    <n v="0.33700000000000002"/>
    <m/>
    <s v="马五41b"/>
    <x v="3"/>
    <n v="3"/>
    <s v="取心"/>
    <n v="0.96100000000000008"/>
    <n v="-0.18899999999999995"/>
  </r>
  <r>
    <s v="延919"/>
    <n v="3821.875"/>
    <n v="119.43899999999999"/>
    <n v="21.544"/>
    <n v="5.8209999999999997"/>
    <n v="169.751"/>
    <n v="2.7109999999999999"/>
    <n v="8.66"/>
    <n v="3.7970000000000002"/>
    <n v="129.23400000000001"/>
    <n v="134.92099999999999"/>
    <n v="0"/>
    <n v="0.1"/>
    <n v="100"/>
    <n v="0.68500000000000005"/>
    <n v="0.84299999999999997"/>
    <n v="0.39700000000000002"/>
    <n v="0.65500000000000003"/>
    <n v="0.441"/>
    <m/>
    <s v="马五41b"/>
    <x v="3"/>
    <n v="3"/>
    <s v="取心"/>
    <n v="1.0820000000000001"/>
    <n v="-0.15799999999999992"/>
  </r>
  <r>
    <s v="延919"/>
    <n v="3822"/>
    <n v="122.167"/>
    <n v="21.501000000000001"/>
    <n v="5.8920000000000003"/>
    <n v="174.221"/>
    <n v="2.7109999999999999"/>
    <n v="9.36"/>
    <n v="3.7650000000000001"/>
    <n v="107.498"/>
    <n v="110.5"/>
    <n v="0"/>
    <n v="0"/>
    <n v="100"/>
    <n v="0.68899999999999995"/>
    <n v="0.81899999999999995"/>
    <n v="0.47299999999999998"/>
    <n v="0.66100000000000003"/>
    <n v="0.53100000000000003"/>
    <m/>
    <s v="马五41b"/>
    <x v="3"/>
    <n v="3"/>
    <s v="取心"/>
    <n v="1.1619999999999999"/>
    <n v="-0.13"/>
  </r>
  <r>
    <s v="延919"/>
    <n v="3822.125"/>
    <n v="117.023"/>
    <n v="21.542000000000002"/>
    <n v="5.1879999999999997"/>
    <n v="177.52799999999999"/>
    <n v="2.7170000000000001"/>
    <n v="9.8030000000000008"/>
    <n v="3.69"/>
    <n v="92.423000000000002"/>
    <n v="96.988"/>
    <n v="0"/>
    <n v="0"/>
    <n v="100"/>
    <n v="0.64200000000000002"/>
    <n v="0.77500000000000002"/>
    <n v="0.52700000000000002"/>
    <n v="0.69099999999999995"/>
    <n v="0.57399999999999995"/>
    <m/>
    <s v="马五41b"/>
    <x v="3"/>
    <n v="3"/>
    <s v="取心"/>
    <n v="1.169"/>
    <n v="-0.13300000000000001"/>
  </r>
  <r>
    <s v="延919"/>
    <n v="3822.25"/>
    <n v="104.426"/>
    <n v="21.533999999999999"/>
    <n v="4.4130000000000003"/>
    <n v="179.375"/>
    <n v="2.7290000000000001"/>
    <n v="9.7349999999999994"/>
    <n v="3.5939999999999999"/>
    <n v="97.914000000000001"/>
    <n v="103.504"/>
    <n v="0"/>
    <n v="0"/>
    <n v="100"/>
    <n v="0.53"/>
    <n v="0.72199999999999998"/>
    <n v="0.55300000000000005"/>
    <n v="0.74399999999999999"/>
    <n v="0.55200000000000005"/>
    <m/>
    <s v="马五41b"/>
    <x v="3"/>
    <n v="3"/>
    <s v="取心"/>
    <n v="1.0830000000000002"/>
    <n v="-0.19199999999999995"/>
  </r>
  <r>
    <s v="延919"/>
    <n v="3822.375"/>
    <n v="75.424999999999997"/>
    <n v="21.634"/>
    <n v="4.0860000000000003"/>
    <n v="179.602"/>
    <n v="2.7469999999999999"/>
    <n v="9.3539999999999992"/>
    <n v="3.4929999999999999"/>
    <n v="106.956"/>
    <n v="113.211"/>
    <n v="0"/>
    <n v="0"/>
    <n v="100"/>
    <n v="0.33900000000000002"/>
    <n v="0.66700000000000004"/>
    <n v="0.54900000000000004"/>
    <n v="0.81399999999999995"/>
    <n v="0.496"/>
    <m/>
    <s v="马五41b"/>
    <x v="3"/>
    <n v="3"/>
    <s v="取心"/>
    <n v="0.88800000000000012"/>
    <n v="-0.32800000000000001"/>
  </r>
  <r>
    <s v="延914"/>
    <n v="3381.375"/>
    <n v="74.566999999999993"/>
    <n v="22.103000000000002"/>
    <n v="4.1619999999999999"/>
    <n v="170.98500000000001"/>
    <n v="2.7450000000000001"/>
    <n v="6.2839999999999998"/>
    <n v="3.149"/>
    <n v="326.69"/>
    <n v="355.09800000000001"/>
    <n v="0"/>
    <n v="0"/>
    <n v="100"/>
    <n v="0.434"/>
    <n v="0.46700000000000003"/>
    <n v="0.27400000000000002"/>
    <n v="0.68500000000000005"/>
    <n v="0.82899999999999996"/>
    <m/>
    <s v="马五41b"/>
    <x v="3"/>
    <n v="4"/>
    <s v="薄片"/>
    <n v="0.70799999999999996"/>
    <n v="-3.3000000000000029E-2"/>
  </r>
  <r>
    <s v="延914"/>
    <n v="3381.5"/>
    <n v="87.08"/>
    <n v="22.231000000000002"/>
    <n v="4.5419999999999998"/>
    <n v="174.51300000000001"/>
    <n v="2.74"/>
    <n v="6.4720000000000004"/>
    <n v="3.121"/>
    <n v="275.03300000000002"/>
    <n v="298.94900000000001"/>
    <n v="0"/>
    <n v="0"/>
    <n v="100"/>
    <n v="0.52"/>
    <n v="0.434"/>
    <n v="0.34699999999999998"/>
    <n v="0.66800000000000004"/>
    <n v="0.86899999999999999"/>
    <m/>
    <s v="马五41b"/>
    <x v="3"/>
    <n v="4"/>
    <s v="薄片"/>
    <n v="0.86699999999999999"/>
    <n v="8.6000000000000021E-2"/>
  </r>
  <r>
    <s v="延914"/>
    <n v="3381.625"/>
    <n v="91.706999999999994"/>
    <n v="22.390999999999998"/>
    <n v="4.5750000000000002"/>
    <n v="177.38499999999999"/>
    <n v="2.7320000000000002"/>
    <n v="6.68"/>
    <n v="3.097"/>
    <n v="188.6"/>
    <n v="205"/>
    <n v="0"/>
    <n v="0"/>
    <n v="100"/>
    <n v="0.55300000000000005"/>
    <n v="0.36399999999999999"/>
    <n v="0.40699999999999997"/>
    <n v="0.64100000000000001"/>
    <n v="0.91200000000000003"/>
    <m/>
    <s v="马五41b"/>
    <x v="3"/>
    <n v="4"/>
    <s v="薄片"/>
    <n v="0.96"/>
    <n v="0.18900000000000006"/>
  </r>
  <r>
    <s v="延914"/>
    <n v="3381.75"/>
    <n v="94.456999999999994"/>
    <n v="22.692"/>
    <n v="4.4279999999999999"/>
    <n v="178.75899999999999"/>
    <n v="2.722"/>
    <n v="6.7720000000000002"/>
    <n v="3.077"/>
    <n v="114.07599999999999"/>
    <n v="123.996"/>
    <n v="0"/>
    <n v="0"/>
    <n v="100"/>
    <n v="0.57099999999999995"/>
    <n v="0.27400000000000002"/>
    <n v="0.434"/>
    <n v="0.60599999999999998"/>
    <n v="0.93"/>
    <m/>
    <s v="马五41b"/>
    <x v="3"/>
    <n v="4"/>
    <s v="薄片"/>
    <n v="1.0049999999999999"/>
    <n v="0.29699999999999993"/>
  </r>
  <r>
    <s v="延914"/>
    <n v="3381.875"/>
    <n v="90.433999999999997"/>
    <n v="22.960999999999999"/>
    <n v="4.01"/>
    <n v="178.136"/>
    <n v="2.7120000000000002"/>
    <n v="6.617"/>
    <n v="3.0640000000000001"/>
    <n v="102.384"/>
    <n v="111.28700000000001"/>
    <n v="0"/>
    <n v="0"/>
    <n v="100"/>
    <n v="0.54100000000000004"/>
    <n v="0.255"/>
    <n v="0.42"/>
    <n v="0.57199999999999995"/>
    <n v="0.89500000000000002"/>
    <m/>
    <s v="马五41b"/>
    <x v="3"/>
    <n v="4"/>
    <s v="薄片"/>
    <n v="0.96100000000000008"/>
    <n v="0.28600000000000003"/>
  </r>
  <r>
    <s v="延914"/>
    <n v="3382"/>
    <n v="81.138000000000005"/>
    <n v="22.844999999999999"/>
    <n v="3.5819999999999999"/>
    <n v="175.56399999999999"/>
    <n v="2.7029999999999998"/>
    <n v="6.1529999999999996"/>
    <n v="3.0590000000000002"/>
    <n v="105.764"/>
    <n v="114.961"/>
    <n v="0"/>
    <n v="0"/>
    <n v="100"/>
    <n v="0.47299999999999998"/>
    <n v="0.26100000000000001"/>
    <n v="0.36499999999999999"/>
    <n v="0.54200000000000004"/>
    <n v="0.79600000000000004"/>
    <m/>
    <s v="马五41b"/>
    <x v="3"/>
    <n v="4"/>
    <s v="薄片"/>
    <n v="0.83799999999999997"/>
    <n v="0.21199999999999997"/>
  </r>
  <r>
    <s v="延914"/>
    <n v="3382.125"/>
    <n v="63.762999999999998"/>
    <n v="22.745000000000001"/>
    <n v="3.218"/>
    <n v="171.55500000000001"/>
    <n v="2.7"/>
    <n v="5.4"/>
    <n v="3.0659999999999998"/>
    <n v="111.812"/>
    <n v="121.535"/>
    <n v="0"/>
    <n v="0"/>
    <n v="100"/>
    <n v="0.35"/>
    <n v="0.27200000000000002"/>
    <n v="0.28100000000000003"/>
    <n v="0.53300000000000003"/>
    <n v="0.63600000000000001"/>
    <m/>
    <s v="马五41b"/>
    <x v="3"/>
    <n v="4"/>
    <s v="薄片"/>
    <n v="0.63100000000000001"/>
    <n v="7.7999999999999958E-2"/>
  </r>
  <r>
    <s v="延914"/>
    <n v="3384.375"/>
    <n v="62.625999999999998"/>
    <n v="22.332999999999998"/>
    <n v="3.0649999999999999"/>
    <n v="168.065"/>
    <n v="2.78"/>
    <n v="4.907"/>
    <n v="3.081"/>
    <n v="161.815"/>
    <n v="175.886"/>
    <n v="0"/>
    <n v="0"/>
    <n v="100"/>
    <n v="0.35"/>
    <n v="0.33800000000000002"/>
    <n v="0.21099999999999999"/>
    <n v="0.80500000000000005"/>
    <n v="0.53900000000000003"/>
    <m/>
    <s v="马五41b"/>
    <x v="3"/>
    <n v="7"/>
    <s v="薄片"/>
    <n v="0.56099999999999994"/>
    <n v="1.1999999999999955E-2"/>
  </r>
  <r>
    <s v="延914"/>
    <n v="3384.5"/>
    <n v="80.792000000000002"/>
    <n v="22.309000000000001"/>
    <n v="3.181"/>
    <n v="169.81800000000001"/>
    <n v="2.7730000000000001"/>
    <n v="5.069"/>
    <n v="3.0859999999999999"/>
    <n v="132.30199999999999"/>
    <n v="143.80600000000001"/>
    <n v="0"/>
    <n v="0"/>
    <n v="100"/>
    <n v="0.47899999999999998"/>
    <n v="0.30199999999999999"/>
    <n v="0.248"/>
    <n v="0.78100000000000003"/>
    <n v="0.57299999999999995"/>
    <m/>
    <s v="马五41b"/>
    <x v="3"/>
    <n v="7"/>
    <s v="薄片"/>
    <n v="0.72699999999999998"/>
    <n v="0.17699999999999999"/>
  </r>
  <r>
    <s v="延914"/>
    <n v="3384.625"/>
    <n v="98.073999999999998"/>
    <n v="22.332999999999998"/>
    <n v="3.2519999999999998"/>
    <n v="171.02099999999999"/>
    <n v="2.7679999999999998"/>
    <n v="5.2590000000000003"/>
    <n v="3.109"/>
    <n v="119.402"/>
    <n v="129.785"/>
    <n v="0"/>
    <n v="0"/>
    <n v="100"/>
    <n v="0.59699999999999998"/>
    <n v="0.28299999999999997"/>
    <n v="0.27300000000000002"/>
    <n v="0.76400000000000001"/>
    <n v="0.61299999999999999"/>
    <m/>
    <s v="马五41b"/>
    <x v="3"/>
    <n v="7"/>
    <s v="薄片"/>
    <n v="0.87"/>
    <n v="0.314"/>
  </r>
  <r>
    <s v="延914"/>
    <n v="3384.75"/>
    <n v="95.048000000000002"/>
    <n v="22.347000000000001"/>
    <n v="3.1970000000000001"/>
    <n v="171.79300000000001"/>
    <n v="2.766"/>
    <n v="5.407"/>
    <n v="3.1459999999999999"/>
    <n v="118.075"/>
    <n v="128.34299999999999"/>
    <n v="0"/>
    <n v="0"/>
    <n v="100"/>
    <n v="0.57199999999999995"/>
    <n v="0.28100000000000003"/>
    <n v="0.28899999999999998"/>
    <n v="0.75800000000000001"/>
    <n v="0.64300000000000002"/>
    <m/>
    <s v="马五41b"/>
    <x v="3"/>
    <n v="7"/>
    <s v="薄片"/>
    <n v="0.86099999999999999"/>
    <n v="0.29099999999999993"/>
  </r>
  <r>
    <s v="延914"/>
    <n v="3384.875"/>
    <n v="76.126999999999995"/>
    <n v="22.327999999999999"/>
    <n v="3.15"/>
    <n v="172.334"/>
    <n v="2.7690000000000001"/>
    <n v="5.4279999999999999"/>
    <n v="3.1960000000000002"/>
    <n v="120.39"/>
    <n v="130.85900000000001"/>
    <n v="0"/>
    <n v="0"/>
    <n v="100"/>
    <n v="0.438"/>
    <n v="0.28599999999999998"/>
    <n v="0.3"/>
    <n v="0.76900000000000002"/>
    <n v="0.64700000000000002"/>
    <m/>
    <s v="马五41b"/>
    <x v="3"/>
    <n v="7"/>
    <s v="薄片"/>
    <n v="0.73799999999999999"/>
    <n v="0.15200000000000002"/>
  </r>
  <r>
    <s v="延982"/>
    <n v="3377.625"/>
    <n v="52.747"/>
    <n v="24.175999999999998"/>
    <n v="3.274"/>
    <n v="157.958"/>
    <n v="2.7610000000000001"/>
    <n v="7.3250000000000002"/>
    <n v="2.7890000000000001"/>
    <n v="310.21600000000001"/>
    <n v="321.80399999999997"/>
    <n v="0.27700000000000002"/>
    <n v="3.0000000000000001E-3"/>
    <n v="100"/>
    <n v="0.30299999999999999"/>
    <n v="0.17299999999999999"/>
    <n v="9.9000000000000005E-2"/>
    <n v="0.50700000000000001"/>
    <n v="0.46700000000000003"/>
    <m/>
    <s v="马五41b"/>
    <x v="3"/>
    <n v="3"/>
    <s v="薄片"/>
    <n v="0.40200000000000002"/>
    <n v="0.13"/>
  </r>
  <r>
    <s v="延982"/>
    <n v="3377.75"/>
    <n v="69.89"/>
    <n v="24.045000000000002"/>
    <n v="3.91"/>
    <n v="161.71100000000001"/>
    <n v="2.7480000000000002"/>
    <n v="7.5019999999999998"/>
    <n v="2.8"/>
    <n v="223.19800000000001"/>
    <n v="233.22300000000001"/>
    <n v="0.01"/>
    <n v="1E-3"/>
    <n v="100"/>
    <n v="0.42399999999999999"/>
    <n v="0.17799999999999999"/>
    <n v="0.13700000000000001"/>
    <n v="0.47299999999999998"/>
    <n v="0.48099999999999998"/>
    <m/>
    <s v="马五41b"/>
    <x v="3"/>
    <n v="3"/>
    <s v="薄片"/>
    <n v="0.56099999999999994"/>
    <n v="0.246"/>
  </r>
  <r>
    <s v="延982"/>
    <n v="3377.875"/>
    <n v="82.876000000000005"/>
    <n v="23.956"/>
    <n v="4.4020000000000001"/>
    <n v="166.369"/>
    <n v="2.74"/>
    <n v="7.9050000000000002"/>
    <n v="2.798"/>
    <n v="172.422"/>
    <n v="179.94"/>
    <n v="0.01"/>
    <n v="1E-3"/>
    <n v="100"/>
    <n v="0.51400000000000001"/>
    <n v="0.17699999999999999"/>
    <n v="0.183"/>
    <n v="0.45200000000000001"/>
    <n v="0.51100000000000001"/>
    <m/>
    <s v="马五41b"/>
    <x v="3"/>
    <n v="3"/>
    <s v="薄片"/>
    <n v="0.69700000000000006"/>
    <n v="0.33700000000000002"/>
  </r>
  <r>
    <s v="延982"/>
    <n v="3378"/>
    <n v="88.453999999999994"/>
    <n v="23.8"/>
    <n v="4.5529999999999999"/>
    <n v="170.965"/>
    <n v="2.738"/>
    <n v="8.4969999999999999"/>
    <n v="2.794"/>
    <n v="152.00399999999999"/>
    <n v="156.697"/>
    <n v="0.01"/>
    <n v="1E-3"/>
    <n v="100"/>
    <n v="0.55000000000000004"/>
    <n v="0.17599999999999999"/>
    <n v="0.22600000000000001"/>
    <n v="0.44500000000000001"/>
    <n v="0.55200000000000005"/>
    <m/>
    <s v="马五41b"/>
    <x v="3"/>
    <n v="3"/>
    <s v="薄片"/>
    <n v="0.77600000000000002"/>
    <n v="0.37400000000000005"/>
  </r>
  <r>
    <s v="延982"/>
    <n v="3378.125"/>
    <n v="85.625"/>
    <n v="23.606999999999999"/>
    <n v="4.2350000000000003"/>
    <n v="173.00299999999999"/>
    <n v="2.7269999999999999"/>
    <n v="8.8640000000000008"/>
    <n v="2.8170000000000002"/>
    <n v="156.571"/>
    <n v="164.364"/>
    <n v="0.01"/>
    <n v="1E-3"/>
    <n v="100"/>
    <n v="0.52600000000000002"/>
    <n v="0.189"/>
    <n v="0.24399999999999999"/>
    <n v="0.41599999999999998"/>
    <n v="0.57399999999999995"/>
    <m/>
    <s v="马五41b"/>
    <x v="3"/>
    <n v="3"/>
    <s v="薄片"/>
    <n v="0.77"/>
    <n v="0.33700000000000002"/>
  </r>
  <r>
    <s v="延981"/>
    <n v="3445.375"/>
    <n v="58.667999999999999"/>
    <n v="22.654"/>
    <n v="2.06"/>
    <n v="164.328"/>
    <n v="2.794"/>
    <n v="8.4689999999999994"/>
    <n v="3.4359999999999999"/>
    <n v="182.46600000000001"/>
    <n v="225.88399999999999"/>
    <n v="3.1589999999999998"/>
    <n v="0.01"/>
    <n v="51.137999999999998"/>
    <n v="0.29899999999999999"/>
    <n v="0.30499999999999999"/>
    <n v="0.17699999999999999"/>
    <n v="0.63600000000000001"/>
    <n v="0.67100000000000004"/>
    <m/>
    <s v="马五41b"/>
    <x v="3"/>
    <n v="5"/>
    <s v="岩心观察"/>
    <n v="0.47599999999999998"/>
    <n v="-6.0000000000000053E-3"/>
  </r>
  <r>
    <s v="延981"/>
    <n v="3445.5"/>
    <n v="82.53"/>
    <n v="22.713000000000001"/>
    <n v="3.3860000000000001"/>
    <n v="168.94900000000001"/>
    <n v="2.8"/>
    <n v="8.4169999999999998"/>
    <n v="3.5950000000000002"/>
    <n v="153.79499999999999"/>
    <n v="185.506"/>
    <n v="0.01"/>
    <n v="1E-3"/>
    <n v="100"/>
    <n v="0.46800000000000003"/>
    <n v="0.40699999999999997"/>
    <n v="0.24399999999999999"/>
    <n v="0.65700000000000003"/>
    <n v="0.66400000000000003"/>
    <m/>
    <s v="马五41b"/>
    <x v="3"/>
    <n v="5"/>
    <s v="岩心观察"/>
    <n v="0.71199999999999997"/>
    <n v="6.1000000000000054E-2"/>
  </r>
  <r>
    <s v="延981"/>
    <n v="3445.625"/>
    <n v="100.52200000000001"/>
    <n v="22.734000000000002"/>
    <n v="4.5599999999999996"/>
    <n v="173.917"/>
    <n v="2.8029999999999999"/>
    <n v="8.5050000000000008"/>
    <n v="3.681"/>
    <n v="136.37100000000001"/>
    <n v="163.39699999999999"/>
    <n v="0.01"/>
    <n v="1E-3"/>
    <n v="100"/>
    <n v="0.60699999999999998"/>
    <n v="0.45200000000000001"/>
    <n v="0.32"/>
    <n v="0.66600000000000004"/>
    <n v="0.66900000000000004"/>
    <m/>
    <s v="马五41b"/>
    <x v="3"/>
    <n v="5"/>
    <s v="岩心观察"/>
    <n v="0.92700000000000005"/>
    <n v="0.15499999999999997"/>
  </r>
  <r>
    <s v="延981"/>
    <n v="3445.75"/>
    <n v="106.554"/>
    <n v="22.748999999999999"/>
    <n v="4.8929999999999998"/>
    <n v="177.44200000000001"/>
    <n v="2.8090000000000002"/>
    <n v="8.6340000000000003"/>
    <n v="3.67"/>
    <n v="136.62899999999999"/>
    <n v="169.53"/>
    <n v="0.01"/>
    <n v="1E-3"/>
    <n v="100"/>
    <n v="0.66800000000000004"/>
    <n v="0.45600000000000002"/>
    <n v="0.378"/>
    <n v="0.68"/>
    <n v="0.67800000000000005"/>
    <m/>
    <s v="马五41b"/>
    <x v="3"/>
    <n v="5"/>
    <s v="岩心观察"/>
    <n v="1.046"/>
    <n v="0.21200000000000002"/>
  </r>
  <r>
    <s v="延981"/>
    <n v="3445.875"/>
    <n v="99.052000000000007"/>
    <n v="22.75"/>
    <n v="4.8179999999999996"/>
    <n v="178.53399999999999"/>
    <n v="2.8220000000000001"/>
    <n v="8.4860000000000007"/>
    <n v="3.6579999999999999"/>
    <n v="164.55699999999999"/>
    <n v="235.90799999999999"/>
    <n v="0.01"/>
    <n v="1E-3"/>
    <n v="100"/>
    <n v="0.63300000000000001"/>
    <n v="0.45100000000000001"/>
    <n v="0.40300000000000002"/>
    <n v="0.70899999999999996"/>
    <n v="0.67100000000000004"/>
    <m/>
    <s v="马五41b"/>
    <x v="3"/>
    <n v="5"/>
    <s v="岩心观察"/>
    <n v="1.036"/>
    <n v="0.182"/>
  </r>
  <r>
    <s v="延981"/>
    <n v="3446"/>
    <n v="78.53"/>
    <n v="22.753"/>
    <n v="4.47"/>
    <n v="177.21600000000001"/>
    <n v="2.8450000000000002"/>
    <n v="7.65"/>
    <n v="3.6240000000000001"/>
    <n v="246.54"/>
    <n v="513.07799999999997"/>
    <n v="0.01"/>
    <n v="1E-3"/>
    <n v="100"/>
    <n v="0.503"/>
    <n v="0.437"/>
    <n v="0.39"/>
    <n v="0.76300000000000001"/>
    <n v="0.61399999999999999"/>
    <m/>
    <s v="马五41b"/>
    <x v="3"/>
    <n v="5"/>
    <s v="岩心观察"/>
    <n v="0.89300000000000002"/>
    <n v="6.6000000000000003E-2"/>
  </r>
  <r>
    <s v="延981"/>
    <n v="3446.125"/>
    <n v="51.497999999999998"/>
    <n v="22.76"/>
    <n v="3.6619999999999999"/>
    <n v="174.5"/>
    <n v="2.871"/>
    <n v="6.0490000000000004"/>
    <n v="3.6469999999999998"/>
    <n v="443.73700000000002"/>
    <n v="1388.9010000000001"/>
    <n v="0.01"/>
    <n v="1E-3"/>
    <n v="100"/>
    <n v="0.317"/>
    <n v="0.443"/>
    <n v="0.35199999999999998"/>
    <n v="0.82799999999999996"/>
    <n v="0.496"/>
    <m/>
    <s v="马五41b"/>
    <x v="3"/>
    <n v="5"/>
    <s v="岩心观察"/>
    <n v="0.66900000000000004"/>
    <n v="-0.126"/>
  </r>
  <r>
    <s v="延1087"/>
    <n v="3395.125"/>
    <n v="48.912999999999997"/>
    <n v="21.931000000000001"/>
    <n v="3.399"/>
    <n v="160.66800000000001"/>
    <n v="2.8410000000000002"/>
    <n v="7.73"/>
    <n v="4.7370000000000001"/>
    <n v="427.65"/>
    <n v="420.34800000000001"/>
    <n v="2.0369999999999999"/>
    <n v="0.1"/>
    <n v="100"/>
    <n v="0.29899999999999999"/>
    <n v="0.61699999999999999"/>
    <n v="0.13200000000000001"/>
    <n v="0.72899999999999998"/>
    <n v="0.36099999999999999"/>
    <m/>
    <s v="马五41a"/>
    <x v="3"/>
    <n v="4"/>
    <s v="薄片"/>
    <n v="0.43099999999999999"/>
    <n v="-0.318"/>
  </r>
  <r>
    <s v="延1087"/>
    <n v="3395.25"/>
    <n v="66.393000000000001"/>
    <n v="21.87"/>
    <n v="3.5579999999999998"/>
    <n v="168.68299999999999"/>
    <n v="2.8380000000000001"/>
    <n v="8.7880000000000003"/>
    <n v="4.3719999999999999"/>
    <n v="263.404"/>
    <n v="243.755"/>
    <n v="2.133"/>
    <n v="0.1"/>
    <n v="100"/>
    <n v="0.437"/>
    <n v="0.50700000000000001"/>
    <n v="0.223"/>
    <n v="0.72199999999999998"/>
    <n v="0.42"/>
    <m/>
    <s v="马五41b"/>
    <x v="3"/>
    <n v="4"/>
    <s v="薄片"/>
    <n v="0.66"/>
    <n v="-7.0000000000000007E-2"/>
  </r>
  <r>
    <s v="延1087"/>
    <n v="3395.375"/>
    <n v="82.838999999999999"/>
    <n v="21.858000000000001"/>
    <n v="3.6459999999999999"/>
    <n v="175.06700000000001"/>
    <n v="2.8290000000000002"/>
    <n v="9.6210000000000004"/>
    <n v="4.0350000000000001"/>
    <n v="179.97499999999999"/>
    <n v="165.48599999999999"/>
    <n v="1.976"/>
    <n v="0.1"/>
    <n v="100"/>
    <n v="0.56699999999999995"/>
    <n v="0.40600000000000003"/>
    <n v="0.29499999999999998"/>
    <n v="0.7"/>
    <n v="0.46700000000000003"/>
    <m/>
    <s v="马五41b"/>
    <x v="3"/>
    <n v="4"/>
    <s v="薄片"/>
    <n v="0.86199999999999988"/>
    <n v="0.16099999999999992"/>
  </r>
  <r>
    <s v="延1087"/>
    <n v="3395.5"/>
    <n v="89.111000000000004"/>
    <n v="21.896000000000001"/>
    <n v="3.6320000000000001"/>
    <n v="178.108"/>
    <n v="2.819"/>
    <n v="6.9020000000000001"/>
    <n v="3.8"/>
    <n v="161.011"/>
    <n v="153.62899999999999"/>
    <n v="0.79300000000000004"/>
    <n v="0.1"/>
    <n v="100"/>
    <n v="0.61599999999999999"/>
    <n v="0.33500000000000002"/>
    <n v="0.33"/>
    <n v="0.67500000000000004"/>
    <n v="0.315"/>
    <m/>
    <s v="马五41b"/>
    <x v="3"/>
    <n v="4"/>
    <s v="薄片"/>
    <n v="0.94599999999999995"/>
    <n v="0.28099999999999997"/>
  </r>
  <r>
    <s v="延1087"/>
    <n v="3395.625"/>
    <n v="80.123000000000005"/>
    <n v="21.946999999999999"/>
    <n v="3.6160000000000001"/>
    <n v="178.16"/>
    <n v="2.8170000000000002"/>
    <n v="4.7510000000000003"/>
    <n v="3.5329999999999999"/>
    <n v="200.756"/>
    <n v="204.97800000000001"/>
    <n v="7.0999999999999994E-2"/>
    <n v="0.1"/>
    <n v="100"/>
    <n v="0.54500000000000004"/>
    <n v="0.255"/>
    <n v="0.33"/>
    <n v="0.67"/>
    <n v="0.19600000000000001"/>
    <m/>
    <s v="马五41b"/>
    <x v="3"/>
    <n v="4"/>
    <s v="薄片"/>
    <n v="0.875"/>
    <n v="0.29000000000000004"/>
  </r>
  <r>
    <s v="延1087"/>
    <n v="3395.75"/>
    <n v="60.936"/>
    <n v="21.966000000000001"/>
    <n v="3.536"/>
    <n v="176.488"/>
    <n v="2.8279999999999998"/>
    <n v="3.4089999999999998"/>
    <n v="3.2120000000000002"/>
    <n v="1114.694"/>
    <n v="1858.7550000000001"/>
    <n v="7.0999999999999994E-2"/>
    <n v="0.1"/>
    <n v="100"/>
    <n v="0.39400000000000002"/>
    <n v="0.158"/>
    <n v="0.311"/>
    <n v="0.69699999999999995"/>
    <n v="0.121"/>
    <m/>
    <s v="马五41b"/>
    <x v="3"/>
    <n v="4"/>
    <s v="薄片"/>
    <n v="0.70500000000000007"/>
    <n v="0.23600000000000002"/>
  </r>
  <r>
    <s v="延1952"/>
    <n v="3923.5"/>
    <n v="61.38"/>
    <n v="21.882999999999999"/>
    <n v="2.6619999999999999"/>
    <n v="162.768"/>
    <n v="2.758"/>
    <n v="6.7759999999999998"/>
    <n v="3.4159999999999999"/>
    <n v="1476.7739999999999"/>
    <n v="1649.463"/>
    <n v="0.01"/>
    <n v="1E-3"/>
    <n v="100"/>
    <n v="0.35299999999999998"/>
    <n v="0.50700000000000001"/>
    <n v="0.26"/>
    <n v="0.74399999999999999"/>
    <n v="0.35099999999999998"/>
    <m/>
    <s v="马五41b"/>
    <x v="3"/>
    <n v="6"/>
    <s v="薄片"/>
    <n v="0.61299999999999999"/>
    <n v="-0.15400000000000003"/>
  </r>
  <r>
    <s v="延1952"/>
    <n v="3923.625"/>
    <n v="71.429000000000002"/>
    <n v="21.922000000000001"/>
    <n v="2.4159999999999999"/>
    <n v="164.05799999999999"/>
    <n v="2.7629999999999999"/>
    <n v="7.3140000000000001"/>
    <n v="3.4089999999999998"/>
    <n v="1411.028"/>
    <n v="1576.048"/>
    <n v="0.01"/>
    <n v="1E-3"/>
    <n v="100"/>
    <n v="0.44500000000000001"/>
    <n v="0.50600000000000001"/>
    <n v="0.30299999999999999"/>
    <n v="0.76500000000000001"/>
    <n v="0.39700000000000002"/>
    <m/>
    <s v="马五41b"/>
    <x v="3"/>
    <n v="6"/>
    <s v="薄片"/>
    <n v="0.748"/>
    <n v="-6.0999999999999999E-2"/>
  </r>
  <r>
    <s v="延1952"/>
    <n v="3923.75"/>
    <n v="76.876999999999995"/>
    <n v="21.945"/>
    <n v="2.1070000000000002"/>
    <n v="164.82"/>
    <n v="2.7709999999999999"/>
    <n v="7.9790000000000001"/>
    <n v="3.3730000000000002"/>
    <n v="1304.385"/>
    <n v="1456.9369999999999"/>
    <n v="0.01"/>
    <n v="1E-3"/>
    <n v="100"/>
    <n v="0.504"/>
    <n v="0.48499999999999999"/>
    <n v="0.33"/>
    <n v="0.80200000000000005"/>
    <n v="0.45600000000000002"/>
    <m/>
    <s v="马五41b"/>
    <x v="3"/>
    <n v="6"/>
    <s v="薄片"/>
    <n v="0.83400000000000007"/>
    <n v="1.9000000000000017E-2"/>
  </r>
  <r>
    <s v="延1952"/>
    <n v="3923.875"/>
    <n v="75.316999999999993"/>
    <n v="21.954999999999998"/>
    <n v="1.8220000000000001"/>
    <n v="165.16"/>
    <n v="2.778"/>
    <n v="8.6959999999999997"/>
    <n v="3.3140000000000001"/>
    <n v="1266.8119999999999"/>
    <n v="1414.9690000000001"/>
    <n v="0.01"/>
    <n v="1E-3"/>
    <n v="100"/>
    <n v="0.503"/>
    <n v="0.44800000000000001"/>
    <n v="0.34399999999999997"/>
    <n v="0.83799999999999997"/>
    <n v="0.52100000000000002"/>
    <m/>
    <s v="马五41b"/>
    <x v="3"/>
    <n v="6"/>
    <s v="薄片"/>
    <n v="0.84699999999999998"/>
    <n v="5.4999999999999993E-2"/>
  </r>
  <r>
    <s v="延1952"/>
    <n v="3924"/>
    <n v="69.722999999999999"/>
    <n v="21.959"/>
    <n v="1.6459999999999999"/>
    <n v="165.292"/>
    <n v="2.7810000000000001"/>
    <n v="9.3490000000000002"/>
    <n v="3.2429999999999999"/>
    <n v="1307.0029999999999"/>
    <n v="1459.846"/>
    <n v="0.01"/>
    <n v="1E-3"/>
    <n v="100"/>
    <n v="0.45900000000000002"/>
    <n v="0.40100000000000002"/>
    <n v="0.34899999999999998"/>
    <n v="0.85699999999999998"/>
    <n v="0.58199999999999996"/>
    <m/>
    <s v="马五41b"/>
    <x v="3"/>
    <n v="6"/>
    <s v="薄片"/>
    <n v="0.80800000000000005"/>
    <n v="5.7999999999999996E-2"/>
  </r>
  <r>
    <s v="延1952"/>
    <n v="3924.125"/>
    <n v="60.658999999999999"/>
    <n v="21.957999999999998"/>
    <n v="1.5289999999999999"/>
    <n v="165.249"/>
    <n v="2.778"/>
    <n v="9.7110000000000003"/>
    <n v="3.1739999999999999"/>
    <n v="1385.4110000000001"/>
    <n v="1547.4"/>
    <n v="0.01"/>
    <n v="1E-3"/>
    <n v="100"/>
    <n v="0.38100000000000001"/>
    <n v="0.35299999999999998"/>
    <n v="0.34899999999999998"/>
    <n v="0.84799999999999998"/>
    <n v="0.621"/>
    <m/>
    <s v="马五41b"/>
    <x v="3"/>
    <n v="6"/>
    <s v="薄片"/>
    <n v="0.73"/>
    <n v="2.8000000000000025E-2"/>
  </r>
  <r>
    <s v="延1952"/>
    <n v="3924.25"/>
    <n v="46.832999999999998"/>
    <n v="21.946000000000002"/>
    <n v="1.389"/>
    <n v="164.87899999999999"/>
    <n v="2.7709999999999999"/>
    <n v="9.5790000000000006"/>
    <n v="3.1139999999999999"/>
    <n v="1497.5440000000001"/>
    <n v="1672.5139999999999"/>
    <n v="0.01"/>
    <n v="1E-3"/>
    <n v="100"/>
    <n v="0.26200000000000001"/>
    <n v="0.31"/>
    <n v="0.33900000000000002"/>
    <n v="0.81699999999999995"/>
    <n v="0.61799999999999999"/>
    <m/>
    <s v="马五41b"/>
    <x v="3"/>
    <n v="6"/>
    <s v="薄片"/>
    <n v="0.60099999999999998"/>
    <n v="-4.7999999999999987E-2"/>
  </r>
  <r>
    <s v="延949"/>
    <n v="3859"/>
    <n v="43.610999999999997"/>
    <n v="22.826000000000001"/>
    <n v="3.4689999999999999"/>
    <n v="162.512"/>
    <n v="2.7730000000000001"/>
    <n v="8.18"/>
    <n v="2.8210000000000002"/>
    <n v="78.17"/>
    <n v="108.05800000000001"/>
    <n v="0.96899999999999997"/>
    <n v="1E-3"/>
    <n v="82.216999999999999"/>
    <n v="0.20100000000000001"/>
    <n v="0.13500000000000001"/>
    <n v="0.10299999999999999"/>
    <n v="0.61799999999999999"/>
    <n v="0.53800000000000003"/>
    <s v="含气层"/>
    <s v="马五41b"/>
    <x v="3"/>
    <n v="9"/>
    <s v="取心"/>
    <n v="0.30399999999999999"/>
    <n v="6.6000000000000003E-2"/>
  </r>
  <r>
    <s v="延949"/>
    <n v="3859.125"/>
    <n v="58.162999999999997"/>
    <n v="22.844999999999999"/>
    <n v="3.8530000000000002"/>
    <n v="166.59100000000001"/>
    <n v="2.774"/>
    <n v="8.6120000000000001"/>
    <n v="2.9529999999999998"/>
    <n v="76.182000000000002"/>
    <n v="105.637"/>
    <n v="6.6000000000000003E-2"/>
    <n v="0"/>
    <n v="99.025999999999996"/>
    <n v="0.315"/>
    <n v="0.36899999999999999"/>
    <n v="0.155"/>
    <n v="0.63"/>
    <n v="0.59"/>
    <m/>
    <s v="马五41b"/>
    <x v="3"/>
    <n v="9"/>
    <s v="取心"/>
    <n v="0.47"/>
    <n v="-5.3999999999999992E-2"/>
  </r>
  <r>
    <s v="延949"/>
    <n v="3859.25"/>
    <n v="72.888999999999996"/>
    <n v="22.844000000000001"/>
    <n v="3.87"/>
    <n v="171.88300000000001"/>
    <n v="2.7669999999999999"/>
    <n v="9.1750000000000007"/>
    <n v="3.073"/>
    <n v="72.888000000000005"/>
    <n v="101.372"/>
    <n v="0"/>
    <n v="0"/>
    <n v="100"/>
    <n v="0.434"/>
    <n v="0.59499999999999997"/>
    <n v="0.22600000000000001"/>
    <n v="0.59899999999999998"/>
    <n v="0.66100000000000003"/>
    <m/>
    <s v="马五41b"/>
    <x v="3"/>
    <n v="9"/>
    <s v="取心"/>
    <n v="0.66"/>
    <n v="-0.16099999999999998"/>
  </r>
  <r>
    <s v="延949"/>
    <n v="3859.375"/>
    <n v="82.287000000000006"/>
    <n v="22.83"/>
    <n v="3.68"/>
    <n v="176.096"/>
    <n v="2.76"/>
    <n v="9.423"/>
    <n v="3.1760000000000002"/>
    <n v="71.897000000000006"/>
    <n v="100.82"/>
    <n v="0"/>
    <n v="0"/>
    <n v="100"/>
    <n v="0.51400000000000001"/>
    <n v="0.79"/>
    <n v="0.28599999999999998"/>
    <n v="0.56299999999999994"/>
    <n v="0.69799999999999995"/>
    <m/>
    <s v="马五41b"/>
    <x v="3"/>
    <n v="9"/>
    <s v="取心"/>
    <n v="0.8"/>
    <n v="-0.27600000000000002"/>
  </r>
  <r>
    <s v="延949"/>
    <n v="3859.5"/>
    <n v="83.146000000000001"/>
    <n v="22.832999999999998"/>
    <n v="3.528"/>
    <n v="177.83699999999999"/>
    <n v="2.758"/>
    <n v="9.0419999999999998"/>
    <n v="3.254"/>
    <n v="77.228999999999999"/>
    <n v="110.383"/>
    <n v="0"/>
    <n v="0"/>
    <n v="100"/>
    <n v="0.52900000000000003"/>
    <n v="0.94"/>
    <n v="0.313"/>
    <n v="0.55000000000000004"/>
    <n v="0.65700000000000003"/>
    <m/>
    <s v="马五41b"/>
    <x v="3"/>
    <n v="9"/>
    <s v="取心"/>
    <n v="0.84200000000000008"/>
    <n v="-0.41099999999999992"/>
  </r>
  <r>
    <s v="延949"/>
    <n v="3859.625"/>
    <n v="77.611000000000004"/>
    <n v="22.844000000000001"/>
    <n v="3.399"/>
    <n v="177.03800000000001"/>
    <n v="2.7639999999999998"/>
    <n v="8.2119999999999997"/>
    <n v="3.278"/>
    <n v="92.632999999999996"/>
    <n v="136.006"/>
    <n v="0"/>
    <n v="0"/>
    <n v="100"/>
    <n v="0.48899999999999999"/>
    <n v="0.995"/>
    <n v="0.30599999999999999"/>
    <n v="0.57599999999999996"/>
    <n v="0.55500000000000005"/>
    <m/>
    <s v="马五41b"/>
    <x v="3"/>
    <n v="9"/>
    <s v="取心"/>
    <n v="0.79499999999999993"/>
    <n v="-0.50600000000000001"/>
  </r>
  <r>
    <s v="延949"/>
    <n v="3859.75"/>
    <n v="70.415999999999997"/>
    <n v="22.829000000000001"/>
    <n v="3.1930000000000001"/>
    <n v="174.51"/>
    <n v="2.7730000000000001"/>
    <n v="7.3470000000000004"/>
    <n v="3.2589999999999999"/>
    <n v="120.322"/>
    <n v="180.708"/>
    <n v="0"/>
    <n v="0"/>
    <n v="100"/>
    <n v="0.432"/>
    <n v="0.96799999999999997"/>
    <n v="0.27300000000000002"/>
    <n v="0.621"/>
    <n v="0.442"/>
    <m/>
    <s v="马五41b"/>
    <x v="3"/>
    <n v="9"/>
    <s v="取心"/>
    <n v="0.70500000000000007"/>
    <n v="-0.53600000000000003"/>
  </r>
  <r>
    <s v="延982"/>
    <n v="3383"/>
    <n v="48.252000000000002"/>
    <n v="23.202000000000002"/>
    <n v="3.3980000000000001"/>
    <n v="157.99100000000001"/>
    <n v="2.8090000000000002"/>
    <n v="3.4489999999999998"/>
    <n v="3.0779999999999998"/>
    <n v="464.815"/>
    <n v="530.53399999999999"/>
    <n v="0.01"/>
    <n v="1E-3"/>
    <n v="100"/>
    <n v="0.26600000000000001"/>
    <n v="0.313"/>
    <n v="9.9000000000000005E-2"/>
    <n v="0.64"/>
    <n v="0.19500000000000001"/>
    <m/>
    <s v="马五41b"/>
    <x v="3"/>
    <n v="9"/>
    <m/>
    <n v="0.36499999999999999"/>
    <n v="-4.6999999999999986E-2"/>
  </r>
  <r>
    <s v="延982"/>
    <n v="3383.125"/>
    <n v="56.25"/>
    <n v="23.17"/>
    <n v="3.5350000000000001"/>
    <n v="161.58799999999999"/>
    <n v="2.8170000000000002"/>
    <n v="4.4370000000000003"/>
    <n v="3.1150000000000002"/>
    <n v="337.86399999999998"/>
    <n v="388.49400000000003"/>
    <n v="0.01"/>
    <n v="1E-3"/>
    <n v="100"/>
    <n v="0.32200000000000001"/>
    <n v="0.33100000000000002"/>
    <n v="0.13500000000000001"/>
    <n v="0.66200000000000003"/>
    <n v="0.26500000000000001"/>
    <m/>
    <s v="马五41b"/>
    <x v="3"/>
    <n v="9"/>
    <m/>
    <n v="0.45700000000000002"/>
    <n v="-9.000000000000008E-3"/>
  </r>
  <r>
    <s v="延982"/>
    <n v="3383.25"/>
    <n v="62.06"/>
    <n v="23.164000000000001"/>
    <n v="3.6829999999999998"/>
    <n v="165.93600000000001"/>
    <n v="2.8250000000000002"/>
    <n v="5.3040000000000003"/>
    <n v="3.15"/>
    <n v="268.98899999999998"/>
    <n v="308.44400000000002"/>
    <n v="0.01"/>
    <n v="1E-3"/>
    <n v="100"/>
    <n v="0.36299999999999999"/>
    <n v="0.34699999999999998"/>
    <n v="0.17799999999999999"/>
    <n v="0.68300000000000005"/>
    <n v="0.32400000000000001"/>
    <m/>
    <s v="马五41b"/>
    <x v="3"/>
    <n v="9"/>
    <m/>
    <n v="0.54099999999999993"/>
    <n v="1.6000000000000014E-2"/>
  </r>
  <r>
    <s v="延982"/>
    <n v="3383.375"/>
    <n v="65.718999999999994"/>
    <n v="23.184000000000001"/>
    <n v="3.802"/>
    <n v="169.94"/>
    <n v="2.8330000000000002"/>
    <n v="5.7489999999999997"/>
    <n v="3.1819999999999999"/>
    <n v="234.16499999999999"/>
    <n v="265.81700000000001"/>
    <n v="0.01"/>
    <n v="1E-3"/>
    <n v="100"/>
    <n v="0.38800000000000001"/>
    <n v="0.36299999999999999"/>
    <n v="0.216"/>
    <n v="0.70399999999999996"/>
    <n v="0.35299999999999998"/>
    <m/>
    <s v="马五41b"/>
    <x v="3"/>
    <n v="9"/>
    <m/>
    <n v="0.60399999999999998"/>
    <n v="2.5000000000000022E-2"/>
  </r>
  <r>
    <s v="延982"/>
    <n v="3383.5"/>
    <n v="66.748000000000005"/>
    <n v="23.21"/>
    <n v="3.8769999999999998"/>
    <n v="172.47399999999999"/>
    <n v="2.8330000000000002"/>
    <n v="5.5830000000000002"/>
    <n v="3.214"/>
    <n v="222.858"/>
    <n v="248.886"/>
    <n v="0.01"/>
    <n v="1E-3"/>
    <n v="100"/>
    <n v="0.39300000000000002"/>
    <n v="0.378"/>
    <n v="0.24"/>
    <n v="0.70199999999999996"/>
    <n v="0.33900000000000002"/>
    <m/>
    <s v="马五41b"/>
    <x v="3"/>
    <n v="9"/>
    <m/>
    <n v="0.63300000000000001"/>
    <n v="1.5000000000000013E-2"/>
  </r>
  <r>
    <s v="延982"/>
    <n v="3383.625"/>
    <n v="63.636000000000003"/>
    <n v="23.248000000000001"/>
    <n v="3.99"/>
    <n v="173.303"/>
    <n v="2.8239999999999998"/>
    <n v="4.99"/>
    <n v="3.2450000000000001"/>
    <n v="230.63800000000001"/>
    <n v="253.179"/>
    <n v="0.01"/>
    <n v="1E-3"/>
    <n v="100"/>
    <n v="0.36799999999999999"/>
    <n v="0.39300000000000002"/>
    <n v="0.247"/>
    <n v="0.67700000000000005"/>
    <n v="0.29599999999999999"/>
    <m/>
    <s v="马五41b"/>
    <x v="3"/>
    <n v="9"/>
    <m/>
    <n v="0.61499999999999999"/>
    <n v="-2.5000000000000022E-2"/>
  </r>
  <r>
    <s v="延982"/>
    <n v="3383.75"/>
    <n v="55.613"/>
    <n v="23.312999999999999"/>
    <n v="3.8210000000000002"/>
    <n v="172.01900000000001"/>
    <n v="2.8119999999999998"/>
    <n v="4.3010000000000002"/>
    <n v="3.2709999999999999"/>
    <n v="256.738"/>
    <n v="278.26400000000001"/>
    <n v="0.01"/>
    <n v="1E-3"/>
    <n v="100"/>
    <n v="0.31"/>
    <n v="0.40500000000000003"/>
    <n v="0.23300000000000001"/>
    <n v="0.64500000000000002"/>
    <n v="0.247"/>
    <m/>
    <s v="马五41b"/>
    <x v="3"/>
    <n v="9"/>
    <m/>
    <n v="0.54300000000000004"/>
    <n v="-9.5000000000000029E-2"/>
  </r>
  <r>
    <s v="延982"/>
    <n v="3383.875"/>
    <n v="45.945"/>
    <n v="23.367999999999999"/>
    <n v="3.2949999999999999"/>
    <n v="168.77199999999999"/>
    <n v="2.802"/>
    <n v="3.6909999999999998"/>
    <n v="3.2810000000000001"/>
    <n v="291.35899999999998"/>
    <n v="315.08600000000001"/>
    <n v="0.01"/>
    <n v="1E-3"/>
    <n v="100"/>
    <n v="0.24099999999999999"/>
    <n v="0.40899999999999997"/>
    <n v="0.20100000000000001"/>
    <n v="0.62"/>
    <n v="0.20399999999999999"/>
    <m/>
    <s v="马五41b"/>
    <x v="3"/>
    <n v="9"/>
    <m/>
    <n v="0.442"/>
    <n v="-0.16799999999999998"/>
  </r>
  <r>
    <s v="延1087"/>
    <n v="3401.75"/>
    <n v="49.024000000000001"/>
    <n v="22.407"/>
    <n v="3.2730000000000001"/>
    <n v="179.96199999999999"/>
    <n v="2.835"/>
    <n v="8.2910000000000004"/>
    <n v="4.1609999999999996"/>
    <n v="390.32600000000002"/>
    <n v="391.54199999999997"/>
    <n v="2.14"/>
    <n v="0.1"/>
    <n v="100"/>
    <n v="0.3"/>
    <n v="0.44400000000000001"/>
    <n v="0.35099999999999998"/>
    <n v="0.71399999999999997"/>
    <n v="0.39300000000000002"/>
    <m/>
    <s v="马五41b"/>
    <x v="3"/>
    <n v="11"/>
    <m/>
    <n v="0.65100000000000002"/>
    <n v="-0.14400000000000002"/>
  </r>
  <r>
    <s v="延1087"/>
    <n v="3401.875"/>
    <n v="59.12"/>
    <n v="22.44"/>
    <n v="3.5350000000000001"/>
    <n v="192.85599999999999"/>
    <n v="2.827"/>
    <n v="8.9309999999999992"/>
    <n v="3.706"/>
    <n v="294.97899999999998"/>
    <n v="296.7"/>
    <n v="2.1800000000000002"/>
    <n v="0.1"/>
    <n v="100"/>
    <n v="0.38"/>
    <n v="0.307"/>
    <n v="0.497"/>
    <n v="0.69499999999999995"/>
    <n v="0.42799999999999999"/>
    <m/>
    <s v="马五41b"/>
    <x v="3"/>
    <n v="11"/>
    <m/>
    <n v="0.877"/>
    <n v="7.3000000000000009E-2"/>
  </r>
  <r>
    <s v="延1087"/>
    <n v="3402"/>
    <n v="68.376000000000005"/>
    <n v="22.486000000000001"/>
    <n v="3.6179999999999999"/>
    <n v="214.47200000000001"/>
    <n v="2.831"/>
    <n v="9.1419999999999995"/>
    <n v="3.218"/>
    <n v="250.04900000000001"/>
    <n v="252.821"/>
    <n v="1.617"/>
    <n v="0.1"/>
    <n v="100"/>
    <n v="0.45300000000000001"/>
    <n v="0.16"/>
    <n v="0.74199999999999999"/>
    <n v="0.70399999999999996"/>
    <n v="0.44"/>
    <m/>
    <s v="马五41b"/>
    <x v="3"/>
    <n v="11"/>
    <m/>
    <n v="1.1950000000000001"/>
    <n v="0.29300000000000004"/>
  </r>
  <r>
    <s v="延1087"/>
    <n v="3402.125"/>
    <n v="74.495000000000005"/>
    <n v="22.547999999999998"/>
    <n v="3.5329999999999999"/>
    <n v="230.38300000000001"/>
    <n v="2.843"/>
    <n v="9.11"/>
    <n v="2.9769999999999999"/>
    <n v="233.14599999999999"/>
    <n v="236.173"/>
    <n v="0.96599999999999997"/>
    <n v="0.1"/>
    <n v="100"/>
    <n v="0.501"/>
    <n v="8.7999999999999995E-2"/>
    <n v="0.92300000000000004"/>
    <n v="0.73399999999999999"/>
    <n v="0.438"/>
    <m/>
    <s v="马五41b"/>
    <x v="3"/>
    <n v="11"/>
    <m/>
    <n v="1.4239999999999999"/>
    <n v="0.41300000000000003"/>
  </r>
  <r>
    <s v="延1087"/>
    <n v="3402.25"/>
    <n v="76.477999999999994"/>
    <n v="22.605"/>
    <n v="3.4089999999999998"/>
    <n v="229.37700000000001"/>
    <n v="2.855"/>
    <n v="8.9949999999999992"/>
    <n v="2.9830000000000001"/>
    <n v="228.47300000000001"/>
    <n v="231.25700000000001"/>
    <n v="0.65800000000000003"/>
    <n v="0.1"/>
    <n v="100"/>
    <n v="0.51700000000000002"/>
    <n v="0.09"/>
    <n v="0.91100000000000003"/>
    <n v="0.76400000000000001"/>
    <n v="0.432"/>
    <m/>
    <s v="马五41b"/>
    <x v="3"/>
    <n v="11"/>
    <m/>
    <n v="1.4279999999999999"/>
    <n v="0.42700000000000005"/>
  </r>
  <r>
    <s v="延1087"/>
    <n v="3402.375"/>
    <n v="74.72"/>
    <n v="22.628"/>
    <n v="3.347"/>
    <n v="216.93199999999999"/>
    <n v="2.86"/>
    <n v="9.0020000000000007"/>
    <n v="3.1309999999999998"/>
    <n v="227.54300000000001"/>
    <n v="229.458"/>
    <n v="0.57399999999999995"/>
    <n v="0.1"/>
    <n v="100"/>
    <n v="0.503"/>
    <n v="0.13400000000000001"/>
    <n v="0.77"/>
    <n v="0.77600000000000002"/>
    <n v="0.432"/>
    <m/>
    <s v="马五41b"/>
    <x v="3"/>
    <n v="11"/>
    <m/>
    <n v="1.2730000000000001"/>
    <n v="0.36899999999999999"/>
  </r>
  <r>
    <s v="延1087"/>
    <n v="3402.5"/>
    <n v="70.031000000000006"/>
    <n v="22.620999999999999"/>
    <n v="3.234"/>
    <n v="195.74100000000001"/>
    <n v="2.8559999999999999"/>
    <n v="9.3780000000000001"/>
    <n v="3.3959999999999999"/>
    <n v="222.74299999999999"/>
    <n v="223.29599999999999"/>
    <n v="0.622"/>
    <n v="0.1"/>
    <n v="100"/>
    <n v="0.46600000000000003"/>
    <n v="0.214"/>
    <n v="0.53"/>
    <n v="0.76600000000000001"/>
    <n v="0.45300000000000001"/>
    <m/>
    <s v="马五41b"/>
    <x v="3"/>
    <n v="11"/>
    <m/>
    <n v="0.996"/>
    <n v="0.252"/>
  </r>
  <r>
    <s v="延1087"/>
    <n v="3402.625"/>
    <n v="65.462999999999994"/>
    <n v="22.6"/>
    <n v="2.927"/>
    <n v="180.23500000000001"/>
    <n v="2.84"/>
    <n v="9.9290000000000003"/>
    <n v="3.7309999999999999"/>
    <n v="209.75800000000001"/>
    <n v="209.35300000000001"/>
    <n v="0.78700000000000003"/>
    <n v="0.1"/>
    <n v="100"/>
    <n v="0.43"/>
    <n v="0.314"/>
    <n v="0.35399999999999998"/>
    <n v="0.72699999999999998"/>
    <n v="0.48399999999999999"/>
    <m/>
    <s v="马五41b"/>
    <x v="3"/>
    <n v="11"/>
    <m/>
    <n v="0.78400000000000003"/>
    <n v="0.11599999999999999"/>
  </r>
  <r>
    <s v="延1087"/>
    <n v="3402.75"/>
    <n v="64.069000000000003"/>
    <n v="22.582999999999998"/>
    <n v="2.6019999999999999"/>
    <n v="175.40899999999999"/>
    <n v="2.8159999999999998"/>
    <n v="10.173999999999999"/>
    <n v="3.9980000000000002"/>
    <n v="192.535"/>
    <n v="192.25700000000001"/>
    <n v="1.0489999999999999"/>
    <n v="0.1"/>
    <n v="100"/>
    <n v="0.41899999999999998"/>
    <n v="0.39500000000000002"/>
    <n v="0.29899999999999999"/>
    <n v="0.66700000000000004"/>
    <n v="0.497"/>
    <m/>
    <s v="马五41b"/>
    <x v="3"/>
    <n v="11"/>
    <m/>
    <n v="0.71799999999999997"/>
    <n v="2.3999999999999966E-2"/>
  </r>
  <r>
    <s v="延1087"/>
    <n v="3402.875"/>
    <n v="65.87"/>
    <n v="22.585999999999999"/>
    <n v="2.427"/>
    <n v="174.8"/>
    <n v="2.7949999999999999"/>
    <n v="9.9469999999999992"/>
    <n v="4.085"/>
    <n v="180.596"/>
    <n v="180.947"/>
    <n v="1.228"/>
    <n v="0.1"/>
    <n v="100"/>
    <n v="0.433"/>
    <n v="0.42099999999999999"/>
    <n v="0.29199999999999998"/>
    <n v="0.61599999999999999"/>
    <n v="0.48499999999999999"/>
    <m/>
    <s v="马五41b"/>
    <x v="3"/>
    <n v="11"/>
    <m/>
    <n v="0.72499999999999998"/>
    <n v="1.2000000000000011E-2"/>
  </r>
  <r>
    <s v="延1087"/>
    <n v="3403"/>
    <n v="66.438000000000002"/>
    <n v="22.611000000000001"/>
    <n v="2.3439999999999999"/>
    <n v="173.85"/>
    <n v="2.7890000000000001"/>
    <n v="9.593"/>
    <n v="4.0679999999999996"/>
    <n v="177.06100000000001"/>
    <n v="177.52799999999999"/>
    <n v="1.1000000000000001"/>
    <n v="0.1"/>
    <n v="100"/>
    <n v="0.437"/>
    <n v="0.41599999999999998"/>
    <n v="0.28100000000000003"/>
    <n v="0.60099999999999998"/>
    <n v="0.46500000000000002"/>
    <m/>
    <s v="马五41b"/>
    <x v="3"/>
    <n v="11"/>
    <m/>
    <n v="0.71799999999999997"/>
    <n v="2.1000000000000019E-2"/>
  </r>
  <r>
    <s v="延1087"/>
    <n v="3403.125"/>
    <n v="63.89"/>
    <n v="22.646000000000001"/>
    <n v="2.2850000000000001"/>
    <n v="171.45500000000001"/>
    <n v="2.802"/>
    <n v="9.26"/>
    <n v="4.0529999999999999"/>
    <n v="178.21700000000001"/>
    <n v="178.51"/>
    <n v="0.74399999999999999"/>
    <n v="0.1"/>
    <n v="100"/>
    <n v="0.41699999999999998"/>
    <n v="0.41099999999999998"/>
    <n v="0.254"/>
    <n v="0.63300000000000001"/>
    <n v="0.44600000000000001"/>
    <m/>
    <s v="马五41b"/>
    <x v="3"/>
    <n v="11"/>
    <m/>
    <n v="0.67100000000000004"/>
    <n v="6.0000000000000053E-3"/>
  </r>
  <r>
    <s v="延1087"/>
    <n v="3403.25"/>
    <n v="61.527999999999999"/>
    <n v="22.693999999999999"/>
    <n v="2.2810000000000001"/>
    <n v="170.846"/>
    <n v="2.819"/>
    <n v="8.9469999999999992"/>
    <n v="4.0940000000000003"/>
    <n v="181.142"/>
    <n v="181.393"/>
    <n v="0.52100000000000002"/>
    <n v="0.1"/>
    <n v="100"/>
    <n v="0.39900000000000002"/>
    <n v="0.42399999999999999"/>
    <n v="0.247"/>
    <n v="0.67500000000000004"/>
    <n v="0.42899999999999999"/>
    <m/>
    <s v="马五41b"/>
    <x v="3"/>
    <n v="11"/>
    <m/>
    <n v="0.64600000000000002"/>
    <n v="-2.4999999999999967E-2"/>
  </r>
  <r>
    <s v="延1087"/>
    <n v="3403.375"/>
    <n v="62.886000000000003"/>
    <n v="22.72"/>
    <n v="2.3220000000000001"/>
    <n v="173.81100000000001"/>
    <n v="2.8220000000000001"/>
    <n v="8.8469999999999995"/>
    <n v="4.319"/>
    <n v="185.184"/>
    <n v="184.964"/>
    <n v="0.58599999999999997"/>
    <n v="0.1"/>
    <n v="100"/>
    <n v="0.40899999999999997"/>
    <n v="0.49099999999999999"/>
    <n v="0.28100000000000003"/>
    <n v="0.68200000000000005"/>
    <n v="0.42299999999999999"/>
    <m/>
    <s v="马五41b"/>
    <x v="3"/>
    <n v="11"/>
    <m/>
    <n v="0.69"/>
    <n v="-8.2000000000000017E-2"/>
  </r>
  <r>
    <s v="延1087"/>
    <n v="3403.5"/>
    <n v="66.290999999999997"/>
    <n v="22.670999999999999"/>
    <n v="2.4329999999999998"/>
    <n v="177.607"/>
    <n v="2.8090000000000002"/>
    <n v="9.298"/>
    <n v="4.6139999999999999"/>
    <n v="188.49799999999999"/>
    <n v="186.76599999999999"/>
    <n v="1.026"/>
    <n v="0.1"/>
    <n v="100"/>
    <n v="0.436"/>
    <n v="0.57999999999999996"/>
    <n v="0.32400000000000001"/>
    <n v="0.65"/>
    <n v="0.44900000000000001"/>
    <m/>
    <s v="马五41b"/>
    <x v="3"/>
    <n v="11"/>
    <m/>
    <n v="0.76"/>
    <n v="-0.14399999999999996"/>
  </r>
  <r>
    <s v="延1087"/>
    <n v="3403.625"/>
    <n v="67.649000000000001"/>
    <n v="22.547999999999998"/>
    <n v="2.5910000000000002"/>
    <n v="178.81800000000001"/>
    <n v="2.79"/>
    <n v="10.31"/>
    <n v="4.7839999999999998"/>
    <n v="189.453"/>
    <n v="185.15700000000001"/>
    <n v="1.8240000000000001"/>
    <n v="0.1"/>
    <n v="100"/>
    <n v="0.44700000000000001"/>
    <n v="0.63100000000000001"/>
    <n v="0.33800000000000002"/>
    <n v="0.60299999999999998"/>
    <n v="0.505"/>
    <m/>
    <s v="马五41b"/>
    <x v="3"/>
    <n v="11"/>
    <m/>
    <n v="0.78500000000000003"/>
    <n v="-0.184"/>
  </r>
  <r>
    <s v="延1087"/>
    <n v="3403.75"/>
    <n v="65.762"/>
    <n v="22.411999999999999"/>
    <n v="2.6629999999999998"/>
    <n v="177.96299999999999"/>
    <n v="2.7789999999999999"/>
    <n v="11.315"/>
    <n v="4.633"/>
    <n v="187.58799999999999"/>
    <n v="179.81"/>
    <n v="2.35"/>
    <n v="0.1"/>
    <n v="100"/>
    <n v="0.432"/>
    <n v="0.58599999999999997"/>
    <n v="0.32800000000000001"/>
    <n v="0.57599999999999996"/>
    <n v="0.56100000000000005"/>
    <m/>
    <s v="马五41b"/>
    <x v="3"/>
    <n v="11"/>
    <m/>
    <n v="0.76"/>
    <n v="-0.15399999999999997"/>
  </r>
  <r>
    <s v="延1087"/>
    <n v="3403.875"/>
    <n v="63.087000000000003"/>
    <n v="22.347000000000001"/>
    <n v="2.516"/>
    <n v="171.55"/>
    <n v="2.7759999999999998"/>
    <n v="11.826000000000001"/>
    <n v="4.2309999999999999"/>
    <n v="178.13300000000001"/>
    <n v="166.51599999999999"/>
    <n v="1.992"/>
    <n v="0.1"/>
    <n v="100"/>
    <n v="0.41099999999999998"/>
    <n v="0.46500000000000002"/>
    <n v="0.255"/>
    <n v="0.56899999999999995"/>
    <n v="0.58899999999999997"/>
    <m/>
    <s v="马五41b"/>
    <x v="3"/>
    <n v="11"/>
    <m/>
    <n v="0.66599999999999993"/>
    <n v="-5.4000000000000048E-2"/>
  </r>
  <r>
    <s v="延1087"/>
    <n v="3404"/>
    <n v="63.988999999999997"/>
    <n v="22.388000000000002"/>
    <n v="2.234"/>
    <n v="169.39599999999999"/>
    <n v="2.766"/>
    <n v="12.148999999999999"/>
    <n v="3.7770000000000001"/>
    <n v="154.05199999999999"/>
    <n v="140.05600000000001"/>
    <n v="1.3240000000000001"/>
    <n v="0.1"/>
    <n v="100"/>
    <n v="0.41799999999999998"/>
    <n v="0.32800000000000001"/>
    <n v="0.23100000000000001"/>
    <n v="0.54400000000000004"/>
    <n v="0.60699999999999998"/>
    <m/>
    <s v="马五41b"/>
    <x v="3"/>
    <n v="11"/>
    <m/>
    <n v="0.64900000000000002"/>
    <n v="8.9999999999999969E-2"/>
  </r>
  <r>
    <s v="延1087"/>
    <n v="3404.125"/>
    <n v="72.179000000000002"/>
    <n v="22.591000000000001"/>
    <n v="2.0459999999999998"/>
    <n v="182.94200000000001"/>
    <n v="2.734"/>
    <n v="12.821"/>
    <n v="3.4159999999999999"/>
    <n v="117.01"/>
    <n v="103.699"/>
    <n v="1.411"/>
    <n v="0.1"/>
    <n v="100"/>
    <n v="0.48299999999999998"/>
    <n v="0.22"/>
    <n v="0.38400000000000001"/>
    <n v="0.46600000000000003"/>
    <n v="0.64500000000000002"/>
    <m/>
    <s v="马五41b"/>
    <x v="3"/>
    <n v="11"/>
    <m/>
    <n v="0.86699999999999999"/>
    <n v="0.26300000000000001"/>
  </r>
  <r>
    <s v="延949"/>
    <n v="3863"/>
    <n v="70.319000000000003"/>
    <n v="22.606999999999999"/>
    <n v="1.7130000000000001"/>
    <n v="173.01400000000001"/>
    <n v="2.8010000000000002"/>
    <n v="7.7"/>
    <n v="3.0230000000000001"/>
    <n v="141.29"/>
    <n v="199.89699999999999"/>
    <n v="0"/>
    <n v="0"/>
    <n v="100"/>
    <n v="0.41599999999999998"/>
    <n v="0.51900000000000002"/>
    <n v="0.245"/>
    <n v="0.77300000000000002"/>
    <n v="0.46800000000000003"/>
    <m/>
    <s v="马五41b"/>
    <x v="3"/>
    <n v="13"/>
    <m/>
    <n v="0.66100000000000003"/>
    <n v="-0.10300000000000004"/>
  </r>
  <r>
    <s v="延949"/>
    <n v="3863.125"/>
    <n v="80.043000000000006"/>
    <n v="22.727"/>
    <n v="2.4609999999999999"/>
    <n v="174.61199999999999"/>
    <n v="2.802"/>
    <n v="8.4710000000000001"/>
    <n v="3.0569999999999999"/>
    <n v="120.762"/>
    <n v="166.536"/>
    <n v="0"/>
    <n v="0"/>
    <n v="100"/>
    <n v="0.496"/>
    <n v="0.58199999999999996"/>
    <n v="0.26900000000000002"/>
    <n v="0.77400000000000002"/>
    <n v="0.56699999999999995"/>
    <m/>
    <s v="马五41b"/>
    <x v="3"/>
    <n v="13"/>
    <m/>
    <n v="0.76500000000000001"/>
    <n v="-8.5999999999999965E-2"/>
  </r>
  <r>
    <s v="延949"/>
    <n v="3863.25"/>
    <n v="86.275999999999996"/>
    <n v="22.748999999999999"/>
    <n v="3.012"/>
    <n v="174.87700000000001"/>
    <n v="2.8069999999999999"/>
    <n v="9.1430000000000007"/>
    <n v="3.077"/>
    <n v="109.18899999999999"/>
    <n v="147.643"/>
    <n v="0"/>
    <n v="0"/>
    <n v="100"/>
    <n v="0.54900000000000004"/>
    <n v="0.622"/>
    <n v="0.27400000000000002"/>
    <n v="0.79700000000000004"/>
    <n v="0.65600000000000003"/>
    <m/>
    <s v="马五41b"/>
    <x v="3"/>
    <n v="13"/>
    <m/>
    <n v="0.82300000000000006"/>
    <n v="-7.2999999999999954E-2"/>
  </r>
  <r>
    <s v="延949"/>
    <n v="3863.375"/>
    <n v="89.406999999999996"/>
    <n v="22.722000000000001"/>
    <n v="3.298"/>
    <n v="174.64599999999999"/>
    <n v="2.81"/>
    <n v="9.4730000000000008"/>
    <n v="3.0670000000000002"/>
    <n v="102.72"/>
    <n v="136.99299999999999"/>
    <n v="0"/>
    <n v="0"/>
    <n v="100"/>
    <n v="0.57699999999999996"/>
    <n v="0.60899999999999999"/>
    <n v="0.27200000000000002"/>
    <n v="0.81399999999999995"/>
    <n v="0.70399999999999996"/>
    <m/>
    <s v="马五41b"/>
    <x v="3"/>
    <n v="13"/>
    <m/>
    <n v="0.84899999999999998"/>
    <n v="-3.2000000000000028E-2"/>
  </r>
  <r>
    <s v="延949"/>
    <n v="3863.5"/>
    <n v="91.593999999999994"/>
    <n v="22.72"/>
    <n v="3.4950000000000001"/>
    <n v="174.672"/>
    <n v="2.8119999999999998"/>
    <n v="9.5890000000000004"/>
    <n v="3.03"/>
    <n v="98.921999999999997"/>
    <n v="130.66300000000001"/>
    <n v="0"/>
    <n v="0"/>
    <n v="100"/>
    <n v="0.59599999999999997"/>
    <n v="0.54500000000000004"/>
    <n v="0.27200000000000002"/>
    <n v="0.82499999999999996"/>
    <n v="0.72199999999999998"/>
    <m/>
    <s v="马五41b"/>
    <x v="3"/>
    <n v="13"/>
    <m/>
    <n v="0.86799999999999999"/>
    <n v="5.0999999999999934E-2"/>
  </r>
  <r>
    <s v="延949"/>
    <n v="3863.625"/>
    <n v="94.956000000000003"/>
    <n v="22.738"/>
    <n v="3.6989999999999998"/>
    <n v="175.23"/>
    <n v="2.8130000000000002"/>
    <n v="9.7520000000000007"/>
    <n v="2.9860000000000002"/>
    <n v="96.364999999999995"/>
    <n v="126.271"/>
    <n v="0"/>
    <n v="0"/>
    <n v="100"/>
    <n v="0.622"/>
    <n v="0.46500000000000002"/>
    <n v="0.27900000000000003"/>
    <n v="0.83"/>
    <n v="0.74199999999999999"/>
    <m/>
    <s v="马五41b"/>
    <x v="3"/>
    <n v="13"/>
    <m/>
    <n v="0.90100000000000002"/>
    <n v="0.15699999999999997"/>
  </r>
  <r>
    <s v="延949"/>
    <n v="3863.75"/>
    <n v="99.611999999999995"/>
    <n v="22.748999999999999"/>
    <n v="3.879"/>
    <n v="176.17500000000001"/>
    <n v="2.8149999999999999"/>
    <n v="9.8439999999999994"/>
    <n v="2.9340000000000002"/>
    <n v="94.358000000000004"/>
    <n v="122.571"/>
    <n v="0"/>
    <n v="0"/>
    <n v="100"/>
    <n v="0.65900000000000003"/>
    <n v="0.36899999999999999"/>
    <n v="0.29099999999999998"/>
    <n v="0.84"/>
    <n v="0.755"/>
    <m/>
    <s v="马五41b"/>
    <x v="3"/>
    <n v="13"/>
    <m/>
    <n v="0.95"/>
    <n v="0.29000000000000004"/>
  </r>
  <r>
    <s v="延949"/>
    <n v="3863.875"/>
    <n v="103.336"/>
    <n v="22.736999999999998"/>
    <n v="3.976"/>
    <n v="177.06700000000001"/>
    <n v="2.8140000000000001"/>
    <n v="9.6379999999999999"/>
    <n v="2.8719999999999999"/>
    <n v="93.515000000000001"/>
    <n v="120.33799999999999"/>
    <n v="0"/>
    <n v="0"/>
    <n v="100"/>
    <n v="0.68899999999999995"/>
    <n v="0.25600000000000001"/>
    <n v="0.30399999999999999"/>
    <n v="0.83599999999999997"/>
    <n v="0.73199999999999998"/>
    <m/>
    <s v="马五41b"/>
    <x v="3"/>
    <n v="13"/>
    <m/>
    <n v="0.99299999999999988"/>
    <n v="0.43299999999999994"/>
  </r>
  <r>
    <s v="延949"/>
    <n v="3864"/>
    <n v="104.04300000000001"/>
    <n v="22.686"/>
    <n v="3.9769999999999999"/>
    <n v="177.31899999999999"/>
    <n v="2.8109999999999999"/>
    <n v="9.2240000000000002"/>
    <n v="2.8149999999999999"/>
    <n v="95.847999999999999"/>
    <n v="122.461"/>
    <n v="0"/>
    <n v="0"/>
    <n v="100"/>
    <n v="0.69799999999999995"/>
    <n v="0.14899999999999999"/>
    <n v="0.308"/>
    <n v="0.82199999999999995"/>
    <n v="0.68100000000000005"/>
    <m/>
    <s v="马五41b"/>
    <x v="3"/>
    <n v="13"/>
    <m/>
    <n v="1.006"/>
    <n v="0.54899999999999993"/>
  </r>
  <r>
    <s v="延949"/>
    <n v="3864.125"/>
    <n v="101.517"/>
    <n v="22.584"/>
    <n v="3.8519999999999999"/>
    <n v="176.477"/>
    <n v="2.806"/>
    <n v="8.8149999999999995"/>
    <n v="2.7770000000000001"/>
    <n v="103.86199999999999"/>
    <n v="132.53899999999999"/>
    <n v="0"/>
    <n v="0"/>
    <n v="100"/>
    <n v="0.68"/>
    <n v="7.3999999999999996E-2"/>
    <n v="0.29799999999999999"/>
    <n v="0.79800000000000004"/>
    <n v="0.628"/>
    <m/>
    <s v="马五41b"/>
    <x v="3"/>
    <n v="13"/>
    <m/>
    <n v="0.97799999999999998"/>
    <n v="0.60600000000000009"/>
  </r>
  <r>
    <s v="延949"/>
    <n v="3864.25"/>
    <n v="96.075000000000003"/>
    <n v="22.562999999999999"/>
    <n v="3.536"/>
    <n v="174.43700000000001"/>
    <n v="2.802"/>
    <n v="8.4160000000000004"/>
    <n v="2.762"/>
    <n v="119.80200000000001"/>
    <n v="153.71100000000001"/>
    <n v="0"/>
    <n v="0"/>
    <n v="100"/>
    <n v="0.63800000000000001"/>
    <n v="4.2000000000000003E-2"/>
    <n v="0.27200000000000002"/>
    <n v="0.77600000000000002"/>
    <n v="0.57499999999999996"/>
    <m/>
    <s v="马五41b"/>
    <x v="3"/>
    <n v="13"/>
    <m/>
    <n v="0.91"/>
    <n v="0.59599999999999997"/>
  </r>
  <r>
    <s v="延949"/>
    <n v="3864.375"/>
    <n v="86.87"/>
    <n v="22.683"/>
    <n v="3.077"/>
    <n v="171.64599999999999"/>
    <n v="2.7989999999999999"/>
    <n v="7.8730000000000002"/>
    <n v="2.7469999999999999"/>
    <n v="143.72499999999999"/>
    <n v="185.80699999999999"/>
    <n v="0"/>
    <n v="0"/>
    <n v="100"/>
    <n v="0.56699999999999995"/>
    <n v="1.4E-2"/>
    <n v="0.23400000000000001"/>
    <n v="0.76100000000000001"/>
    <n v="0.50600000000000001"/>
    <m/>
    <s v="马五41b"/>
    <x v="3"/>
    <n v="13"/>
    <m/>
    <n v="0.80099999999999993"/>
    <n v="0.55299999999999994"/>
  </r>
  <r>
    <s v="延949"/>
    <n v="3864.5"/>
    <n v="74.093999999999994"/>
    <n v="22.733000000000001"/>
    <n v="2.6890000000000001"/>
    <n v="169.232"/>
    <n v="2.798"/>
    <n v="7.2240000000000002"/>
    <n v="2.7410000000000001"/>
    <n v="170.82599999999999"/>
    <n v="221.505"/>
    <n v="0"/>
    <n v="0"/>
    <n v="100"/>
    <n v="0.46700000000000003"/>
    <n v="1E-3"/>
    <n v="0.2"/>
    <n v="0.754"/>
    <n v="0.42299999999999999"/>
    <m/>
    <s v="马五41b"/>
    <x v="3"/>
    <n v="13"/>
    <m/>
    <n v="0.66700000000000004"/>
    <n v="0.46600000000000003"/>
  </r>
  <r>
    <s v="延949"/>
    <n v="3864.625"/>
    <n v="61.896999999999998"/>
    <n v="22.629000000000001"/>
    <n v="2.5270000000000001"/>
    <n v="169.066"/>
    <n v="2.7930000000000001"/>
    <n v="6.7359999999999998"/>
    <n v="2.7690000000000001"/>
    <n v="189.98400000000001"/>
    <n v="244.857"/>
    <n v="0"/>
    <n v="0"/>
    <n v="100"/>
    <n v="0.36799999999999999"/>
    <n v="4.7E-2"/>
    <n v="0.19500000000000001"/>
    <n v="0.73099999999999998"/>
    <n v="0.35699999999999998"/>
    <m/>
    <s v="马五41b"/>
    <x v="3"/>
    <n v="13"/>
    <m/>
    <n v="0.56299999999999994"/>
    <n v="0.32100000000000001"/>
  </r>
  <r>
    <s v="延949"/>
    <n v="3864.75"/>
    <n v="57.332000000000001"/>
    <n v="22.515000000000001"/>
    <n v="2.472"/>
    <n v="173.16900000000001"/>
    <n v="2.78"/>
    <n v="6.7290000000000001"/>
    <n v="2.8359999999999999"/>
    <n v="189.238"/>
    <n v="240.27"/>
    <n v="0"/>
    <n v="0"/>
    <n v="100"/>
    <n v="0.32400000000000001"/>
    <n v="0.16400000000000001"/>
    <n v="0.245"/>
    <n v="0.66800000000000004"/>
    <n v="0.35"/>
    <m/>
    <s v="马五41b"/>
    <x v="3"/>
    <n v="13"/>
    <m/>
    <n v="0.56899999999999995"/>
    <n v="0.16"/>
  </r>
  <r>
    <s v="延949"/>
    <n v="3864.875"/>
    <n v="64.825999999999993"/>
    <n v="22.460999999999999"/>
    <n v="2.2930000000000001"/>
    <n v="182.45099999999999"/>
    <n v="2.76"/>
    <n v="7.3789999999999996"/>
    <n v="2.899"/>
    <n v="165.74700000000001"/>
    <n v="205.99"/>
    <n v="0"/>
    <n v="0"/>
    <n v="100"/>
    <n v="0.375"/>
    <n v="0.28199999999999997"/>
    <n v="0.36599999999999999"/>
    <n v="0.56999999999999995"/>
    <n v="0.42599999999999999"/>
    <m/>
    <s v="马五41b"/>
    <x v="3"/>
    <n v="13"/>
    <m/>
    <n v="0.74099999999999999"/>
    <n v="9.3000000000000027E-2"/>
  </r>
  <r>
    <s v="延949"/>
    <n v="3865"/>
    <n v="82.944000000000003"/>
    <n v="22.349"/>
    <n v="2.101"/>
    <n v="196.12299999999999"/>
    <n v="2.7330000000000001"/>
    <n v="8.6280000000000001"/>
    <n v="2.9359999999999999"/>
    <n v="128.422"/>
    <n v="155.899"/>
    <n v="0"/>
    <n v="0"/>
    <n v="100"/>
    <n v="0.51200000000000001"/>
    <n v="0.35599999999999998"/>
    <n v="0.54900000000000004"/>
    <n v="0.435"/>
    <n v="0.58099999999999996"/>
    <m/>
    <s v="马五41b"/>
    <x v="3"/>
    <n v="13"/>
    <m/>
    <n v="1.0609999999999999"/>
    <n v="0.15600000000000003"/>
  </r>
  <r>
    <s v="延949"/>
    <n v="3865.125"/>
    <n v="105.13800000000001"/>
    <n v="22.311"/>
    <n v="2.484"/>
    <n v="210.989"/>
    <n v="2.7050000000000001"/>
    <n v="10.137"/>
    <n v="2.9870000000000001"/>
    <n v="92.347999999999999"/>
    <n v="109.857"/>
    <n v="0"/>
    <n v="0"/>
    <n v="100"/>
    <n v="0.68899999999999995"/>
    <n v="0.44800000000000001"/>
    <n v="0.752"/>
    <n v="0.29199999999999998"/>
    <n v="0.77400000000000002"/>
    <m/>
    <s v="马五41b"/>
    <x v="3"/>
    <n v="13"/>
    <m/>
    <n v="1.4409999999999998"/>
    <n v="0.24099999999999994"/>
  </r>
  <r>
    <s v="延1950"/>
    <n v="3806"/>
    <n v="72.602999999999994"/>
    <n v="22.068999999999999"/>
    <n v="2.9940000000000002"/>
    <n v="166.59399999999999"/>
    <n v="2.7519999999999998"/>
    <n v="14.839"/>
    <n v="3.02"/>
    <n v="219.51400000000001"/>
    <n v="250.49100000000001"/>
    <n v="0.01"/>
    <n v="1E-3"/>
    <n v="100"/>
    <n v="0.52100000000000002"/>
    <n v="0.313"/>
    <n v="0.193"/>
    <n v="0.35299999999999998"/>
    <n v="0.53100000000000003"/>
    <s v="含气层"/>
    <s v="马五41b"/>
    <x v="3"/>
    <n v="3"/>
    <m/>
    <n v="0.71399999999999997"/>
    <n v="0.20800000000000002"/>
  </r>
  <r>
    <s v="延1950"/>
    <n v="3806.125"/>
    <n v="81.012"/>
    <n v="22.074999999999999"/>
    <n v="3.4870000000000001"/>
    <n v="169.61099999999999"/>
    <n v="2.7389999999999999"/>
    <n v="16.506"/>
    <n v="3.069"/>
    <n v="189.06"/>
    <n v="215.42599999999999"/>
    <n v="0.01"/>
    <n v="1E-3"/>
    <n v="100"/>
    <n v="0.58799999999999997"/>
    <n v="0.38"/>
    <n v="0.25"/>
    <n v="0.28699999999999998"/>
    <n v="0.60299999999999998"/>
    <m/>
    <s v="马五41b"/>
    <x v="3"/>
    <n v="3"/>
    <m/>
    <n v="0.83799999999999997"/>
    <n v="0.20799999999999996"/>
  </r>
  <r>
    <s v="延1950"/>
    <n v="3806.25"/>
    <n v="87.143000000000001"/>
    <n v="22.071000000000002"/>
    <n v="3.7890000000000001"/>
    <n v="173.33699999999999"/>
    <n v="2.7349999999999999"/>
    <n v="17.686"/>
    <n v="3.1419999999999999"/>
    <n v="167.416"/>
    <n v="190.095"/>
    <n v="0.01"/>
    <n v="1E-3"/>
    <n v="100"/>
    <n v="0.63700000000000001"/>
    <n v="0.46800000000000003"/>
    <n v="0.313"/>
    <n v="0.28799999999999998"/>
    <n v="0.64800000000000002"/>
    <m/>
    <s v="马五41b"/>
    <x v="3"/>
    <n v="3"/>
    <m/>
    <n v="0.95"/>
    <n v="0.16899999999999998"/>
  </r>
  <r>
    <s v="延1950"/>
    <n v="3806.375"/>
    <n v="91.713999999999999"/>
    <n v="22.073"/>
    <n v="4.2279999999999998"/>
    <n v="176.874"/>
    <n v="2.742"/>
    <n v="18.202999999999999"/>
    <n v="3.2210000000000001"/>
    <n v="158.941"/>
    <n v="180.041"/>
    <n v="0.01"/>
    <n v="1E-3"/>
    <n v="100"/>
    <n v="0.65600000000000003"/>
    <n v="0.56999999999999995"/>
    <n v="0.36699999999999999"/>
    <n v="0.33700000000000002"/>
    <n v="0.65200000000000002"/>
    <m/>
    <s v="马五41b"/>
    <x v="3"/>
    <n v="3"/>
    <m/>
    <n v="1.0230000000000001"/>
    <n v="8.6000000000000076E-2"/>
  </r>
  <r>
    <s v="延1950"/>
    <n v="3806.5"/>
    <n v="89.77"/>
    <n v="22.08"/>
    <n v="4.3360000000000003"/>
    <n v="179.19"/>
    <n v="2.75"/>
    <n v="17.504000000000001"/>
    <n v="3.323"/>
    <n v="155.929"/>
    <n v="176.75"/>
    <n v="0.01"/>
    <n v="1E-3"/>
    <n v="100"/>
    <n v="0.61299999999999999"/>
    <n v="0.71199999999999997"/>
    <n v="0.39700000000000002"/>
    <n v="0.377"/>
    <n v="0.59299999999999997"/>
    <m/>
    <s v="马五41b"/>
    <x v="3"/>
    <n v="3"/>
    <m/>
    <n v="1.01"/>
    <n v="-9.8999999999999977E-2"/>
  </r>
  <r>
    <s v="延1950"/>
    <n v="3806.625"/>
    <n v="79.936000000000007"/>
    <n v="22.114999999999998"/>
    <n v="4.2169999999999996"/>
    <n v="179.904"/>
    <n v="2.7519999999999998"/>
    <n v="15.387"/>
    <n v="3.4790000000000001"/>
    <n v="149.34800000000001"/>
    <n v="169.13499999999999"/>
    <n v="0.01"/>
    <n v="1E-3"/>
    <n v="100"/>
    <n v="0.502"/>
    <n v="0.88200000000000001"/>
    <n v="0.40400000000000003"/>
    <n v="0.39"/>
    <n v="0.47699999999999998"/>
    <m/>
    <s v="马五41b"/>
    <x v="3"/>
    <n v="3"/>
    <m/>
    <n v="0.90600000000000003"/>
    <n v="-0.38"/>
  </r>
  <r>
    <s v="延1950"/>
    <n v="3807.25"/>
    <n v="32.905999999999999"/>
    <n v="21.858000000000001"/>
    <n v="1.51"/>
    <n v="174.624"/>
    <n v="2.7749999999999999"/>
    <n v="7.04"/>
    <n v="3.3250000000000002"/>
    <n v="428.40699999999998"/>
    <n v="479.399"/>
    <n v="0.01"/>
    <n v="1E-3"/>
    <n v="100"/>
    <n v="0.14599999999999999"/>
    <n v="0.621"/>
    <n v="0.29199999999999998"/>
    <n v="0.55000000000000004"/>
    <n v="0.128"/>
    <m/>
    <s v="马五41b"/>
    <x v="3"/>
    <n v="9"/>
    <m/>
    <n v="0.43799999999999994"/>
    <n v="-0.47499999999999998"/>
  </r>
  <r>
    <s v="延1950"/>
    <n v="3807.375"/>
    <n v="33.613"/>
    <n v="21.896999999999998"/>
    <n v="1.373"/>
    <n v="171.34"/>
    <n v="2.7789999999999999"/>
    <n v="7.1959999999999997"/>
    <n v="3.2629999999999999"/>
    <n v="483.99099999999999"/>
    <n v="554.05100000000004"/>
    <n v="0.01"/>
    <n v="1E-3"/>
    <n v="100"/>
    <n v="0.16400000000000001"/>
    <n v="0.55600000000000005"/>
    <n v="0.24199999999999999"/>
    <n v="0.57299999999999995"/>
    <n v="0.14399999999999999"/>
    <m/>
    <s v="马五41b"/>
    <x v="3"/>
    <n v="9"/>
    <m/>
    <n v="0.40600000000000003"/>
    <n v="-0.39200000000000002"/>
  </r>
  <r>
    <s v="延1950"/>
    <n v="3807.5"/>
    <n v="38.054000000000002"/>
    <n v="21.937000000000001"/>
    <n v="1.6319999999999999"/>
    <n v="169.131"/>
    <n v="2.7810000000000001"/>
    <n v="7.8520000000000003"/>
    <n v="3.2189999999999999"/>
    <n v="450.77499999999998"/>
    <n v="519.66399999999999"/>
    <n v="0.01"/>
    <n v="1E-3"/>
    <n v="100"/>
    <n v="0.19800000000000001"/>
    <n v="0.51"/>
    <n v="0.218"/>
    <n v="0.57599999999999996"/>
    <n v="0.17599999999999999"/>
    <m/>
    <s v="马五41b"/>
    <x v="3"/>
    <n v="9"/>
    <m/>
    <n v="0.41600000000000004"/>
    <n v="-0.312"/>
  </r>
  <r>
    <s v="延1950"/>
    <n v="3807.625"/>
    <n v="40.920999999999999"/>
    <n v="21.974"/>
    <n v="1.7749999999999999"/>
    <n v="169.161"/>
    <n v="2.7789999999999999"/>
    <n v="8.4879999999999995"/>
    <n v="3.1859999999999999"/>
    <n v="395.572"/>
    <n v="456.23500000000001"/>
    <n v="0.01"/>
    <n v="1E-3"/>
    <n v="100"/>
    <n v="0.224"/>
    <n v="0.47499999999999998"/>
    <n v="0.22800000000000001"/>
    <n v="0.56000000000000005"/>
    <n v="0.20699999999999999"/>
    <m/>
    <s v="马五41b"/>
    <x v="3"/>
    <n v="9"/>
    <m/>
    <n v="0.45200000000000001"/>
    <n v="-0.251"/>
  </r>
  <r>
    <s v="延1950"/>
    <n v="3807.75"/>
    <n v="43.804000000000002"/>
    <n v="21.995000000000001"/>
    <n v="1.855"/>
    <n v="170.66499999999999"/>
    <n v="2.7759999999999998"/>
    <n v="9.1479999999999997"/>
    <n v="3.1619999999999999"/>
    <n v="348.351"/>
    <n v="401.45100000000002"/>
    <n v="0.01"/>
    <n v="1E-3"/>
    <n v="100"/>
    <n v="0.254"/>
    <n v="0.45300000000000001"/>
    <n v="0.251"/>
    <n v="0.54200000000000004"/>
    <n v="0.24"/>
    <m/>
    <s v="马五41b"/>
    <x v="3"/>
    <n v="9"/>
    <m/>
    <n v="0.505"/>
    <n v="-0.19900000000000001"/>
  </r>
  <r>
    <s v="延1950"/>
    <n v="3807.875"/>
    <n v="48.121000000000002"/>
    <n v="21.991"/>
    <n v="2.069"/>
    <n v="171.733"/>
    <n v="2.774"/>
    <n v="9.8710000000000004"/>
    <n v="3.1520000000000001"/>
    <n v="321.74099999999999"/>
    <n v="370.16500000000002"/>
    <n v="0.01"/>
    <n v="1E-3"/>
    <n v="100"/>
    <n v="0.28799999999999998"/>
    <n v="0.45"/>
    <n v="0.26100000000000001"/>
    <n v="0.53900000000000003"/>
    <n v="0.27"/>
    <m/>
    <s v="马五41b"/>
    <x v="3"/>
    <n v="9"/>
    <m/>
    <n v="0.54899999999999993"/>
    <n v="-0.16200000000000003"/>
  </r>
  <r>
    <s v="延1950"/>
    <n v="3808"/>
    <n v="51.381999999999998"/>
    <n v="21.957000000000001"/>
    <n v="2.3260000000000001"/>
    <n v="171.50299999999999"/>
    <n v="2.7759999999999998"/>
    <n v="10.336"/>
    <n v="3.161"/>
    <n v="312.59699999999998"/>
    <n v="359.56599999999997"/>
    <n v="0.01"/>
    <n v="1E-3"/>
    <n v="100"/>
    <n v="0.30599999999999999"/>
    <n v="0.46500000000000002"/>
    <n v="0.25"/>
    <n v="0.55700000000000005"/>
    <n v="0.28499999999999998"/>
    <m/>
    <s v="马五41b"/>
    <x v="3"/>
    <n v="9"/>
    <m/>
    <n v="0.55600000000000005"/>
    <n v="-0.15900000000000003"/>
  </r>
  <r>
    <s v="延1950"/>
    <n v="3808.125"/>
    <n v="51.222000000000001"/>
    <n v="21.949000000000002"/>
    <n v="2.3759999999999999"/>
    <n v="170.08600000000001"/>
    <n v="2.78"/>
    <n v="10.346"/>
    <n v="3.181"/>
    <n v="297.32400000000001"/>
    <n v="343.60199999999998"/>
    <n v="0.01"/>
    <n v="1E-3"/>
    <n v="100"/>
    <n v="0.3"/>
    <n v="0.48799999999999999"/>
    <n v="0.224"/>
    <n v="0.57899999999999996"/>
    <n v="0.28100000000000003"/>
    <m/>
    <s v="马五41b"/>
    <x v="3"/>
    <n v="9"/>
    <m/>
    <n v="0.52400000000000002"/>
    <n v="-0.188"/>
  </r>
  <r>
    <s v="延1950"/>
    <n v="3808.25"/>
    <n v="49.594000000000001"/>
    <n v="22.012"/>
    <n v="2.323"/>
    <n v="168.43600000000001"/>
    <n v="2.782"/>
    <n v="10.103999999999999"/>
    <n v="3.2"/>
    <n v="251.584"/>
    <n v="292.19"/>
    <n v="0.01"/>
    <n v="1E-3"/>
    <n v="100"/>
    <n v="0.28599999999999998"/>
    <n v="0.50900000000000001"/>
    <n v="0.2"/>
    <n v="0.59299999999999997"/>
    <n v="0.27400000000000002"/>
    <m/>
    <s v="马五41b"/>
    <x v="3"/>
    <n v="9"/>
    <m/>
    <n v="0.48599999999999999"/>
    <n v="-0.22300000000000003"/>
  </r>
  <r>
    <s v="延1950"/>
    <n v="3808.375"/>
    <n v="48.197000000000003"/>
    <n v="22.12"/>
    <n v="2.1379999999999999"/>
    <n v="167.63"/>
    <n v="2.7839999999999998"/>
    <n v="10.146000000000001"/>
    <n v="3.218"/>
    <n v="205.72200000000001"/>
    <n v="239.26"/>
    <n v="0.01"/>
    <n v="1E-3"/>
    <n v="100"/>
    <n v="0.28899999999999998"/>
    <n v="0.53400000000000003"/>
    <n v="0.19600000000000001"/>
    <n v="0.60599999999999998"/>
    <n v="0.28999999999999998"/>
    <m/>
    <s v="马五41b"/>
    <x v="3"/>
    <n v="9"/>
    <m/>
    <n v="0.48499999999999999"/>
    <n v="-0.24500000000000005"/>
  </r>
  <r>
    <s v="延1950"/>
    <n v="3808.5"/>
    <n v="51.478000000000002"/>
    <n v="22.198"/>
    <n v="2.0430000000000001"/>
    <n v="168.345"/>
    <n v="2.786"/>
    <n v="11.004"/>
    <n v="3.2450000000000001"/>
    <n v="180.29900000000001"/>
    <n v="209.59299999999999"/>
    <n v="0.01"/>
    <n v="1E-3"/>
    <n v="100"/>
    <n v="0.33800000000000002"/>
    <n v="0.57099999999999995"/>
    <n v="0.215"/>
    <n v="0.622"/>
    <n v="0.34"/>
    <m/>
    <s v="马五41b"/>
    <x v="3"/>
    <n v="9"/>
    <m/>
    <n v="0.55300000000000005"/>
    <n v="-0.23299999999999993"/>
  </r>
  <r>
    <s v="延1950"/>
    <n v="3808.625"/>
    <n v="60.939"/>
    <n v="22.178999999999998"/>
    <n v="2.5409999999999999"/>
    <n v="170.08"/>
    <n v="2.7890000000000001"/>
    <n v="12.335000000000001"/>
    <n v="3.2839999999999998"/>
    <n v="170.28399999999999"/>
    <n v="197.49"/>
    <n v="0.01"/>
    <n v="1E-3"/>
    <n v="100"/>
    <n v="0.40899999999999997"/>
    <n v="0.61899999999999999"/>
    <n v="0.24199999999999999"/>
    <n v="0.65500000000000003"/>
    <n v="0.38900000000000001"/>
    <m/>
    <s v="马五41b"/>
    <x v="3"/>
    <n v="9"/>
    <m/>
    <n v="0.65100000000000002"/>
    <n v="-0.21000000000000002"/>
  </r>
  <r>
    <s v="延1950"/>
    <n v="3808.75"/>
    <n v="66.653999999999996"/>
    <n v="22.099"/>
    <n v="3.2050000000000001"/>
    <n v="171.27799999999999"/>
    <n v="2.7970000000000002"/>
    <n v="12.779"/>
    <n v="3.3290000000000002"/>
    <n v="175.64400000000001"/>
    <n v="202.941"/>
    <n v="0.01"/>
    <n v="1E-3"/>
    <n v="100"/>
    <n v="0.41799999999999998"/>
    <n v="0.67"/>
    <n v="0.247"/>
    <n v="0.71599999999999997"/>
    <n v="0.38100000000000001"/>
    <m/>
    <s v="马五41b"/>
    <x v="3"/>
    <n v="9"/>
    <m/>
    <n v="0.66500000000000004"/>
    <n v="-0.25200000000000006"/>
  </r>
  <r>
    <s v="延1950"/>
    <n v="3808.875"/>
    <n v="59.399000000000001"/>
    <n v="22.03"/>
    <n v="3.0939999999999999"/>
    <n v="170.035"/>
    <n v="2.8079999999999998"/>
    <n v="11.567"/>
    <n v="3.371"/>
    <n v="199.79499999999999"/>
    <n v="229.91900000000001"/>
    <n v="0.01"/>
    <n v="1E-3"/>
    <n v="100"/>
    <n v="0.34"/>
    <n v="0.71399999999999997"/>
    <n v="0.21"/>
    <n v="0.78800000000000003"/>
    <n v="0.312"/>
    <m/>
    <s v="马五41b"/>
    <x v="3"/>
    <n v="9"/>
    <m/>
    <n v="0.55000000000000004"/>
    <n v="-0.37399999999999994"/>
  </r>
  <r>
    <s v="延1950"/>
    <n v="3809"/>
    <n v="47.973999999999997"/>
    <n v="22.004999999999999"/>
    <n v="2.4630000000000001"/>
    <n v="166.40600000000001"/>
    <n v="2.8180000000000001"/>
    <n v="9.76"/>
    <n v="3.4009999999999998"/>
    <n v="244.255"/>
    <n v="280.23700000000002"/>
    <n v="0.01"/>
    <n v="1E-3"/>
    <n v="100"/>
    <n v="0.253"/>
    <n v="0.74199999999999999"/>
    <n v="0.14399999999999999"/>
    <n v="0.84599999999999997"/>
    <n v="0.23499999999999999"/>
    <m/>
    <s v="马五41b"/>
    <x v="3"/>
    <n v="9"/>
    <m/>
    <n v="0.39700000000000002"/>
    <n v="-0.48899999999999999"/>
  </r>
  <r>
    <s v="延1952"/>
    <n v="3929.125"/>
    <n v="69.614000000000004"/>
    <n v="22.010999999999999"/>
    <n v="2.9079999999999999"/>
    <n v="167.035"/>
    <n v="2.782"/>
    <n v="8.6270000000000007"/>
    <n v="3.0750000000000002"/>
    <n v="472.29700000000003"/>
    <n v="526.54700000000003"/>
    <n v="0.01"/>
    <n v="1E-3"/>
    <n v="100"/>
    <n v="0.436"/>
    <n v="0.28599999999999998"/>
    <n v="0.39600000000000002"/>
    <n v="0.85699999999999998"/>
    <n v="0.52400000000000002"/>
    <m/>
    <s v="马五41b"/>
    <x v="3"/>
    <n v="13"/>
    <m/>
    <n v="0.83200000000000007"/>
    <n v="0.15000000000000002"/>
  </r>
  <r>
    <s v="延1952"/>
    <n v="3929.25"/>
    <n v="72.944999999999993"/>
    <n v="22.068999999999999"/>
    <n v="2.9969999999999999"/>
    <n v="168.95400000000001"/>
    <n v="2.7839999999999998"/>
    <n v="9.0350000000000001"/>
    <n v="2.9940000000000002"/>
    <n v="434.67700000000002"/>
    <n v="485.13400000000001"/>
    <n v="0.01"/>
    <n v="1E-3"/>
    <n v="100"/>
    <n v="0.47199999999999998"/>
    <n v="0.23100000000000001"/>
    <n v="0.45300000000000001"/>
    <n v="0.873"/>
    <n v="0.55800000000000005"/>
    <m/>
    <s v="马五41b"/>
    <x v="3"/>
    <n v="13"/>
    <m/>
    <n v="0.92500000000000004"/>
    <n v="0.24099999999999996"/>
  </r>
  <r>
    <s v="延1952"/>
    <n v="3929.375"/>
    <n v="73.938000000000002"/>
    <n v="22.132000000000001"/>
    <n v="3.2789999999999999"/>
    <n v="171.07400000000001"/>
    <n v="2.7770000000000001"/>
    <n v="9.657"/>
    <n v="2.92"/>
    <n v="396.137"/>
    <n v="442.38900000000001"/>
    <n v="0.01"/>
    <n v="1E-3"/>
    <n v="100"/>
    <n v="0.48499999999999999"/>
    <n v="0.17899999999999999"/>
    <n v="0.51900000000000002"/>
    <n v="0.84699999999999998"/>
    <n v="0.61099999999999999"/>
    <m/>
    <s v="马五41b"/>
    <x v="3"/>
    <n v="13"/>
    <m/>
    <n v="1.004"/>
    <n v="0.30599999999999999"/>
  </r>
  <r>
    <s v="延1952"/>
    <n v="3929.5"/>
    <n v="73.561999999999998"/>
    <n v="22.187000000000001"/>
    <n v="3.794"/>
    <n v="172.88499999999999"/>
    <n v="2.7639999999999998"/>
    <n v="10.353999999999999"/>
    <n v="2.8660000000000001"/>
    <n v="325.83600000000001"/>
    <n v="363.916"/>
    <n v="0.01"/>
    <n v="1E-3"/>
    <n v="100"/>
    <n v="0.48399999999999999"/>
    <n v="0.13900000000000001"/>
    <n v="0.57799999999999996"/>
    <n v="0.78800000000000003"/>
    <n v="0.67400000000000004"/>
    <m/>
    <s v="马五41b"/>
    <x v="3"/>
    <n v="13"/>
    <m/>
    <n v="1.0619999999999998"/>
    <n v="0.34499999999999997"/>
  </r>
  <r>
    <s v="延1952"/>
    <n v="3929.625"/>
    <n v="77.641999999999996"/>
    <n v="22.221"/>
    <n v="4.3049999999999997"/>
    <n v="174.00899999999999"/>
    <n v="2.7480000000000002"/>
    <n v="10.97"/>
    <n v="2.8380000000000001"/>
    <n v="244.02699999999999"/>
    <n v="272.55"/>
    <n v="0.01"/>
    <n v="1E-3"/>
    <n v="100"/>
    <n v="0.51400000000000001"/>
    <n v="0.11600000000000001"/>
    <n v="0.61799999999999999"/>
    <n v="0.71099999999999997"/>
    <n v="0.73199999999999998"/>
    <m/>
    <s v="马五41b"/>
    <x v="3"/>
    <n v="13"/>
    <m/>
    <n v="1.1320000000000001"/>
    <n v="0.39800000000000002"/>
  </r>
  <r>
    <s v="延1952"/>
    <n v="3929.75"/>
    <n v="85.031000000000006"/>
    <n v="22.234000000000002"/>
    <n v="4.569"/>
    <n v="174.46299999999999"/>
    <n v="2.7330000000000001"/>
    <n v="11.507999999999999"/>
    <n v="2.843"/>
    <n v="203.10900000000001"/>
    <n v="226.84200000000001"/>
    <n v="0.01"/>
    <n v="1E-3"/>
    <n v="100"/>
    <n v="0.57599999999999996"/>
    <n v="0.115"/>
    <n v="0.63700000000000001"/>
    <n v="0.63500000000000001"/>
    <n v="0.78300000000000003"/>
    <m/>
    <s v="马五41b"/>
    <x v="3"/>
    <n v="13"/>
    <m/>
    <n v="1.2130000000000001"/>
    <n v="0.46099999999999997"/>
  </r>
  <r>
    <s v="延1952"/>
    <n v="3929.875"/>
    <n v="93.367999999999995"/>
    <n v="22.245000000000001"/>
    <n v="4.6630000000000003"/>
    <n v="174.851"/>
    <n v="2.722"/>
    <n v="11.96"/>
    <n v="2.8809999999999998"/>
    <n v="186.131"/>
    <n v="207.87"/>
    <n v="0.01"/>
    <n v="1E-3"/>
    <n v="100"/>
    <n v="0.65100000000000002"/>
    <n v="0.13700000000000001"/>
    <n v="0.64900000000000002"/>
    <n v="0.57599999999999996"/>
    <n v="0.82599999999999996"/>
    <m/>
    <s v="马五41b"/>
    <x v="3"/>
    <n v="13"/>
    <m/>
    <n v="1.3"/>
    <n v="0.51400000000000001"/>
  </r>
  <r>
    <s v="延1952"/>
    <n v="3930"/>
    <n v="106.39700000000001"/>
    <n v="22.28"/>
    <n v="4.6879999999999997"/>
    <n v="175.988"/>
    <n v="2.7160000000000002"/>
    <n v="12.33"/>
    <n v="2.952"/>
    <n v="169.34"/>
    <n v="189.11"/>
    <n v="0.01"/>
    <n v="1E-3"/>
    <n v="100"/>
    <n v="0.76300000000000001"/>
    <n v="0.18099999999999999"/>
    <n v="0.68100000000000005"/>
    <n v="0.54100000000000004"/>
    <n v="0.86199999999999999"/>
    <m/>
    <s v="马五41b"/>
    <x v="3"/>
    <n v="13"/>
    <m/>
    <n v="1.444"/>
    <n v="0.58200000000000007"/>
  </r>
  <r>
    <s v="延990"/>
    <n v="3724.875"/>
    <n v="65.837999999999994"/>
    <n v="22.789000000000001"/>
    <n v="5.0529999999999999"/>
    <n v="176.755"/>
    <n v="2.7749999999999999"/>
    <n v="7.9450000000000003"/>
    <n v="3.2349999999999999"/>
    <n v="295.392"/>
    <n v="343.99"/>
    <n v="0.01"/>
    <n v="1E-3"/>
    <n v="100"/>
    <n v="0.47699999999999998"/>
    <n v="0.28599999999999998"/>
    <n v="0.23300000000000001"/>
    <n v="0.42399999999999999"/>
    <n v="0.44400000000000001"/>
    <m/>
    <s v="马五41b"/>
    <x v="4"/>
    <n v="2"/>
    <s v="薄片"/>
    <n v="0.71"/>
    <n v="0.191"/>
  </r>
  <r>
    <s v="延990"/>
    <n v="3725"/>
    <n v="83.677999999999997"/>
    <n v="22.663"/>
    <n v="5.78"/>
    <n v="178.72"/>
    <n v="2.7770000000000001"/>
    <n v="8.4429999999999996"/>
    <n v="3.347"/>
    <n v="270.16699999999997"/>
    <n v="314.31400000000002"/>
    <n v="0.01"/>
    <n v="1E-3"/>
    <n v="100"/>
    <n v="0.66100000000000003"/>
    <n v="0.373"/>
    <n v="0.26"/>
    <n v="0.42599999999999999"/>
    <n v="0.502"/>
    <m/>
    <s v="马五41b"/>
    <x v="4"/>
    <n v="2"/>
    <s v="薄片"/>
    <n v="0.92100000000000004"/>
    <n v="0.28800000000000003"/>
  </r>
  <r>
    <s v="延990"/>
    <n v="3725.125"/>
    <n v="98.432000000000002"/>
    <n v="22.36"/>
    <n v="6.274"/>
    <n v="182.09"/>
    <n v="2.774"/>
    <n v="9.1920000000000002"/>
    <n v="3.448"/>
    <n v="234.42699999999999"/>
    <n v="272.267"/>
    <n v="0.01"/>
    <n v="1E-3"/>
    <n v="100"/>
    <n v="0.83099999999999996"/>
    <n v="0.45300000000000001"/>
    <n v="0.29899999999999999"/>
    <n v="0.41899999999999998"/>
    <n v="0.59499999999999997"/>
    <m/>
    <s v="马五41b"/>
    <x v="4"/>
    <n v="2"/>
    <s v="薄片"/>
    <n v="1.1299999999999999"/>
    <n v="0.37799999999999995"/>
  </r>
  <r>
    <s v="延990"/>
    <n v="3725.25"/>
    <n v="106.929"/>
    <n v="22.03"/>
    <n v="6.5110000000000001"/>
    <n v="189.10499999999999"/>
    <n v="2.7589999999999999"/>
    <n v="10.076000000000001"/>
    <n v="3.5270000000000001"/>
    <n v="198.24"/>
    <n v="229.69399999999999"/>
    <n v="0.01"/>
    <n v="1E-3"/>
    <n v="100"/>
    <n v="0.94899999999999995"/>
    <n v="0.51900000000000002"/>
    <n v="0.376"/>
    <n v="0.33500000000000002"/>
    <n v="0.71599999999999997"/>
    <m/>
    <s v="马五41b"/>
    <x v="4"/>
    <n v="2"/>
    <s v="薄片"/>
    <n v="1.325"/>
    <n v="0.42999999999999994"/>
  </r>
  <r>
    <s v="延990"/>
    <n v="3725.375"/>
    <n v="108.21"/>
    <n v="21.873000000000001"/>
    <n v="6.5739999999999998"/>
    <n v="200.74299999999999"/>
    <n v="2.7410000000000001"/>
    <n v="10.887"/>
    <n v="3.581"/>
    <n v="170.75899999999999"/>
    <n v="197.364"/>
    <n v="0.01"/>
    <n v="1E-3"/>
    <n v="100"/>
    <n v="0.99399999999999999"/>
    <n v="0.56799999999999995"/>
    <n v="0.51200000000000001"/>
    <n v="0.19600000000000001"/>
    <n v="0.83799999999999997"/>
    <m/>
    <s v="马五41b"/>
    <x v="4"/>
    <n v="2"/>
    <s v="薄片"/>
    <n v="1.506"/>
    <n v="0.42600000000000005"/>
  </r>
  <r>
    <s v="延1954"/>
    <n v="3917.75"/>
    <n v="40.558999999999997"/>
    <n v="22.37"/>
    <n v="2.5880000000000001"/>
    <n v="163.05699999999999"/>
    <n v="2.7549999999999999"/>
    <n v="7.1310000000000002"/>
    <n v="3.26"/>
    <n v="431.25700000000001"/>
    <n v="484.93200000000002"/>
    <n v="0.01"/>
    <n v="1E-3"/>
    <n v="100"/>
    <n v="0.26600000000000001"/>
    <n v="0.39300000000000002"/>
    <n v="0.248"/>
    <n v="0.34200000000000003"/>
    <n v="0.223"/>
    <m/>
    <s v="马五41a"/>
    <x v="5"/>
    <n v="2"/>
    <m/>
    <n v="0.51400000000000001"/>
    <n v="-0.127"/>
  </r>
  <r>
    <s v="延1954"/>
    <n v="3917.875"/>
    <n v="37.170999999999999"/>
    <n v="22.344000000000001"/>
    <n v="2.2229999999999999"/>
    <n v="161.89599999999999"/>
    <n v="2.766"/>
    <n v="6.48"/>
    <n v="3.2989999999999999"/>
    <n v="531.70299999999997"/>
    <n v="596.74099999999999"/>
    <n v="0.01"/>
    <n v="1E-3"/>
    <n v="100"/>
    <n v="0.22500000000000001"/>
    <n v="0.45"/>
    <n v="0.193"/>
    <n v="0.40300000000000002"/>
    <n v="0.128"/>
    <m/>
    <s v="马五41a"/>
    <x v="5"/>
    <n v="2"/>
    <m/>
    <n v="0.41800000000000004"/>
    <n v="-0.22500000000000001"/>
  </r>
  <r>
    <s v="延1954"/>
    <n v="3918"/>
    <n v="35.314999999999998"/>
    <n v="22.327999999999999"/>
    <n v="2.073"/>
    <n v="161.36600000000001"/>
    <n v="2.7759999999999998"/>
    <n v="6.0270000000000001"/>
    <n v="3.3460000000000001"/>
    <n v="561.74800000000005"/>
    <n v="627.87"/>
    <n v="0.01"/>
    <n v="1E-3"/>
    <n v="100"/>
    <n v="0.20399999999999999"/>
    <n v="0.52"/>
    <n v="0.16700000000000001"/>
    <n v="0.46200000000000002"/>
    <n v="5.8999999999999997E-2"/>
    <m/>
    <s v="马五41a"/>
    <x v="5"/>
    <n v="2"/>
    <m/>
    <n v="0.371"/>
    <n v="-0.31600000000000006"/>
  </r>
  <r>
    <s v="延1954"/>
    <n v="3918.125"/>
    <n v="32.283000000000001"/>
    <n v="22.323"/>
    <n v="1.97"/>
    <n v="161.45400000000001"/>
    <n v="2.7810000000000001"/>
    <n v="5.7720000000000002"/>
    <n v="3.3929999999999998"/>
    <n v="481.22800000000001"/>
    <n v="534.50800000000004"/>
    <n v="0.01"/>
    <n v="1E-3"/>
    <n v="100"/>
    <n v="0.17399999999999999"/>
    <n v="0.59199999999999997"/>
    <n v="0.16800000000000001"/>
    <n v="0.49399999999999999"/>
    <n v="0.02"/>
    <m/>
    <s v="马五41a"/>
    <x v="5"/>
    <n v="2"/>
    <m/>
    <n v="0.34199999999999997"/>
    <n v="-0.41799999999999998"/>
  </r>
  <r>
    <s v="延1954"/>
    <n v="3918.25"/>
    <n v="27.664999999999999"/>
    <n v="22.344999999999999"/>
    <n v="1.85"/>
    <n v="162.31899999999999"/>
    <n v="2.7770000000000001"/>
    <n v="5.665"/>
    <n v="3.4369999999999998"/>
    <n v="330.017"/>
    <n v="363.57400000000001"/>
    <n v="0.01"/>
    <n v="1E-3"/>
    <n v="100"/>
    <n v="0.129"/>
    <n v="0.66"/>
    <n v="0.20200000000000001"/>
    <n v="0.47699999999999998"/>
    <n v="2E-3"/>
    <m/>
    <s v="马五41a"/>
    <x v="5"/>
    <n v="2"/>
    <m/>
    <n v="0.33100000000000002"/>
    <n v="-0.53100000000000003"/>
  </r>
  <r>
    <s v="延1954"/>
    <n v="3918.375"/>
    <n v="23.14"/>
    <n v="22.402000000000001"/>
    <n v="1.8240000000000001"/>
    <n v="163.90899999999999"/>
    <n v="2.7690000000000001"/>
    <n v="5.6829999999999998"/>
    <n v="3.4750000000000001"/>
    <n v="203.71600000000001"/>
    <n v="222.22499999999999"/>
    <n v="1.839"/>
    <n v="6.0000000000000001E-3"/>
    <n v="70.489999999999995"/>
    <n v="8.2000000000000003E-2"/>
    <n v="0.71899999999999997"/>
    <n v="0.26800000000000002"/>
    <n v="0.433"/>
    <n v="2E-3"/>
    <s v="含气层"/>
    <s v="马五41a"/>
    <x v="5"/>
    <n v="2"/>
    <m/>
    <n v="0.35000000000000003"/>
    <n v="-0.63700000000000001"/>
  </r>
  <r>
    <s v="延1954"/>
    <n v="3918.5"/>
    <n v="19.922000000000001"/>
    <n v="22.48"/>
    <n v="1.7949999999999999"/>
    <n v="165.89599999999999"/>
    <n v="2.7610000000000001"/>
    <n v="5.843"/>
    <n v="3.5019999999999998"/>
    <n v="141.47200000000001"/>
    <n v="152.971"/>
    <n v="3.0609999999999999"/>
    <n v="0.01"/>
    <n v="54.828000000000003"/>
    <n v="4.7E-2"/>
    <n v="0.76200000000000001"/>
    <n v="0.35199999999999998"/>
    <n v="0.38700000000000001"/>
    <n v="2.3E-2"/>
    <s v="含气层"/>
    <s v="马五41a"/>
    <x v="5"/>
    <n v="2"/>
    <m/>
    <n v="0.39899999999999997"/>
    <n v="-0.71499999999999997"/>
  </r>
  <r>
    <s v="延1954"/>
    <n v="3918.625"/>
    <n v="17.911000000000001"/>
    <n v="22.555"/>
    <n v="1.663"/>
    <n v="167.833"/>
    <n v="2.7559999999999998"/>
    <n v="6.1669999999999998"/>
    <n v="3.5129999999999999"/>
    <n v="115.87"/>
    <n v="124.56699999999999"/>
    <n v="3.673"/>
    <n v="0.01"/>
    <n v="50.561999999999998"/>
    <n v="2.5000000000000001E-2"/>
    <n v="0.78100000000000003"/>
    <n v="0.437"/>
    <n v="0.35599999999999998"/>
    <n v="6.7000000000000004E-2"/>
    <s v="含气层"/>
    <s v="马五41a"/>
    <x v="5"/>
    <n v="2"/>
    <m/>
    <n v="0.46200000000000002"/>
    <n v="-0.75600000000000001"/>
  </r>
  <r>
    <s v="延1954"/>
    <n v="3918.75"/>
    <n v="16.334"/>
    <n v="22.599"/>
    <n v="1.474"/>
    <n v="169.29"/>
    <n v="2.754"/>
    <n v="6.63"/>
    <n v="3.5019999999999998"/>
    <n v="99.813999999999993"/>
    <n v="106.827"/>
    <n v="4.0819999999999999"/>
    <n v="0.01"/>
    <n v="47.475999999999999"/>
    <n v="8.0000000000000002E-3"/>
    <n v="0.76800000000000002"/>
    <n v="0.503"/>
    <n v="0.34200000000000003"/>
    <n v="0.13200000000000001"/>
    <s v="含气层"/>
    <s v="马五41a"/>
    <x v="5"/>
    <n v="2"/>
    <m/>
    <n v="0.51100000000000001"/>
    <n v="-0.76"/>
  </r>
  <r>
    <s v="延1954"/>
    <n v="3918.875"/>
    <n v="15.704000000000001"/>
    <n v="22.614000000000001"/>
    <n v="1.325"/>
    <n v="170.25"/>
    <n v="2.7509999999999999"/>
    <n v="7.1379999999999999"/>
    <n v="3.4660000000000002"/>
    <n v="85.926000000000002"/>
    <n v="91.608999999999995"/>
    <n v="4.694"/>
    <n v="1.7000000000000001E-2"/>
    <n v="43.784999999999997"/>
    <n v="1E-3"/>
    <n v="0.71799999999999997"/>
    <n v="0.54700000000000004"/>
    <n v="0.32600000000000001"/>
    <n v="0.20399999999999999"/>
    <s v="含气层"/>
    <s v="马五41a"/>
    <x v="5"/>
    <n v="2"/>
    <m/>
    <n v="0.54800000000000004"/>
    <n v="-0.71699999999999997"/>
  </r>
  <r>
    <s v="延1954"/>
    <n v="3919"/>
    <n v="16.385999999999999"/>
    <n v="22.620999999999999"/>
    <n v="1.202"/>
    <n v="171.04400000000001"/>
    <n v="2.7429999999999999"/>
    <n v="7.5890000000000004"/>
    <n v="3.41"/>
    <n v="72.725999999999999"/>
    <n v="77.275000000000006"/>
    <n v="5.1020000000000003"/>
    <n v="2.1999999999999999E-2"/>
    <n v="43.627000000000002"/>
    <n v="6.0000000000000001E-3"/>
    <n v="0.63500000000000001"/>
    <n v="0.58199999999999996"/>
    <n v="0.28299999999999997"/>
    <n v="0.27"/>
    <s v="含气层"/>
    <s v="马五41a"/>
    <x v="5"/>
    <n v="2"/>
    <m/>
    <n v="0.58799999999999997"/>
    <n v="-0.629"/>
  </r>
  <r>
    <s v="延1954"/>
    <n v="3919.125"/>
    <n v="17.536999999999999"/>
    <n v="22.641999999999999"/>
    <n v="1.214"/>
    <n v="172.06200000000001"/>
    <n v="2.7309999999999999"/>
    <n v="7.9450000000000003"/>
    <n v="3.3420000000000001"/>
    <n v="59.128"/>
    <n v="62.636000000000003"/>
    <n v="5.1020000000000003"/>
    <n v="2.1999999999999999E-2"/>
    <n v="47.801000000000002"/>
    <n v="1.7999999999999999E-2"/>
    <n v="0.53400000000000003"/>
    <n v="0.625"/>
    <n v="0.216"/>
    <n v="0.32300000000000001"/>
    <s v="含气层"/>
    <s v="马五41a"/>
    <x v="5"/>
    <n v="2"/>
    <m/>
    <n v="0.64300000000000002"/>
    <n v="-0.51600000000000001"/>
  </r>
  <r>
    <s v="延1954"/>
    <n v="3920.625"/>
    <n v="18.456"/>
    <n v="22.59"/>
    <n v="0.59899999999999998"/>
    <n v="169.453"/>
    <n v="2.7269999999999999"/>
    <n v="7.6520000000000001"/>
    <n v="3.5790000000000002"/>
    <n v="58.234000000000002"/>
    <n v="61.597999999999999"/>
    <n v="5.1020000000000003"/>
    <n v="2.1999999999999999E-2"/>
    <n v="41.215000000000003"/>
    <n v="2.9000000000000001E-2"/>
    <n v="0.88400000000000001"/>
    <n v="0.52700000000000002"/>
    <n v="0.18"/>
    <n v="0.28499999999999998"/>
    <s v="含气层"/>
    <s v="马五41a"/>
    <x v="5"/>
    <n v="2"/>
    <m/>
    <n v="0.55600000000000005"/>
    <n v="-0.85499999999999998"/>
  </r>
  <r>
    <s v="延1954"/>
    <n v="3920.75"/>
    <n v="17.696999999999999"/>
    <n v="22.521999999999998"/>
    <n v="0.55200000000000005"/>
    <n v="167.33099999999999"/>
    <n v="2.73"/>
    <n v="7.84"/>
    <n v="3.556"/>
    <n v="62.13"/>
    <n v="65.850999999999999"/>
    <n v="5.1020000000000003"/>
    <n v="2.1999999999999999E-2"/>
    <n v="38.637999999999998"/>
    <n v="2.1000000000000001E-2"/>
    <n v="0.85299999999999998"/>
    <n v="0.435"/>
    <n v="0.2"/>
    <n v="0.311"/>
    <s v="含气层"/>
    <s v="马五41a"/>
    <x v="5"/>
    <n v="2"/>
    <m/>
    <n v="0.45600000000000002"/>
    <n v="-0.83199999999999996"/>
  </r>
  <r>
    <s v="延1954"/>
    <n v="3920.875"/>
    <n v="17.222999999999999"/>
    <n v="22.45"/>
    <n v="0.48099999999999998"/>
    <n v="165.22499999999999"/>
    <n v="2.73"/>
    <n v="8.0719999999999992"/>
    <n v="3.5129999999999999"/>
    <n v="65.177000000000007"/>
    <n v="69.305999999999997"/>
    <n v="5.1020000000000003"/>
    <n v="2.1999999999999999E-2"/>
    <n v="36.484999999999999"/>
    <n v="1.6E-2"/>
    <n v="0.79100000000000004"/>
    <n v="0.34300000000000003"/>
    <n v="0.20200000000000001"/>
    <n v="0.34300000000000003"/>
    <s v="含气层"/>
    <s v="马五41a"/>
    <x v="5"/>
    <n v="2"/>
    <m/>
    <n v="0.35900000000000004"/>
    <n v="-0.77500000000000002"/>
  </r>
  <r>
    <s v="延1954"/>
    <n v="3921"/>
    <n v="17.067"/>
    <n v="22.385999999999999"/>
    <n v="0.45800000000000002"/>
    <n v="163.34800000000001"/>
    <n v="2.7309999999999999"/>
    <n v="8.2690000000000001"/>
    <n v="3.4590000000000001"/>
    <n v="69.644000000000005"/>
    <n v="74.391999999999996"/>
    <n v="5.7140000000000004"/>
    <n v="3.7999999999999999E-2"/>
    <n v="30.5"/>
    <n v="1.4E-2"/>
    <n v="0.71"/>
    <n v="0.26"/>
    <n v="0.20699999999999999"/>
    <n v="0.372"/>
    <s v="含气层"/>
    <s v="马五41a"/>
    <x v="5"/>
    <n v="2"/>
    <m/>
    <n v="0.27400000000000002"/>
    <n v="-0.69599999999999995"/>
  </r>
  <r>
    <s v="延1954"/>
    <n v="3921.125"/>
    <n v="17.141999999999999"/>
    <n v="22.341000000000001"/>
    <n v="0.49"/>
    <n v="161.864"/>
    <n v="2.7349999999999999"/>
    <n v="8.3610000000000007"/>
    <n v="3.4049999999999998"/>
    <n v="77.554000000000002"/>
    <n v="83.230999999999995"/>
    <n v="5.51"/>
    <n v="3.3000000000000002E-2"/>
    <n v="29.483000000000001"/>
    <n v="1.4999999999999999E-2"/>
    <n v="0.627"/>
    <n v="0.19400000000000001"/>
    <n v="0.22900000000000001"/>
    <n v="0.38700000000000001"/>
    <s v="含气层"/>
    <s v="马五41a"/>
    <x v="5"/>
    <n v="2"/>
    <m/>
    <n v="0.20900000000000002"/>
    <n v="-0.61199999999999999"/>
  </r>
  <r>
    <s v="延1954"/>
    <n v="3921.25"/>
    <n v="16.981000000000002"/>
    <n v="22.317"/>
    <n v="0.55300000000000005"/>
    <n v="160.82300000000001"/>
    <n v="2.742"/>
    <n v="8.3209999999999997"/>
    <n v="3.3559999999999999"/>
    <n v="90.778000000000006"/>
    <n v="97.781000000000006"/>
    <n v="5.1020000000000003"/>
    <n v="2.1999999999999999E-2"/>
    <n v="30.902000000000001"/>
    <n v="1.2999999999999999E-2"/>
    <n v="0.55200000000000005"/>
    <n v="0.14599999999999999"/>
    <n v="0.26700000000000002"/>
    <n v="0.38400000000000001"/>
    <s v="含气层"/>
    <s v="马五41a"/>
    <x v="5"/>
    <n v="2"/>
    <m/>
    <n v="0.159"/>
    <n v="-0.53900000000000003"/>
  </r>
  <r>
    <s v="延1954"/>
    <n v="3921.375"/>
    <n v="16.376000000000001"/>
    <n v="22.302"/>
    <n v="0.65900000000000003"/>
    <n v="160.072"/>
    <n v="2.7509999999999999"/>
    <n v="8.1519999999999992"/>
    <n v="3.3159999999999998"/>
    <n v="109.267"/>
    <n v="118.001"/>
    <n v="5.1020000000000003"/>
    <n v="2.1999999999999999E-2"/>
    <n v="30.550999999999998"/>
    <n v="8.0000000000000002E-3"/>
    <n v="0.48899999999999999"/>
    <n v="0.112"/>
    <n v="0.318"/>
    <n v="0.36099999999999999"/>
    <s v="含气层"/>
    <s v="马五41a"/>
    <x v="5"/>
    <n v="2"/>
    <m/>
    <n v="0.12"/>
    <n v="-0.48099999999999998"/>
  </r>
  <r>
    <s v="延1954"/>
    <n v="3921.5"/>
    <n v="15.87"/>
    <n v="22.285"/>
    <n v="0.79800000000000004"/>
    <n v="159.417"/>
    <n v="2.7559999999999998"/>
    <n v="7.891"/>
    <n v="3.286"/>
    <n v="130.49799999999999"/>
    <n v="141.21600000000001"/>
    <n v="4.49"/>
    <n v="1.4999999999999999E-2"/>
    <n v="34.472999999999999"/>
    <n v="2E-3"/>
    <n v="0.442"/>
    <n v="8.3000000000000004E-2"/>
    <n v="0.34899999999999998"/>
    <n v="0.32500000000000001"/>
    <s v="含气层"/>
    <s v="马五41a"/>
    <x v="5"/>
    <n v="2"/>
    <m/>
    <n v="8.5000000000000006E-2"/>
    <n v="-0.44"/>
  </r>
  <r>
    <s v="延1954"/>
    <n v="3921.625"/>
    <n v="16.577000000000002"/>
    <n v="22.263000000000002"/>
    <n v="0.89300000000000002"/>
    <n v="158.77500000000001"/>
    <n v="2.7559999999999998"/>
    <n v="7.577"/>
    <n v="3.2650000000000001"/>
    <n v="151.25399999999999"/>
    <n v="163.95400000000001"/>
    <n v="4.0819999999999999"/>
    <n v="0.01"/>
    <n v="36.536999999999999"/>
    <n v="8.0000000000000002E-3"/>
    <n v="0.40799999999999997"/>
    <n v="5.5E-2"/>
    <n v="0.35299999999999998"/>
    <n v="0.28100000000000003"/>
    <s v="含气层"/>
    <s v="马五41a"/>
    <x v="5"/>
    <n v="2"/>
    <m/>
    <n v="6.3E-2"/>
    <n v="-0.39999999999999997"/>
  </r>
  <r>
    <s v="延1954"/>
    <n v="3921.75"/>
    <n v="19.065000000000001"/>
    <n v="22.241"/>
    <n v="0.91800000000000004"/>
    <n v="158.18700000000001"/>
    <n v="2.7530000000000001"/>
    <n v="7.2389999999999999"/>
    <n v="3.2570000000000001"/>
    <n v="169.309"/>
    <n v="183.797"/>
    <n v="4.0819999999999999"/>
    <n v="0.01"/>
    <n v="35.738999999999997"/>
    <n v="3.2000000000000001E-2"/>
    <n v="0.39400000000000002"/>
    <n v="2.9000000000000001E-2"/>
    <n v="0.33700000000000002"/>
    <n v="0.23200000000000001"/>
    <s v="含气层"/>
    <s v="马五41a"/>
    <x v="5"/>
    <n v="2"/>
    <m/>
    <n v="6.0999999999999999E-2"/>
    <n v="-0.36199999999999999"/>
  </r>
  <r>
    <s v="延1954"/>
    <n v="3921.875"/>
    <n v="21.763000000000002"/>
    <n v="22.225000000000001"/>
    <n v="0.91300000000000003"/>
    <n v="157.76"/>
    <n v="2.754"/>
    <n v="6.9169999999999998"/>
    <n v="3.2669999999999999"/>
    <n v="186.96899999999999"/>
    <n v="203.34299999999999"/>
    <n v="3.47"/>
    <n v="0.01"/>
    <n v="42.061"/>
    <n v="5.8999999999999997E-2"/>
    <n v="0.40600000000000003"/>
    <n v="0.01"/>
    <n v="0.34"/>
    <n v="0.186"/>
    <s v="含气层"/>
    <s v="马五41a"/>
    <x v="5"/>
    <n v="2"/>
    <m/>
    <n v="6.8999999999999992E-2"/>
    <n v="-0.34700000000000003"/>
  </r>
  <r>
    <s v="延1954"/>
    <n v="3922"/>
    <n v="23.033000000000001"/>
    <n v="22.219000000000001"/>
    <n v="0.93200000000000005"/>
    <n v="157.58000000000001"/>
    <n v="2.762"/>
    <n v="6.6470000000000002"/>
    <n v="3.2930000000000001"/>
    <n v="212.345"/>
    <n v="231.58699999999999"/>
    <n v="3.0609999999999999"/>
    <n v="0.01"/>
    <n v="45.134"/>
    <n v="7.3999999999999996E-2"/>
    <n v="0.443"/>
    <n v="1E-3"/>
    <n v="0.38200000000000001"/>
    <n v="0.14599999999999999"/>
    <s v="含气层"/>
    <s v="马五41a"/>
    <x v="5"/>
    <n v="2"/>
    <m/>
    <n v="7.4999999999999997E-2"/>
    <n v="-0.36899999999999999"/>
  </r>
  <r>
    <s v="延1954"/>
    <n v="3922.125"/>
    <n v="23.193999999999999"/>
    <n v="22.222999999999999"/>
    <n v="1.018"/>
    <n v="157.69499999999999"/>
    <n v="2.7759999999999998"/>
    <n v="6.4539999999999997"/>
    <n v="3.3260000000000001"/>
    <n v="254.221"/>
    <n v="278.14999999999998"/>
    <n v="3.0609999999999999"/>
    <n v="0.01"/>
    <n v="43.476999999999997"/>
    <n v="7.6999999999999999E-2"/>
    <n v="0.49199999999999999"/>
    <n v="4.0000000000000001E-3"/>
    <n v="0.45900000000000002"/>
    <n v="0.11700000000000001"/>
    <s v="含气层"/>
    <s v="马五41a"/>
    <x v="5"/>
    <n v="2"/>
    <m/>
    <n v="8.1000000000000003E-2"/>
    <n v="-0.41499999999999998"/>
  </r>
  <r>
    <s v="延1954"/>
    <n v="3922.25"/>
    <n v="24.161999999999999"/>
    <n v="22.236000000000001"/>
    <n v="1.2529999999999999"/>
    <n v="158.18700000000001"/>
    <n v="2.7919999999999998"/>
    <n v="6.3609999999999998"/>
    <n v="3.3580000000000001"/>
    <n v="319.18700000000001"/>
    <n v="350.05799999999999"/>
    <n v="3.0609999999999999"/>
    <n v="0.01"/>
    <n v="42.158000000000001"/>
    <n v="8.5999999999999993E-2"/>
    <n v="0.54100000000000004"/>
    <n v="2.4E-2"/>
    <n v="0.55000000000000004"/>
    <n v="0.10199999999999999"/>
    <s v="含气层"/>
    <s v="马五41a"/>
    <x v="5"/>
    <n v="2"/>
    <m/>
    <n v="0.10999999999999999"/>
    <n v="-0.45500000000000007"/>
  </r>
  <r>
    <s v="延1954"/>
    <n v="3922.375"/>
    <n v="27.414000000000001"/>
    <n v="22.259"/>
    <n v="1.64"/>
    <n v="159.14500000000001"/>
    <n v="2.8050000000000002"/>
    <n v="6.415"/>
    <n v="3.3780000000000001"/>
    <n v="397.84399999999999"/>
    <n v="436.57600000000002"/>
    <n v="3.0609999999999999"/>
    <n v="0.01"/>
    <n v="40.911999999999999"/>
    <n v="0.11700000000000001"/>
    <n v="0.57399999999999995"/>
    <n v="6.3E-2"/>
    <n v="0.627"/>
    <n v="0.107"/>
    <s v="含气层"/>
    <s v="马五41a"/>
    <x v="5"/>
    <n v="2"/>
    <m/>
    <n v="0.18"/>
    <n v="-0.45699999999999996"/>
  </r>
  <r>
    <s v="延1954"/>
    <n v="3922.5"/>
    <n v="34.207999999999998"/>
    <n v="22.298999999999999"/>
    <n v="2.093"/>
    <n v="160.69800000000001"/>
    <n v="2.8140000000000001"/>
    <n v="6.6580000000000004"/>
    <n v="3.3820000000000001"/>
    <n v="465.435"/>
    <n v="510.197"/>
    <n v="3.0609999999999999"/>
    <n v="0.01"/>
    <n v="39.691000000000003"/>
    <n v="0.183"/>
    <n v="0.58299999999999996"/>
    <n v="0.128"/>
    <n v="0.68200000000000005"/>
    <n v="0.13900000000000001"/>
    <s v="含气层"/>
    <s v="马五41a"/>
    <x v="5"/>
    <n v="2"/>
    <m/>
    <n v="0.311"/>
    <n v="-0.39999999999999997"/>
  </r>
  <r>
    <s v="延924"/>
    <n v="4033.25"/>
    <n v="22.042000000000002"/>
    <n v="21.701000000000001"/>
    <n v="2.6190000000000002"/>
    <n v="163.88300000000001"/>
    <n v="2.6880000000000002"/>
    <n v="9.9489999999999998"/>
    <n v="2.9340000000000002"/>
    <n v="57.350999999999999"/>
    <n v="52.287999999999997"/>
    <n v="5.6710000000000003"/>
    <n v="0.18"/>
    <n v="100"/>
    <n v="2.8000000000000001E-2"/>
    <n v="0.214"/>
    <n v="0.35"/>
    <n v="0.45800000000000002"/>
    <n v="0.46600000000000003"/>
    <m/>
    <s v="马五41a"/>
    <x v="5"/>
    <n v="2"/>
    <m/>
    <n v="0.378"/>
    <n v="-0.186"/>
  </r>
  <r>
    <s v="延924"/>
    <n v="4033.375"/>
    <n v="22.556999999999999"/>
    <n v="21.710999999999999"/>
    <n v="2.8050000000000002"/>
    <n v="161.04300000000001"/>
    <n v="2.702"/>
    <n v="9.2959999999999994"/>
    <n v="2.9740000000000002"/>
    <n v="63.051000000000002"/>
    <n v="58.216000000000001"/>
    <n v="1.3440000000000001"/>
    <n v="3.4000000000000002E-2"/>
    <n v="100"/>
    <n v="3.1E-2"/>
    <n v="0.24099999999999999"/>
    <n v="0.26100000000000001"/>
    <n v="0.51500000000000001"/>
    <n v="0.41"/>
    <m/>
    <s v="马五41a"/>
    <x v="5"/>
    <n v="2"/>
    <m/>
    <n v="0.29200000000000004"/>
    <n v="-0.21"/>
  </r>
  <r>
    <s v="延924"/>
    <n v="4033.5"/>
    <n v="22.911999999999999"/>
    <n v="21.757999999999999"/>
    <n v="2.8239999999999998"/>
    <n v="160.50200000000001"/>
    <n v="2.7120000000000002"/>
    <n v="8.6539999999999999"/>
    <n v="3.0430000000000001"/>
    <n v="69.724999999999994"/>
    <n v="65.332999999999998"/>
    <n v="0"/>
    <n v="0"/>
    <n v="100"/>
    <n v="3.4000000000000002E-2"/>
    <n v="0.28399999999999997"/>
    <n v="0.22900000000000001"/>
    <n v="0.55900000000000005"/>
    <n v="0.35499999999999998"/>
    <m/>
    <s v="马五41a"/>
    <x v="5"/>
    <n v="2"/>
    <m/>
    <n v="0.26300000000000001"/>
    <n v="-0.24999999999999997"/>
  </r>
  <r>
    <s v="延924"/>
    <n v="4033.625"/>
    <n v="23.338999999999999"/>
    <n v="21.81"/>
    <n v="2.8159999999999998"/>
    <n v="157.322"/>
    <n v="2.722"/>
    <n v="8.3829999999999991"/>
    <n v="3.137"/>
    <n v="81.405000000000001"/>
    <n v="77.094999999999999"/>
    <n v="0"/>
    <n v="0"/>
    <n v="100"/>
    <n v="3.6999999999999998E-2"/>
    <n v="0.34399999999999997"/>
    <n v="0.14399999999999999"/>
    <n v="0.59899999999999998"/>
    <n v="0.32600000000000001"/>
    <m/>
    <s v="马五41a"/>
    <x v="5"/>
    <n v="2"/>
    <m/>
    <n v="0.18099999999999999"/>
    <n v="-0.307"/>
  </r>
  <r>
    <s v="延924"/>
    <n v="4033.75"/>
    <n v="23.645"/>
    <n v="21.866"/>
    <n v="2.891"/>
    <n v="154.18"/>
    <n v="2.734"/>
    <n v="8.3670000000000009"/>
    <n v="3.2010000000000001"/>
    <n v="92.759"/>
    <n v="88.537999999999997"/>
    <n v="0"/>
    <n v="0"/>
    <n v="100"/>
    <n v="0.04"/>
    <n v="0.39100000000000001"/>
    <n v="4.2000000000000003E-2"/>
    <n v="0.64600000000000002"/>
    <n v="0.32"/>
    <m/>
    <s v="马五41a"/>
    <x v="5"/>
    <n v="2"/>
    <m/>
    <n v="8.2000000000000003E-2"/>
    <n v="-0.35100000000000003"/>
  </r>
  <r>
    <s v="延924"/>
    <n v="4033.875"/>
    <n v="23.995000000000001"/>
    <n v="21.989000000000001"/>
    <n v="3.0409999999999999"/>
    <n v="153.488"/>
    <n v="2.7509999999999999"/>
    <n v="8.327"/>
    <n v="3.22"/>
    <n v="114.553"/>
    <n v="110.423"/>
    <n v="0"/>
    <n v="0"/>
    <n v="100"/>
    <n v="4.2999999999999997E-2"/>
    <n v="0.41"/>
    <n v="4.0000000000000001E-3"/>
    <n v="0.71099999999999997"/>
    <n v="0.317"/>
    <m/>
    <s v="马五41a"/>
    <x v="5"/>
    <n v="2"/>
    <m/>
    <n v="4.7E-2"/>
    <n v="-0.36699999999999999"/>
  </r>
  <r>
    <s v="延924"/>
    <n v="4034"/>
    <n v="25.155999999999999"/>
    <n v="22.148"/>
    <n v="3.0129999999999999"/>
    <n v="153.488"/>
    <n v="2.762"/>
    <n v="8.1340000000000003"/>
    <n v="3.2"/>
    <n v="149.71700000000001"/>
    <n v="146.376"/>
    <n v="0"/>
    <n v="0"/>
    <n v="100"/>
    <n v="5.0999999999999997E-2"/>
    <n v="0.40200000000000002"/>
    <n v="0"/>
    <n v="0.76"/>
    <n v="0.30299999999999999"/>
    <m/>
    <s v="马五41a"/>
    <x v="5"/>
    <n v="2"/>
    <m/>
    <n v="5.0999999999999997E-2"/>
    <n v="-0.35100000000000003"/>
  </r>
  <r>
    <s v="延924"/>
    <n v="4034.125"/>
    <n v="25.989000000000001"/>
    <n v="22.44"/>
    <n v="2.5049999999999999"/>
    <n v="154.739"/>
    <n v="2.7639999999999998"/>
    <n v="7.8220000000000001"/>
    <n v="3.1560000000000001"/>
    <n v="193.03399999999999"/>
    <n v="191.684"/>
    <n v="0"/>
    <n v="0"/>
    <n v="100"/>
    <n v="5.8000000000000003E-2"/>
    <n v="0.375"/>
    <n v="3.2000000000000001E-2"/>
    <n v="0.77600000000000002"/>
    <n v="0.27900000000000003"/>
    <m/>
    <s v="马五41a"/>
    <x v="5"/>
    <n v="2"/>
    <m/>
    <n v="0.09"/>
    <n v="-0.317"/>
  </r>
  <r>
    <s v="延924"/>
    <n v="4034.25"/>
    <n v="26.419"/>
    <n v="22.451000000000001"/>
    <n v="1.921"/>
    <n v="156.08500000000001"/>
    <n v="2.76"/>
    <n v="7.3570000000000002"/>
    <n v="3.14"/>
    <n v="254.09700000000001"/>
    <n v="258.26299999999998"/>
    <n v="0"/>
    <n v="0"/>
    <n v="100"/>
    <n v="6.2E-2"/>
    <n v="0.36099999999999999"/>
    <n v="7.4999999999999997E-2"/>
    <n v="0.76400000000000001"/>
    <n v="0.24199999999999999"/>
    <m/>
    <s v="马五41a"/>
    <x v="5"/>
    <n v="2"/>
    <m/>
    <n v="0.13700000000000001"/>
    <n v="-0.29899999999999999"/>
  </r>
  <r>
    <s v="延924"/>
    <n v="4034.375"/>
    <n v="26.792999999999999"/>
    <n v="22.54"/>
    <n v="1.7629999999999999"/>
    <n v="156.887"/>
    <n v="2.7610000000000001"/>
    <n v="6.7960000000000003"/>
    <n v="3.14"/>
    <n v="309.06799999999998"/>
    <n v="319.02300000000002"/>
    <n v="0"/>
    <n v="0"/>
    <n v="100"/>
    <n v="6.5000000000000002E-2"/>
    <n v="0.35899999999999999"/>
    <n v="0.104"/>
    <n v="0.76400000000000001"/>
    <n v="0.19600000000000001"/>
    <m/>
    <s v="马五41a"/>
    <x v="5"/>
    <n v="2"/>
    <m/>
    <n v="0.16899999999999998"/>
    <n v="-0.29399999999999998"/>
  </r>
  <r>
    <s v="延924"/>
    <n v="4034.5"/>
    <n v="26.838999999999999"/>
    <n v="22.693999999999999"/>
    <n v="2.0979999999999999"/>
    <n v="157.50899999999999"/>
    <n v="2.7639999999999998"/>
    <n v="6.26"/>
    <n v="3.18"/>
    <n v="357.02800000000002"/>
    <n v="369.91300000000001"/>
    <n v="0"/>
    <n v="0"/>
    <n v="100"/>
    <n v="6.6000000000000003E-2"/>
    <n v="0.38"/>
    <n v="0.125"/>
    <n v="0.77500000000000002"/>
    <n v="0.15"/>
    <m/>
    <s v="马五41a"/>
    <x v="5"/>
    <n v="2"/>
    <m/>
    <n v="0.191"/>
    <n v="-0.314"/>
  </r>
  <r>
    <s v="延924"/>
    <n v="4034.625"/>
    <n v="27.774000000000001"/>
    <n v="22.669"/>
    <n v="2.5920000000000001"/>
    <n v="157.18299999999999"/>
    <n v="2.76"/>
    <n v="6.0049999999999999"/>
    <n v="3.2090000000000001"/>
    <n v="371.80099999999999"/>
    <n v="389.536"/>
    <n v="0"/>
    <n v="0"/>
    <n v="100"/>
    <n v="7.2999999999999995E-2"/>
    <n v="0.40100000000000002"/>
    <n v="0.121"/>
    <n v="0.76400000000000001"/>
    <n v="0.123"/>
    <m/>
    <s v="马五41a"/>
    <x v="5"/>
    <n v="2"/>
    <m/>
    <n v="0.19400000000000001"/>
    <n v="-0.32800000000000001"/>
  </r>
  <r>
    <s v="延924"/>
    <n v="4034.75"/>
    <n v="29.344000000000001"/>
    <n v="23.062000000000001"/>
    <n v="3.0089999999999999"/>
    <n v="156.96"/>
    <n v="2.7530000000000001"/>
    <n v="6.2350000000000003"/>
    <n v="3.2469999999999999"/>
    <n v="386.03100000000001"/>
    <n v="408.64299999999997"/>
    <n v="0"/>
    <n v="0"/>
    <n v="100"/>
    <n v="8.4000000000000005E-2"/>
    <n v="0.42599999999999999"/>
    <n v="0.113"/>
    <n v="0.73799999999999999"/>
    <n v="0.13400000000000001"/>
    <m/>
    <s v="马五41a"/>
    <x v="5"/>
    <n v="2"/>
    <m/>
    <n v="0.19700000000000001"/>
    <n v="-0.34199999999999997"/>
  </r>
  <r>
    <s v="延924"/>
    <n v="4034.875"/>
    <n v="30.709"/>
    <n v="23.305"/>
    <n v="3.274"/>
    <n v="158.46799999999999"/>
    <n v="2.746"/>
    <n v="6.7809999999999997"/>
    <n v="3.26"/>
    <n v="407.83499999999998"/>
    <n v="435.70499999999998"/>
    <n v="0"/>
    <n v="0"/>
    <n v="100"/>
    <n v="9.6000000000000002E-2"/>
    <n v="0.438"/>
    <n v="0.15"/>
    <n v="0.71"/>
    <n v="0.17599999999999999"/>
    <m/>
    <s v="马五41a"/>
    <x v="5"/>
    <n v="2"/>
    <m/>
    <n v="0.246"/>
    <n v="-0.34199999999999997"/>
  </r>
  <r>
    <s v="延924"/>
    <n v="4035"/>
    <n v="32.484000000000002"/>
    <n v="23.600999999999999"/>
    <n v="3.278"/>
    <n v="161.20699999999999"/>
    <n v="2.7440000000000002"/>
    <n v="7.5380000000000003"/>
    <n v="3.26"/>
    <n v="442.76600000000002"/>
    <n v="474.68700000000001"/>
    <n v="0"/>
    <n v="0"/>
    <n v="100"/>
    <n v="0.11"/>
    <n v="0.44"/>
    <n v="0.23100000000000001"/>
    <n v="0.69799999999999995"/>
    <n v="0.23599999999999999"/>
    <m/>
    <s v="马五41a"/>
    <x v="5"/>
    <n v="2"/>
    <m/>
    <n v="0.34100000000000003"/>
    <n v="-0.33"/>
  </r>
  <r>
    <s v="延924"/>
    <n v="4035.125"/>
    <n v="35.192999999999998"/>
    <n v="23.210999999999999"/>
    <n v="3.0590000000000002"/>
    <n v="164.631"/>
    <n v="2.7480000000000002"/>
    <n v="8.2590000000000003"/>
    <n v="3.26"/>
    <n v="518.41399999999999"/>
    <n v="560.41999999999996"/>
    <n v="0"/>
    <n v="0"/>
    <n v="100"/>
    <n v="0.13"/>
    <n v="0.44"/>
    <n v="0.33600000000000002"/>
    <n v="0.70899999999999996"/>
    <n v="0.29799999999999999"/>
    <m/>
    <s v="马五41a"/>
    <x v="5"/>
    <n v="2"/>
    <m/>
    <n v="0.46600000000000003"/>
    <n v="-0.31"/>
  </r>
  <r>
    <s v="延924"/>
    <n v="4035.25"/>
    <n v="40.369"/>
    <n v="22.966000000000001"/>
    <n v="2.8490000000000002"/>
    <n v="170.36500000000001"/>
    <n v="2.7549999999999999"/>
    <n v="8.7739999999999991"/>
    <n v="3.254"/>
    <n v="568.21900000000005"/>
    <n v="618.02599999999995"/>
    <n v="0"/>
    <n v="0"/>
    <n v="100"/>
    <n v="0.16800000000000001"/>
    <n v="0.437"/>
    <n v="0.50600000000000001"/>
    <n v="0.73499999999999999"/>
    <n v="0.34599999999999997"/>
    <m/>
    <s v="马五41a"/>
    <x v="5"/>
    <n v="2"/>
    <m/>
    <n v="0.67400000000000004"/>
    <n v="-0.26900000000000002"/>
  </r>
  <r>
    <s v="延924"/>
    <n v="4035.375"/>
    <n v="50.826999999999998"/>
    <n v="23.210999999999999"/>
    <n v="2.8530000000000002"/>
    <n v="177.94200000000001"/>
    <n v="2.758"/>
    <n v="9.5500000000000007"/>
    <n v="3.23"/>
    <n v="550.90700000000004"/>
    <n v="596.98900000000003"/>
    <n v="0"/>
    <n v="0"/>
    <n v="100"/>
    <n v="0.245"/>
    <n v="0.42299999999999999"/>
    <n v="0.73699999999999999"/>
    <n v="0.751"/>
    <n v="0.40699999999999997"/>
    <m/>
    <s v="马五41a"/>
    <x v="5"/>
    <n v="2"/>
    <m/>
    <n v="0.98199999999999998"/>
    <n v="-0.17799999999999999"/>
  </r>
  <r>
    <s v="延924"/>
    <n v="4036.125"/>
    <n v="74.933999999999997"/>
    <n v="23.67"/>
    <n v="4.0069999999999997"/>
    <n v="161.935"/>
    <n v="2.7519999999999998"/>
    <n v="13.048"/>
    <n v="3.1509999999999998"/>
    <n v="505.76299999999998"/>
    <n v="545.90599999999995"/>
    <n v="0"/>
    <n v="0"/>
    <n v="100"/>
    <n v="0.48699999999999999"/>
    <n v="0.35799999999999998"/>
    <n v="0.28499999999999998"/>
    <n v="0.71299999999999997"/>
    <n v="0.73399999999999999"/>
    <m/>
    <s v="马五41b"/>
    <x v="5"/>
    <n v="3"/>
    <m/>
    <n v="0.77200000000000002"/>
    <n v="0.129"/>
  </r>
  <r>
    <s v="延924"/>
    <n v="4036.25"/>
    <n v="57.000999999999998"/>
    <n v="23.414999999999999"/>
    <n v="3.4140000000000001"/>
    <n v="160.56899999999999"/>
    <n v="2.7730000000000001"/>
    <n v="11.542"/>
    <n v="3.1930000000000001"/>
    <n v="545.32799999999997"/>
    <n v="590.625"/>
    <n v="0"/>
    <n v="0"/>
    <n v="100"/>
    <n v="0.34100000000000003"/>
    <n v="0.38900000000000001"/>
    <n v="0.23599999999999999"/>
    <n v="0.79700000000000004"/>
    <n v="0.61499999999999999"/>
    <m/>
    <s v="马五41b"/>
    <x v="5"/>
    <n v="3"/>
    <m/>
    <n v="0.57699999999999996"/>
    <n v="-4.7999999999999987E-2"/>
  </r>
  <r>
    <s v="延924"/>
    <n v="4036.375"/>
    <n v="42.250999999999998"/>
    <n v="23.050999999999998"/>
    <n v="2.7909999999999999"/>
    <n v="161.02699999999999"/>
    <n v="2.79"/>
    <n v="9.8230000000000004"/>
    <n v="3.1779999999999999"/>
    <n v="541.61500000000001"/>
    <n v="580.745"/>
    <n v="0"/>
    <n v="0"/>
    <n v="100"/>
    <n v="0.216"/>
    <n v="0.38600000000000001"/>
    <n v="0.23899999999999999"/>
    <n v="0.86899999999999999"/>
    <n v="0.47299999999999998"/>
    <m/>
    <s v="马五41b"/>
    <x v="5"/>
    <n v="3"/>
    <m/>
    <n v="0.45499999999999996"/>
    <n v="-0.17"/>
  </r>
  <r>
    <s v="延924"/>
    <n v="4036.5"/>
    <n v="33.048999999999999"/>
    <n v="22.681999999999999"/>
    <n v="2.4430000000000001"/>
    <n v="163.46700000000001"/>
    <n v="2.7949999999999999"/>
    <n v="8.3930000000000007"/>
    <n v="3.1360000000000001"/>
    <n v="499.23599999999999"/>
    <n v="525.98099999999999"/>
    <n v="0"/>
    <n v="0"/>
    <n v="100"/>
    <n v="0.13200000000000001"/>
    <n v="0.36199999999999999"/>
    <n v="0.30499999999999999"/>
    <n v="0.89900000000000002"/>
    <n v="0.34599999999999997"/>
    <m/>
    <s v="马五41b"/>
    <x v="5"/>
    <n v="3"/>
    <m/>
    <n v="0.437"/>
    <n v="-0.22999999999999998"/>
  </r>
  <r>
    <s v="延924"/>
    <n v="4036.625"/>
    <n v="28.72"/>
    <n v="22.923999999999999"/>
    <n v="2.3849999999999998"/>
    <n v="166.453"/>
    <n v="2.78"/>
    <n v="7.6669999999999998"/>
    <n v="3.093"/>
    <n v="442.49900000000002"/>
    <n v="457.70100000000002"/>
    <n v="0"/>
    <n v="0"/>
    <n v="100"/>
    <n v="8.8999999999999996E-2"/>
    <n v="0.33300000000000002"/>
    <n v="0.39700000000000002"/>
    <n v="0.85399999999999998"/>
    <n v="0.27200000000000002"/>
    <m/>
    <s v="马五41b"/>
    <x v="5"/>
    <n v="3"/>
    <m/>
    <n v="0.48599999999999999"/>
    <n v="-0.24400000000000002"/>
  </r>
  <r>
    <s v="延924"/>
    <n v="4036.75"/>
    <n v="29.77"/>
    <n v="23.143000000000001"/>
    <n v="2.3780000000000001"/>
    <n v="168.40199999999999"/>
    <n v="2.7549999999999999"/>
    <n v="7.5209999999999999"/>
    <n v="3.0569999999999999"/>
    <n v="418.964"/>
    <n v="430.12400000000002"/>
    <n v="0"/>
    <n v="0"/>
    <n v="100"/>
    <n v="8.8999999999999996E-2"/>
    <n v="0.307"/>
    <n v="0.46700000000000003"/>
    <n v="0.76100000000000001"/>
    <n v="0.25"/>
    <m/>
    <s v="马五41b"/>
    <x v="5"/>
    <n v="3"/>
    <m/>
    <n v="0.55600000000000005"/>
    <n v="-0.218"/>
  </r>
  <r>
    <s v="延924"/>
    <n v="4036.875"/>
    <n v="34.999000000000002"/>
    <n v="23.443999999999999"/>
    <n v="2.4990000000000001"/>
    <n v="168.34700000000001"/>
    <n v="2.7320000000000002"/>
    <n v="8.0370000000000008"/>
    <n v="3.01"/>
    <n v="437.89100000000002"/>
    <n v="450.42700000000002"/>
    <n v="0"/>
    <n v="0"/>
    <n v="100"/>
    <n v="0.124"/>
    <n v="0.27700000000000002"/>
    <n v="0.47799999999999998"/>
    <n v="0.66600000000000004"/>
    <n v="0.28299999999999997"/>
    <m/>
    <s v="马五41b"/>
    <x v="5"/>
    <n v="3"/>
    <m/>
    <n v="0.60199999999999998"/>
    <n v="-0.15300000000000002"/>
  </r>
  <r>
    <s v="延924"/>
    <n v="4037"/>
    <n v="42.343000000000004"/>
    <n v="23.361999999999998"/>
    <n v="2.988"/>
    <n v="166.786"/>
    <n v="2.7170000000000001"/>
    <n v="8.8279999999999994"/>
    <n v="3.0009999999999999"/>
    <n v="493.41800000000001"/>
    <n v="514.22699999999998"/>
    <n v="0"/>
    <n v="0"/>
    <n v="100"/>
    <n v="0.18099999999999999"/>
    <n v="0.26600000000000001"/>
    <n v="0.437"/>
    <n v="0.59899999999999998"/>
    <n v="0.34599999999999997"/>
    <m/>
    <s v="马五41b"/>
    <x v="5"/>
    <n v="3"/>
    <m/>
    <n v="0.61799999999999999"/>
    <n v="-8.500000000000002E-2"/>
  </r>
  <r>
    <s v="延924"/>
    <n v="4037.125"/>
    <n v="49.128"/>
    <n v="23.103999999999999"/>
    <n v="3.698"/>
    <n v="164.71700000000001"/>
    <n v="2.7149999999999999"/>
    <n v="9.3610000000000007"/>
    <n v="3.012"/>
    <n v="656.33399999999995"/>
    <n v="621.72199999999998"/>
    <n v="0"/>
    <n v="0"/>
    <n v="100"/>
    <n v="0.23699999999999999"/>
    <n v="0.27100000000000002"/>
    <n v="0.374"/>
    <n v="0.58099999999999996"/>
    <n v="0.39500000000000002"/>
    <m/>
    <s v="马五41b"/>
    <x v="5"/>
    <n v="3"/>
    <m/>
    <n v="0.61099999999999999"/>
    <n v="-3.400000000000003E-2"/>
  </r>
  <r>
    <s v="延924"/>
    <n v="4037.25"/>
    <n v="54.081000000000003"/>
    <n v="22.614999999999998"/>
    <n v="4.0880000000000001"/>
    <n v="163.27099999999999"/>
    <n v="2.72"/>
    <n v="9.5440000000000005"/>
    <n v="3.0990000000000002"/>
    <n v="726.64099999999996"/>
    <n v="760.87199999999996"/>
    <n v="0"/>
    <n v="0"/>
    <n v="100"/>
    <n v="0.28000000000000003"/>
    <n v="0.31900000000000001"/>
    <n v="0.32400000000000001"/>
    <n v="0.59499999999999997"/>
    <n v="0.41699999999999998"/>
    <m/>
    <s v="马五41b"/>
    <x v="5"/>
    <n v="3"/>
    <m/>
    <n v="0.60400000000000009"/>
    <n v="-3.8999999999999979E-2"/>
  </r>
  <r>
    <s v="延924"/>
    <n v="4037.375"/>
    <n v="56.777000000000001"/>
    <n v="22.491"/>
    <n v="4.1319999999999997"/>
    <n v="163.291"/>
    <n v="2.726"/>
    <n v="9.6289999999999996"/>
    <n v="3.2240000000000002"/>
    <n v="787.35500000000002"/>
    <n v="828.59299999999996"/>
    <n v="0"/>
    <n v="0"/>
    <n v="100"/>
    <n v="0.30599999999999999"/>
    <n v="0.39900000000000002"/>
    <n v="0.315"/>
    <n v="0.61899999999999999"/>
    <n v="0.42599999999999999"/>
    <m/>
    <s v="马五41b"/>
    <x v="5"/>
    <n v="3"/>
    <m/>
    <n v="0.621"/>
    <n v="-9.3000000000000027E-2"/>
  </r>
  <r>
    <s v="延924"/>
    <n v="4037.5"/>
    <n v="58.485999999999997"/>
    <n v="22.646000000000001"/>
    <n v="3.9889999999999999"/>
    <n v="163.40600000000001"/>
    <n v="2.7389999999999999"/>
    <n v="9.7230000000000008"/>
    <n v="3.3330000000000002"/>
    <n v="784.08199999999999"/>
    <n v="830.19899999999996"/>
    <n v="0"/>
    <n v="0"/>
    <n v="100"/>
    <n v="0.32100000000000001"/>
    <n v="0.47399999999999998"/>
    <n v="0.318"/>
    <n v="0.66600000000000004"/>
    <n v="0.434"/>
    <m/>
    <s v="马五41b"/>
    <x v="5"/>
    <n v="3"/>
    <m/>
    <n v="0.63900000000000001"/>
    <n v="-0.15299999999999997"/>
  </r>
  <r>
    <s v="延924"/>
    <n v="4037.625"/>
    <n v="59.942"/>
    <n v="22.984000000000002"/>
    <n v="3.6829999999999998"/>
    <n v="162.845"/>
    <n v="2.758"/>
    <n v="9.6739999999999995"/>
    <n v="3.3980000000000001"/>
    <n v="775.47699999999998"/>
    <n v="836.779"/>
    <n v="0"/>
    <n v="0"/>
    <n v="100"/>
    <n v="0.33300000000000002"/>
    <n v="0.52400000000000002"/>
    <n v="0.30399999999999999"/>
    <n v="0.73799999999999999"/>
    <n v="0.432"/>
    <m/>
    <s v="马五41b"/>
    <x v="5"/>
    <n v="3"/>
    <m/>
    <n v="0.63700000000000001"/>
    <n v="-0.191"/>
  </r>
  <r>
    <s v="延924"/>
    <n v="4037.75"/>
    <n v="59.84"/>
    <n v="23.253"/>
    <n v="3.2469999999999999"/>
    <n v="162.65799999999999"/>
    <n v="2.786"/>
    <n v="9.3249999999999993"/>
    <n v="3.4239999999999999"/>
    <n v="778.10900000000004"/>
    <n v="853.96900000000005"/>
    <n v="0"/>
    <n v="0"/>
    <n v="100"/>
    <n v="0.33500000000000002"/>
    <n v="0.54700000000000004"/>
    <n v="0.29599999999999999"/>
    <n v="0.84399999999999997"/>
    <n v="0.40699999999999997"/>
    <m/>
    <s v="马五41b"/>
    <x v="5"/>
    <n v="3"/>
    <m/>
    <n v="0.63100000000000001"/>
    <n v="-0.21200000000000002"/>
  </r>
  <r>
    <s v="延924"/>
    <n v="4038.125"/>
    <n v="59.076999999999998"/>
    <n v="22.785"/>
    <n v="2.6970000000000001"/>
    <n v="164.988"/>
    <n v="2.7970000000000002"/>
    <n v="8.3109999999999999"/>
    <n v="3.3650000000000002"/>
    <n v="770.79899999999998"/>
    <n v="851.83299999999997"/>
    <n v="0"/>
    <n v="0"/>
    <n v="100"/>
    <n v="0.32600000000000001"/>
    <n v="0.51700000000000002"/>
    <n v="0.36299999999999999"/>
    <n v="0.91800000000000004"/>
    <n v="0.318"/>
    <m/>
    <s v="马五41b"/>
    <x v="5"/>
    <n v="3"/>
    <m/>
    <n v="0.68900000000000006"/>
    <n v="-0.191"/>
  </r>
  <r>
    <s v="延924"/>
    <n v="4038.25"/>
    <n v="60.725000000000001"/>
    <n v="22.716999999999999"/>
    <n v="2.7040000000000002"/>
    <n v="165.346"/>
    <n v="2.7759999999999998"/>
    <n v="8.2780000000000005"/>
    <n v="3.3340000000000001"/>
    <n v="964.54"/>
    <n v="1024.816"/>
    <n v="0"/>
    <n v="0"/>
    <n v="100"/>
    <n v="0.34"/>
    <n v="0.49399999999999999"/>
    <n v="0.379"/>
    <n v="0.84299999999999997"/>
    <n v="0.313"/>
    <m/>
    <s v="马五41b"/>
    <x v="5"/>
    <n v="3"/>
    <m/>
    <n v="0.71900000000000008"/>
    <n v="-0.15399999999999997"/>
  </r>
  <r>
    <s v="延924"/>
    <n v="4038.375"/>
    <n v="60.279000000000003"/>
    <n v="22.404"/>
    <n v="2.4870000000000001"/>
    <n v="164.76900000000001"/>
    <n v="2.75"/>
    <n v="8.3940000000000001"/>
    <n v="3.2930000000000001"/>
    <n v="1164.711"/>
    <n v="1175.5409999999999"/>
    <n v="0"/>
    <n v="0"/>
    <n v="100"/>
    <n v="0.33900000000000002"/>
    <n v="0.46800000000000003"/>
    <n v="0.36599999999999999"/>
    <n v="0.74199999999999999"/>
    <n v="0.32"/>
    <m/>
    <s v="马五41b"/>
    <x v="5"/>
    <n v="3"/>
    <m/>
    <n v="0.70500000000000007"/>
    <n v="-0.129"/>
  </r>
  <r>
    <s v="延924"/>
    <n v="4038.5"/>
    <n v="55.884"/>
    <n v="22.273"/>
    <n v="2.33"/>
    <n v="162.71799999999999"/>
    <n v="2.7269999999999999"/>
    <n v="8.8000000000000007"/>
    <n v="3.262"/>
    <n v="1292.8009999999999"/>
    <n v="1241.3679999999999"/>
    <n v="0"/>
    <n v="0"/>
    <n v="100"/>
    <n v="0.31"/>
    <n v="0.44500000000000001"/>
    <n v="0.31"/>
    <n v="0.64600000000000002"/>
    <n v="0.35"/>
    <m/>
    <s v="马五41b"/>
    <x v="5"/>
    <n v="3"/>
    <m/>
    <n v="0.62"/>
    <n v="-0.13500000000000001"/>
  </r>
  <r>
    <s v="延924"/>
    <n v="4038.625"/>
    <n v="51.262"/>
    <n v="22.141999999999999"/>
    <n v="2.8069999999999999"/>
    <n v="160.392"/>
    <n v="2.72"/>
    <n v="9.5090000000000003"/>
    <n v="3.2410000000000001"/>
    <n v="1303.5740000000001"/>
    <n v="1223.3889999999999"/>
    <n v="0"/>
    <n v="0"/>
    <n v="100"/>
    <n v="0.27300000000000002"/>
    <n v="0.43"/>
    <n v="0.23699999999999999"/>
    <n v="0.60499999999999998"/>
    <n v="0.40500000000000003"/>
    <m/>
    <s v="马五41b"/>
    <x v="5"/>
    <n v="3"/>
    <m/>
    <n v="0.51"/>
    <n v="-0.15699999999999997"/>
  </r>
  <r>
    <s v="延924"/>
    <n v="4038.75"/>
    <n v="49.817999999999998"/>
    <n v="22.11"/>
    <n v="3.4569999999999999"/>
    <n v="161.059"/>
    <n v="2.7269999999999999"/>
    <n v="10.327"/>
    <n v="3.2280000000000002"/>
    <n v="1184.5"/>
    <n v="1169.8130000000001"/>
    <n v="0"/>
    <n v="0"/>
    <n v="100"/>
    <n v="0.25600000000000001"/>
    <n v="0.42"/>
    <n v="0.23899999999999999"/>
    <n v="0.622"/>
    <n v="0.47299999999999998"/>
    <m/>
    <s v="马五41b"/>
    <x v="5"/>
    <n v="3"/>
    <m/>
    <n v="0.495"/>
    <n v="-0.16399999999999998"/>
  </r>
  <r>
    <s v="延924"/>
    <n v="4038.875"/>
    <n v="54.997999999999998"/>
    <n v="22.126000000000001"/>
    <n v="3.5630000000000002"/>
    <n v="166.03200000000001"/>
    <n v="2.7450000000000001"/>
    <n v="11.11"/>
    <n v="3.214"/>
    <n v="1032.855"/>
    <n v="1082.7070000000001"/>
    <n v="0"/>
    <n v="0"/>
    <n v="100"/>
    <n v="0.28699999999999998"/>
    <n v="0.41099999999999998"/>
    <n v="0.371"/>
    <n v="0.68600000000000005"/>
    <n v="0.54"/>
    <m/>
    <s v="马五41b"/>
    <x v="5"/>
    <n v="3"/>
    <m/>
    <n v="0.65799999999999992"/>
    <n v="-0.124"/>
  </r>
  <r>
    <s v="延924"/>
    <n v="4039"/>
    <n v="67.417000000000002"/>
    <n v="22.238"/>
    <n v="3.1909999999999998"/>
    <n v="174.12100000000001"/>
    <n v="2.762"/>
    <n v="11.853"/>
    <n v="3.214"/>
    <n v="894.26400000000001"/>
    <n v="914.72299999999996"/>
    <n v="0"/>
    <n v="0"/>
    <n v="100"/>
    <n v="0.377"/>
    <n v="0.40899999999999997"/>
    <n v="0.61099999999999999"/>
    <n v="0.75600000000000001"/>
    <n v="0.60399999999999998"/>
    <m/>
    <s v="马五41b"/>
    <x v="5"/>
    <n v="3"/>
    <m/>
    <n v="0.98799999999999999"/>
    <n v="-3.1999999999999973E-2"/>
  </r>
  <r>
    <s v="延924"/>
    <n v="4039.125"/>
    <n v="83.593000000000004"/>
    <n v="22.620999999999999"/>
    <n v="3.3769999999999998"/>
    <n v="179.26400000000001"/>
    <n v="2.766"/>
    <n v="12.715999999999999"/>
    <n v="3.24"/>
    <n v="654.12400000000002"/>
    <n v="651.40599999999995"/>
    <n v="0"/>
    <n v="0"/>
    <n v="100"/>
    <n v="0.502"/>
    <n v="0.42299999999999999"/>
    <n v="0.79500000000000004"/>
    <n v="0.78200000000000003"/>
    <n v="0.67500000000000004"/>
    <m/>
    <s v="马五41b"/>
    <x v="5"/>
    <n v="3"/>
    <m/>
    <n v="1.2970000000000002"/>
    <n v="7.9000000000000015E-2"/>
  </r>
  <r>
    <s v="延1958"/>
    <n v="3892.625"/>
    <n v="52.567"/>
    <n v="28.04"/>
    <n v="3.4820000000000002"/>
    <n v="166.00299999999999"/>
    <n v="2.5"/>
    <n v="7.4710000000000001"/>
    <n v="2.8849999999999998"/>
    <n v="654.83100000000002"/>
    <n v="712.38800000000003"/>
    <n v="0.01"/>
    <n v="1E-3"/>
    <n v="100"/>
    <n v="0.34"/>
    <n v="0.40300000000000002"/>
    <n v="6.0000000000000001E-3"/>
    <n v="0.53100000000000003"/>
    <n v="0.2"/>
    <m/>
    <s v="马五41b"/>
    <x v="5"/>
    <n v="10"/>
    <m/>
    <n v="0.34600000000000003"/>
    <n v="-6.3E-2"/>
  </r>
  <r>
    <s v="延1958"/>
    <n v="3892.75"/>
    <n v="57.429000000000002"/>
    <n v="30.003"/>
    <n v="3.6989999999999998"/>
    <n v="175.18199999999999"/>
    <n v="2.4710000000000001"/>
    <n v="8.1"/>
    <n v="2.7949999999999999"/>
    <n v="600.63099999999997"/>
    <n v="653.40800000000002"/>
    <n v="0.01"/>
    <n v="1E-3"/>
    <n v="100"/>
    <n v="0.39700000000000002"/>
    <n v="0.33400000000000002"/>
    <n v="3.9E-2"/>
    <n v="0.42199999999999999"/>
    <n v="0.217"/>
    <m/>
    <s v="马五41b"/>
    <x v="5"/>
    <n v="10"/>
    <m/>
    <n v="0.436"/>
    <n v="6.3E-2"/>
  </r>
  <r>
    <s v="延1958"/>
    <n v="3892.875"/>
    <n v="61.298000000000002"/>
    <n v="32.231000000000002"/>
    <n v="3.996"/>
    <n v="198.28100000000001"/>
    <n v="2.4390000000000001"/>
    <n v="9.7200000000000006"/>
    <n v="2.7050000000000001"/>
    <n v="503.38299999999998"/>
    <n v="547.65300000000002"/>
    <n v="0.01"/>
    <n v="1E-3"/>
    <n v="100"/>
    <n v="0.44500000000000001"/>
    <n v="0.252"/>
    <n v="0.14399999999999999"/>
    <n v="0.36599999999999999"/>
    <n v="0.28999999999999998"/>
    <m/>
    <s v="马五41b"/>
    <x v="5"/>
    <n v="10"/>
    <m/>
    <n v="0.58899999999999997"/>
    <n v="0.193"/>
  </r>
  <r>
    <s v="延1958"/>
    <n v="3893"/>
    <n v="67.260999999999996"/>
    <n v="34.058"/>
    <n v="4.3079999999999998"/>
    <n v="235.45699999999999"/>
    <n v="2.4079999999999999"/>
    <n v="12.333"/>
    <n v="2.6619999999999999"/>
    <n v="380.36200000000002"/>
    <n v="413.86099999999999"/>
    <n v="0.01"/>
    <n v="1E-3"/>
    <n v="100"/>
    <n v="0.499"/>
    <n v="0.191"/>
    <n v="0.34"/>
    <n v="0.308"/>
    <n v="0.42699999999999999"/>
    <m/>
    <s v="马五41b"/>
    <x v="5"/>
    <n v="10"/>
    <m/>
    <n v="0.83899999999999997"/>
    <n v="0.308"/>
  </r>
  <r>
    <s v="延1958"/>
    <n v="3893.125"/>
    <n v="77.641999999999996"/>
    <n v="34.194000000000003"/>
    <n v="4.7240000000000002"/>
    <n v="277.44400000000002"/>
    <n v="2.3130000000000002"/>
    <n v="15.52"/>
    <n v="2.6669999999999998"/>
    <n v="259.59300000000002"/>
    <n v="282.48099999999999"/>
    <n v="0.01"/>
    <n v="1E-3"/>
    <n v="100"/>
    <n v="0.58899999999999997"/>
    <n v="0.17299999999999999"/>
    <n v="0.59599999999999997"/>
    <n v="0.192"/>
    <n v="0.61399999999999999"/>
    <m/>
    <s v="马五41b"/>
    <x v="5"/>
    <n v="10"/>
    <m/>
    <n v="1.1850000000000001"/>
    <n v="0.41599999999999998"/>
  </r>
  <r>
    <s v="延946"/>
    <n v="3887.875"/>
    <n v="26.657"/>
    <n v="21.613"/>
    <n v="2.7"/>
    <n v="158.44999999999999"/>
    <n v="2.677"/>
    <n v="1.6819999999999999"/>
    <n v="4.0819999999999999"/>
    <n v="2490.511"/>
    <n v="2697.422"/>
    <n v="9.5000000000000001E-2"/>
    <n v="1E-3"/>
    <n v="100"/>
    <n v="8.1000000000000003E-2"/>
    <n v="0.58199999999999996"/>
    <n v="0.21199999999999999"/>
    <n v="0.56100000000000005"/>
    <n v="3.5999999999999997E-2"/>
    <m/>
    <s v="马五41a"/>
    <x v="5"/>
    <n v="4"/>
    <m/>
    <n v="0.29299999999999998"/>
    <n v="-0.501"/>
  </r>
  <r>
    <s v="延946"/>
    <n v="3888"/>
    <n v="29.373000000000001"/>
    <n v="21.623000000000001"/>
    <n v="3.0329999999999999"/>
    <n v="159.21100000000001"/>
    <n v="2.665"/>
    <n v="3.5350000000000001"/>
    <n v="3.6309999999999998"/>
    <n v="1687.213"/>
    <n v="1827.3869999999999"/>
    <n v="0.97599999999999998"/>
    <n v="1E-3"/>
    <n v="82.031000000000006"/>
    <n v="0.1"/>
    <n v="0.40500000000000003"/>
    <n v="0.223"/>
    <n v="0.52400000000000002"/>
    <n v="0.115"/>
    <s v="含气层"/>
    <s v="马五41a"/>
    <x v="5"/>
    <n v="4"/>
    <m/>
    <n v="0.32300000000000001"/>
    <n v="-0.30500000000000005"/>
  </r>
  <r>
    <s v="延946"/>
    <n v="3888.125"/>
    <n v="32.520000000000003"/>
    <n v="21.655999999999999"/>
    <n v="3.1960000000000002"/>
    <n v="160.858"/>
    <n v="2.649"/>
    <n v="5.9089999999999998"/>
    <n v="3.274"/>
    <n v="878.61800000000005"/>
    <n v="951.61300000000006"/>
    <n v="2.58"/>
    <n v="2E-3"/>
    <n v="37.173000000000002"/>
    <n v="0.125"/>
    <n v="0.25600000000000001"/>
    <n v="0.253"/>
    <n v="0.46899999999999997"/>
    <n v="0.23300000000000001"/>
    <s v="含气层"/>
    <s v="马五41a"/>
    <x v="5"/>
    <n v="4"/>
    <m/>
    <n v="0.378"/>
    <n v="-0.13100000000000001"/>
  </r>
  <r>
    <s v="延946"/>
    <n v="3888.25"/>
    <n v="34.087000000000003"/>
    <n v="21.699000000000002"/>
    <n v="2.887"/>
    <n v="163.416"/>
    <n v="2.6339999999999999"/>
    <n v="7.3490000000000002"/>
    <n v="3.0270000000000001"/>
    <n v="415.73599999999999"/>
    <n v="450.27600000000001"/>
    <n v="3.4889999999999999"/>
    <n v="8.0000000000000002E-3"/>
    <n v="36.970999999999997"/>
    <n v="0.14399999999999999"/>
    <n v="0.14599999999999999"/>
    <n v="0.30399999999999999"/>
    <n v="0.40899999999999997"/>
    <n v="0.33100000000000002"/>
    <s v="含气层"/>
    <s v="马五41a"/>
    <x v="5"/>
    <n v="4"/>
    <m/>
    <n v="0.44799999999999995"/>
    <n v="-2.0000000000000018E-3"/>
  </r>
  <r>
    <s v="延946"/>
    <n v="3888.375"/>
    <n v="32.549999999999997"/>
    <n v="21.753"/>
    <n v="2.2890000000000001"/>
    <n v="166.44399999999999"/>
    <n v="2.6339999999999999"/>
    <n v="7.5860000000000003"/>
    <n v="3.0270000000000001"/>
    <n v="227.274"/>
    <n v="246.15600000000001"/>
    <n v="3.62"/>
    <n v="8.9999999999999993E-3"/>
    <n v="46.305"/>
    <n v="0.14199999999999999"/>
    <n v="0.109"/>
    <n v="0.36899999999999999"/>
    <n v="0.38600000000000001"/>
    <n v="0.37"/>
    <s v="含气层"/>
    <s v="马五41a"/>
    <x v="5"/>
    <n v="4"/>
    <m/>
    <n v="0.51100000000000001"/>
    <n v="3.2999999999999988E-2"/>
  </r>
  <r>
    <s v="延946"/>
    <n v="3888.875"/>
    <n v="21.184000000000001"/>
    <n v="21.722000000000001"/>
    <n v="1.52"/>
    <n v="174.07"/>
    <n v="2.625"/>
    <n v="8.5739999999999998"/>
    <n v="2.9790000000000001"/>
    <n v="50.582000000000001"/>
    <n v="54.783999999999999"/>
    <n v="4.2039999999999997"/>
    <n v="1.7999999999999999E-2"/>
    <n v="76.027000000000001"/>
    <n v="4.2999999999999997E-2"/>
    <n v="7.1999999999999995E-2"/>
    <n v="0.57199999999999995"/>
    <n v="0.35"/>
    <n v="0.41299999999999998"/>
    <s v="含气层"/>
    <s v="马五41a"/>
    <x v="5"/>
    <n v="4"/>
    <m/>
    <n v="0.61499999999999999"/>
    <n v="-2.8999999999999998E-2"/>
  </r>
  <r>
    <s v="延946"/>
    <n v="3889"/>
    <n v="20.884"/>
    <n v="21.670999999999999"/>
    <n v="1.5629999999999999"/>
    <n v="172.53100000000001"/>
    <n v="2.629"/>
    <n v="9.8049999999999997"/>
    <n v="3.1749999999999998"/>
    <n v="47.884999999999998"/>
    <n v="51.863"/>
    <n v="4.9980000000000002"/>
    <n v="3.7999999999999999E-2"/>
    <n v="64.265000000000001"/>
    <n v="3.6999999999999998E-2"/>
    <n v="0.13500000000000001"/>
    <n v="0.55200000000000005"/>
    <n v="0.36099999999999999"/>
    <n v="0.46899999999999997"/>
    <s v="含气层"/>
    <s v="马五41a"/>
    <x v="5"/>
    <n v="4"/>
    <m/>
    <n v="0.58900000000000008"/>
    <n v="-9.8000000000000004E-2"/>
  </r>
  <r>
    <s v="延946"/>
    <n v="3889.125"/>
    <n v="21.096"/>
    <n v="21.651"/>
    <n v="1.601"/>
    <n v="169.89699999999999"/>
    <n v="2.6379999999999999"/>
    <n v="10.999000000000001"/>
    <n v="3.35"/>
    <n v="50.728999999999999"/>
    <n v="54.944000000000003"/>
    <n v="5.7759999999999998"/>
    <n v="7.1999999999999995E-2"/>
    <n v="53.354999999999997"/>
    <n v="3.6999999999999998E-2"/>
    <n v="0.20399999999999999"/>
    <n v="0.501"/>
    <n v="0.38800000000000001"/>
    <n v="0.53400000000000003"/>
    <s v="含气层"/>
    <s v="马五41a"/>
    <x v="5"/>
    <n v="4"/>
    <m/>
    <n v="0.53800000000000003"/>
    <n v="-0.16699999999999998"/>
  </r>
  <r>
    <s v="延946"/>
    <n v="3889.25"/>
    <n v="21.238"/>
    <n v="21.640999999999998"/>
    <n v="1.61"/>
    <n v="167.119"/>
    <n v="2.6509999999999998"/>
    <n v="11.323"/>
    <n v="3.4710000000000001"/>
    <n v="56.860999999999997"/>
    <n v="61.585000000000001"/>
    <n v="5.8070000000000004"/>
    <n v="7.3999999999999996E-2"/>
    <n v="50.44"/>
    <n v="3.7999999999999999E-2"/>
    <n v="0.25800000000000001"/>
    <n v="0.438"/>
    <n v="0.432"/>
    <n v="0.57099999999999995"/>
    <s v="含气层"/>
    <s v="马五41a"/>
    <x v="5"/>
    <n v="4"/>
    <m/>
    <n v="0.47599999999999998"/>
    <n v="-0.22"/>
  </r>
  <r>
    <s v="延946"/>
    <n v="3889.375"/>
    <n v="21.039000000000001"/>
    <n v="21.658999999999999"/>
    <n v="1.577"/>
    <n v="165.28899999999999"/>
    <n v="2.665"/>
    <n v="10.62"/>
    <n v="3.5390000000000001"/>
    <n v="63.183"/>
    <n v="68.430999999999997"/>
    <n v="5.0999999999999996"/>
    <n v="4.2000000000000003E-2"/>
    <n v="55.616"/>
    <n v="3.7999999999999999E-2"/>
    <n v="0.29199999999999998"/>
    <n v="0.38700000000000001"/>
    <n v="0.48399999999999999"/>
    <n v="0.55500000000000005"/>
    <s v="含气层"/>
    <s v="马五41a"/>
    <x v="5"/>
    <n v="4"/>
    <m/>
    <n v="0.42499999999999999"/>
    <n v="-0.254"/>
  </r>
  <r>
    <s v="延946"/>
    <n v="3889.5"/>
    <n v="20.693000000000001"/>
    <n v="21.72"/>
    <n v="1.502"/>
    <n v="165.14500000000001"/>
    <n v="2.6749999999999998"/>
    <n v="9.5530000000000008"/>
    <n v="3.5390000000000001"/>
    <n v="67.713999999999999"/>
    <n v="73.34"/>
    <n v="4.266"/>
    <n v="1.9E-2"/>
    <n v="65.771000000000001"/>
    <n v="3.5000000000000003E-2"/>
    <n v="0.30199999999999999"/>
    <n v="0.36799999999999999"/>
    <n v="0.52900000000000003"/>
    <n v="0.505"/>
    <s v="含气层"/>
    <s v="马五41a"/>
    <x v="5"/>
    <n v="4"/>
    <m/>
    <n v="0.40300000000000002"/>
    <n v="-0.26700000000000002"/>
  </r>
  <r>
    <s v="延946"/>
    <n v="3889.625"/>
    <n v="20.395"/>
    <n v="21.797999999999998"/>
    <n v="1.407"/>
    <n v="166.60400000000001"/>
    <n v="2.6789999999999998"/>
    <n v="8.9109999999999996"/>
    <n v="3.4020000000000001"/>
    <n v="70.295000000000002"/>
    <n v="76.135000000000005"/>
    <n v="3.7170000000000001"/>
    <n v="0.01"/>
    <n v="75.400999999999996"/>
    <n v="3.3000000000000002E-2"/>
    <n v="0.27100000000000002"/>
    <n v="0.38700000000000001"/>
    <n v="0.55400000000000005"/>
    <n v="0.46100000000000002"/>
    <s v="含气层"/>
    <s v="马五41a"/>
    <x v="5"/>
    <n v="4"/>
    <m/>
    <n v="0.42000000000000004"/>
    <n v="-0.23800000000000002"/>
  </r>
  <r>
    <s v="延946"/>
    <n v="3889.75"/>
    <n v="20.077000000000002"/>
    <n v="21.831"/>
    <n v="1.2829999999999999"/>
    <n v="168.66399999999999"/>
    <n v="2.6789999999999998"/>
    <n v="8.8659999999999997"/>
    <n v="3.12"/>
    <n v="72.61"/>
    <n v="78.643000000000001"/>
    <n v="3.68"/>
    <n v="0.01"/>
    <n v="75.152000000000001"/>
    <n v="0.03"/>
    <n v="0.186"/>
    <n v="0.42899999999999999"/>
    <n v="0.56000000000000005"/>
    <n v="0.44600000000000001"/>
    <s v="含气层"/>
    <s v="马五41a"/>
    <x v="5"/>
    <n v="4"/>
    <m/>
    <n v="0.45899999999999996"/>
    <n v="-0.156"/>
  </r>
  <r>
    <s v="延946"/>
    <n v="3889.875"/>
    <n v="19.577000000000002"/>
    <n v="21.852"/>
    <n v="1.129"/>
    <n v="170.59"/>
    <n v="2.6749999999999998"/>
    <n v="9.2309999999999999"/>
    <n v="2.855"/>
    <n v="75.66"/>
    <n v="81.945999999999998"/>
    <n v="3.9049999999999998"/>
    <n v="1.2999999999999999E-2"/>
    <n v="69.099000000000004"/>
    <n v="2.5999999999999999E-2"/>
    <n v="8.4000000000000005E-2"/>
    <n v="0.47499999999999998"/>
    <n v="0.55100000000000005"/>
    <n v="0.45600000000000002"/>
    <s v="含气层"/>
    <s v="马五41a"/>
    <x v="5"/>
    <n v="4"/>
    <m/>
    <n v="0.501"/>
    <n v="-5.800000000000001E-2"/>
  </r>
  <r>
    <s v="延946"/>
    <n v="3890"/>
    <n v="19.151"/>
    <n v="21.995999999999999"/>
    <n v="1.032"/>
    <n v="172.05199999999999"/>
    <n v="2.665"/>
    <n v="9.5980000000000008"/>
    <n v="2.786"/>
    <n v="79.165999999999997"/>
    <n v="85.742000000000004"/>
    <n v="4.2910000000000004"/>
    <n v="0.02"/>
    <n v="61.006"/>
    <n v="2.1999999999999999E-2"/>
    <n v="2.8000000000000001E-2"/>
    <n v="0.51300000000000001"/>
    <n v="0.52100000000000002"/>
    <n v="0.47599999999999998"/>
    <s v="含气层"/>
    <s v="马五41a"/>
    <x v="5"/>
    <n v="4"/>
    <m/>
    <n v="0.53500000000000003"/>
    <n v="-6.0000000000000019E-3"/>
  </r>
  <r>
    <s v="延946"/>
    <n v="3890.125"/>
    <n v="19.559999999999999"/>
    <n v="22.106000000000002"/>
    <n v="1.08"/>
    <n v="173.25899999999999"/>
    <n v="2.653"/>
    <n v="9.7140000000000004"/>
    <n v="2.9740000000000002"/>
    <n v="83.200999999999993"/>
    <n v="90.114000000000004"/>
    <n v="4.5179999999999998"/>
    <n v="2.5000000000000001E-2"/>
    <n v="56.365000000000002"/>
    <n v="2.3E-2"/>
    <n v="0.06"/>
    <n v="0.54300000000000004"/>
    <n v="0.47799999999999998"/>
    <n v="0.48799999999999999"/>
    <s v="含气层"/>
    <s v="马五41a"/>
    <x v="5"/>
    <n v="4"/>
    <m/>
    <n v="0.56600000000000006"/>
    <n v="-3.6999999999999998E-2"/>
  </r>
  <r>
    <s v="延946"/>
    <n v="3890.25"/>
    <n v="21.004000000000001"/>
    <n v="22.515000000000001"/>
    <n v="1.272"/>
    <n v="174.45"/>
    <n v="2.6480000000000001"/>
    <n v="9.6750000000000007"/>
    <n v="3.2629999999999999"/>
    <n v="90.153000000000006"/>
    <n v="97.644000000000005"/>
    <n v="4.5519999999999996"/>
    <n v="2.5000000000000001E-2"/>
    <n v="53.948"/>
    <n v="3.2000000000000001E-2"/>
    <n v="0.154"/>
    <n v="0.57099999999999995"/>
    <n v="0.44800000000000001"/>
    <n v="0.48899999999999999"/>
    <s v="含气层"/>
    <s v="马五41a"/>
    <x v="5"/>
    <n v="4"/>
    <m/>
    <n v="0.60299999999999998"/>
    <n v="-0.122"/>
  </r>
  <r>
    <s v="延946"/>
    <n v="3890.375"/>
    <n v="23.029"/>
    <n v="22.641999999999999"/>
    <n v="1.5189999999999999"/>
    <n v="175.27699999999999"/>
    <n v="2.66"/>
    <n v="9.64"/>
    <n v="3.4689999999999999"/>
    <n v="106.054"/>
    <n v="114.864"/>
    <n v="4.218"/>
    <n v="1.7999999999999999E-2"/>
    <n v="54.656999999999996"/>
    <n v="4.7E-2"/>
    <n v="0.245"/>
    <n v="0.59299999999999997"/>
    <n v="0.46800000000000003"/>
    <n v="0.48699999999999999"/>
    <s v="含气层"/>
    <s v="马五41a"/>
    <x v="5"/>
    <n v="4"/>
    <m/>
    <n v="0.64"/>
    <n v="-0.19800000000000001"/>
  </r>
  <r>
    <s v="延946"/>
    <n v="3890.5"/>
    <n v="24.71"/>
    <n v="22.398"/>
    <n v="1.7170000000000001"/>
    <n v="174.91300000000001"/>
    <n v="2.6859999999999999"/>
    <n v="9.3629999999999995"/>
    <n v="3.492"/>
    <n v="144.58600000000001"/>
    <n v="156.59899999999999"/>
    <n v="9.2999999999999999E-2"/>
    <n v="1E-3"/>
    <n v="100"/>
    <n v="6.3E-2"/>
    <n v="0.28100000000000003"/>
    <n v="0.59599999999999997"/>
    <n v="0.54700000000000004"/>
    <n v="0.47799999999999998"/>
    <m/>
    <s v="马五41a"/>
    <x v="5"/>
    <n v="4"/>
    <m/>
    <n v="0.65900000000000003"/>
    <n v="-0.21800000000000003"/>
  </r>
  <r>
    <s v="延946"/>
    <n v="3890.625"/>
    <n v="25.971"/>
    <n v="22.25"/>
    <n v="1.885"/>
    <n v="172.535"/>
    <n v="2.718"/>
    <n v="8.3320000000000007"/>
    <n v="3.4079999999999999"/>
    <n v="258.43799999999999"/>
    <n v="279.90899999999999"/>
    <n v="9.2999999999999999E-2"/>
    <n v="1E-3"/>
    <n v="100"/>
    <n v="7.4999999999999997E-2"/>
    <n v="0.26500000000000001"/>
    <n v="0.55900000000000005"/>
    <n v="0.66100000000000003"/>
    <n v="0.438"/>
    <m/>
    <s v="马五41a"/>
    <x v="5"/>
    <n v="4"/>
    <m/>
    <n v="0.63400000000000001"/>
    <n v="-0.19"/>
  </r>
  <r>
    <s v="延946"/>
    <n v="3890.75"/>
    <n v="27.331"/>
    <n v="21.968"/>
    <n v="2.0550000000000002"/>
    <n v="169.02799999999999"/>
    <n v="2.7450000000000001"/>
    <n v="6.7779999999999996"/>
    <n v="3.3780000000000001"/>
    <n v="480.60899999999998"/>
    <n v="520.53800000000001"/>
    <n v="9.2999999999999999E-2"/>
    <n v="1E-3"/>
    <n v="100"/>
    <n v="8.6999999999999994E-2"/>
    <n v="0.246"/>
    <n v="0.48899999999999999"/>
    <n v="0.77300000000000002"/>
    <n v="0.36499999999999999"/>
    <m/>
    <s v="马五41a"/>
    <x v="5"/>
    <n v="4"/>
    <m/>
    <n v="0.57599999999999996"/>
    <n v="-0.159"/>
  </r>
  <r>
    <s v="延946"/>
    <n v="3890.875"/>
    <n v="29.257000000000001"/>
    <n v="21.826000000000001"/>
    <n v="2.1640000000000001"/>
    <n v="165.643"/>
    <n v="2.7730000000000001"/>
    <n v="5.46"/>
    <n v="3.2040000000000002"/>
    <n v="769.98500000000001"/>
    <n v="833.95399999999995"/>
    <n v="9.2999999999999999E-2"/>
    <n v="1E-3"/>
    <n v="100"/>
    <n v="0.10100000000000001"/>
    <n v="0.20200000000000001"/>
    <n v="0.41"/>
    <n v="0.879"/>
    <n v="0.28799999999999998"/>
    <m/>
    <s v="马五41a"/>
    <x v="5"/>
    <n v="4"/>
    <m/>
    <n v="0.51100000000000001"/>
    <n v="-0.10100000000000001"/>
  </r>
  <r>
    <s v="延946"/>
    <n v="3891"/>
    <n v="31.431999999999999"/>
    <n v="21.742000000000001"/>
    <n v="2.1040000000000001"/>
    <n v="163.495"/>
    <n v="2.7730000000000001"/>
    <n v="4.8460000000000001"/>
    <n v="3.1539999999999999"/>
    <n v="1000.62"/>
    <n v="1083.751"/>
    <n v="9.1999999999999998E-2"/>
    <n v="1E-3"/>
    <n v="100"/>
    <n v="0.11899999999999999"/>
    <n v="0.16400000000000001"/>
    <n v="0.34899999999999998"/>
    <n v="0.92300000000000004"/>
    <n v="0.24"/>
    <m/>
    <s v="马五41a"/>
    <x v="5"/>
    <n v="4"/>
    <m/>
    <n v="0.46799999999999997"/>
    <n v="-4.5000000000000012E-2"/>
  </r>
  <r>
    <s v="延946"/>
    <n v="3891.125"/>
    <n v="32.536000000000001"/>
    <n v="21.675999999999998"/>
    <n v="1.8660000000000001"/>
    <n v="162.50800000000001"/>
    <n v="2.7749999999999999"/>
    <n v="4.7450000000000001"/>
    <n v="3.1040000000000001"/>
    <n v="1106.501"/>
    <n v="1198.4280000000001"/>
    <n v="9.0999999999999998E-2"/>
    <n v="1E-3"/>
    <n v="100"/>
    <n v="0.13200000000000001"/>
    <n v="0.14499999999999999"/>
    <n v="0.315"/>
    <n v="0.92700000000000005"/>
    <n v="0.223"/>
    <m/>
    <s v="马五41a"/>
    <x v="5"/>
    <n v="4"/>
    <m/>
    <n v="0.44700000000000001"/>
    <n v="-1.2999999999999984E-2"/>
  </r>
  <r>
    <s v="延946"/>
    <n v="3891.25"/>
    <n v="31.997"/>
    <n v="21.635999999999999"/>
    <n v="1.526"/>
    <n v="162.18899999999999"/>
    <n v="2.78"/>
    <n v="4.9260000000000002"/>
    <n v="3.0619999999999998"/>
    <n v="1104.4159999999999"/>
    <n v="1196.171"/>
    <n v="0.09"/>
    <n v="1E-3"/>
    <n v="100"/>
    <n v="0.13300000000000001"/>
    <n v="0.128"/>
    <n v="0.30199999999999999"/>
    <n v="0.94199999999999995"/>
    <n v="0.22700000000000001"/>
    <m/>
    <s v="马五41a"/>
    <x v="5"/>
    <n v="4"/>
    <m/>
    <n v="0.435"/>
    <n v="5.0000000000000044E-3"/>
  </r>
  <r>
    <s v="延946"/>
    <n v="3891.375"/>
    <n v="30.527000000000001"/>
    <n v="21.631"/>
    <n v="1.2729999999999999"/>
    <n v="161.93"/>
    <n v="2.7839999999999998"/>
    <n v="5.3129999999999997"/>
    <n v="3.081"/>
    <n v="1069.8710000000001"/>
    <n v="1158.7560000000001"/>
    <n v="8.8999999999999996E-2"/>
    <n v="1E-3"/>
    <n v="100"/>
    <n v="0.124"/>
    <n v="0.126"/>
    <n v="0.29499999999999998"/>
    <n v="0.95899999999999996"/>
    <n v="0.24299999999999999"/>
    <m/>
    <s v="马五41a"/>
    <x v="5"/>
    <n v="4"/>
    <m/>
    <n v="0.41899999999999998"/>
    <n v="-2.0000000000000018E-3"/>
  </r>
  <r>
    <s v="延946"/>
    <n v="3891.5"/>
    <n v="29.706"/>
    <n v="21.681000000000001"/>
    <n v="1.1220000000000001"/>
    <n v="161.83799999999999"/>
    <n v="2.766"/>
    <n v="5.8289999999999997"/>
    <n v="3.3090000000000002"/>
    <n v="1048.1869999999999"/>
    <n v="1135.271"/>
    <n v="8.7999999999999995E-2"/>
    <n v="1E-3"/>
    <n v="100"/>
    <n v="0.115"/>
    <n v="0.18099999999999999"/>
    <n v="0.29199999999999998"/>
    <n v="0.92400000000000004"/>
    <n v="0.26900000000000002"/>
    <m/>
    <s v="马五41a"/>
    <x v="5"/>
    <n v="4"/>
    <m/>
    <n v="0.40699999999999997"/>
    <n v="-6.5999999999999989E-2"/>
  </r>
  <r>
    <s v="延946"/>
    <n v="3891.625"/>
    <n v="30.126999999999999"/>
    <n v="21.76"/>
    <n v="0.999"/>
    <n v="162.524"/>
    <n v="2.7189999999999999"/>
    <n v="6.3129999999999997"/>
    <n v="3.63"/>
    <n v="1041.72"/>
    <n v="1128.2650000000001"/>
    <n v="8.6999999999999994E-2"/>
    <n v="1E-3"/>
    <n v="100"/>
    <n v="0.114"/>
    <n v="0.28799999999999998"/>
    <n v="0.3"/>
    <n v="0.78700000000000003"/>
    <n v="0.29599999999999999"/>
    <m/>
    <s v="马五41a"/>
    <x v="5"/>
    <n v="4"/>
    <m/>
    <n v="0.41399999999999998"/>
    <n v="-0.17399999999999999"/>
  </r>
  <r>
    <s v="延946"/>
    <n v="3891.75"/>
    <n v="32.573"/>
    <n v="21.808"/>
    <n v="1.149"/>
    <n v="164.30199999999999"/>
    <n v="2.657"/>
    <n v="6.6760000000000002"/>
    <n v="3.7320000000000002"/>
    <n v="1008.001"/>
    <n v="1091.7460000000001"/>
    <n v="8.5000000000000006E-2"/>
    <n v="1E-3"/>
    <n v="100"/>
    <n v="0.128"/>
    <n v="0.36"/>
    <n v="0.33100000000000002"/>
    <n v="0.57099999999999995"/>
    <n v="0.318"/>
    <m/>
    <s v="马五41a"/>
    <x v="5"/>
    <n v="4"/>
    <m/>
    <n v="0.45900000000000002"/>
    <n v="-0.23199999999999998"/>
  </r>
  <r>
    <s v="延946"/>
    <n v="3891.875"/>
    <n v="39.332000000000001"/>
    <n v="21.806000000000001"/>
    <n v="1.8180000000000001"/>
    <n v="167.155"/>
    <n v="2.6080000000000001"/>
    <n v="7.1479999999999997"/>
    <n v="3.6040000000000001"/>
    <n v="902.12900000000002"/>
    <n v="977.07799999999997"/>
    <n v="8.1000000000000003E-2"/>
    <n v="1E-3"/>
    <n v="100"/>
    <n v="0.17100000000000001"/>
    <n v="0.34599999999999997"/>
    <n v="0.38700000000000001"/>
    <n v="0.36099999999999999"/>
    <n v="0.34100000000000003"/>
    <m/>
    <s v="马五41a"/>
    <x v="5"/>
    <n v="4"/>
    <m/>
    <n v="0.55800000000000005"/>
    <n v="-0.17499999999999996"/>
  </r>
  <r>
    <s v="延946"/>
    <n v="3892.75"/>
    <n v="80.3"/>
    <n v="22.67"/>
    <n v="2.863"/>
    <n v="177.828"/>
    <n v="2.56"/>
    <n v="10.875999999999999"/>
    <n v="3.4340000000000002"/>
    <n v="361.42500000000001"/>
    <n v="391.45299999999997"/>
    <n v="6.0999999999999999E-2"/>
    <n v="1E-3"/>
    <n v="100"/>
    <n v="0.59599999999999997"/>
    <n v="0.26200000000000001"/>
    <n v="0.70799999999999996"/>
    <n v="6.5000000000000002E-2"/>
    <n v="0.61"/>
    <m/>
    <s v="马五41b"/>
    <x v="5"/>
    <n v="6"/>
    <m/>
    <n v="1.3039999999999998"/>
    <n v="0.33399999999999996"/>
  </r>
  <r>
    <s v="延946"/>
    <n v="3892.875"/>
    <n v="62.110999999999997"/>
    <n v="22.649000000000001"/>
    <n v="2.7759999999999998"/>
    <n v="171.37299999999999"/>
    <n v="2.6040000000000001"/>
    <n v="7.8460000000000001"/>
    <n v="3.4350000000000001"/>
    <n v="510.452"/>
    <n v="552.86"/>
    <n v="7.3999999999999996E-2"/>
    <n v="1E-3"/>
    <n v="100"/>
    <n v="0.45400000000000001"/>
    <n v="0.26300000000000001"/>
    <n v="0.56999999999999995"/>
    <n v="0.20200000000000001"/>
    <n v="0.45500000000000002"/>
    <m/>
    <s v="马五41b"/>
    <x v="5"/>
    <n v="6"/>
    <m/>
    <n v="1.024"/>
    <n v="0.191"/>
  </r>
  <r>
    <s v="延946"/>
    <n v="3893"/>
    <n v="45.585000000000001"/>
    <n v="22.67"/>
    <n v="2.726"/>
    <n v="166.024"/>
    <n v="2.6629999999999998"/>
    <n v="5.6550000000000002"/>
    <n v="3.4409999999999998"/>
    <n v="704.56899999999996"/>
    <n v="763.10400000000004"/>
    <n v="8.5000000000000006E-2"/>
    <n v="1E-3"/>
    <n v="100"/>
    <n v="0.30599999999999999"/>
    <n v="0.26400000000000001"/>
    <n v="0.437"/>
    <n v="0.40699999999999997"/>
    <n v="0.318"/>
    <m/>
    <s v="马五41b"/>
    <x v="5"/>
    <n v="6"/>
    <m/>
    <n v="0.74299999999999999"/>
    <n v="4.1999999999999982E-2"/>
  </r>
  <r>
    <s v="延946"/>
    <n v="3893.125"/>
    <n v="34.081000000000003"/>
    <n v="22.684999999999999"/>
    <n v="2.7010000000000001"/>
    <n v="163.482"/>
    <n v="2.7240000000000002"/>
    <n v="4.742"/>
    <n v="3.3889999999999998"/>
    <n v="876.14499999999998"/>
    <n v="948.93399999999997"/>
    <n v="9.0999999999999998E-2"/>
    <n v="1E-3"/>
    <n v="100"/>
    <n v="0.189"/>
    <n v="0.253"/>
    <n v="0.35199999999999998"/>
    <n v="0.63900000000000001"/>
    <n v="0.24099999999999999"/>
    <m/>
    <s v="马五41b"/>
    <x v="5"/>
    <n v="6"/>
    <m/>
    <n v="0.54099999999999993"/>
    <n v="-6.4000000000000001E-2"/>
  </r>
  <r>
    <s v="延946"/>
    <n v="3893.25"/>
    <n v="28.414000000000001"/>
    <n v="22.646999999999998"/>
    <n v="2.7120000000000002"/>
    <n v="163.68799999999999"/>
    <n v="2.7679999999999998"/>
    <n v="4.6609999999999996"/>
    <n v="3.2639999999999998"/>
    <n v="976.23900000000003"/>
    <n v="1057.345"/>
    <n v="9.4E-2"/>
    <n v="1E-3"/>
    <n v="100"/>
    <n v="0.12"/>
    <n v="0.217"/>
    <n v="0.33200000000000002"/>
    <n v="0.83499999999999996"/>
    <n v="0.218"/>
    <m/>
    <s v="马五41b"/>
    <x v="5"/>
    <n v="6"/>
    <m/>
    <n v="0.45200000000000001"/>
    <n v="-9.7000000000000003E-2"/>
  </r>
  <r>
    <s v="延946"/>
    <n v="3893.375"/>
    <n v="27.853999999999999"/>
    <n v="22.597999999999999"/>
    <n v="2.8559999999999999"/>
    <n v="165.80699999999999"/>
    <n v="2.7890000000000001"/>
    <n v="5.0229999999999997"/>
    <n v="3.2109999999999999"/>
    <n v="984.76300000000003"/>
    <n v="1066.576"/>
    <n v="9.4E-2"/>
    <n v="1E-3"/>
    <n v="100"/>
    <n v="9.8000000000000004E-2"/>
    <n v="0.186"/>
    <n v="0.36299999999999999"/>
    <n v="0.95199999999999996"/>
    <n v="0.22800000000000001"/>
    <m/>
    <s v="马五41b"/>
    <x v="5"/>
    <n v="6"/>
    <m/>
    <n v="0.46099999999999997"/>
    <n v="-8.7999999999999995E-2"/>
  </r>
  <r>
    <s v="延946"/>
    <n v="3893.5"/>
    <n v="32.210999999999999"/>
    <n v="22.542000000000002"/>
    <n v="3.081"/>
    <n v="167.87700000000001"/>
    <n v="2.7890000000000001"/>
    <n v="5.5129999999999999"/>
    <n v="3.2109999999999999"/>
    <n v="929.43499999999995"/>
    <n v="1006.653"/>
    <n v="9.2999999999999999E-2"/>
    <n v="1E-3"/>
    <n v="100"/>
    <n v="0.11799999999999999"/>
    <n v="0.17799999999999999"/>
    <n v="0.41099999999999998"/>
    <n v="0.98499999999999999"/>
    <n v="0.252"/>
    <m/>
    <s v="马五41b"/>
    <x v="5"/>
    <n v="6"/>
    <m/>
    <n v="0.52899999999999991"/>
    <n v="-0.06"/>
  </r>
  <r>
    <s v="延946"/>
    <n v="3893.625"/>
    <n v="39.161000000000001"/>
    <n v="22.436"/>
    <n v="3.169"/>
    <n v="168.733"/>
    <n v="2.7890000000000001"/>
    <n v="6.0880000000000001"/>
    <n v="3.2109999999999999"/>
    <n v="839.33900000000006"/>
    <n v="909.07"/>
    <n v="9.0999999999999998E-2"/>
    <n v="1E-3"/>
    <n v="100"/>
    <n v="0.16900000000000001"/>
    <n v="0.17799999999999999"/>
    <n v="0.442"/>
    <n v="0.98499999999999999"/>
    <n v="0.28100000000000003"/>
    <m/>
    <s v="马五41b"/>
    <x v="5"/>
    <n v="6"/>
    <m/>
    <n v="0.61099999999999999"/>
    <n v="-8.9999999999999802E-3"/>
  </r>
  <r>
    <s v="延946"/>
    <n v="3893.75"/>
    <n v="45.822000000000003"/>
    <n v="22.283000000000001"/>
    <n v="2.9569999999999999"/>
    <n v="167.97200000000001"/>
    <n v="2.7890000000000001"/>
    <n v="6.8289999999999997"/>
    <n v="3.2109999999999999"/>
    <n v="740.70100000000002"/>
    <n v="802.23800000000006"/>
    <n v="8.6999999999999994E-2"/>
    <n v="1E-3"/>
    <n v="100"/>
    <n v="0.22800000000000001"/>
    <n v="0.17799999999999999"/>
    <n v="0.439"/>
    <n v="0.98499999999999999"/>
    <n v="0.318"/>
    <m/>
    <s v="马五41b"/>
    <x v="5"/>
    <n v="6"/>
    <m/>
    <n v="0.66700000000000004"/>
    <n v="5.0000000000000017E-2"/>
  </r>
  <r>
    <s v="延946"/>
    <n v="3893.875"/>
    <n v="49.939"/>
    <n v="22.167000000000002"/>
    <n v="2.6970000000000001"/>
    <n v="166.21700000000001"/>
    <n v="2.7930000000000001"/>
    <n v="7.681"/>
    <n v="3.194"/>
    <n v="654.24300000000005"/>
    <n v="708.59699999999998"/>
    <n v="8.4000000000000005E-2"/>
    <n v="1E-3"/>
    <n v="100"/>
    <n v="0.27200000000000002"/>
    <n v="0.17399999999999999"/>
    <n v="0.40799999999999997"/>
    <n v="0.99399999999999999"/>
    <n v="0.36199999999999999"/>
    <m/>
    <s v="马五41b"/>
    <x v="5"/>
    <n v="6"/>
    <m/>
    <n v="0.67999999999999994"/>
    <n v="9.8000000000000032E-2"/>
  </r>
  <r>
    <s v="延946"/>
    <n v="3894.625"/>
    <n v="44.412999999999997"/>
    <n v="22.626000000000001"/>
    <n v="1.8440000000000001"/>
    <n v="162.488"/>
    <n v="2.7589999999999999"/>
    <n v="5.2030000000000003"/>
    <n v="3.3860000000000001"/>
    <n v="628.06799999999998"/>
    <n v="680.24800000000005"/>
    <n v="0.08"/>
    <n v="1E-3"/>
    <n v="100"/>
    <n v="0.245"/>
    <n v="0.28299999999999997"/>
    <n v="0.29299999999999998"/>
    <n v="0.878"/>
    <n v="0.26700000000000002"/>
    <m/>
    <s v="马五41b"/>
    <x v="5"/>
    <n v="6"/>
    <m/>
    <n v="0.53800000000000003"/>
    <n v="-3.7999999999999978E-2"/>
  </r>
  <r>
    <s v="延946"/>
    <n v="3894.75"/>
    <n v="47.051000000000002"/>
    <n v="22.69"/>
    <n v="2.1469999999999998"/>
    <n v="164.29499999999999"/>
    <n v="2.758"/>
    <n v="4.9409999999999998"/>
    <n v="3.0779999999999998"/>
    <n v="580.779"/>
    <n v="629.03"/>
    <n v="7.9000000000000001E-2"/>
    <n v="1E-3"/>
    <n v="100"/>
    <n v="0.252"/>
    <n v="0.17499999999999999"/>
    <n v="0.33100000000000002"/>
    <n v="0.86599999999999999"/>
    <n v="0.23699999999999999"/>
    <m/>
    <s v="马五41b"/>
    <x v="5"/>
    <n v="6"/>
    <m/>
    <n v="0.58299999999999996"/>
    <n v="7.7000000000000013E-2"/>
  </r>
  <r>
    <s v="延946"/>
    <n v="3894.875"/>
    <n v="54.783999999999999"/>
    <n v="22.672000000000001"/>
    <n v="2.4180000000000001"/>
    <n v="165.35499999999999"/>
    <n v="2.7639999999999998"/>
    <n v="5.6980000000000004"/>
    <n v="2.97"/>
    <n v="496.18799999999999"/>
    <n v="537.41099999999994"/>
    <n v="7.5999999999999998E-2"/>
    <n v="1E-3"/>
    <n v="100"/>
    <n v="0.30099999999999999"/>
    <n v="0.10299999999999999"/>
    <n v="0.36199999999999999"/>
    <n v="0.879"/>
    <n v="0.25600000000000001"/>
    <m/>
    <s v="马五41b"/>
    <x v="5"/>
    <n v="6"/>
    <m/>
    <n v="0.66300000000000003"/>
    <n v="0.19800000000000001"/>
  </r>
  <r>
    <s v="延946"/>
    <n v="3895"/>
    <n v="61.98"/>
    <n v="22.568000000000001"/>
    <n v="2.4689999999999999"/>
    <n v="165.20699999999999"/>
    <n v="2.7730000000000001"/>
    <n v="7.0439999999999996"/>
    <n v="3.0859999999999999"/>
    <n v="425.911"/>
    <n v="461.29599999999999"/>
    <n v="7.1999999999999995E-2"/>
    <n v="1E-3"/>
    <n v="100"/>
    <n v="0.36499999999999999"/>
    <n v="0.113"/>
    <n v="0.37"/>
    <n v="0.90900000000000003"/>
    <n v="0.316"/>
    <m/>
    <s v="马五41b"/>
    <x v="5"/>
    <n v="6"/>
    <m/>
    <n v="0.73499999999999999"/>
    <n v="0.252"/>
  </r>
  <r>
    <s v="延946"/>
    <n v="3895.125"/>
    <n v="62.704000000000001"/>
    <n v="22.504000000000001"/>
    <n v="2.1850000000000001"/>
    <n v="163.95099999999999"/>
    <n v="2.782"/>
    <n v="8.0079999999999991"/>
    <n v="3.1219999999999999"/>
    <n v="421.678"/>
    <n v="456.71100000000001"/>
    <n v="7.1999999999999995E-2"/>
    <n v="1E-3"/>
    <n v="100"/>
    <n v="0.39400000000000002"/>
    <n v="0.13900000000000001"/>
    <n v="0.35099999999999998"/>
    <n v="0.94399999999999995"/>
    <n v="0.377"/>
    <m/>
    <s v="马五41b"/>
    <x v="5"/>
    <n v="6"/>
    <m/>
    <n v="0.745"/>
    <n v="0.255"/>
  </r>
  <r>
    <s v="延946"/>
    <n v="3897.375"/>
    <n v="59.866999999999997"/>
    <n v="21.811"/>
    <n v="1.929"/>
    <n v="162.98599999999999"/>
    <n v="2.7650000000000001"/>
    <n v="5.077"/>
    <n v="2.9889999999999999"/>
    <n v="348.01"/>
    <n v="376.92200000000003"/>
    <n v="7.0000000000000007E-2"/>
    <n v="1E-3"/>
    <n v="100"/>
    <n v="0.437"/>
    <n v="0.124"/>
    <n v="0.36399999999999999"/>
    <n v="0.86699999999999999"/>
    <n v="0.28299999999999997"/>
    <m/>
    <s v="马五41b"/>
    <x v="5"/>
    <n v="8"/>
    <m/>
    <n v="0.80099999999999993"/>
    <n v="0.313"/>
  </r>
  <r>
    <s v="延946"/>
    <n v="3898.25"/>
    <n v="68.254999999999995"/>
    <n v="21.504000000000001"/>
    <n v="3.1829999999999998"/>
    <n v="165.96299999999999"/>
    <n v="2.758"/>
    <n v="9.0139999999999993"/>
    <n v="2.9049999999999998"/>
    <n v="336.54"/>
    <n v="364.5"/>
    <n v="6.6000000000000003E-2"/>
    <n v="1E-3"/>
    <n v="100"/>
    <n v="0.42399999999999999"/>
    <n v="5.7000000000000002E-2"/>
    <n v="0.35599999999999998"/>
    <n v="0.874"/>
    <n v="0.432"/>
    <m/>
    <s v="马五41b"/>
    <x v="5"/>
    <n v="8"/>
    <m/>
    <n v="0.78"/>
    <n v="0.36699999999999999"/>
  </r>
  <r>
    <s v="延958"/>
    <n v="3806.625"/>
    <n v="30.901"/>
    <n v="24.207000000000001"/>
    <n v="2.1930000000000001"/>
    <n v="192.29"/>
    <n v="2.597"/>
    <n v="9.1219999999999999"/>
    <n v="2.9910000000000001"/>
    <n v="310.73099999999999"/>
    <n v="299.58600000000001"/>
    <n v="0.01"/>
    <n v="1E-3"/>
    <n v="100"/>
    <n v="0.11700000000000001"/>
    <n v="0.23799999999999999"/>
    <n v="0.32600000000000001"/>
    <n v="0.24099999999999999"/>
    <n v="0.36299999999999999"/>
    <m/>
    <s v="马五41b"/>
    <x v="5"/>
    <n v="10"/>
    <s v="薄片"/>
    <n v="0.443"/>
    <n v="-0.12099999999999998"/>
  </r>
  <r>
    <s v="延958"/>
    <n v="3806.75"/>
    <n v="34.793999999999997"/>
    <n v="24.271999999999998"/>
    <n v="2.5579999999999998"/>
    <n v="183.06100000000001"/>
    <n v="2.6309999999999998"/>
    <n v="9.1069999999999993"/>
    <n v="3.2229999999999999"/>
    <n v="293.17599999999999"/>
    <n v="281.54199999999997"/>
    <n v="0.01"/>
    <n v="1E-3"/>
    <n v="100"/>
    <n v="0.151"/>
    <n v="0.32200000000000001"/>
    <n v="0.23499999999999999"/>
    <n v="0.33600000000000002"/>
    <n v="0.36"/>
    <m/>
    <s v="马五41b"/>
    <x v="5"/>
    <n v="10"/>
    <s v="薄片"/>
    <n v="0.38600000000000001"/>
    <n v="-0.17100000000000001"/>
  </r>
  <r>
    <s v="延958"/>
    <n v="3806.875"/>
    <n v="42.869"/>
    <n v="24.248999999999999"/>
    <n v="3.08"/>
    <n v="174.416"/>
    <n v="2.7149999999999999"/>
    <n v="8.9710000000000001"/>
    <n v="3.3580000000000001"/>
    <n v="299.19"/>
    <n v="282.37299999999999"/>
    <n v="0.01"/>
    <n v="1E-3"/>
    <n v="100"/>
    <n v="0.20799999999999999"/>
    <n v="0.36399999999999999"/>
    <n v="0.153"/>
    <n v="0.52200000000000002"/>
    <n v="0.35199999999999998"/>
    <m/>
    <s v="马五41b"/>
    <x v="5"/>
    <n v="10"/>
    <s v="薄片"/>
    <n v="0.36099999999999999"/>
    <n v="-0.156"/>
  </r>
  <r>
    <s v="延958"/>
    <n v="3807"/>
    <n v="48.585999999999999"/>
    <n v="24.132999999999999"/>
    <n v="3.4020000000000001"/>
    <n v="167.93700000000001"/>
    <n v="2.802"/>
    <n v="8.9149999999999991"/>
    <n v="3.3460000000000001"/>
    <n v="333.73700000000002"/>
    <n v="305.99"/>
    <n v="0.01"/>
    <n v="1E-3"/>
    <n v="100"/>
    <n v="0.24199999999999999"/>
    <n v="0.35599999999999998"/>
    <n v="0.09"/>
    <n v="0.7"/>
    <n v="0.35199999999999998"/>
    <m/>
    <s v="马五41b"/>
    <x v="5"/>
    <n v="10"/>
    <s v="薄片"/>
    <n v="0.33199999999999996"/>
    <n v="-0.11399999999999999"/>
  </r>
  <r>
    <s v="延958"/>
    <n v="3807.125"/>
    <n v="48.280999999999999"/>
    <n v="23.981999999999999"/>
    <n v="3.3439999999999999"/>
    <n v="162.39400000000001"/>
    <n v="2.855"/>
    <n v="9.173"/>
    <n v="3.2770000000000001"/>
    <n v="391.56099999999998"/>
    <n v="347.65600000000001"/>
    <n v="0.01"/>
    <n v="1E-3"/>
    <n v="100"/>
    <n v="0.23200000000000001"/>
    <n v="0.33"/>
    <n v="3.9E-2"/>
    <n v="0.80200000000000005"/>
    <n v="0.37"/>
    <m/>
    <s v="马五41b"/>
    <x v="5"/>
    <n v="10"/>
    <s v="薄片"/>
    <n v="0.27100000000000002"/>
    <n v="-9.8000000000000004E-2"/>
  </r>
  <r>
    <s v="延958"/>
    <n v="3807.25"/>
    <n v="42.308999999999997"/>
    <n v="23.91"/>
    <n v="2.8820000000000001"/>
    <n v="159.06899999999999"/>
    <n v="2.8730000000000002"/>
    <n v="9.452"/>
    <n v="3.2280000000000002"/>
    <n v="460.81"/>
    <n v="397.01100000000002"/>
    <n v="0.01"/>
    <n v="1E-3"/>
    <n v="100"/>
    <n v="0.188"/>
    <n v="0.312"/>
    <n v="1.2E-2"/>
    <n v="0.83499999999999996"/>
    <n v="0.38100000000000001"/>
    <m/>
    <s v="马五41b"/>
    <x v="5"/>
    <n v="10"/>
    <s v="薄片"/>
    <n v="0.2"/>
    <n v="-0.124"/>
  </r>
  <r>
    <s v="延959"/>
    <n v="3873.25"/>
    <n v="25.443000000000001"/>
    <n v="21.295000000000002"/>
    <n v="2.8010000000000002"/>
    <n v="157.84700000000001"/>
    <n v="2.823"/>
    <n v="6.6989999999999998"/>
    <n v="3.1949999999999998"/>
    <n v="527.75099999999998"/>
    <n v="586.38900000000001"/>
    <n v="0"/>
    <n v="0"/>
    <n v="100"/>
    <n v="0.10199999999999999"/>
    <n v="0.23300000000000001"/>
    <n v="0.06"/>
    <n v="0.96899999999999997"/>
    <n v="0.129"/>
    <m/>
    <s v="马五41a"/>
    <x v="5"/>
    <n v="2"/>
    <s v="薄片"/>
    <n v="0.16199999999999998"/>
    <n v="-0.13100000000000001"/>
  </r>
  <r>
    <s v="延959"/>
    <n v="3873.375"/>
    <n v="26.221"/>
    <n v="21.216999999999999"/>
    <n v="2.72"/>
    <n v="160.048"/>
    <n v="2.8149999999999999"/>
    <n v="6.6150000000000002"/>
    <n v="3.1720000000000002"/>
    <n v="624.84500000000003"/>
    <n v="694.27200000000005"/>
    <n v="0"/>
    <n v="0"/>
    <n v="100"/>
    <n v="0.11600000000000001"/>
    <n v="0.22500000000000001"/>
    <n v="0.1"/>
    <n v="0.91300000000000003"/>
    <n v="0.13"/>
    <m/>
    <s v="马五41a"/>
    <x v="5"/>
    <n v="2"/>
    <s v="薄片"/>
    <n v="0.21600000000000003"/>
    <n v="-0.109"/>
  </r>
  <r>
    <s v="延959"/>
    <n v="3873.5"/>
    <n v="29.041"/>
    <n v="21.177"/>
    <n v="2.5110000000000001"/>
    <n v="163.303"/>
    <n v="2.8010000000000002"/>
    <n v="6.8760000000000003"/>
    <n v="3.1789999999999998"/>
    <n v="673.82600000000002"/>
    <n v="748.69600000000003"/>
    <n v="0"/>
    <n v="0"/>
    <n v="100"/>
    <n v="0.156"/>
    <n v="0.23499999999999999"/>
    <n v="0.16"/>
    <n v="0.81200000000000006"/>
    <n v="0.17199999999999999"/>
    <m/>
    <s v="马五41a"/>
    <x v="5"/>
    <n v="2"/>
    <s v="薄片"/>
    <n v="0.316"/>
    <n v="-7.8999999999999987E-2"/>
  </r>
  <r>
    <s v="延959"/>
    <n v="3873.625"/>
    <n v="36.57"/>
    <n v="21.254000000000001"/>
    <n v="2.3610000000000002"/>
    <n v="167.96899999999999"/>
    <n v="2.7749999999999999"/>
    <n v="7.6779999999999999"/>
    <n v="3.226"/>
    <n v="632.61599999999999"/>
    <n v="702.90700000000004"/>
    <n v="0"/>
    <n v="0"/>
    <n v="100"/>
    <n v="0.249"/>
    <n v="0.253"/>
    <n v="0.246"/>
    <n v="0.64"/>
    <n v="0.27500000000000002"/>
    <m/>
    <s v="马五41a"/>
    <x v="5"/>
    <n v="2"/>
    <s v="薄片"/>
    <n v="0.495"/>
    <n v="-4.0000000000000036E-3"/>
  </r>
  <r>
    <s v="延959"/>
    <n v="3873.75"/>
    <n v="50.917999999999999"/>
    <n v="21.568000000000001"/>
    <n v="2.7890000000000001"/>
    <n v="174.87299999999999"/>
    <n v="2.7360000000000002"/>
    <n v="9.2240000000000002"/>
    <n v="3.2240000000000002"/>
    <n v="500.55599999999998"/>
    <n v="556.17399999999998"/>
    <n v="0"/>
    <n v="0"/>
    <n v="100"/>
    <n v="0.40100000000000002"/>
    <n v="0.24399999999999999"/>
    <n v="0.34200000000000003"/>
    <n v="0.433"/>
    <n v="0.42299999999999999"/>
    <m/>
    <s v="马五41a"/>
    <x v="5"/>
    <n v="2"/>
    <s v="薄片"/>
    <n v="0.7430000000000001"/>
    <n v="0.15700000000000003"/>
  </r>
  <r>
    <s v="延959"/>
    <n v="3873.875"/>
    <n v="69.271000000000001"/>
    <n v="22.084"/>
    <n v="3.7450000000000001"/>
    <n v="178.19"/>
    <n v="2.7080000000000002"/>
    <n v="10.462999999999999"/>
    <n v="3.1720000000000002"/>
    <n v="351.29300000000001"/>
    <n v="390.32499999999999"/>
    <n v="0"/>
    <n v="0"/>
    <n v="100"/>
    <n v="0.57599999999999996"/>
    <n v="0.216"/>
    <n v="0.39100000000000001"/>
    <n v="0.27500000000000002"/>
    <n v="0.54500000000000004"/>
    <m/>
    <s v="马五41b"/>
    <x v="5"/>
    <n v="2"/>
    <s v="薄片"/>
    <n v="0.96699999999999997"/>
    <n v="0.36"/>
  </r>
  <r>
    <s v="延959"/>
    <n v="3874.625"/>
    <n v="68.275000000000006"/>
    <n v="22.734000000000002"/>
    <n v="2.6669999999999998"/>
    <n v="185.68600000000001"/>
    <n v="2.7269999999999999"/>
    <n v="12.252000000000001"/>
    <n v="3.3570000000000002"/>
    <n v="244.851"/>
    <n v="272.05599999999998"/>
    <n v="0"/>
    <n v="0"/>
    <n v="100"/>
    <n v="0.47"/>
    <n v="0.28999999999999998"/>
    <n v="0.48799999999999999"/>
    <n v="0.46600000000000003"/>
    <n v="0.65600000000000003"/>
    <m/>
    <s v="马五41b"/>
    <x v="5"/>
    <n v="4"/>
    <s v="薄片"/>
    <n v="0.95799999999999996"/>
    <n v="0.18"/>
  </r>
  <r>
    <s v="延959"/>
    <n v="3874.75"/>
    <n v="50.677"/>
    <n v="22.334"/>
    <n v="2.0699999999999998"/>
    <n v="182.67"/>
    <n v="2.75"/>
    <n v="10.951000000000001"/>
    <n v="3.125"/>
    <n v="328.81200000000001"/>
    <n v="365.346"/>
    <n v="0"/>
    <n v="0"/>
    <n v="100"/>
    <n v="0.307"/>
    <n v="0.193"/>
    <n v="0.42899999999999999"/>
    <n v="0.59099999999999997"/>
    <n v="0.51400000000000001"/>
    <m/>
    <s v="马五41b"/>
    <x v="5"/>
    <n v="4"/>
    <s v="薄片"/>
    <n v="0.73599999999999999"/>
    <n v="0.11399999999999999"/>
  </r>
  <r>
    <s v="延959"/>
    <n v="3874.875"/>
    <n v="36.345999999999997"/>
    <n v="21.95"/>
    <n v="1.9039999999999999"/>
    <n v="177.61500000000001"/>
    <n v="2.7679999999999998"/>
    <n v="9.32"/>
    <n v="3.0950000000000002"/>
    <n v="429.40899999999999"/>
    <n v="477.12200000000001"/>
    <n v="0"/>
    <n v="0"/>
    <n v="100"/>
    <n v="0.182"/>
    <n v="0.187"/>
    <n v="0.34899999999999998"/>
    <n v="0.69099999999999995"/>
    <n v="0.34200000000000003"/>
    <m/>
    <s v="马五41b"/>
    <x v="5"/>
    <n v="4"/>
    <s v="薄片"/>
    <n v="0.53099999999999992"/>
    <n v="-5.0000000000000044E-3"/>
  </r>
  <r>
    <s v="延959"/>
    <n v="3875"/>
    <n v="27.471"/>
    <n v="21.626000000000001"/>
    <n v="1.8180000000000001"/>
    <n v="172.852"/>
    <n v="2.7839999999999998"/>
    <n v="7.4560000000000004"/>
    <n v="3.137"/>
    <n v="504.96100000000001"/>
    <n v="561.06700000000001"/>
    <n v="0"/>
    <n v="0"/>
    <n v="100"/>
    <n v="0.111"/>
    <n v="0.20899999999999999"/>
    <n v="0.27800000000000002"/>
    <n v="0.77700000000000002"/>
    <n v="0.16800000000000001"/>
    <m/>
    <s v="马五41b"/>
    <x v="5"/>
    <n v="4"/>
    <s v="薄片"/>
    <n v="0.38900000000000001"/>
    <n v="-9.799999999999999E-2"/>
  </r>
  <r>
    <s v="延959"/>
    <n v="3875.125"/>
    <n v="24.25"/>
    <n v="21.387"/>
    <n v="1.7809999999999999"/>
    <n v="169.48"/>
    <n v="2.7959999999999998"/>
    <n v="6.0709999999999997"/>
    <n v="3.1669999999999998"/>
    <n v="526.97299999999996"/>
    <n v="585.52599999999995"/>
    <n v="0"/>
    <n v="0"/>
    <n v="100"/>
    <n v="9.2999999999999999E-2"/>
    <n v="0.23200000000000001"/>
    <n v="0.224"/>
    <n v="0.83699999999999997"/>
    <n v="5.0999999999999997E-2"/>
    <m/>
    <s v="马五41b"/>
    <x v="5"/>
    <n v="4"/>
    <s v="薄片"/>
    <n v="0.317"/>
    <n v="-0.13900000000000001"/>
  </r>
  <r>
    <s v="延959"/>
    <n v="3875.25"/>
    <n v="25.797000000000001"/>
    <n v="21.23"/>
    <n v="1.804"/>
    <n v="166.375"/>
    <n v="2.802"/>
    <n v="5.4980000000000002"/>
    <n v="3.2349999999999999"/>
    <n v="511.86500000000001"/>
    <n v="568.73900000000003"/>
    <n v="0"/>
    <n v="0"/>
    <n v="100"/>
    <n v="0.11799999999999999"/>
    <n v="0.27400000000000002"/>
    <n v="0.17299999999999999"/>
    <n v="0.86099999999999999"/>
    <n v="7.0000000000000001E-3"/>
    <m/>
    <s v="马五41b"/>
    <x v="5"/>
    <n v="4"/>
    <s v="薄片"/>
    <n v="0.29099999999999998"/>
    <n v="-0.15600000000000003"/>
  </r>
  <r>
    <s v="延959"/>
    <n v="3875.375"/>
    <n v="31.132000000000001"/>
    <n v="21.178000000000001"/>
    <n v="1.9430000000000001"/>
    <n v="163.18100000000001"/>
    <n v="2.802"/>
    <n v="5.4029999999999996"/>
    <n v="3.331"/>
    <n v="488.72300000000001"/>
    <n v="543.02499999999998"/>
    <n v="0"/>
    <n v="0"/>
    <n v="100"/>
    <n v="0.17599999999999999"/>
    <n v="0.317"/>
    <n v="0.13100000000000001"/>
    <n v="0.86599999999999999"/>
    <n v="1.6E-2"/>
    <m/>
    <s v="马五41b"/>
    <x v="5"/>
    <n v="4"/>
    <s v="薄片"/>
    <n v="0.307"/>
    <n v="-0.14100000000000001"/>
  </r>
  <r>
    <s v="延959"/>
    <n v="3875.75"/>
    <n v="48.680999999999997"/>
    <n v="21.984999999999999"/>
    <n v="3.34"/>
    <n v="168.18"/>
    <n v="2.8170000000000002"/>
    <n v="7.4589999999999996"/>
    <n v="3.3210000000000002"/>
    <n v="401.72199999999998"/>
    <n v="446.358"/>
    <n v="0"/>
    <n v="0"/>
    <n v="100"/>
    <n v="0.32800000000000001"/>
    <n v="0.30399999999999999"/>
    <n v="0.23"/>
    <n v="0.94299999999999995"/>
    <n v="0.22900000000000001"/>
    <m/>
    <s v="马五41b"/>
    <x v="5"/>
    <n v="6"/>
    <s v="薄片"/>
    <n v="0.55800000000000005"/>
    <n v="2.4000000000000021E-2"/>
  </r>
  <r>
    <s v="延959"/>
    <n v="3875.875"/>
    <n v="48.753999999999998"/>
    <n v="22.382999999999999"/>
    <n v="3.5569999999999999"/>
    <n v="170.94800000000001"/>
    <n v="2.8140000000000001"/>
    <n v="8.16"/>
    <n v="3.306"/>
    <n v="360.37"/>
    <n v="400.411"/>
    <n v="0"/>
    <n v="0"/>
    <n v="100"/>
    <n v="0.31900000000000001"/>
    <n v="0.29699999999999999"/>
    <n v="0.27400000000000002"/>
    <n v="0.91700000000000004"/>
    <n v="0.28999999999999998"/>
    <m/>
    <s v="马五41b"/>
    <x v="5"/>
    <n v="6"/>
    <s v="薄片"/>
    <n v="0.59299999999999997"/>
    <n v="2.200000000000002E-2"/>
  </r>
  <r>
    <s v="延959"/>
    <n v="3876"/>
    <n v="45.521000000000001"/>
    <n v="22.716999999999999"/>
    <n v="3.8410000000000002"/>
    <n v="173.52799999999999"/>
    <n v="2.806"/>
    <n v="8.5380000000000003"/>
    <n v="3.3010000000000002"/>
    <n v="326.34899999999999"/>
    <n v="362.61099999999999"/>
    <n v="0"/>
    <n v="0"/>
    <n v="100"/>
    <n v="0.28299999999999997"/>
    <n v="0.29499999999999998"/>
    <n v="0.32200000000000001"/>
    <n v="0.86399999999999999"/>
    <n v="0.316"/>
    <m/>
    <s v="马五41b"/>
    <x v="5"/>
    <n v="6"/>
    <s v="薄片"/>
    <n v="0.60499999999999998"/>
    <n v="-1.2000000000000011E-2"/>
  </r>
  <r>
    <s v="延959"/>
    <n v="3876.125"/>
    <n v="40.700000000000003"/>
    <n v="22.946999999999999"/>
    <n v="4.1740000000000004"/>
    <n v="177.31899999999999"/>
    <n v="2.794"/>
    <n v="8.4819999999999993"/>
    <n v="3.3"/>
    <n v="303.75700000000001"/>
    <n v="337.50700000000001"/>
    <n v="0"/>
    <n v="0"/>
    <n v="100"/>
    <n v="0.245"/>
    <n v="0.29599999999999999"/>
    <n v="0.38300000000000001"/>
    <n v="0.79800000000000004"/>
    <n v="0.311"/>
    <m/>
    <s v="马五41b"/>
    <x v="5"/>
    <n v="6"/>
    <s v="薄片"/>
    <n v="0.628"/>
    <n v="-5.099999999999999E-2"/>
  </r>
  <r>
    <s v="延959"/>
    <n v="3876.5"/>
    <n v="57.707999999999998"/>
    <n v="22.716000000000001"/>
    <n v="2.347"/>
    <n v="178.24"/>
    <n v="2.78"/>
    <n v="9.6940000000000008"/>
    <n v="3.3260000000000001"/>
    <n v="240.208"/>
    <n v="266.89800000000002"/>
    <n v="0"/>
    <n v="0"/>
    <n v="100"/>
    <n v="0.44400000000000001"/>
    <n v="0.31"/>
    <n v="0.36499999999999999"/>
    <n v="0.73899999999999999"/>
    <n v="0.45400000000000001"/>
    <m/>
    <s v="马五41b"/>
    <x v="6"/>
    <n v="9"/>
    <s v="薄片"/>
    <n v="0.80899999999999994"/>
    <n v="0.13400000000000001"/>
  </r>
  <r>
    <s v="延959"/>
    <n v="3876.625"/>
    <n v="67.498999999999995"/>
    <n v="22.218"/>
    <n v="1.605"/>
    <n v="174.85400000000001"/>
    <n v="2.7829999999999999"/>
    <n v="10.379"/>
    <n v="3.3290000000000002"/>
    <n v="215.91200000000001"/>
    <n v="239.90299999999999"/>
    <n v="0"/>
    <n v="0"/>
    <n v="100"/>
    <n v="0.50900000000000001"/>
    <n v="0.311"/>
    <n v="0.308"/>
    <n v="0.76"/>
    <n v="0.497"/>
    <m/>
    <s v="马五41b"/>
    <x v="6"/>
    <n v="9"/>
    <s v="薄片"/>
    <n v="0.81699999999999995"/>
    <n v="0.19800000000000001"/>
  </r>
  <r>
    <s v="延959"/>
    <n v="3876.75"/>
    <n v="66.540999999999997"/>
    <n v="21.754000000000001"/>
    <n v="1.488"/>
    <n v="170.929"/>
    <n v="2.7879999999999998"/>
    <n v="10.130000000000001"/>
    <n v="3.3290000000000002"/>
    <n v="204.61699999999999"/>
    <n v="227.352"/>
    <n v="0"/>
    <n v="0"/>
    <n v="100"/>
    <n v="0.46899999999999997"/>
    <n v="0.312"/>
    <n v="0.23599999999999999"/>
    <n v="0.78900000000000003"/>
    <n v="0.43099999999999999"/>
    <m/>
    <s v="马五41b"/>
    <x v="6"/>
    <n v="9"/>
    <s v="薄片"/>
    <n v="0.70499999999999996"/>
    <n v="0.15699999999999997"/>
  </r>
  <r>
    <s v="延959"/>
    <n v="3877.625"/>
    <n v="68.524000000000001"/>
    <n v="21.536000000000001"/>
    <n v="4.3689999999999998"/>
    <n v="178.15899999999999"/>
    <n v="2.7770000000000001"/>
    <n v="9.077"/>
    <n v="3.5070000000000001"/>
    <n v="223.386"/>
    <n v="248.20699999999999"/>
    <n v="0"/>
    <n v="0"/>
    <n v="100"/>
    <n v="0.55900000000000005"/>
    <n v="0.42199999999999999"/>
    <n v="0.40400000000000003"/>
    <n v="0.69499999999999995"/>
    <n v="0.41299999999999998"/>
    <m/>
    <s v="马五41b"/>
    <x v="5"/>
    <n v="13"/>
    <s v="薄片"/>
    <n v="0.96300000000000008"/>
    <n v="0.13700000000000007"/>
  </r>
  <r>
    <s v="延959"/>
    <n v="3877.75"/>
    <n v="81.86"/>
    <n v="21.611999999999998"/>
    <n v="4.7169999999999996"/>
    <n v="183.33"/>
    <n v="2.7639999999999998"/>
    <n v="10.49"/>
    <n v="3.58"/>
    <n v="162.25"/>
    <n v="180.27799999999999"/>
    <n v="0"/>
    <n v="0"/>
    <n v="100"/>
    <n v="0.65900000000000003"/>
    <n v="0.46500000000000002"/>
    <n v="0.47199999999999998"/>
    <n v="0.63300000000000001"/>
    <n v="0.50900000000000001"/>
    <m/>
    <s v="马五41b"/>
    <x v="5"/>
    <n v="13"/>
    <s v="薄片"/>
    <n v="1.131"/>
    <n v="0.19400000000000001"/>
  </r>
  <r>
    <s v="延959"/>
    <n v="3878.125"/>
    <n v="67.927999999999997"/>
    <n v="21.664000000000001"/>
    <n v="4.4340000000000002"/>
    <n v="175.50200000000001"/>
    <n v="2.7679999999999998"/>
    <n v="9.3970000000000002"/>
    <n v="3.8690000000000002"/>
    <n v="139.643"/>
    <n v="155.15899999999999"/>
    <n v="0"/>
    <n v="0"/>
    <n v="100"/>
    <n v="0.504"/>
    <n v="0.61699999999999999"/>
    <n v="0.316"/>
    <n v="0.66800000000000004"/>
    <n v="0.40799999999999997"/>
    <m/>
    <s v="马五41b"/>
    <x v="6"/>
    <n v="15"/>
    <s v="薄片"/>
    <n v="0.82000000000000006"/>
    <n v="-0.11299999999999999"/>
  </r>
  <r>
    <s v="延959"/>
    <n v="3878.25"/>
    <n v="63.67"/>
    <n v="21.626999999999999"/>
    <n v="4.4080000000000004"/>
    <n v="171.066"/>
    <n v="2.77"/>
    <n v="9.5030000000000001"/>
    <n v="3.9"/>
    <n v="161.99600000000001"/>
    <n v="179.99600000000001"/>
    <n v="0"/>
    <n v="0"/>
    <n v="100"/>
    <n v="0.47599999999999998"/>
    <n v="0.63300000000000001"/>
    <n v="0.25800000000000001"/>
    <n v="0.67500000000000004"/>
    <n v="0.42"/>
    <m/>
    <s v="马五41b"/>
    <x v="6"/>
    <n v="15"/>
    <s v="薄片"/>
    <n v="0.73399999999999999"/>
    <n v="-0.15700000000000003"/>
  </r>
  <r>
    <s v="延959"/>
    <n v="3878.375"/>
    <n v="64.314999999999998"/>
    <n v="21.585999999999999"/>
    <n v="4.58"/>
    <n v="169.62899999999999"/>
    <n v="2.7690000000000001"/>
    <n v="9.6750000000000007"/>
    <n v="3.9220000000000002"/>
    <n v="180.393"/>
    <n v="200.43700000000001"/>
    <n v="0"/>
    <n v="0"/>
    <n v="100"/>
    <n v="0.48899999999999999"/>
    <n v="0.66100000000000003"/>
    <n v="0.245"/>
    <n v="0.66400000000000003"/>
    <n v="0.44"/>
    <m/>
    <s v="马五41b"/>
    <x v="6"/>
    <n v="15"/>
    <s v="薄片"/>
    <n v="0.73399999999999999"/>
    <n v="-0.17200000000000004"/>
  </r>
  <r>
    <s v="延959"/>
    <n v="3878.5"/>
    <n v="67.367000000000004"/>
    <n v="21.562000000000001"/>
    <n v="4.915"/>
    <n v="170.42699999999999"/>
    <n v="2.7650000000000001"/>
    <n v="9.9350000000000005"/>
    <n v="4.0449999999999999"/>
    <n v="185.02799999999999"/>
    <n v="205.58699999999999"/>
    <n v="0"/>
    <n v="0"/>
    <n v="100"/>
    <n v="0.52200000000000002"/>
    <n v="0.75900000000000001"/>
    <n v="0.27100000000000002"/>
    <n v="0.626"/>
    <n v="0.46700000000000003"/>
    <m/>
    <s v="马五41b"/>
    <x v="6"/>
    <n v="15"/>
    <s v="薄片"/>
    <n v="0.79300000000000004"/>
    <n v="-0.23699999999999999"/>
  </r>
  <r>
    <s v="延959"/>
    <n v="3879"/>
    <n v="65.484999999999999"/>
    <n v="21.850999999999999"/>
    <n v="4.9349999999999996"/>
    <n v="175.20599999999999"/>
    <n v="2.7320000000000002"/>
    <n v="7.92"/>
    <n v="4.1849999999999996"/>
    <n v="184.25800000000001"/>
    <n v="204.73099999999999"/>
    <n v="0"/>
    <n v="0"/>
    <n v="100"/>
    <n v="0.45800000000000002"/>
    <n v="0.74299999999999999"/>
    <n v="0.315"/>
    <n v="0.48299999999999998"/>
    <n v="0.27100000000000002"/>
    <m/>
    <s v="马五41b"/>
    <x v="5"/>
    <n v="17"/>
    <s v="薄片"/>
    <n v="0.77300000000000002"/>
    <n v="-0.28499999999999998"/>
  </r>
  <r>
    <s v="延959"/>
    <n v="3879.125"/>
    <n v="53.177999999999997"/>
    <n v="21.905999999999999"/>
    <n v="3.7250000000000001"/>
    <n v="171.56899999999999"/>
    <n v="2.7480000000000002"/>
    <n v="8.4909999999999997"/>
    <n v="3.9039999999999999"/>
    <n v="200.99799999999999"/>
    <n v="223.33099999999999"/>
    <n v="0"/>
    <n v="0"/>
    <n v="100"/>
    <n v="0.33800000000000002"/>
    <n v="0.59599999999999997"/>
    <n v="0.252"/>
    <n v="0.58199999999999996"/>
    <n v="0.35799999999999998"/>
    <m/>
    <s v="马五41b"/>
    <x v="5"/>
    <n v="17"/>
    <s v="薄片"/>
    <n v="0.59000000000000008"/>
    <n v="-0.25799999999999995"/>
  </r>
  <r>
    <s v="延959"/>
    <n v="3880.125"/>
    <n v="85.088999999999999"/>
    <n v="21.905999999999999"/>
    <n v="4.6479999999999997"/>
    <n v="214.61799999999999"/>
    <n v="2.7349999999999999"/>
    <n v="14.442"/>
    <n v="2.9809999999999999"/>
    <n v="91.156999999999996"/>
    <n v="101.285"/>
    <n v="0"/>
    <n v="0"/>
    <n v="100"/>
    <n v="0.71099999999999997"/>
    <n v="0.123"/>
    <n v="0.98"/>
    <n v="0.47199999999999998"/>
    <n v="0.92700000000000005"/>
    <m/>
    <s v="马五41b"/>
    <x v="6"/>
    <n v="20"/>
    <s v="薄片"/>
    <n v="1.6909999999999998"/>
    <n v="0.58799999999999997"/>
  </r>
  <r>
    <s v="延959"/>
    <n v="3880.25"/>
    <n v="94.483000000000004"/>
    <n v="22.06"/>
    <n v="5.3319999999999999"/>
    <n v="216.31200000000001"/>
    <n v="2.734"/>
    <n v="14.832000000000001"/>
    <n v="3.0179999999999998"/>
    <n v="80.308999999999997"/>
    <n v="89.233000000000004"/>
    <n v="0"/>
    <n v="0"/>
    <n v="100"/>
    <n v="0.80500000000000005"/>
    <n v="0.14599999999999999"/>
    <n v="0.995"/>
    <n v="0.48099999999999998"/>
    <n v="0.95099999999999996"/>
    <m/>
    <s v="马五41b"/>
    <x v="6"/>
    <n v="20"/>
    <s v="薄片"/>
    <n v="1.8"/>
    <n v="0.65900000000000003"/>
  </r>
  <r>
    <s v="延919"/>
    <n v="3818.125"/>
    <n v="18.513000000000002"/>
    <n v="21.396000000000001"/>
    <n v="1.5269999999999999"/>
    <n v="162.797"/>
    <n v="2.7360000000000002"/>
    <n v="6.7290000000000001"/>
    <n v="3.0459999999999998"/>
    <n v="89.700999999999993"/>
    <n v="86.679000000000002"/>
    <n v="2.7919999999999998"/>
    <n v="0.1"/>
    <n v="100"/>
    <n v="1.7999999999999999E-2"/>
    <n v="0.44400000000000001"/>
    <n v="0.24099999999999999"/>
    <n v="0.75600000000000001"/>
    <n v="0.13300000000000001"/>
    <m/>
    <s v="马五41a"/>
    <x v="5"/>
    <n v="2"/>
    <s v="取心"/>
    <n v="0.25900000000000001"/>
    <n v="-0.42599999999999999"/>
  </r>
  <r>
    <s v="延919"/>
    <n v="3818.25"/>
    <n v="20.199000000000002"/>
    <n v="21.393999999999998"/>
    <n v="1.496"/>
    <n v="161.90700000000001"/>
    <n v="2.74"/>
    <n v="6.548"/>
    <n v="3.093"/>
    <n v="93.028000000000006"/>
    <n v="90.590999999999994"/>
    <n v="2.5339999999999998"/>
    <n v="0.1"/>
    <n v="100"/>
    <n v="2.7E-2"/>
    <n v="0.47099999999999997"/>
    <n v="0.22500000000000001"/>
    <n v="0.76100000000000001"/>
    <n v="0.107"/>
    <m/>
    <s v="马五41a"/>
    <x v="5"/>
    <n v="2"/>
    <s v="取心"/>
    <n v="0.252"/>
    <n v="-0.44399999999999995"/>
  </r>
  <r>
    <s v="延919"/>
    <n v="3818.375"/>
    <n v="20.388000000000002"/>
    <n v="21.402000000000001"/>
    <n v="1.377"/>
    <n v="161.03899999999999"/>
    <n v="2.734"/>
    <n v="6.3760000000000003"/>
    <n v="3.1459999999999999"/>
    <n v="95.72"/>
    <n v="93.63"/>
    <n v="2.5630000000000002"/>
    <n v="0.1"/>
    <n v="100"/>
    <n v="2.5999999999999999E-2"/>
    <n v="0.499"/>
    <n v="0.20899999999999999"/>
    <n v="0.73299999999999998"/>
    <n v="8.5000000000000006E-2"/>
    <m/>
    <s v="马五41a"/>
    <x v="5"/>
    <n v="2"/>
    <s v="取心"/>
    <n v="0.23499999999999999"/>
    <n v="-0.47299999999999998"/>
  </r>
  <r>
    <s v="延919"/>
    <n v="3818.5"/>
    <n v="19.468"/>
    <n v="21.401"/>
    <n v="1.401"/>
    <n v="160.238"/>
    <n v="2.7229999999999999"/>
    <n v="6.2469999999999999"/>
    <n v="3.1949999999999998"/>
    <n v="97.632999999999996"/>
    <n v="95.715999999999994"/>
    <n v="2.7669999999999999"/>
    <n v="0.1"/>
    <n v="100"/>
    <n v="2.1000000000000001E-2"/>
    <n v="0.52400000000000002"/>
    <n v="0.19500000000000001"/>
    <n v="0.69399999999999995"/>
    <n v="6.9000000000000006E-2"/>
    <m/>
    <s v="马五41a"/>
    <x v="5"/>
    <n v="2"/>
    <s v="取心"/>
    <n v="0.216"/>
    <n v="-0.503"/>
  </r>
  <r>
    <s v="延919"/>
    <n v="3818.625"/>
    <n v="19.065999999999999"/>
    <n v="21.407"/>
    <n v="1.4970000000000001"/>
    <n v="159.489"/>
    <n v="2.7160000000000002"/>
    <n v="6.1950000000000003"/>
    <n v="3.2320000000000002"/>
    <n v="98.486000000000004"/>
    <n v="97.325999999999993"/>
    <n v="2.9060000000000001"/>
    <n v="0.1"/>
    <n v="100"/>
    <n v="0.02"/>
    <n v="0.54300000000000004"/>
    <n v="0.18099999999999999"/>
    <n v="0.67700000000000005"/>
    <n v="6.4000000000000001E-2"/>
    <m/>
    <s v="马五41a"/>
    <x v="5"/>
    <n v="2"/>
    <s v="取心"/>
    <n v="0.20099999999999998"/>
    <n v="-0.52300000000000002"/>
  </r>
  <r>
    <s v="延919"/>
    <n v="3818.75"/>
    <n v="19.623000000000001"/>
    <n v="21.42"/>
    <n v="1.5189999999999999"/>
    <n v="158.73599999999999"/>
    <n v="2.718"/>
    <n v="6.1870000000000003"/>
    <n v="3.2570000000000001"/>
    <n v="101.806"/>
    <n v="101.711"/>
    <n v="2.8410000000000002"/>
    <n v="0.1"/>
    <n v="100"/>
    <n v="2.4E-2"/>
    <n v="0.55500000000000005"/>
    <n v="0.16700000000000001"/>
    <n v="0.69299999999999995"/>
    <n v="6.4000000000000001E-2"/>
    <m/>
    <s v="马五41a"/>
    <x v="5"/>
    <n v="2"/>
    <s v="取心"/>
    <n v="0.191"/>
    <n v="-0.53100000000000003"/>
  </r>
  <r>
    <s v="延919"/>
    <n v="3818.875"/>
    <n v="20.295000000000002"/>
    <n v="21.434000000000001"/>
    <n v="1.4370000000000001"/>
    <n v="157.94900000000001"/>
    <n v="2.7280000000000002"/>
    <n v="6.2069999999999999"/>
    <n v="3.2749999999999999"/>
    <n v="107.291"/>
    <n v="108.53700000000001"/>
    <n v="2.613"/>
    <n v="0.1"/>
    <n v="100"/>
    <n v="2.8000000000000001E-2"/>
    <n v="0.56599999999999995"/>
    <n v="0.152"/>
    <n v="0.73499999999999999"/>
    <n v="6.7000000000000004E-2"/>
    <m/>
    <s v="马五41a"/>
    <x v="5"/>
    <n v="2"/>
    <s v="取心"/>
    <n v="0.18"/>
    <n v="-0.53799999999999992"/>
  </r>
  <r>
    <s v="延919"/>
    <n v="3819"/>
    <n v="21.077000000000002"/>
    <n v="21.454999999999998"/>
    <n v="1.25"/>
    <n v="157.137"/>
    <n v="2.7410000000000001"/>
    <n v="6.2530000000000001"/>
    <n v="3.2959999999999998"/>
    <n v="112.407"/>
    <n v="114.825"/>
    <n v="2.331"/>
    <n v="0.1"/>
    <n v="100"/>
    <n v="3.2000000000000001E-2"/>
    <n v="0.57899999999999996"/>
    <n v="0.13700000000000001"/>
    <n v="0.77800000000000002"/>
    <n v="7.3999999999999996E-2"/>
    <m/>
    <s v="马五41a"/>
    <x v="5"/>
    <n v="2"/>
    <s v="取心"/>
    <n v="0.16900000000000001"/>
    <n v="-0.54699999999999993"/>
  </r>
  <r>
    <s v="延919"/>
    <n v="3819.125"/>
    <n v="20.914000000000001"/>
    <n v="21.462"/>
    <n v="1.0269999999999999"/>
    <n v="156.34100000000001"/>
    <n v="2.7469999999999999"/>
    <n v="6.2969999999999997"/>
    <n v="3.3319999999999999"/>
    <n v="117.5"/>
    <n v="121.322"/>
    <n v="2.246"/>
    <n v="0.1"/>
    <n v="100"/>
    <n v="0.03"/>
    <n v="0.60099999999999998"/>
    <n v="0.123"/>
    <n v="0.78800000000000003"/>
    <n v="7.8E-2"/>
    <m/>
    <s v="马五41a"/>
    <x v="5"/>
    <n v="2"/>
    <s v="取心"/>
    <n v="0.153"/>
    <n v="-0.57099999999999995"/>
  </r>
  <r>
    <s v="延919"/>
    <n v="3819.25"/>
    <n v="20.321999999999999"/>
    <n v="21.469000000000001"/>
    <n v="0.86699999999999999"/>
    <n v="155.602"/>
    <n v="2.7410000000000001"/>
    <n v="6.2830000000000004"/>
    <n v="3.3820000000000001"/>
    <n v="124.108"/>
    <n v="129.63"/>
    <n v="2.3769999999999998"/>
    <n v="0.1"/>
    <n v="100"/>
    <n v="2.7E-2"/>
    <n v="0.629"/>
    <n v="0.109"/>
    <n v="0.75900000000000001"/>
    <n v="7.4999999999999997E-2"/>
    <m/>
    <s v="马五41a"/>
    <x v="5"/>
    <n v="2"/>
    <s v="取心"/>
    <n v="0.13600000000000001"/>
    <n v="-0.60199999999999998"/>
  </r>
  <r>
    <s v="延919"/>
    <n v="3819.375"/>
    <n v="20.242999999999999"/>
    <n v="21.471"/>
    <n v="0.81799999999999995"/>
    <n v="154.94300000000001"/>
    <n v="2.7290000000000001"/>
    <n v="6.2409999999999997"/>
    <n v="3.44"/>
    <n v="130.19200000000001"/>
    <n v="137.982"/>
    <n v="2.605"/>
    <n v="0.1"/>
    <n v="100"/>
    <n v="2.8000000000000001E-2"/>
    <n v="0.66"/>
    <n v="9.8000000000000004E-2"/>
    <n v="0.71399999999999997"/>
    <n v="6.9000000000000006E-2"/>
    <m/>
    <s v="马五41a"/>
    <x v="5"/>
    <n v="2"/>
    <s v="取心"/>
    <n v="0.126"/>
    <n v="-0.63200000000000001"/>
  </r>
  <r>
    <s v="延919"/>
    <n v="3819.5"/>
    <n v="21.134"/>
    <n v="21.423999999999999"/>
    <n v="0.81200000000000006"/>
    <n v="154.375"/>
    <n v="2.7189999999999999"/>
    <n v="6.2089999999999996"/>
    <n v="3.4940000000000002"/>
    <n v="135.33199999999999"/>
    <n v="144.684"/>
    <n v="2.7549999999999999"/>
    <n v="0.1"/>
    <n v="100"/>
    <n v="3.3000000000000002E-2"/>
    <n v="0.68700000000000006"/>
    <n v="8.7999999999999995E-2"/>
    <n v="0.68600000000000005"/>
    <n v="6.3E-2"/>
    <m/>
    <s v="马五41a"/>
    <x v="5"/>
    <n v="2"/>
    <s v="取心"/>
    <n v="0.121"/>
    <n v="-0.65400000000000003"/>
  </r>
  <r>
    <s v="延919"/>
    <n v="3822.25"/>
    <n v="104.426"/>
    <n v="21.533999999999999"/>
    <n v="4.4130000000000003"/>
    <n v="179.375"/>
    <n v="2.7290000000000001"/>
    <n v="9.7349999999999994"/>
    <n v="3.5939999999999999"/>
    <n v="97.914000000000001"/>
    <n v="103.504"/>
    <n v="0"/>
    <n v="0"/>
    <n v="100"/>
    <n v="0.53"/>
    <n v="0.72199999999999998"/>
    <n v="0.55300000000000005"/>
    <n v="0.74399999999999999"/>
    <n v="0.55200000000000005"/>
    <m/>
    <s v="马五41b"/>
    <x v="5"/>
    <n v="4"/>
    <s v="薄片"/>
    <n v="1.0830000000000002"/>
    <n v="-0.19199999999999995"/>
  </r>
  <r>
    <s v="延919"/>
    <n v="3822.375"/>
    <n v="75.424999999999997"/>
    <n v="21.634"/>
    <n v="4.0860000000000003"/>
    <n v="179.602"/>
    <n v="2.7469999999999999"/>
    <n v="9.3539999999999992"/>
    <n v="3.4929999999999999"/>
    <n v="106.956"/>
    <n v="113.211"/>
    <n v="0"/>
    <n v="0"/>
    <n v="100"/>
    <n v="0.33900000000000002"/>
    <n v="0.66700000000000004"/>
    <n v="0.54900000000000004"/>
    <n v="0.81399999999999995"/>
    <n v="0.496"/>
    <m/>
    <s v="马五41b"/>
    <x v="5"/>
    <n v="4"/>
    <s v="薄片"/>
    <n v="0.88800000000000012"/>
    <n v="-0.32800000000000001"/>
  </r>
  <r>
    <s v="延919"/>
    <n v="3822.5"/>
    <n v="46.999000000000002"/>
    <n v="21.896000000000001"/>
    <n v="3.923"/>
    <n v="178.28700000000001"/>
    <n v="2.7650000000000001"/>
    <n v="8.9149999999999991"/>
    <n v="3.399"/>
    <n v="128.88900000000001"/>
    <n v="139.12799999999999"/>
    <n v="0"/>
    <n v="0"/>
    <n v="100"/>
    <n v="0.17100000000000001"/>
    <n v="0.62"/>
    <n v="0.51800000000000002"/>
    <n v="0.872"/>
    <n v="0.42799999999999999"/>
    <m/>
    <s v="马五41b"/>
    <x v="5"/>
    <n v="4"/>
    <s v="薄片"/>
    <n v="0.68900000000000006"/>
    <n v="-0.44899999999999995"/>
  </r>
  <r>
    <s v="延919"/>
    <n v="3822.625"/>
    <n v="29.36"/>
    <n v="21.646000000000001"/>
    <n v="3.2080000000000002"/>
    <n v="175.58099999999999"/>
    <n v="2.7719999999999998"/>
    <n v="8.3480000000000008"/>
    <n v="3.3279999999999998"/>
    <n v="188.75399999999999"/>
    <n v="206.286"/>
    <n v="0"/>
    <n v="0"/>
    <n v="100"/>
    <n v="7.1999999999999995E-2"/>
    <n v="0.58599999999999997"/>
    <n v="0.46500000000000002"/>
    <n v="0.88500000000000001"/>
    <n v="0.34899999999999998"/>
    <m/>
    <s v="马五41b"/>
    <x v="5"/>
    <n v="4"/>
    <s v="薄片"/>
    <n v="0.53700000000000003"/>
    <n v="-0.51400000000000001"/>
  </r>
  <r>
    <s v="延919"/>
    <n v="3822.75"/>
    <n v="21.102"/>
    <n v="21.474"/>
    <n v="2.375"/>
    <n v="172.15100000000001"/>
    <n v="2.766"/>
    <n v="7.8209999999999997"/>
    <n v="3.29"/>
    <n v="250.62700000000001"/>
    <n v="270.82600000000002"/>
    <n v="0"/>
    <n v="0"/>
    <n v="100"/>
    <n v="2.9000000000000001E-2"/>
    <n v="0.57099999999999995"/>
    <n v="0.4"/>
    <n v="0.85699999999999998"/>
    <n v="0.28000000000000003"/>
    <m/>
    <s v="马五41b"/>
    <x v="5"/>
    <n v="4"/>
    <s v="薄片"/>
    <n v="0.42900000000000005"/>
    <n v="-0.54199999999999993"/>
  </r>
  <r>
    <s v="延919"/>
    <n v="3822.875"/>
    <n v="19.338999999999999"/>
    <n v="21.425000000000001"/>
    <n v="1.774"/>
    <n v="168.404"/>
    <n v="2.7549999999999999"/>
    <n v="7.4459999999999997"/>
    <n v="3.2919999999999998"/>
    <n v="278.48500000000001"/>
    <n v="297.32"/>
    <n v="0"/>
    <n v="0"/>
    <n v="100"/>
    <n v="0.02"/>
    <n v="0.57699999999999996"/>
    <n v="0.33100000000000002"/>
    <n v="0.81499999999999995"/>
    <n v="0.23400000000000001"/>
    <m/>
    <s v="马五41b"/>
    <x v="5"/>
    <n v="4"/>
    <s v="薄片"/>
    <n v="0.35100000000000003"/>
    <n v="-0.55699999999999994"/>
  </r>
  <r>
    <s v="延919"/>
    <n v="3823"/>
    <n v="18.792000000000002"/>
    <n v="21.4"/>
    <n v="1.337"/>
    <n v="164.75200000000001"/>
    <n v="2.7450000000000001"/>
    <n v="7.242"/>
    <n v="3.3290000000000002"/>
    <n v="280.71199999999999"/>
    <n v="298.86500000000001"/>
    <n v="0"/>
    <n v="0"/>
    <n v="100"/>
    <n v="1.7000000000000001E-2"/>
    <n v="0.60099999999999998"/>
    <n v="0.26600000000000001"/>
    <n v="0.77800000000000002"/>
    <n v="0.21099999999999999"/>
    <m/>
    <s v="马五41b"/>
    <x v="5"/>
    <n v="4"/>
    <s v="薄片"/>
    <n v="0.28300000000000003"/>
    <n v="-0.58399999999999996"/>
  </r>
  <r>
    <s v="延919"/>
    <n v="3823.125"/>
    <n v="19.128"/>
    <n v="21.433"/>
    <n v="1.4079999999999999"/>
    <n v="161.68"/>
    <n v="2.7370000000000001"/>
    <n v="7.194"/>
    <n v="3.387"/>
    <n v="273.85199999999998"/>
    <n v="291.42500000000001"/>
    <n v="0"/>
    <n v="0"/>
    <n v="100"/>
    <n v="2.3E-2"/>
    <n v="0.63100000000000001"/>
    <n v="0.214"/>
    <n v="0.748"/>
    <n v="0.20799999999999999"/>
    <m/>
    <s v="马五41b"/>
    <x v="5"/>
    <n v="4"/>
    <s v="薄片"/>
    <n v="0.23699999999999999"/>
    <n v="-0.60799999999999998"/>
  </r>
  <r>
    <s v="延919"/>
    <n v="3823.25"/>
    <n v="21.254000000000001"/>
    <n v="21.43"/>
    <n v="1.744"/>
    <n v="159.453"/>
    <n v="2.73"/>
    <n v="7.2590000000000003"/>
    <n v="3.4369999999999998"/>
    <n v="258.17899999999997"/>
    <n v="277.17399999999998"/>
    <n v="0"/>
    <n v="0"/>
    <n v="100"/>
    <n v="4.1000000000000002E-2"/>
    <n v="0.65400000000000003"/>
    <n v="0.17799999999999999"/>
    <n v="0.72099999999999997"/>
    <n v="0.22"/>
    <m/>
    <s v="马五41b"/>
    <x v="5"/>
    <n v="4"/>
    <s v="薄片"/>
    <n v="0.219"/>
    <n v="-0.61299999999999999"/>
  </r>
  <r>
    <s v="延919"/>
    <n v="3823.375"/>
    <n v="25.513999999999999"/>
    <n v="21.449000000000002"/>
    <n v="1.927"/>
    <n v="158.249"/>
    <n v="2.7229999999999999"/>
    <n v="7.3789999999999996"/>
    <n v="3.46"/>
    <n v="234.60599999999999"/>
    <n v="259.05200000000002"/>
    <n v="0"/>
    <n v="0"/>
    <n v="100"/>
    <n v="7.4999999999999997E-2"/>
    <n v="0.66200000000000003"/>
    <n v="0.161"/>
    <n v="0.69699999999999995"/>
    <n v="0.23599999999999999"/>
    <m/>
    <s v="马五41b"/>
    <x v="5"/>
    <n v="4"/>
    <s v="薄片"/>
    <n v="0.23599999999999999"/>
    <n v="-0.58700000000000008"/>
  </r>
  <r>
    <s v="延919"/>
    <n v="3823.5"/>
    <n v="32.982999999999997"/>
    <n v="21.42"/>
    <n v="2.1549999999999998"/>
    <n v="158.08000000000001"/>
    <n v="2.7189999999999999"/>
    <n v="7.4850000000000003"/>
    <n v="3.4529999999999998"/>
    <n v="224.52099999999999"/>
    <n v="256.887"/>
    <n v="0"/>
    <n v="0"/>
    <n v="100"/>
    <n v="0.128"/>
    <n v="0.65500000000000003"/>
    <n v="0.16200000000000001"/>
    <n v="0.68799999999999994"/>
    <n v="0.253"/>
    <m/>
    <s v="马五41b"/>
    <x v="5"/>
    <n v="4"/>
    <s v="薄片"/>
    <n v="0.29000000000000004"/>
    <n v="-0.52700000000000002"/>
  </r>
  <r>
    <s v="延919"/>
    <n v="3823.625"/>
    <n v="42.529000000000003"/>
    <n v="21.425999999999998"/>
    <n v="2.1819999999999999"/>
    <n v="158.791"/>
    <n v="2.7210000000000001"/>
    <n v="7.6319999999999997"/>
    <n v="3.423"/>
    <n v="204.666"/>
    <n v="245.91800000000001"/>
    <n v="0"/>
    <n v="0"/>
    <n v="100"/>
    <n v="0.19500000000000001"/>
    <n v="0.63900000000000001"/>
    <n v="0.17699999999999999"/>
    <n v="0.70499999999999996"/>
    <n v="0.27300000000000002"/>
    <m/>
    <s v="马五41b"/>
    <x v="5"/>
    <n v="4"/>
    <s v="薄片"/>
    <n v="0.372"/>
    <n v="-0.44400000000000001"/>
  </r>
  <r>
    <s v="延919"/>
    <n v="3823.75"/>
    <n v="54.662999999999997"/>
    <n v="21.442"/>
    <n v="2.2679999999999998"/>
    <n v="159.78899999999999"/>
    <n v="2.7320000000000002"/>
    <n v="7.758"/>
    <n v="3.395"/>
    <n v="186.01300000000001"/>
    <n v="233.95"/>
    <n v="0"/>
    <n v="0"/>
    <n v="100"/>
    <n v="0.26600000000000001"/>
    <n v="0.627"/>
    <n v="0.19400000000000001"/>
    <n v="0.752"/>
    <n v="0.28499999999999998"/>
    <m/>
    <s v="马五41b"/>
    <x v="5"/>
    <n v="4"/>
    <s v="薄片"/>
    <n v="0.46"/>
    <n v="-0.36099999999999999"/>
  </r>
  <r>
    <s v="延919"/>
    <n v="3823.875"/>
    <n v="61.759"/>
    <n v="21.462"/>
    <n v="2.4900000000000002"/>
    <n v="160.67400000000001"/>
    <n v="2.7469999999999999"/>
    <n v="7.7469999999999999"/>
    <n v="3.3860000000000001"/>
    <n v="171.29499999999999"/>
    <n v="227.01"/>
    <n v="0"/>
    <n v="0"/>
    <n v="100"/>
    <n v="0.29599999999999999"/>
    <n v="0.626"/>
    <n v="0.20899999999999999"/>
    <n v="0.80300000000000005"/>
    <n v="0.27800000000000002"/>
    <m/>
    <s v="马五41b"/>
    <x v="5"/>
    <n v="4"/>
    <s v="薄片"/>
    <n v="0.505"/>
    <n v="-0.33"/>
  </r>
  <r>
    <s v="延919"/>
    <n v="3824"/>
    <n v="59.287999999999997"/>
    <n v="21.507000000000001"/>
    <n v="2.77"/>
    <n v="161.20699999999999"/>
    <n v="2.7549999999999999"/>
    <n v="7.5810000000000004"/>
    <n v="3.407"/>
    <n v="174.05699999999999"/>
    <n v="239.42500000000001"/>
    <n v="0"/>
    <n v="0"/>
    <n v="100"/>
    <n v="0.26600000000000001"/>
    <n v="0.64300000000000002"/>
    <n v="0.217"/>
    <n v="0.82599999999999996"/>
    <n v="0.251"/>
    <m/>
    <s v="马五41b"/>
    <x v="5"/>
    <n v="4"/>
    <s v="薄片"/>
    <n v="0.48299999999999998"/>
    <n v="-0.377"/>
  </r>
  <r>
    <s v="延919"/>
    <n v="3824.125"/>
    <n v="49.094000000000001"/>
    <n v="21.63"/>
    <n v="2.71"/>
    <n v="161.376"/>
    <n v="2.7549999999999999"/>
    <n v="7.3230000000000004"/>
    <n v="3.4649999999999999"/>
    <n v="192.94"/>
    <n v="271.03699999999998"/>
    <n v="0"/>
    <n v="0"/>
    <n v="100"/>
    <n v="0.20100000000000001"/>
    <n v="0.67800000000000005"/>
    <n v="0.22"/>
    <n v="0.82199999999999995"/>
    <n v="0.216"/>
    <m/>
    <s v="马五41b"/>
    <x v="5"/>
    <n v="4"/>
    <s v="薄片"/>
    <n v="0.42100000000000004"/>
    <n v="-0.47700000000000004"/>
  </r>
  <r>
    <s v="延919"/>
    <n v="3824.25"/>
    <n v="40.314"/>
    <n v="21.663"/>
    <n v="2.54"/>
    <n v="161.47399999999999"/>
    <n v="2.7519999999999998"/>
    <n v="7.1139999999999999"/>
    <n v="3.548"/>
    <n v="224.779"/>
    <n v="323.64100000000002"/>
    <n v="0"/>
    <n v="0"/>
    <n v="100"/>
    <n v="0.14699999999999999"/>
    <n v="0.72599999999999998"/>
    <n v="0.222"/>
    <n v="0.80900000000000005"/>
    <n v="0.193"/>
    <m/>
    <s v="马五41b"/>
    <x v="5"/>
    <n v="4"/>
    <s v="薄片"/>
    <n v="0.36899999999999999"/>
    <n v="-0.57899999999999996"/>
  </r>
  <r>
    <s v="延919"/>
    <n v="3824.375"/>
    <n v="33.863999999999997"/>
    <n v="21.475000000000001"/>
    <n v="2.4510000000000001"/>
    <n v="161.69900000000001"/>
    <n v="2.7469999999999999"/>
    <n v="7.0810000000000004"/>
    <n v="3.6440000000000001"/>
    <n v="254.40700000000001"/>
    <n v="371.452"/>
    <n v="0"/>
    <n v="0"/>
    <n v="100"/>
    <n v="0.121"/>
    <n v="0.77700000000000002"/>
    <n v="0.22700000000000001"/>
    <n v="0.78300000000000003"/>
    <n v="0.191"/>
    <m/>
    <s v="马五41b"/>
    <x v="5"/>
    <n v="4"/>
    <s v="薄片"/>
    <n v="0.34799999999999998"/>
    <n v="-0.65600000000000003"/>
  </r>
  <r>
    <s v="延919"/>
    <n v="3824.5"/>
    <n v="36.613"/>
    <n v="21.425000000000001"/>
    <n v="2.2839999999999998"/>
    <n v="162.078"/>
    <n v="2.7360000000000002"/>
    <n v="7.12"/>
    <n v="3.7320000000000002"/>
    <n v="258.81200000000001"/>
    <n v="383.29399999999998"/>
    <n v="0"/>
    <n v="0"/>
    <n v="100"/>
    <n v="0.154"/>
    <n v="0.82"/>
    <n v="0.23400000000000001"/>
    <n v="0.74399999999999999"/>
    <n v="0.19400000000000001"/>
    <m/>
    <s v="马五41b"/>
    <x v="5"/>
    <n v="4"/>
    <s v="薄片"/>
    <n v="0.38800000000000001"/>
    <n v="-0.66599999999999993"/>
  </r>
  <r>
    <s v="延919"/>
    <n v="3824.625"/>
    <n v="47.290999999999997"/>
    <n v="21.423999999999999"/>
    <n v="2.3759999999999999"/>
    <n v="162.39599999999999"/>
    <n v="2.7280000000000002"/>
    <n v="7.0990000000000002"/>
    <n v="3.7869999999999999"/>
    <n v="220.13200000000001"/>
    <n v="331.66899999999998"/>
    <n v="0"/>
    <n v="0"/>
    <n v="100"/>
    <n v="0.224"/>
    <n v="0.84299999999999997"/>
    <n v="0.23799999999999999"/>
    <n v="0.71899999999999997"/>
    <n v="0.192"/>
    <m/>
    <s v="马五41b"/>
    <x v="5"/>
    <n v="4"/>
    <s v="薄片"/>
    <n v="0.46199999999999997"/>
    <n v="-0.61899999999999999"/>
  </r>
  <r>
    <s v="延919"/>
    <n v="3824.75"/>
    <n v="57.82"/>
    <n v="21.431999999999999"/>
    <n v="2.4390000000000001"/>
    <n v="162.375"/>
    <n v="2.726"/>
    <n v="7.0819999999999999"/>
    <n v="3.7959999999999998"/>
    <n v="186.21100000000001"/>
    <n v="280.654"/>
    <n v="0"/>
    <n v="0"/>
    <n v="100"/>
    <n v="0.27800000000000002"/>
    <n v="0.83299999999999996"/>
    <n v="0.23499999999999999"/>
    <n v="0.71899999999999997"/>
    <n v="0.192"/>
    <m/>
    <s v="马五41b"/>
    <x v="5"/>
    <n v="4"/>
    <s v="薄片"/>
    <n v="0.51300000000000001"/>
    <n v="-0.55499999999999994"/>
  </r>
  <r>
    <s v="延919"/>
    <n v="3824.875"/>
    <n v="59.774999999999999"/>
    <n v="21.443000000000001"/>
    <n v="2.4129999999999998"/>
    <n v="161.88499999999999"/>
    <n v="2.7320000000000002"/>
    <n v="7.141"/>
    <n v="3.702"/>
    <n v="174.63900000000001"/>
    <n v="259.81200000000001"/>
    <n v="0"/>
    <n v="0"/>
    <n v="100"/>
    <n v="0.28000000000000003"/>
    <n v="0.79100000000000004"/>
    <n v="0.224"/>
    <n v="0.746"/>
    <n v="0.20499999999999999"/>
    <m/>
    <s v="马五41b"/>
    <x v="5"/>
    <n v="4"/>
    <s v="薄片"/>
    <n v="0.504"/>
    <n v="-0.51100000000000001"/>
  </r>
  <r>
    <s v="延919"/>
    <n v="3825"/>
    <n v="55.820999999999998"/>
    <n v="21.433"/>
    <n v="2.4129999999999998"/>
    <n v="161.03100000000001"/>
    <n v="2.7410000000000001"/>
    <n v="7.3220000000000001"/>
    <n v="3.673"/>
    <n v="169.46899999999999"/>
    <n v="249.22"/>
    <n v="0"/>
    <n v="0"/>
    <n v="100"/>
    <n v="0.252"/>
    <n v="0.76200000000000001"/>
    <n v="0.20899999999999999"/>
    <n v="0.78200000000000003"/>
    <n v="0.23"/>
    <m/>
    <s v="马五41b"/>
    <x v="5"/>
    <n v="4"/>
    <s v="薄片"/>
    <n v="0.46099999999999997"/>
    <n v="-0.51"/>
  </r>
  <r>
    <s v="延919"/>
    <n v="3825.125"/>
    <n v="50.703000000000003"/>
    <n v="21.428000000000001"/>
    <n v="2.5619999999999998"/>
    <n v="160.17599999999999"/>
    <n v="2.7509999999999999"/>
    <n v="7.4770000000000003"/>
    <n v="3.5539999999999998"/>
    <n v="177.01400000000001"/>
    <n v="259.62099999999998"/>
    <n v="0"/>
    <n v="0"/>
    <n v="100"/>
    <n v="0.22"/>
    <n v="0.69499999999999995"/>
    <n v="0.19500000000000001"/>
    <n v="0.82099999999999995"/>
    <n v="0.245"/>
    <m/>
    <s v="马五41b"/>
    <x v="5"/>
    <n v="4"/>
    <s v="薄片"/>
    <n v="0.41500000000000004"/>
    <n v="-0.47499999999999998"/>
  </r>
  <r>
    <s v="延919"/>
    <n v="3825.25"/>
    <n v="46.856999999999999"/>
    <n v="21.428999999999998"/>
    <n v="2.746"/>
    <n v="159.74100000000001"/>
    <n v="2.7610000000000001"/>
    <n v="7.4640000000000004"/>
    <n v="3.419"/>
    <n v="196.39400000000001"/>
    <n v="285.17"/>
    <n v="0"/>
    <n v="0"/>
    <n v="100"/>
    <n v="0.19600000000000001"/>
    <n v="0.622"/>
    <n v="0.19"/>
    <n v="0.85299999999999998"/>
    <n v="0.24299999999999999"/>
    <m/>
    <s v="马五41b"/>
    <x v="5"/>
    <n v="4"/>
    <s v="薄片"/>
    <n v="0.38600000000000001"/>
    <n v="-0.42599999999999999"/>
  </r>
  <r>
    <s v="延914"/>
    <n v="3376"/>
    <n v="36.517000000000003"/>
    <n v="22.218"/>
    <n v="3.5529999999999999"/>
    <n v="161.26300000000001"/>
    <n v="2.79"/>
    <n v="5.3689999999999998"/>
    <n v="3.38"/>
    <n v="109.63800000000001"/>
    <n v="119.172"/>
    <n v="0"/>
    <n v="0"/>
    <n v="100"/>
    <n v="0.158"/>
    <n v="0.26700000000000002"/>
    <n v="6.8000000000000005E-2"/>
    <n v="0.84"/>
    <n v="0.63500000000000001"/>
    <m/>
    <s v="马五41a"/>
    <x v="5"/>
    <n v="3"/>
    <s v="薄片"/>
    <n v="0.22600000000000001"/>
    <n v="-0.10900000000000001"/>
  </r>
  <r>
    <s v="延914"/>
    <n v="3376.125"/>
    <n v="23.776"/>
    <n v="22.271999999999998"/>
    <n v="2.8460000000000001"/>
    <n v="162.35"/>
    <n v="2.79"/>
    <n v="5.2910000000000004"/>
    <n v="3.2970000000000002"/>
    <n v="95.495000000000005"/>
    <n v="103.79900000000001"/>
    <n v="0"/>
    <n v="0"/>
    <n v="100"/>
    <n v="6.9000000000000006E-2"/>
    <n v="0.24199999999999999"/>
    <n v="9.0999999999999998E-2"/>
    <n v="0.84"/>
    <n v="0.61499999999999999"/>
    <m/>
    <s v="马五41a"/>
    <x v="5"/>
    <n v="3"/>
    <s v="薄片"/>
    <n v="0.16"/>
    <n v="-0.17299999999999999"/>
  </r>
  <r>
    <s v="延914"/>
    <n v="3376.25"/>
    <n v="17.247"/>
    <n v="22.312000000000001"/>
    <n v="1.966"/>
    <n v="164.358"/>
    <n v="2.79"/>
    <n v="4.7610000000000001"/>
    <n v="3.2160000000000002"/>
    <n v="82.427000000000007"/>
    <n v="89.593999999999994"/>
    <n v="0"/>
    <n v="0"/>
    <n v="100"/>
    <n v="2.4E-2"/>
    <n v="0.214"/>
    <n v="0.13300000000000001"/>
    <n v="0.84"/>
    <n v="0.502"/>
    <m/>
    <s v="马五41a"/>
    <x v="5"/>
    <n v="3"/>
    <s v="薄片"/>
    <n v="0.157"/>
    <n v="-0.19"/>
  </r>
  <r>
    <s v="延914"/>
    <n v="3376.375"/>
    <n v="15.388999999999999"/>
    <n v="22.314"/>
    <n v="1.2649999999999999"/>
    <n v="166.01599999999999"/>
    <n v="2.7909999999999999"/>
    <n v="4.05"/>
    <n v="3.1419999999999999"/>
    <n v="69.200999999999993"/>
    <n v="75.218000000000004"/>
    <n v="0"/>
    <n v="0"/>
    <n v="100"/>
    <n v="1.0999999999999999E-2"/>
    <n v="0.183"/>
    <n v="0.16800000000000001"/>
    <n v="0.84299999999999997"/>
    <n v="0.35399999999999998"/>
    <m/>
    <s v="马五41a"/>
    <x v="5"/>
    <n v="3"/>
    <s v="薄片"/>
    <n v="0.17900000000000002"/>
    <n v="-0.17199999999999999"/>
  </r>
  <r>
    <s v="延914"/>
    <n v="3376.5"/>
    <n v="14.808"/>
    <n v="22.263999999999999"/>
    <n v="0.879"/>
    <n v="167.018"/>
    <n v="2.794"/>
    <n v="3.5720000000000001"/>
    <n v="3.0790000000000002"/>
    <n v="61.887"/>
    <n v="67.268000000000001"/>
    <n v="0"/>
    <n v="0"/>
    <n v="100"/>
    <n v="7.0000000000000001E-3"/>
    <n v="0.16200000000000001"/>
    <n v="0.188"/>
    <n v="0.85399999999999998"/>
    <n v="0.25600000000000001"/>
    <m/>
    <s v="马五41a"/>
    <x v="5"/>
    <n v="3"/>
    <s v="薄片"/>
    <n v="0.19500000000000001"/>
    <n v="-0.155"/>
  </r>
  <r>
    <s v="延914"/>
    <n v="3376.625"/>
    <n v="14.081"/>
    <n v="22.207000000000001"/>
    <n v="0.75900000000000001"/>
    <n v="167.71600000000001"/>
    <n v="2.7970000000000002"/>
    <n v="3.5459999999999998"/>
    <n v="3.032"/>
    <n v="55.204999999999998"/>
    <n v="60.005000000000003"/>
    <n v="0"/>
    <n v="0"/>
    <n v="100"/>
    <n v="2E-3"/>
    <n v="0.14099999999999999"/>
    <n v="0.20300000000000001"/>
    <n v="0.86399999999999999"/>
    <n v="0.252"/>
    <m/>
    <s v="马五41a"/>
    <x v="5"/>
    <n v="3"/>
    <s v="薄片"/>
    <n v="0.20500000000000002"/>
    <n v="-0.13899999999999998"/>
  </r>
  <r>
    <s v="延914"/>
    <n v="3376.75"/>
    <n v="13.773999999999999"/>
    <n v="22.196000000000002"/>
    <n v="0.8"/>
    <n v="168.14500000000001"/>
    <n v="2.8"/>
    <n v="3.7629999999999999"/>
    <n v="2.9969999999999999"/>
    <n v="47.576999999999998"/>
    <n v="51.715000000000003"/>
    <n v="0"/>
    <n v="0"/>
    <n v="100"/>
    <n v="0"/>
    <n v="0.114"/>
    <n v="0.21199999999999999"/>
    <n v="0.874"/>
    <n v="0.29799999999999999"/>
    <m/>
    <s v="马五41a"/>
    <x v="5"/>
    <n v="3"/>
    <s v="薄片"/>
    <n v="0.21199999999999999"/>
    <n v="-0.114"/>
  </r>
  <r>
    <s v="延914"/>
    <n v="3376.875"/>
    <n v="14.205"/>
    <n v="22.183"/>
    <n v="0.86799999999999999"/>
    <n v="168.27500000000001"/>
    <n v="2.8010000000000002"/>
    <n v="4.016"/>
    <n v="2.976"/>
    <n v="44.396999999999998"/>
    <n v="48.256999999999998"/>
    <n v="0"/>
    <n v="0"/>
    <n v="100"/>
    <n v="3.0000000000000001E-3"/>
    <n v="0.10199999999999999"/>
    <n v="0.214"/>
    <n v="0.877"/>
    <n v="0.35099999999999998"/>
    <m/>
    <s v="马五41a"/>
    <x v="5"/>
    <n v="3"/>
    <s v="薄片"/>
    <n v="0.217"/>
    <n v="-9.8999999999999991E-2"/>
  </r>
  <r>
    <s v="延914"/>
    <n v="3377"/>
    <n v="14.926"/>
    <n v="22.151"/>
    <n v="0.84799999999999998"/>
    <n v="168.15600000000001"/>
    <n v="2.8010000000000002"/>
    <n v="4.2119999999999997"/>
    <n v="2.9649999999999999"/>
    <n v="43.054000000000002"/>
    <n v="46.798000000000002"/>
    <n v="0"/>
    <n v="0"/>
    <n v="100"/>
    <n v="8.0000000000000002E-3"/>
    <n v="9.6000000000000002E-2"/>
    <n v="0.21199999999999999"/>
    <n v="0.877"/>
    <n v="0.39200000000000002"/>
    <m/>
    <s v="马五41a"/>
    <x v="5"/>
    <n v="3"/>
    <s v="薄片"/>
    <n v="0.22"/>
    <n v="-8.7999999999999995E-2"/>
  </r>
  <r>
    <s v="延914"/>
    <n v="3377.125"/>
    <n v="15.571"/>
    <n v="22.114000000000001"/>
    <n v="0.78200000000000003"/>
    <n v="167.85499999999999"/>
    <n v="2.8010000000000002"/>
    <n v="4.2960000000000003"/>
    <n v="2.9649999999999999"/>
    <n v="43.201999999999998"/>
    <n v="46.959000000000003"/>
    <n v="0"/>
    <n v="0"/>
    <n v="100"/>
    <n v="1.2999999999999999E-2"/>
    <n v="9.7000000000000003E-2"/>
    <n v="0.20499999999999999"/>
    <n v="0.877"/>
    <n v="0.40899999999999997"/>
    <m/>
    <s v="马五41a"/>
    <x v="5"/>
    <n v="3"/>
    <s v="薄片"/>
    <n v="0.218"/>
    <n v="-8.4000000000000005E-2"/>
  </r>
  <r>
    <s v="延914"/>
    <n v="3377.25"/>
    <n v="15.518000000000001"/>
    <n v="22.103000000000002"/>
    <n v="0.76100000000000001"/>
    <n v="167.47900000000001"/>
    <n v="2.802"/>
    <n v="4.3"/>
    <n v="2.972"/>
    <n v="43.198999999999998"/>
    <n v="46.954999999999998"/>
    <n v="0"/>
    <n v="0"/>
    <n v="100"/>
    <n v="1.2E-2"/>
    <n v="9.7000000000000003E-2"/>
    <n v="0.19700000000000001"/>
    <n v="0.88100000000000001"/>
    <n v="0.41"/>
    <m/>
    <s v="马五41a"/>
    <x v="5"/>
    <n v="3"/>
    <s v="薄片"/>
    <n v="0.20900000000000002"/>
    <n v="-8.5000000000000006E-2"/>
  </r>
  <r>
    <s v="延914"/>
    <n v="3377.375"/>
    <n v="15.331"/>
    <n v="22.131"/>
    <n v="0.76900000000000002"/>
    <n v="167.065"/>
    <n v="2.8050000000000002"/>
    <n v="4.2380000000000004"/>
    <n v="2.9830000000000001"/>
    <n v="42.274999999999999"/>
    <n v="45.951000000000001"/>
    <n v="0"/>
    <n v="0"/>
    <n v="100"/>
    <n v="1.0999999999999999E-2"/>
    <n v="9.2999999999999999E-2"/>
    <n v="0.189"/>
    <n v="0.89100000000000001"/>
    <n v="0.39600000000000002"/>
    <m/>
    <s v="马五41a"/>
    <x v="5"/>
    <n v="3"/>
    <s v="薄片"/>
    <n v="0.2"/>
    <n v="-8.2000000000000003E-2"/>
  </r>
  <r>
    <s v="延914"/>
    <n v="3377.5"/>
    <n v="14.827999999999999"/>
    <n v="22.213999999999999"/>
    <n v="0.76900000000000002"/>
    <n v="166.63"/>
    <n v="2.8090000000000002"/>
    <n v="4.1139999999999999"/>
    <n v="2.9980000000000002"/>
    <n v="41.304000000000002"/>
    <n v="44.896000000000001"/>
    <n v="0"/>
    <n v="0"/>
    <n v="100"/>
    <n v="7.0000000000000001E-3"/>
    <n v="8.7999999999999995E-2"/>
    <n v="0.18"/>
    <n v="0.90500000000000003"/>
    <n v="0.37"/>
    <m/>
    <s v="马五41a"/>
    <x v="5"/>
    <n v="3"/>
    <s v="薄片"/>
    <n v="0.187"/>
    <n v="-8.0999999999999989E-2"/>
  </r>
  <r>
    <s v="延914"/>
    <n v="3377.625"/>
    <n v="13.87"/>
    <n v="22.36"/>
    <n v="0.77100000000000002"/>
    <n v="166.27"/>
    <n v="2.8130000000000002"/>
    <n v="3.9289999999999998"/>
    <n v="3.0169999999999999"/>
    <n v="41.128"/>
    <n v="44.704999999999998"/>
    <n v="0"/>
    <n v="0"/>
    <n v="100"/>
    <n v="1E-3"/>
    <n v="8.7999999999999995E-2"/>
    <n v="0.17199999999999999"/>
    <n v="0.91900000000000004"/>
    <n v="0.33"/>
    <m/>
    <s v="马五41a"/>
    <x v="5"/>
    <n v="3"/>
    <s v="薄片"/>
    <n v="0.17299999999999999"/>
    <n v="-8.6999999999999994E-2"/>
  </r>
  <r>
    <s v="延914"/>
    <n v="3377.75"/>
    <n v="14.032"/>
    <n v="22.408000000000001"/>
    <n v="0.73099999999999998"/>
    <n v="166.077"/>
    <n v="2.8170000000000002"/>
    <n v="3.726"/>
    <n v="3.0379999999999998"/>
    <n v="41.652999999999999"/>
    <n v="45.274999999999999"/>
    <n v="0"/>
    <n v="0"/>
    <n v="100"/>
    <n v="2E-3"/>
    <n v="0.09"/>
    <n v="0.16800000000000001"/>
    <n v="0.93200000000000005"/>
    <n v="0.28799999999999998"/>
    <m/>
    <s v="马五41a"/>
    <x v="5"/>
    <n v="3"/>
    <s v="薄片"/>
    <n v="0.17"/>
    <n v="-8.7999999999999995E-2"/>
  </r>
  <r>
    <s v="延914"/>
    <n v="3377.875"/>
    <n v="16.242999999999999"/>
    <n v="22.318999999999999"/>
    <n v="0.65"/>
    <n v="165.577"/>
    <n v="2.8210000000000002"/>
    <n v="3.5710000000000002"/>
    <n v="3.06"/>
    <n v="42.908000000000001"/>
    <n v="46.639000000000003"/>
    <n v="0"/>
    <n v="0"/>
    <n v="100"/>
    <n v="1.7999999999999999E-2"/>
    <n v="9.6000000000000002E-2"/>
    <n v="0.157"/>
    <n v="0.94599999999999995"/>
    <n v="0.25600000000000001"/>
    <m/>
    <s v="马五41a"/>
    <x v="5"/>
    <n v="3"/>
    <s v="薄片"/>
    <n v="0.17499999999999999"/>
    <n v="-7.8E-2"/>
  </r>
  <r>
    <s v="延914"/>
    <n v="3378"/>
    <n v="17.545000000000002"/>
    <n v="22.213999999999999"/>
    <n v="0.63100000000000001"/>
    <n v="165.036"/>
    <n v="2.8250000000000002"/>
    <n v="3.4569999999999999"/>
    <n v="3.0830000000000002"/>
    <n v="45.024000000000001"/>
    <n v="48.939"/>
    <n v="0"/>
    <n v="0"/>
    <n v="100"/>
    <n v="2.5999999999999999E-2"/>
    <n v="0.105"/>
    <n v="0.14599999999999999"/>
    <n v="0.95899999999999996"/>
    <n v="0.23100000000000001"/>
    <m/>
    <s v="马五41a"/>
    <x v="5"/>
    <n v="3"/>
    <s v="薄片"/>
    <n v="0.17199999999999999"/>
    <n v="-7.9000000000000001E-2"/>
  </r>
  <r>
    <s v="延914"/>
    <n v="3378.125"/>
    <n v="16.047000000000001"/>
    <n v="22.187999999999999"/>
    <n v="0.73"/>
    <n v="164.43100000000001"/>
    <n v="2.8279999999999998"/>
    <n v="3.2989999999999999"/>
    <n v="3.1080000000000001"/>
    <n v="50.99"/>
    <n v="55.423999999999999"/>
    <n v="0"/>
    <n v="0"/>
    <n v="100"/>
    <n v="1.6E-2"/>
    <n v="0.128"/>
    <n v="0.13300000000000001"/>
    <n v="0.97"/>
    <n v="0.19800000000000001"/>
    <m/>
    <s v="马五41a"/>
    <x v="5"/>
    <n v="3"/>
    <s v="薄片"/>
    <n v="0.14900000000000002"/>
    <n v="-0.112"/>
  </r>
  <r>
    <s v="延914"/>
    <n v="3378.25"/>
    <n v="14.478"/>
    <n v="22.181000000000001"/>
    <n v="0.80100000000000005"/>
    <n v="163.76400000000001"/>
    <n v="2.831"/>
    <n v="3.129"/>
    <n v="3.1320000000000001"/>
    <n v="54.698999999999998"/>
    <n v="59.454999999999998"/>
    <n v="0"/>
    <n v="0"/>
    <n v="100"/>
    <n v="5.0000000000000001E-3"/>
    <n v="0.14000000000000001"/>
    <n v="0.11899999999999999"/>
    <n v="0.98"/>
    <n v="0.16200000000000001"/>
    <m/>
    <s v="马五41a"/>
    <x v="5"/>
    <n v="3"/>
    <s v="薄片"/>
    <n v="0.124"/>
    <n v="-0.13500000000000001"/>
  </r>
  <r>
    <s v="延914"/>
    <n v="3378.375"/>
    <n v="14.832000000000001"/>
    <n v="22.146999999999998"/>
    <n v="0.879"/>
    <n v="163.05199999999999"/>
    <n v="2.8330000000000002"/>
    <n v="3.0169999999999999"/>
    <n v="3.157"/>
    <n v="58.838999999999999"/>
    <n v="63.956000000000003"/>
    <n v="0"/>
    <n v="0"/>
    <n v="100"/>
    <n v="8.0000000000000002E-3"/>
    <n v="0.154"/>
    <n v="0.104"/>
    <n v="0.98699999999999999"/>
    <n v="0.13900000000000001"/>
    <m/>
    <s v="马五41a"/>
    <x v="5"/>
    <n v="3"/>
    <s v="薄片"/>
    <n v="0.11199999999999999"/>
    <n v="-0.14599999999999999"/>
  </r>
  <r>
    <s v="延914"/>
    <n v="3378.5"/>
    <n v="16.238"/>
    <n v="22.100999999999999"/>
    <n v="0.97399999999999998"/>
    <n v="162.352"/>
    <n v="2.835"/>
    <n v="2.8879999999999999"/>
    <n v="3.1819999999999999"/>
    <n v="61.9"/>
    <n v="67.283000000000001"/>
    <n v="0"/>
    <n v="0"/>
    <n v="100"/>
    <n v="1.7999999999999999E-2"/>
    <n v="0.16300000000000001"/>
    <n v="8.8999999999999996E-2"/>
    <n v="0.99299999999999999"/>
    <n v="0.112"/>
    <m/>
    <s v="马五41a"/>
    <x v="5"/>
    <n v="3"/>
    <s v="薄片"/>
    <n v="0.107"/>
    <n v="-0.14500000000000002"/>
  </r>
  <r>
    <s v="延914"/>
    <n v="3378.625"/>
    <n v="17.483000000000001"/>
    <n v="22.082000000000001"/>
    <n v="1.042"/>
    <n v="161.767"/>
    <n v="2.8359999999999999"/>
    <n v="2.8759999999999999"/>
    <n v="3.2080000000000002"/>
    <n v="63.036999999999999"/>
    <n v="68.519000000000005"/>
    <n v="0"/>
    <n v="0"/>
    <n v="100"/>
    <n v="2.5999999999999999E-2"/>
    <n v="0.16600000000000001"/>
    <n v="7.6999999999999999E-2"/>
    <n v="0.997"/>
    <n v="0.11"/>
    <m/>
    <s v="马五41a"/>
    <x v="5"/>
    <n v="3"/>
    <s v="薄片"/>
    <n v="0.10299999999999999"/>
    <n v="-0.14000000000000001"/>
  </r>
  <r>
    <s v="延914"/>
    <n v="3378.75"/>
    <n v="17.975000000000001"/>
    <n v="22.085999999999999"/>
    <n v="1.105"/>
    <n v="161.34200000000001"/>
    <n v="2.8370000000000002"/>
    <n v="2.83"/>
    <n v="3.2349999999999999"/>
    <n v="64.298000000000002"/>
    <n v="69.888999999999996"/>
    <n v="0"/>
    <n v="0"/>
    <n v="100"/>
    <n v="0.03"/>
    <n v="0.17"/>
    <n v="6.8000000000000005E-2"/>
    <n v="1"/>
    <n v="0.1"/>
    <m/>
    <s v="马五41a"/>
    <x v="5"/>
    <n v="3"/>
    <s v="薄片"/>
    <n v="9.8000000000000004E-2"/>
    <n v="-0.14000000000000001"/>
  </r>
  <r>
    <s v="延914"/>
    <n v="3378.875"/>
    <n v="18.472000000000001"/>
    <n v="22.114999999999998"/>
    <n v="1.115"/>
    <n v="161.07300000000001"/>
    <n v="2.8370000000000002"/>
    <n v="2.798"/>
    <n v="3.262"/>
    <n v="65.567999999999998"/>
    <n v="71.269000000000005"/>
    <n v="0"/>
    <n v="0"/>
    <n v="100"/>
    <n v="3.3000000000000002E-2"/>
    <n v="0.17299999999999999"/>
    <n v="6.3E-2"/>
    <n v="1"/>
    <n v="9.2999999999999999E-2"/>
    <m/>
    <s v="马五41a"/>
    <x v="5"/>
    <n v="3"/>
    <s v="薄片"/>
    <n v="9.6000000000000002E-2"/>
    <n v="-0.13999999999999999"/>
  </r>
  <r>
    <s v="延914"/>
    <n v="3379"/>
    <n v="19.314"/>
    <n v="22.137"/>
    <n v="1.089"/>
    <n v="160.88499999999999"/>
    <n v="2.835"/>
    <n v="2.76"/>
    <n v="3.29"/>
    <n v="66.641999999999996"/>
    <n v="72.436999999999998"/>
    <n v="0"/>
    <n v="0"/>
    <n v="100"/>
    <n v="3.9E-2"/>
    <n v="0.17599999999999999"/>
    <n v="5.8999999999999997E-2"/>
    <n v="0.99299999999999999"/>
    <n v="8.5000000000000006E-2"/>
    <m/>
    <s v="马五41a"/>
    <x v="5"/>
    <n v="3"/>
    <s v="薄片"/>
    <n v="9.8000000000000004E-2"/>
    <n v="-0.13699999999999998"/>
  </r>
  <r>
    <s v="延914"/>
    <n v="3379.125"/>
    <n v="18.713999999999999"/>
    <n v="22.152999999999999"/>
    <n v="1.153"/>
    <n v="160.63999999999999"/>
    <n v="2.8340000000000001"/>
    <n v="2.6930000000000001"/>
    <n v="3.3220000000000001"/>
    <n v="68.786000000000001"/>
    <n v="74.766999999999996"/>
    <n v="0"/>
    <n v="0"/>
    <n v="100"/>
    <n v="3.5000000000000003E-2"/>
    <n v="0.182"/>
    <n v="5.3999999999999999E-2"/>
    <n v="0.98899999999999999"/>
    <n v="7.0999999999999994E-2"/>
    <m/>
    <s v="马五41a"/>
    <x v="5"/>
    <n v="3"/>
    <s v="薄片"/>
    <n v="8.8999999999999996E-2"/>
    <n v="-0.14699999999999999"/>
  </r>
  <r>
    <s v="延914"/>
    <n v="3379.25"/>
    <n v="17.981999999999999"/>
    <n v="22.161999999999999"/>
    <n v="1.256"/>
    <n v="160.27699999999999"/>
    <n v="2.831"/>
    <n v="2.6040000000000001"/>
    <n v="3.347"/>
    <n v="71.391000000000005"/>
    <n v="77.599000000000004"/>
    <n v="0"/>
    <n v="0"/>
    <n v="100"/>
    <n v="0.03"/>
    <n v="0.189"/>
    <n v="4.5999999999999999E-2"/>
    <n v="0.97899999999999998"/>
    <n v="5.1999999999999998E-2"/>
    <m/>
    <s v="马五41a"/>
    <x v="5"/>
    <n v="3"/>
    <s v="薄片"/>
    <n v="7.5999999999999998E-2"/>
    <n v="-0.159"/>
  </r>
  <r>
    <s v="延914"/>
    <n v="3379.375"/>
    <n v="17.882000000000001"/>
    <n v="22.161999999999999"/>
    <n v="1.3"/>
    <n v="159.84700000000001"/>
    <n v="2.8279999999999998"/>
    <n v="2.4969999999999999"/>
    <n v="3.3620000000000001"/>
    <n v="77.724999999999994"/>
    <n v="84.483000000000004"/>
    <n v="0"/>
    <n v="0"/>
    <n v="100"/>
    <n v="2.9000000000000001E-2"/>
    <n v="0.20599999999999999"/>
    <n v="3.6999999999999998E-2"/>
    <n v="0.96899999999999997"/>
    <n v="2.9000000000000001E-2"/>
    <m/>
    <s v="马五41a"/>
    <x v="5"/>
    <n v="3"/>
    <s v="薄片"/>
    <n v="6.6000000000000003E-2"/>
    <n v="-0.17699999999999999"/>
  </r>
  <r>
    <s v="延914"/>
    <n v="3379.5"/>
    <n v="18.614999999999998"/>
    <n v="22.152999999999999"/>
    <n v="1.296"/>
    <n v="159.53800000000001"/>
    <n v="2.8250000000000002"/>
    <n v="2.3919999999999999"/>
    <n v="3.3769999999999998"/>
    <n v="92.709000000000003"/>
    <n v="100.77"/>
    <n v="0"/>
    <n v="0"/>
    <n v="100"/>
    <n v="3.5000000000000003E-2"/>
    <n v="0.23799999999999999"/>
    <n v="3.1E-2"/>
    <n v="0.95899999999999996"/>
    <n v="8.0000000000000002E-3"/>
    <m/>
    <s v="马五41a"/>
    <x v="5"/>
    <n v="3"/>
    <s v="薄片"/>
    <n v="6.6000000000000003E-2"/>
    <n v="-0.20299999999999999"/>
  </r>
  <r>
    <s v="延914"/>
    <n v="3379.625"/>
    <n v="19.73"/>
    <n v="22.137"/>
    <n v="1.2829999999999999"/>
    <n v="159.71299999999999"/>
    <n v="2.82"/>
    <n v="2.355"/>
    <n v="3.3879999999999999"/>
    <n v="106.599"/>
    <n v="115.86799999999999"/>
    <n v="0"/>
    <n v="0"/>
    <n v="100"/>
    <n v="4.2000000000000003E-2"/>
    <n v="0.26400000000000001"/>
    <n v="3.5000000000000003E-2"/>
    <n v="0.94099999999999995"/>
    <n v="0"/>
    <m/>
    <s v="马五41a"/>
    <x v="5"/>
    <n v="3"/>
    <s v="薄片"/>
    <n v="7.7000000000000013E-2"/>
    <n v="-0.222"/>
  </r>
  <r>
    <s v="延914"/>
    <n v="3379.75"/>
    <n v="20.239000000000001"/>
    <n v="22.12"/>
    <n v="1.294"/>
    <n v="160.46600000000001"/>
    <n v="2.8149999999999999"/>
    <n v="2.407"/>
    <n v="3.3940000000000001"/>
    <n v="125.833"/>
    <n v="136.77500000000001"/>
    <n v="0"/>
    <n v="0"/>
    <n v="100"/>
    <n v="4.5999999999999999E-2"/>
    <n v="0.29399999999999998"/>
    <n v="5.0999999999999997E-2"/>
    <n v="0.92400000000000004"/>
    <n v="1.2E-2"/>
    <m/>
    <s v="马五41a"/>
    <x v="5"/>
    <n v="3"/>
    <s v="薄片"/>
    <n v="9.7000000000000003E-2"/>
    <n v="-0.248"/>
  </r>
  <r>
    <s v="延914"/>
    <n v="3379.875"/>
    <n v="19.899999999999999"/>
    <n v="22.126000000000001"/>
    <n v="1.42"/>
    <n v="161.732"/>
    <n v="2.81"/>
    <n v="2.5529999999999999"/>
    <n v="3.3940000000000001"/>
    <n v="154.398"/>
    <n v="167.82400000000001"/>
    <n v="0"/>
    <n v="0"/>
    <n v="100"/>
    <n v="4.2999999999999997E-2"/>
    <n v="0.33100000000000002"/>
    <n v="7.8E-2"/>
    <n v="0.90700000000000003"/>
    <n v="4.3999999999999997E-2"/>
    <m/>
    <s v="马五41a"/>
    <x v="5"/>
    <n v="3"/>
    <s v="薄片"/>
    <n v="0.121"/>
    <n v="-0.28800000000000003"/>
  </r>
  <r>
    <s v="延914"/>
    <n v="3380"/>
    <n v="19.254999999999999"/>
    <n v="22.14"/>
    <n v="1.575"/>
    <n v="163.227"/>
    <n v="2.8050000000000002"/>
    <n v="2.8250000000000002"/>
    <n v="3.3889999999999998"/>
    <n v="175.59399999999999"/>
    <n v="190.863"/>
    <n v="0"/>
    <n v="0"/>
    <n v="100"/>
    <n v="3.9E-2"/>
    <n v="0.35499999999999998"/>
    <n v="0.109"/>
    <n v="0.89"/>
    <n v="0.10299999999999999"/>
    <m/>
    <s v="马五41a"/>
    <x v="5"/>
    <n v="3"/>
    <s v="薄片"/>
    <n v="0.14799999999999999"/>
    <n v="-0.316"/>
  </r>
  <r>
    <s v="延914"/>
    <n v="3380.125"/>
    <n v="19.533999999999999"/>
    <n v="22.193000000000001"/>
    <n v="1.51"/>
    <n v="164.45699999999999"/>
    <n v="2.7989999999999999"/>
    <n v="3.3559999999999999"/>
    <n v="3.3780000000000001"/>
    <n v="203.53"/>
    <n v="221.22900000000001"/>
    <n v="0"/>
    <n v="0"/>
    <n v="100"/>
    <n v="4.1000000000000002E-2"/>
    <n v="0.38200000000000001"/>
    <n v="0.13500000000000001"/>
    <n v="0.87"/>
    <n v="0.216"/>
    <m/>
    <s v="马五41a"/>
    <x v="5"/>
    <n v="3"/>
    <s v="薄片"/>
    <n v="0.17600000000000002"/>
    <n v="-0.34100000000000003"/>
  </r>
  <r>
    <s v="延914"/>
    <n v="3380.25"/>
    <n v="20.373000000000001"/>
    <n v="22.274000000000001"/>
    <n v="1.3819999999999999"/>
    <n v="165.136"/>
    <n v="2.794"/>
    <n v="4.1749999999999998"/>
    <n v="3.3639999999999999"/>
    <n v="229.601"/>
    <n v="249.566"/>
    <n v="0"/>
    <n v="0"/>
    <n v="100"/>
    <n v="4.7E-2"/>
    <n v="0.40400000000000003"/>
    <n v="0.14799999999999999"/>
    <n v="0.85299999999999998"/>
    <n v="0.39"/>
    <m/>
    <s v="马五41a"/>
    <x v="5"/>
    <n v="3"/>
    <s v="薄片"/>
    <n v="0.19500000000000001"/>
    <n v="-0.35700000000000004"/>
  </r>
  <r>
    <s v="延914"/>
    <n v="3380.375"/>
    <n v="22.146999999999998"/>
    <n v="22.349"/>
    <n v="1.29"/>
    <n v="165.202"/>
    <n v="2.79"/>
    <n v="5.1890000000000001"/>
    <n v="3.347"/>
    <n v="235.22499999999999"/>
    <n v="255.68"/>
    <n v="0"/>
    <n v="0"/>
    <n v="100"/>
    <n v="0.06"/>
    <n v="0.40799999999999997"/>
    <n v="0.15"/>
    <n v="0.83899999999999997"/>
    <n v="0.60399999999999998"/>
    <m/>
    <s v="马五41a"/>
    <x v="5"/>
    <n v="3"/>
    <s v="薄片"/>
    <n v="0.21"/>
    <n v="-0.34799999999999998"/>
  </r>
  <r>
    <s v="延914"/>
    <n v="3380.5"/>
    <n v="23.491"/>
    <n v="22.382000000000001"/>
    <n v="1.272"/>
    <n v="164.78899999999999"/>
    <n v="2.7850000000000001"/>
    <n v="6.1449999999999996"/>
    <n v="3.327"/>
    <n v="221.489"/>
    <n v="240.749"/>
    <n v="0"/>
    <n v="0"/>
    <n v="100"/>
    <n v="6.9000000000000006E-2"/>
    <n v="0.39700000000000002"/>
    <n v="0.14099999999999999"/>
    <n v="0.82099999999999995"/>
    <n v="0.80300000000000005"/>
    <m/>
    <s v="马五41a"/>
    <x v="5"/>
    <n v="3"/>
    <s v="薄片"/>
    <n v="0.21"/>
    <n v="-0.32800000000000001"/>
  </r>
  <r>
    <s v="延914"/>
    <n v="3380.625"/>
    <n v="23.173999999999999"/>
    <n v="22.382000000000001"/>
    <n v="1.4870000000000001"/>
    <n v="164.166"/>
    <n v="2.7749999999999999"/>
    <n v="6.7060000000000004"/>
    <n v="3.3050000000000002"/>
    <n v="223.24700000000001"/>
    <n v="242.66"/>
    <n v="0"/>
    <n v="0"/>
    <n v="100"/>
    <n v="6.7000000000000004E-2"/>
    <n v="0.39800000000000002"/>
    <n v="0.128"/>
    <n v="0.78700000000000003"/>
    <n v="0.91800000000000004"/>
    <m/>
    <s v="马五41a"/>
    <x v="5"/>
    <n v="3"/>
    <s v="薄片"/>
    <n v="0.19500000000000001"/>
    <n v="-0.33100000000000002"/>
  </r>
  <r>
    <s v="延914"/>
    <n v="3380.75"/>
    <n v="23.012"/>
    <n v="22.382000000000001"/>
    <n v="1.839"/>
    <n v="163.66200000000001"/>
    <n v="2.7639999999999998"/>
    <n v="6.8620000000000001"/>
    <n v="3.282"/>
    <n v="230.69900000000001"/>
    <n v="250.75899999999999"/>
    <n v="0"/>
    <n v="0"/>
    <n v="100"/>
    <n v="6.6000000000000003E-2"/>
    <n v="0.40500000000000003"/>
    <n v="0.11700000000000001"/>
    <n v="0.75"/>
    <n v="0.94899999999999995"/>
    <m/>
    <s v="马五41a"/>
    <x v="5"/>
    <n v="3"/>
    <s v="薄片"/>
    <n v="0.183"/>
    <n v="-0.33900000000000002"/>
  </r>
  <r>
    <s v="延914"/>
    <n v="3380.875"/>
    <n v="24.358000000000001"/>
    <n v="22.382000000000001"/>
    <n v="2.3130000000000002"/>
    <n v="163.51400000000001"/>
    <n v="2.7559999999999998"/>
    <n v="6.7460000000000004"/>
    <n v="3.258"/>
    <n v="247.74700000000001"/>
    <n v="269.29000000000002"/>
    <n v="0"/>
    <n v="0"/>
    <n v="100"/>
    <n v="7.5999999999999998E-2"/>
    <n v="0.41799999999999998"/>
    <n v="0.115"/>
    <n v="0.72299999999999998"/>
    <n v="0.92400000000000004"/>
    <m/>
    <s v="马五41a"/>
    <x v="5"/>
    <n v="3"/>
    <s v="薄片"/>
    <n v="0.191"/>
    <n v="-0.34199999999999997"/>
  </r>
  <r>
    <s v="延914"/>
    <n v="3381"/>
    <n v="27.655000000000001"/>
    <n v="22.382000000000001"/>
    <n v="2.702"/>
    <n v="163.958"/>
    <n v="2.7519999999999998"/>
    <n v="6.5"/>
    <n v="3.2320000000000002"/>
    <n v="271.709"/>
    <n v="295.33600000000001"/>
    <n v="0"/>
    <n v="0"/>
    <n v="100"/>
    <n v="0.1"/>
    <n v="0.435"/>
    <n v="0.125"/>
    <n v="0.71"/>
    <n v="0.872"/>
    <m/>
    <s v="马五41a"/>
    <x v="5"/>
    <n v="3"/>
    <s v="薄片"/>
    <n v="0.22500000000000001"/>
    <n v="-0.33499999999999996"/>
  </r>
  <r>
    <s v="延914"/>
    <n v="3382.125"/>
    <n v="63.762999999999998"/>
    <n v="22.745000000000001"/>
    <n v="3.218"/>
    <n v="171.55500000000001"/>
    <n v="2.7"/>
    <n v="5.4"/>
    <n v="3.0659999999999998"/>
    <n v="111.812"/>
    <n v="121.535"/>
    <n v="0"/>
    <n v="0"/>
    <n v="100"/>
    <n v="0.35"/>
    <n v="0.27200000000000002"/>
    <n v="0.28100000000000003"/>
    <n v="0.53300000000000003"/>
    <n v="0.63600000000000001"/>
    <m/>
    <s v="马五41b"/>
    <x v="5"/>
    <n v="5"/>
    <s v="薄片"/>
    <n v="0.63100000000000001"/>
    <n v="7.7999999999999958E-2"/>
  </r>
  <r>
    <s v="延914"/>
    <n v="3382.25"/>
    <n v="45.716999999999999"/>
    <n v="22.667999999999999"/>
    <n v="2.694"/>
    <n v="167.42500000000001"/>
    <n v="2.702"/>
    <n v="4.5599999999999996"/>
    <n v="3.0830000000000002"/>
    <n v="131.03800000000001"/>
    <n v="142.43299999999999"/>
    <n v="0"/>
    <n v="0"/>
    <n v="100"/>
    <n v="0.223"/>
    <n v="0.30199999999999999"/>
    <n v="0.19400000000000001"/>
    <n v="0.54"/>
    <n v="0.46"/>
    <m/>
    <s v="马五41b"/>
    <x v="5"/>
    <n v="5"/>
    <s v="薄片"/>
    <n v="0.41700000000000004"/>
    <n v="-7.8999999999999987E-2"/>
  </r>
  <r>
    <s v="延914"/>
    <n v="3382.375"/>
    <n v="30.132999999999999"/>
    <n v="22.513000000000002"/>
    <n v="2.17"/>
    <n v="164.095"/>
    <n v="2.7080000000000002"/>
    <n v="3.8010000000000002"/>
    <n v="3.11"/>
    <n v="182.482"/>
    <n v="198.35"/>
    <n v="0"/>
    <n v="0"/>
    <n v="100"/>
    <n v="0.115"/>
    <n v="0.36599999999999999"/>
    <n v="0.125"/>
    <n v="0.56100000000000005"/>
    <n v="0.30099999999999999"/>
    <m/>
    <s v="马五41b"/>
    <x v="5"/>
    <n v="5"/>
    <s v="薄片"/>
    <n v="0.24"/>
    <n v="-0.251"/>
  </r>
  <r>
    <s v="延914"/>
    <n v="3382.5"/>
    <n v="25.452999999999999"/>
    <n v="22.36"/>
    <n v="1.988"/>
    <n v="162.089"/>
    <n v="2.7170000000000001"/>
    <n v="3.2730000000000001"/>
    <n v="3.145"/>
    <n v="425.68099999999998"/>
    <n v="462.69600000000003"/>
    <n v="0"/>
    <n v="0"/>
    <n v="100"/>
    <n v="8.4000000000000005E-2"/>
    <n v="0.52"/>
    <n v="8.4000000000000005E-2"/>
    <n v="0.59099999999999997"/>
    <n v="0.192"/>
    <m/>
    <s v="马五41b"/>
    <x v="5"/>
    <n v="5"/>
    <s v="薄片"/>
    <n v="0.16800000000000001"/>
    <n v="-0.436"/>
  </r>
  <r>
    <s v="延914"/>
    <n v="3382.625"/>
    <n v="32.277000000000001"/>
    <n v="22.45"/>
    <n v="1.897"/>
    <n v="161.62700000000001"/>
    <n v="2.7250000000000001"/>
    <n v="3.056"/>
    <n v="3.1869999999999998"/>
    <n v="701.59799999999996"/>
    <n v="762.60699999999997"/>
    <n v="0"/>
    <n v="0"/>
    <n v="100"/>
    <n v="0.13300000000000001"/>
    <n v="0.60799999999999998"/>
    <n v="7.4999999999999997E-2"/>
    <n v="0.61899999999999999"/>
    <n v="0.14799999999999999"/>
    <m/>
    <s v="马五41b"/>
    <x v="5"/>
    <n v="5"/>
    <s v="薄片"/>
    <n v="0.20800000000000002"/>
    <n v="-0.47499999999999998"/>
  </r>
  <r>
    <s v="延914"/>
    <n v="3382.75"/>
    <n v="41.326000000000001"/>
    <n v="22.808"/>
    <n v="1.794"/>
    <n v="162.06200000000001"/>
    <n v="2.7330000000000001"/>
    <n v="3.0419999999999998"/>
    <n v="3.2309999999999999"/>
    <n v="657.79300000000001"/>
    <n v="714.99300000000005"/>
    <n v="0"/>
    <n v="0"/>
    <n v="100"/>
    <n v="0.19600000000000001"/>
    <n v="0.59499999999999997"/>
    <n v="8.4000000000000005E-2"/>
    <n v="0.64600000000000002"/>
    <n v="0.14599999999999999"/>
    <m/>
    <s v="马五41b"/>
    <x v="5"/>
    <n v="5"/>
    <s v="薄片"/>
    <n v="0.28000000000000003"/>
    <n v="-0.39899999999999997"/>
  </r>
  <r>
    <s v="延914"/>
    <n v="3382.875"/>
    <n v="42.981999999999999"/>
    <n v="23.542999999999999"/>
    <n v="1.744"/>
    <n v="162.84899999999999"/>
    <n v="2.74"/>
    <n v="3.1480000000000001"/>
    <n v="3.2719999999999998"/>
    <n v="454.83300000000003"/>
    <n v="494.38400000000001"/>
    <n v="0"/>
    <n v="0"/>
    <n v="100"/>
    <n v="0.20499999999999999"/>
    <n v="0.52700000000000002"/>
    <n v="0.10100000000000001"/>
    <n v="0.67"/>
    <n v="0.16800000000000001"/>
    <m/>
    <s v="马五41b"/>
    <x v="5"/>
    <n v="5"/>
    <s v="薄片"/>
    <n v="0.30599999999999999"/>
    <n v="-0.32200000000000006"/>
  </r>
  <r>
    <s v="延914"/>
    <n v="3383"/>
    <n v="35.46"/>
    <n v="24.263999999999999"/>
    <n v="1.76"/>
    <n v="163.57400000000001"/>
    <n v="2.746"/>
    <n v="3.2959999999999998"/>
    <n v="3.3069999999999999"/>
    <n v="348.08499999999998"/>
    <n v="378.35399999999998"/>
    <n v="0"/>
    <n v="0"/>
    <n v="100"/>
    <n v="0.152"/>
    <n v="0.47899999999999998"/>
    <n v="0.11600000000000001"/>
    <n v="0.69"/>
    <n v="0.19900000000000001"/>
    <m/>
    <s v="马五41b"/>
    <x v="5"/>
    <n v="5"/>
    <s v="薄片"/>
    <n v="0.26800000000000002"/>
    <n v="-0.32699999999999996"/>
  </r>
  <r>
    <s v="延914"/>
    <n v="3383.125"/>
    <n v="27.643999999999998"/>
    <n v="24.414999999999999"/>
    <n v="1.917"/>
    <n v="163.91300000000001"/>
    <n v="2.7530000000000001"/>
    <n v="3.4329999999999998"/>
    <n v="3.3290000000000002"/>
    <n v="292.76100000000002"/>
    <n v="318.21899999999999"/>
    <n v="0"/>
    <n v="0"/>
    <n v="100"/>
    <n v="9.8000000000000004E-2"/>
    <n v="0.44700000000000001"/>
    <n v="0.123"/>
    <n v="0.71399999999999997"/>
    <n v="0.22800000000000001"/>
    <m/>
    <s v="马五41b"/>
    <x v="5"/>
    <n v="5"/>
    <s v="薄片"/>
    <n v="0.221"/>
    <n v="-0.34899999999999998"/>
  </r>
  <r>
    <s v="延914"/>
    <n v="3383.25"/>
    <n v="25.248000000000001"/>
    <n v="23.762"/>
    <n v="2.1110000000000002"/>
    <n v="163.83600000000001"/>
    <n v="2.76"/>
    <n v="3.556"/>
    <n v="3.3380000000000001"/>
    <n v="233.89599999999999"/>
    <n v="254.23400000000001"/>
    <n v="0"/>
    <n v="0"/>
    <n v="100"/>
    <n v="8.3000000000000004E-2"/>
    <n v="0.40600000000000003"/>
    <n v="0.121"/>
    <n v="0.73799999999999999"/>
    <n v="0.254"/>
    <m/>
    <s v="马五41b"/>
    <x v="5"/>
    <n v="5"/>
    <s v="薄片"/>
    <n v="0.20400000000000001"/>
    <n v="-0.32300000000000001"/>
  </r>
  <r>
    <s v="延914"/>
    <n v="3383.375"/>
    <n v="32.578000000000003"/>
    <n v="23.02"/>
    <n v="2.2090000000000001"/>
    <n v="163.40700000000001"/>
    <n v="2.7679999999999998"/>
    <n v="3.6829999999999998"/>
    <n v="3.3319999999999999"/>
    <n v="199.60499999999999"/>
    <n v="216.96199999999999"/>
    <n v="0"/>
    <n v="0"/>
    <n v="100"/>
    <n v="0.13700000000000001"/>
    <n v="0.378"/>
    <n v="0.112"/>
    <n v="0.76500000000000001"/>
    <n v="0.28100000000000003"/>
    <m/>
    <s v="马五41b"/>
    <x v="5"/>
    <n v="5"/>
    <s v="薄片"/>
    <n v="0.249"/>
    <n v="-0.24099999999999999"/>
  </r>
  <r>
    <s v="延914"/>
    <n v="3383.5"/>
    <n v="49.034999999999997"/>
    <n v="22.617000000000001"/>
    <n v="2.17"/>
    <n v="162.751"/>
    <n v="2.7749999999999999"/>
    <n v="3.8239999999999998"/>
    <n v="3.3130000000000002"/>
    <n v="195.05799999999999"/>
    <n v="212.02"/>
    <n v="0"/>
    <n v="0"/>
    <n v="100"/>
    <n v="0.252"/>
    <n v="0.374"/>
    <n v="9.8000000000000004E-2"/>
    <n v="0.78900000000000003"/>
    <n v="0.311"/>
    <m/>
    <s v="马五41b"/>
    <x v="5"/>
    <n v="5"/>
    <s v="薄片"/>
    <n v="0.35"/>
    <n v="-0.122"/>
  </r>
  <r>
    <s v="延914"/>
    <n v="3383.625"/>
    <n v="58.771999999999998"/>
    <n v="22.462"/>
    <n v="2.141"/>
    <n v="162.083"/>
    <n v="2.782"/>
    <n v="3.9980000000000002"/>
    <n v="3.2810000000000001"/>
    <n v="199.98099999999999"/>
    <n v="217.37"/>
    <n v="0"/>
    <n v="0"/>
    <n v="100"/>
    <n v="0.318"/>
    <n v="0.378"/>
    <n v="8.4000000000000005E-2"/>
    <n v="0.81299999999999994"/>
    <n v="0.34799999999999998"/>
    <m/>
    <s v="马五41b"/>
    <x v="5"/>
    <n v="5"/>
    <s v="薄片"/>
    <n v="0.40200000000000002"/>
    <n v="-0.06"/>
  </r>
  <r>
    <s v="延914"/>
    <n v="3383.75"/>
    <n v="54.792000000000002"/>
    <n v="22.405999999999999"/>
    <n v="2.206"/>
    <n v="161.68299999999999"/>
    <n v="2.7869999999999999"/>
    <n v="4.1920000000000002"/>
    <n v="3.24"/>
    <n v="210.56399999999999"/>
    <n v="228.874"/>
    <n v="0"/>
    <n v="0"/>
    <n v="100"/>
    <n v="0.28899999999999998"/>
    <n v="0.38800000000000001"/>
    <n v="7.5999999999999998E-2"/>
    <n v="0.83"/>
    <n v="0.38800000000000001"/>
    <m/>
    <s v="马五41b"/>
    <x v="5"/>
    <n v="5"/>
    <s v="薄片"/>
    <n v="0.36499999999999999"/>
    <n v="-9.9000000000000032E-2"/>
  </r>
  <r>
    <s v="延914"/>
    <n v="3383.875"/>
    <n v="46.024000000000001"/>
    <n v="22.434000000000001"/>
    <n v="2.29"/>
    <n v="161.78899999999999"/>
    <n v="2.7909999999999999"/>
    <n v="4.3840000000000003"/>
    <n v="3.1960000000000002"/>
    <n v="230.10599999999999"/>
    <n v="250.11600000000001"/>
    <n v="0"/>
    <n v="0"/>
    <n v="100"/>
    <n v="0.22800000000000001"/>
    <n v="0.40600000000000003"/>
    <n v="7.9000000000000001E-2"/>
    <n v="0.84299999999999997"/>
    <n v="0.42899999999999999"/>
    <m/>
    <s v="马五41b"/>
    <x v="5"/>
    <n v="5"/>
    <s v="薄片"/>
    <n v="0.307"/>
    <n v="-0.17800000000000002"/>
  </r>
  <r>
    <s v="延914"/>
    <n v="3384"/>
    <n v="41.64"/>
    <n v="22.443000000000001"/>
    <n v="2.36"/>
    <n v="162.56299999999999"/>
    <n v="2.7919999999999998"/>
    <n v="4.5490000000000004"/>
    <n v="3.153"/>
    <n v="317.78100000000001"/>
    <n v="345.41500000000002"/>
    <n v="0"/>
    <n v="0"/>
    <n v="100"/>
    <n v="0.19800000000000001"/>
    <n v="0.46300000000000002"/>
    <n v="9.5000000000000001E-2"/>
    <n v="0.84599999999999997"/>
    <n v="0.46300000000000002"/>
    <m/>
    <s v="马五41b"/>
    <x v="5"/>
    <n v="5"/>
    <s v="薄片"/>
    <n v="0.29300000000000004"/>
    <n v="-0.26500000000000001"/>
  </r>
  <r>
    <s v="延914"/>
    <n v="3384.125"/>
    <n v="44.621000000000002"/>
    <n v="22.41"/>
    <n v="2.4820000000000002"/>
    <n v="164.09700000000001"/>
    <n v="2.79"/>
    <n v="4.673"/>
    <n v="3.1179999999999999"/>
    <n v="316.54300000000001"/>
    <n v="344.06799999999998"/>
    <n v="0"/>
    <n v="0"/>
    <n v="100"/>
    <n v="0.22"/>
    <n v="0.46100000000000002"/>
    <n v="0.128"/>
    <n v="0.83899999999999997"/>
    <n v="0.48899999999999999"/>
    <m/>
    <s v="马五41b"/>
    <x v="5"/>
    <n v="5"/>
    <s v="薄片"/>
    <n v="0.34799999999999998"/>
    <n v="-0.24100000000000002"/>
  </r>
  <r>
    <s v="延990"/>
    <n v="3721"/>
    <n v="46.005000000000003"/>
    <n v="22.154"/>
    <n v="4.7619999999999996"/>
    <n v="172.066"/>
    <n v="2.7719999999999998"/>
    <n v="9.2509999999999994"/>
    <n v="3.1669999999999998"/>
    <n v="158.80199999999999"/>
    <n v="183.297"/>
    <n v="0.01"/>
    <n v="1E-3"/>
    <n v="100"/>
    <n v="0.433"/>
    <n v="0.32"/>
    <n v="0.19800000000000001"/>
    <n v="0.374"/>
    <n v="0.67500000000000004"/>
    <m/>
    <s v="马五41a"/>
    <x v="5"/>
    <n v="1"/>
    <s v="岩心观察"/>
    <n v="0.63100000000000001"/>
    <n v="0.11299999999999999"/>
  </r>
  <r>
    <s v="延990"/>
    <n v="3721.125"/>
    <n v="29.053999999999998"/>
    <n v="22.099"/>
    <n v="3.4729999999999999"/>
    <n v="170.215"/>
    <n v="2.7759999999999998"/>
    <n v="8.9380000000000006"/>
    <n v="3.06"/>
    <n v="149.58000000000001"/>
    <n v="172.44800000000001"/>
    <n v="2.157"/>
    <n v="6.0000000000000001E-3"/>
    <n v="71.262"/>
    <n v="0.23499999999999999"/>
    <n v="0.224"/>
    <n v="0.16300000000000001"/>
    <n v="0.41099999999999998"/>
    <n v="0.623"/>
    <s v="含气层"/>
    <s v="马五41a"/>
    <x v="5"/>
    <n v="1"/>
    <s v="岩心观察"/>
    <n v="0.39800000000000002"/>
    <n v="1.0999999999999982E-2"/>
  </r>
  <r>
    <s v="延990"/>
    <n v="3721.25"/>
    <n v="19.638000000000002"/>
    <n v="22.027000000000001"/>
    <n v="2.714"/>
    <n v="170.08199999999999"/>
    <n v="2.7789999999999999"/>
    <n v="8.798"/>
    <n v="3.03"/>
    <n v="140.20400000000001"/>
    <n v="161.416"/>
    <n v="4.5209999999999999"/>
    <n v="1.2999999999999999E-2"/>
    <n v="40.32"/>
    <n v="0.10199999999999999"/>
    <n v="0.17799999999999999"/>
    <n v="0.152"/>
    <n v="0.44"/>
    <n v="0.59199999999999997"/>
    <s v="含气层"/>
    <s v="马五41a"/>
    <x v="5"/>
    <n v="1"/>
    <s v="岩心观察"/>
    <n v="0.254"/>
    <n v="-7.5999999999999998E-2"/>
  </r>
  <r>
    <s v="延990"/>
    <n v="3721.375"/>
    <n v="15.868"/>
    <n v="21.960999999999999"/>
    <n v="2.3079999999999998"/>
    <n v="170.92099999999999"/>
    <n v="2.78"/>
    <n v="8.8109999999999999"/>
    <n v="3.032"/>
    <n v="128.77699999999999"/>
    <n v="147.97200000000001"/>
    <n v="4.63"/>
    <n v="1.4E-2"/>
    <n v="39.756999999999998"/>
    <n v="3.6999999999999998E-2"/>
    <n v="0.16900000000000001"/>
    <n v="0.158"/>
    <n v="0.45500000000000002"/>
    <n v="0.58399999999999996"/>
    <s v="含气层"/>
    <s v="马五41a"/>
    <x v="5"/>
    <n v="1"/>
    <s v="岩心观察"/>
    <n v="0.19500000000000001"/>
    <n v="-0.13200000000000001"/>
  </r>
  <r>
    <s v="延990"/>
    <n v="3721.5"/>
    <n v="14.964"/>
    <n v="21.957999999999998"/>
    <n v="2.1259999999999999"/>
    <n v="172.03100000000001"/>
    <n v="2.7810000000000001"/>
    <n v="8.9009999999999998"/>
    <n v="3.032"/>
    <n v="115.93600000000001"/>
    <n v="132.86600000000001"/>
    <n v="4.6669999999999998"/>
    <n v="1.4999999999999999E-2"/>
    <n v="40.073999999999998"/>
    <n v="1.4999999999999999E-2"/>
    <n v="0.17"/>
    <n v="0.17199999999999999"/>
    <n v="0.46300000000000002"/>
    <n v="0.59299999999999997"/>
    <s v="含气层"/>
    <s v="马五41a"/>
    <x v="5"/>
    <n v="1"/>
    <s v="岩心观察"/>
    <n v="0.187"/>
    <n v="-0.15500000000000003"/>
  </r>
  <r>
    <s v="延990"/>
    <n v="3721.625"/>
    <n v="14.954000000000001"/>
    <n v="22.088999999999999"/>
    <n v="2.0049999999999999"/>
    <n v="173.02"/>
    <n v="2.78"/>
    <n v="9.0220000000000002"/>
    <n v="3.0289999999999999"/>
    <n v="104.77200000000001"/>
    <n v="119.732"/>
    <n v="4.681"/>
    <n v="1.4999999999999999E-2"/>
    <n v="41.853000000000002"/>
    <n v="1.0999999999999999E-2"/>
    <n v="0.16800000000000001"/>
    <n v="0.186"/>
    <n v="0.46200000000000002"/>
    <n v="0.60899999999999999"/>
    <s v="含气层"/>
    <s v="马五41a"/>
    <x v="5"/>
    <n v="1"/>
    <s v="岩心观察"/>
    <n v="0.19700000000000001"/>
    <n v="-0.157"/>
  </r>
  <r>
    <s v="延990"/>
    <n v="3721.75"/>
    <n v="15.036"/>
    <n v="22.324999999999999"/>
    <n v="1.885"/>
    <n v="173.63300000000001"/>
    <n v="2.7770000000000001"/>
    <n v="9.1649999999999991"/>
    <n v="3.0249999999999999"/>
    <n v="97.227000000000004"/>
    <n v="110.85599999999999"/>
    <n v="4.6980000000000004"/>
    <n v="1.4999999999999999E-2"/>
    <n v="45.045999999999999"/>
    <n v="1.2E-2"/>
    <n v="0.16600000000000001"/>
    <n v="0.19700000000000001"/>
    <n v="0.44400000000000001"/>
    <n v="0.628"/>
    <s v="含气层"/>
    <s v="马五41a"/>
    <x v="5"/>
    <n v="1"/>
    <s v="岩心观察"/>
    <n v="0.20900000000000002"/>
    <n v="-0.154"/>
  </r>
  <r>
    <s v="延990"/>
    <n v="3721.875"/>
    <n v="14.840999999999999"/>
    <n v="22.497"/>
    <n v="1.754"/>
    <n v="173.81899999999999"/>
    <n v="2.77"/>
    <n v="9.2910000000000004"/>
    <n v="3.02"/>
    <n v="93.063000000000002"/>
    <n v="105.95699999999999"/>
    <n v="4.7290000000000001"/>
    <n v="1.4999999999999999E-2"/>
    <n v="48.942999999999998"/>
    <n v="1.0999999999999999E-2"/>
    <n v="0.16200000000000001"/>
    <n v="0.20200000000000001"/>
    <n v="0.39900000000000002"/>
    <n v="0.64700000000000002"/>
    <s v="含气层"/>
    <s v="马五41a"/>
    <x v="5"/>
    <n v="1"/>
    <s v="岩心观察"/>
    <n v="0.21300000000000002"/>
    <n v="-0.151"/>
  </r>
  <r>
    <s v="延990"/>
    <n v="3722"/>
    <n v="14.326000000000001"/>
    <n v="22.465"/>
    <n v="1.61"/>
    <n v="173.63900000000001"/>
    <n v="2.7629999999999999"/>
    <n v="9.3230000000000004"/>
    <n v="3.0179999999999998"/>
    <n v="91.790999999999997"/>
    <n v="104.46"/>
    <n v="4.7919999999999998"/>
    <n v="1.6E-2"/>
    <n v="50.051000000000002"/>
    <n v="7.0000000000000001E-3"/>
    <n v="0.16"/>
    <n v="0.20200000000000001"/>
    <n v="0.34100000000000003"/>
    <n v="0.65800000000000003"/>
    <s v="含气层"/>
    <s v="马五41a"/>
    <x v="5"/>
    <n v="1"/>
    <s v="岩心观察"/>
    <n v="0.20900000000000002"/>
    <n v="-0.153"/>
  </r>
  <r>
    <s v="延990"/>
    <n v="3722.125"/>
    <n v="13.907999999999999"/>
    <n v="22.277000000000001"/>
    <n v="1.4990000000000001"/>
    <n v="173.024"/>
    <n v="2.7570000000000001"/>
    <n v="9.2040000000000006"/>
    <n v="3.02"/>
    <n v="92.814999999999998"/>
    <n v="105.664"/>
    <n v="4.8470000000000004"/>
    <n v="1.7000000000000001E-2"/>
    <n v="47.427"/>
    <n v="2E-3"/>
    <n v="0.16"/>
    <n v="0.19600000000000001"/>
    <n v="0.28699999999999998"/>
    <n v="0.65"/>
    <s v="含气层"/>
    <s v="马五41a"/>
    <x v="5"/>
    <n v="1"/>
    <s v="岩心观察"/>
    <n v="0.19800000000000001"/>
    <n v="-0.158"/>
  </r>
  <r>
    <s v="延990"/>
    <n v="3722.25"/>
    <n v="14.185"/>
    <n v="22.170999999999999"/>
    <n v="1.504"/>
    <n v="172.09200000000001"/>
    <n v="2.7549999999999999"/>
    <n v="8.9369999999999994"/>
    <n v="3.0190000000000001"/>
    <n v="95.251000000000005"/>
    <n v="108.53100000000001"/>
    <n v="4.8490000000000002"/>
    <n v="1.7999999999999999E-2"/>
    <n v="44.741999999999997"/>
    <n v="2E-3"/>
    <n v="0.16"/>
    <n v="0.184"/>
    <n v="0.25700000000000001"/>
    <n v="0.62"/>
    <s v="含气层"/>
    <s v="马五41a"/>
    <x v="5"/>
    <n v="1"/>
    <s v="岩心观察"/>
    <n v="0.186"/>
    <n v="-0.158"/>
  </r>
  <r>
    <s v="延990"/>
    <n v="3722.375"/>
    <n v="15.327"/>
    <n v="22.288"/>
    <n v="1.6919999999999999"/>
    <n v="171.10599999999999"/>
    <n v="2.7589999999999999"/>
    <n v="8.6059999999999999"/>
    <n v="3.0070000000000001"/>
    <n v="98.331999999999994"/>
    <n v="112.155"/>
    <n v="4.8159999999999998"/>
    <n v="1.7000000000000001E-2"/>
    <n v="44.176000000000002"/>
    <n v="0.01"/>
    <n v="0.154"/>
    <n v="0.17100000000000001"/>
    <n v="0.26900000000000002"/>
    <n v="0.57499999999999996"/>
    <s v="含气层"/>
    <s v="马五41a"/>
    <x v="5"/>
    <n v="1"/>
    <s v="岩心观察"/>
    <n v="0.18100000000000002"/>
    <n v="-0.14399999999999999"/>
  </r>
  <r>
    <s v="延990"/>
    <n v="3722.5"/>
    <n v="16.905999999999999"/>
    <n v="22.481999999999999"/>
    <n v="2.0350000000000001"/>
    <n v="170.05600000000001"/>
    <n v="2.766"/>
    <n v="8.3330000000000002"/>
    <n v="2.9780000000000002"/>
    <n v="101.673"/>
    <n v="116.086"/>
    <n v="4.2779999999999996"/>
    <n v="1.4E-2"/>
    <n v="53.911000000000001"/>
    <n v="2.5000000000000001E-2"/>
    <n v="0.13800000000000001"/>
    <n v="0.157"/>
    <n v="0.317"/>
    <n v="0.53200000000000003"/>
    <s v="含气层"/>
    <s v="马五41a"/>
    <x v="5"/>
    <n v="1"/>
    <s v="岩心观察"/>
    <n v="0.182"/>
    <n v="-0.11300000000000002"/>
  </r>
  <r>
    <s v="延990"/>
    <n v="3722.625"/>
    <n v="18.227"/>
    <n v="22.524999999999999"/>
    <n v="2.383"/>
    <n v="168.98400000000001"/>
    <n v="2.7730000000000001"/>
    <n v="8.1839999999999993"/>
    <n v="2.9340000000000002"/>
    <n v="104.852"/>
    <n v="119.82599999999999"/>
    <n v="3.7040000000000002"/>
    <n v="0.01"/>
    <n v="64.691000000000003"/>
    <n v="0.04"/>
    <n v="0.109"/>
    <n v="0.14199999999999999"/>
    <n v="0.376"/>
    <n v="0.503"/>
    <s v="含气层"/>
    <s v="马五41a"/>
    <x v="5"/>
    <n v="1"/>
    <s v="岩心观察"/>
    <n v="0.182"/>
    <n v="-6.9000000000000006E-2"/>
  </r>
  <r>
    <s v="延990"/>
    <n v="3722.75"/>
    <n v="18.997"/>
    <n v="22.391999999999999"/>
    <n v="2.5979999999999999"/>
    <n v="168.03899999999999"/>
    <n v="2.78"/>
    <n v="8.1379999999999999"/>
    <n v="2.8839999999999999"/>
    <n v="107.47799999999999"/>
    <n v="122.91500000000001"/>
    <n v="3.6549999999999998"/>
    <n v="0.01"/>
    <n v="64.323999999999998"/>
    <n v="5.0999999999999997E-2"/>
    <n v="7.2999999999999995E-2"/>
    <n v="0.128"/>
    <n v="0.434"/>
    <n v="0.49"/>
    <s v="含气层"/>
    <s v="马五41a"/>
    <x v="5"/>
    <n v="1"/>
    <s v="岩心观察"/>
    <n v="0.17899999999999999"/>
    <n v="-2.1999999999999999E-2"/>
  </r>
  <r>
    <s v="延990"/>
    <n v="3722.875"/>
    <n v="19.428000000000001"/>
    <n v="22.251000000000001"/>
    <n v="2.67"/>
    <n v="167.215"/>
    <n v="2.7850000000000001"/>
    <n v="8.1270000000000007"/>
    <n v="2.839"/>
    <n v="109.51300000000001"/>
    <n v="125.309"/>
    <n v="3.6179999999999999"/>
    <n v="0.01"/>
    <n v="60.045999999999999"/>
    <n v="5.7000000000000002E-2"/>
    <n v="3.7999999999999999E-2"/>
    <n v="0.115"/>
    <n v="0.48299999999999998"/>
    <n v="0.48599999999999999"/>
    <s v="含气层"/>
    <s v="马五41a"/>
    <x v="5"/>
    <n v="1"/>
    <s v="岩心观察"/>
    <n v="0.17200000000000001"/>
    <n v="1.9000000000000003E-2"/>
  </r>
  <r>
    <s v="延990"/>
    <n v="3723"/>
    <n v="19.786999999999999"/>
    <n v="22.218"/>
    <n v="2.633"/>
    <n v="166.46199999999999"/>
    <n v="2.7890000000000001"/>
    <n v="8.0969999999999995"/>
    <n v="2.8140000000000001"/>
    <n v="111.254"/>
    <n v="127.358"/>
    <n v="3.5830000000000002"/>
    <n v="0.01"/>
    <n v="53.466000000000001"/>
    <n v="6.0999999999999999E-2"/>
    <n v="1.2E-2"/>
    <n v="0.104"/>
    <n v="0.51900000000000002"/>
    <n v="0.48299999999999998"/>
    <s v="含气层"/>
    <s v="马五41a"/>
    <x v="5"/>
    <n v="1"/>
    <s v="岩心观察"/>
    <n v="0.16499999999999998"/>
    <n v="4.9000000000000002E-2"/>
  </r>
  <r>
    <s v="延990"/>
    <n v="3723.125"/>
    <n v="20.138999999999999"/>
    <n v="22.273"/>
    <n v="2.4969999999999999"/>
    <n v="165.74100000000001"/>
    <n v="2.79"/>
    <n v="8.0449999999999999"/>
    <n v="2.8079999999999998"/>
    <n v="113.104"/>
    <n v="129.53399999999999"/>
    <n v="3.5609999999999999"/>
    <n v="0.01"/>
    <n v="49.756"/>
    <n v="6.5000000000000002E-2"/>
    <n v="2E-3"/>
    <n v="9.4E-2"/>
    <n v="0.53800000000000003"/>
    <n v="0.47699999999999998"/>
    <s v="含气层"/>
    <s v="马五41a"/>
    <x v="5"/>
    <n v="1"/>
    <s v="岩心观察"/>
    <n v="0.159"/>
    <n v="6.3E-2"/>
  </r>
  <r>
    <s v="延990"/>
    <n v="3723.25"/>
    <n v="20.359000000000002"/>
    <n v="22.331"/>
    <n v="2.2839999999999998"/>
    <n v="164.935"/>
    <n v="2.7879999999999998"/>
    <n v="7.9930000000000003"/>
    <n v="2.8119999999999998"/>
    <n v="115.253"/>
    <n v="132.06299999999999"/>
    <n v="3.569"/>
    <n v="0.01"/>
    <n v="50.457999999999998"/>
    <n v="6.7000000000000004E-2"/>
    <n v="2E-3"/>
    <n v="8.3000000000000004E-2"/>
    <n v="0.53200000000000003"/>
    <n v="0.47"/>
    <s v="含气层"/>
    <s v="马五41a"/>
    <x v="5"/>
    <n v="1"/>
    <s v="岩心观察"/>
    <n v="0.15000000000000002"/>
    <n v="6.5000000000000002E-2"/>
  </r>
  <r>
    <s v="延990"/>
    <n v="3723.375"/>
    <n v="20.324999999999999"/>
    <n v="22.37"/>
    <n v="2.0489999999999999"/>
    <n v="163.93899999999999"/>
    <n v="2.7829999999999999"/>
    <n v="7.952"/>
    <n v="2.8220000000000001"/>
    <n v="117.774"/>
    <n v="135.029"/>
    <n v="3.5939999999999999"/>
    <n v="0.01"/>
    <n v="52.357999999999997"/>
    <n v="6.8000000000000005E-2"/>
    <n v="7.0000000000000001E-3"/>
    <n v="7.0999999999999994E-2"/>
    <n v="0.501"/>
    <n v="0.46300000000000002"/>
    <s v="含气层"/>
    <s v="马五41a"/>
    <x v="5"/>
    <n v="1"/>
    <s v="岩心观察"/>
    <n v="0.13900000000000001"/>
    <n v="6.1000000000000006E-2"/>
  </r>
  <r>
    <s v="延990"/>
    <n v="3723.5"/>
    <n v="20.021999999999998"/>
    <n v="22.416"/>
    <n v="1.845"/>
    <n v="162.74600000000001"/>
    <n v="2.7759999999999998"/>
    <n v="7.907"/>
    <n v="2.8319999999999999"/>
    <n v="120.85299999999999"/>
    <n v="138.65"/>
    <n v="3.6520000000000001"/>
    <n v="0.01"/>
    <n v="53.896999999999998"/>
    <n v="6.6000000000000003E-2"/>
    <n v="1.4999999999999999E-2"/>
    <n v="5.5E-2"/>
    <n v="0.44900000000000001"/>
    <n v="0.45700000000000002"/>
    <s v="含气层"/>
    <s v="马五41a"/>
    <x v="5"/>
    <n v="1"/>
    <s v="岩心观察"/>
    <n v="0.121"/>
    <n v="5.1000000000000004E-2"/>
  </r>
  <r>
    <s v="延990"/>
    <n v="3723.625"/>
    <n v="19.721"/>
    <n v="22.446000000000002"/>
    <n v="1.7050000000000001"/>
    <n v="161.47999999999999"/>
    <n v="2.7709999999999999"/>
    <n v="7.84"/>
    <n v="2.8519999999999999"/>
    <n v="125"/>
    <n v="143.53"/>
    <n v="3.702"/>
    <n v="0.01"/>
    <n v="52.06"/>
    <n v="6.3E-2"/>
    <n v="2.7E-2"/>
    <n v="3.7999999999999999E-2"/>
    <n v="0.40100000000000002"/>
    <n v="0.44800000000000001"/>
    <s v="含气层"/>
    <s v="马五41a"/>
    <x v="5"/>
    <n v="1"/>
    <s v="岩心观察"/>
    <n v="0.10100000000000001"/>
    <n v="3.6000000000000004E-2"/>
  </r>
  <r>
    <s v="延990"/>
    <n v="3723.75"/>
    <n v="19.817"/>
    <n v="22.396999999999998"/>
    <n v="1.623"/>
    <n v="160.37100000000001"/>
    <n v="2.77"/>
    <n v="7.7480000000000002"/>
    <n v="2.8889999999999998"/>
    <n v="131.09800000000001"/>
    <n v="150.70500000000001"/>
    <n v="3.7010000000000001"/>
    <n v="0.01"/>
    <n v="47.05"/>
    <n v="6.2E-2"/>
    <n v="0.05"/>
    <n v="2.1000000000000001E-2"/>
    <n v="0.378"/>
    <n v="0.436"/>
    <s v="含气层"/>
    <s v="马五41a"/>
    <x v="5"/>
    <n v="1"/>
    <s v="岩心观察"/>
    <n v="8.3000000000000004E-2"/>
    <n v="1.1999999999999997E-2"/>
  </r>
  <r>
    <s v="延990"/>
    <n v="3723.875"/>
    <n v="20.475000000000001"/>
    <n v="22.251000000000001"/>
    <n v="1.575"/>
    <n v="159.583"/>
    <n v="2.7749999999999999"/>
    <n v="7.6390000000000002"/>
    <n v="2.9289999999999998"/>
    <n v="140.459"/>
    <n v="161.71600000000001"/>
    <n v="3.2210000000000001"/>
    <n v="0.01"/>
    <n v="48.603999999999999"/>
    <n v="6.7000000000000004E-2"/>
    <n v="7.9000000000000001E-2"/>
    <n v="8.0000000000000002E-3"/>
    <n v="0.39900000000000002"/>
    <n v="0.42199999999999999"/>
    <s v="含气层"/>
    <s v="马五41a"/>
    <x v="5"/>
    <n v="1"/>
    <s v="岩心观察"/>
    <n v="7.5000000000000011E-2"/>
    <n v="-1.1999999999999997E-2"/>
  </r>
  <r>
    <s v="延990"/>
    <n v="3724"/>
    <n v="21.565999999999999"/>
    <n v="22.094999999999999"/>
    <n v="1.548"/>
    <n v="159.31399999999999"/>
    <n v="2.7829999999999999"/>
    <n v="7.5309999999999997"/>
    <n v="2.9620000000000002"/>
    <n v="154.226"/>
    <n v="177.91300000000001"/>
    <n v="2.653"/>
    <n v="0.01"/>
    <n v="52.082999999999998"/>
    <n v="7.5999999999999998E-2"/>
    <n v="0.106"/>
    <n v="2E-3"/>
    <n v="0.45600000000000002"/>
    <n v="0.40600000000000003"/>
    <s v="含气层"/>
    <s v="马五41a"/>
    <x v="5"/>
    <n v="1"/>
    <s v="岩心观察"/>
    <n v="7.8E-2"/>
    <n v="-0.03"/>
  </r>
  <r>
    <s v="延990"/>
    <n v="3724.125"/>
    <n v="22.728999999999999"/>
    <n v="22.099"/>
    <n v="1.54"/>
    <n v="160.096"/>
    <n v="2.7909999999999999"/>
    <n v="7.44"/>
    <n v="2.9689999999999999"/>
    <n v="173.45699999999999"/>
    <n v="200.53800000000001"/>
    <n v="2.5590000000000002"/>
    <n v="0.01"/>
    <n v="51.848999999999997"/>
    <n v="8.7999999999999995E-2"/>
    <n v="0.12"/>
    <n v="6.0000000000000001E-3"/>
    <n v="0.52200000000000002"/>
    <n v="0.39100000000000001"/>
    <s v="含气层"/>
    <s v="马五41a"/>
    <x v="5"/>
    <n v="1"/>
    <s v="岩心观察"/>
    <n v="9.4E-2"/>
    <n v="-3.2000000000000001E-2"/>
  </r>
  <r>
    <s v="延990"/>
    <n v="3724.25"/>
    <n v="23.792000000000002"/>
    <n v="22.327999999999999"/>
    <n v="1.556"/>
    <n v="162.19999999999999"/>
    <n v="2.794"/>
    <n v="7.3890000000000002"/>
    <n v="2.952"/>
    <n v="199.16399999999999"/>
    <n v="230.78100000000001"/>
    <n v="2.5249999999999999"/>
    <n v="0.01"/>
    <n v="54.942"/>
    <n v="0.1"/>
    <n v="0.114"/>
    <n v="2.8000000000000001E-2"/>
    <n v="0.56499999999999995"/>
    <n v="0.38200000000000001"/>
    <s v="含气层"/>
    <s v="马五41a"/>
    <x v="5"/>
    <n v="1"/>
    <s v="岩心观察"/>
    <n v="0.128"/>
    <n v="-1.3999999999999999E-2"/>
  </r>
  <r>
    <s v="延990"/>
    <n v="3724.375"/>
    <n v="25.254999999999999"/>
    <n v="22.635999999999999"/>
    <n v="1.641"/>
    <n v="165.261"/>
    <n v="2.7919999999999998"/>
    <n v="7.4020000000000001"/>
    <n v="2.944"/>
    <n v="230.46600000000001"/>
    <n v="267.60700000000003"/>
    <n v="2.5110000000000001"/>
    <n v="0.01"/>
    <n v="59.218000000000004"/>
    <n v="0.114"/>
    <n v="0.105"/>
    <n v="6.5000000000000002E-2"/>
    <n v="0.56499999999999995"/>
    <n v="0.38"/>
    <s v="含气层"/>
    <s v="马五41a"/>
    <x v="5"/>
    <n v="1"/>
    <s v="岩心观察"/>
    <n v="0.17899999999999999"/>
    <n v="9.000000000000008E-3"/>
  </r>
  <r>
    <s v="延990"/>
    <n v="3724.5"/>
    <n v="28.54"/>
    <n v="22.834"/>
    <n v="1.9930000000000001"/>
    <n v="168.816"/>
    <n v="2.7869999999999999"/>
    <n v="7.4720000000000004"/>
    <n v="2.9620000000000002"/>
    <n v="263.56299999999999"/>
    <n v="306.54500000000002"/>
    <n v="2.4449999999999998"/>
    <n v="0.01"/>
    <n v="62.651000000000003"/>
    <n v="0.14099999999999999"/>
    <n v="0.111"/>
    <n v="0.112"/>
    <n v="0.53400000000000003"/>
    <n v="0.38600000000000001"/>
    <s v="含气层"/>
    <s v="马五41a"/>
    <x v="5"/>
    <n v="1"/>
    <s v="岩心观察"/>
    <n v="0.253"/>
    <n v="2.9999999999999985E-2"/>
  </r>
  <r>
    <s v="延990"/>
    <n v="3724.625"/>
    <n v="36.103999999999999"/>
    <n v="22.855"/>
    <n v="2.87"/>
    <n v="172.22300000000001"/>
    <n v="2.7810000000000001"/>
    <n v="7.5650000000000004"/>
    <n v="3.0179999999999998"/>
    <n v="290.53899999999999"/>
    <n v="338.28199999999998"/>
    <n v="2.262"/>
    <n v="0.01"/>
    <n v="64.805000000000007"/>
    <n v="0.20200000000000001"/>
    <n v="0.14099999999999999"/>
    <n v="0.161"/>
    <n v="0.48699999999999999"/>
    <n v="0.39900000000000002"/>
    <s v="含气层"/>
    <s v="马五41a"/>
    <x v="5"/>
    <n v="1"/>
    <s v="岩心观察"/>
    <n v="0.36299999999999999"/>
    <n v="6.1000000000000026E-2"/>
  </r>
  <r>
    <s v="延990"/>
    <n v="3724.75"/>
    <n v="49.033999999999999"/>
    <n v="22.815000000000001"/>
    <n v="4.0510000000000002"/>
    <n v="174.83699999999999"/>
    <n v="2.7770000000000001"/>
    <n v="7.6909999999999998"/>
    <n v="3.117"/>
    <n v="302.70999999999998"/>
    <n v="352.6"/>
    <n v="1.107"/>
    <n v="6.0000000000000001E-3"/>
    <n v="82.417000000000002"/>
    <n v="0.315"/>
    <n v="0.20300000000000001"/>
    <n v="0.20200000000000001"/>
    <n v="0.44700000000000001"/>
    <n v="0.41499999999999998"/>
    <s v="含气层"/>
    <s v="马五41a"/>
    <x v="5"/>
    <n v="1"/>
    <s v="岩心观察"/>
    <n v="0.51700000000000002"/>
    <n v="0.11199999999999999"/>
  </r>
  <r>
    <s v="延990"/>
    <n v="3724.875"/>
    <n v="65.837999999999994"/>
    <n v="22.789000000000001"/>
    <n v="5.0529999999999999"/>
    <n v="176.755"/>
    <n v="2.7749999999999999"/>
    <n v="7.9450000000000003"/>
    <n v="3.2349999999999999"/>
    <n v="295.392"/>
    <n v="343.99"/>
    <n v="0.01"/>
    <n v="1E-3"/>
    <n v="100"/>
    <n v="0.47699999999999998"/>
    <n v="0.28599999999999998"/>
    <n v="0.23300000000000001"/>
    <n v="0.42399999999999999"/>
    <n v="0.44400000000000001"/>
    <m/>
    <s v="马五41b"/>
    <x v="5"/>
    <n v="1"/>
    <s v="岩心观察"/>
    <n v="0.71"/>
    <n v="0.191"/>
  </r>
  <r>
    <s v="延982"/>
    <n v="3372.75"/>
    <n v="45.704000000000001"/>
    <n v="24.913"/>
    <n v="3.5459999999999998"/>
    <n v="169.43"/>
    <n v="2.7210000000000001"/>
    <n v="10.802"/>
    <n v="2.956"/>
    <n v="194.334"/>
    <n v="216.84299999999999"/>
    <n v="3.863"/>
    <n v="1.6E-2"/>
    <n v="44.402000000000001"/>
    <n v="0.23499999999999999"/>
    <n v="0.252"/>
    <n v="0.20499999999999999"/>
    <n v="0.40500000000000003"/>
    <n v="0.70699999999999996"/>
    <s v="含气层"/>
    <s v="马五41a"/>
    <x v="5"/>
    <n v="2"/>
    <s v="薄片"/>
    <n v="0.43999999999999995"/>
    <n v="-1.7000000000000015E-2"/>
  </r>
  <r>
    <s v="延982"/>
    <n v="3372.875"/>
    <n v="30.24"/>
    <n v="24.145"/>
    <n v="2.6819999999999999"/>
    <n v="163.06"/>
    <n v="2.7389999999999999"/>
    <n v="9.266"/>
    <n v="2.94"/>
    <n v="281.14499999999998"/>
    <n v="312.74400000000003"/>
    <n v="3.9790000000000001"/>
    <n v="1.2999999999999999E-2"/>
    <n v="33.299999999999997"/>
    <n v="0.127"/>
    <n v="0.245"/>
    <n v="0.14399999999999999"/>
    <n v="0.45500000000000002"/>
    <n v="0.59599999999999997"/>
    <s v="含气层"/>
    <s v="马五41a"/>
    <x v="5"/>
    <n v="2"/>
    <s v="薄片"/>
    <n v="0.27100000000000002"/>
    <n v="-0.11799999999999999"/>
  </r>
  <r>
    <s v="延982"/>
    <n v="3373"/>
    <n v="21.774000000000001"/>
    <n v="23.404"/>
    <n v="2.0569999999999999"/>
    <n v="159.773"/>
    <n v="2.762"/>
    <n v="7.5110000000000001"/>
    <n v="2.9359999999999999"/>
    <n v="367.85300000000001"/>
    <n v="407.07900000000001"/>
    <n v="2.2669999999999999"/>
    <n v="0.01"/>
    <n v="57.445"/>
    <n v="6.9000000000000006E-2"/>
    <n v="0.24399999999999999"/>
    <n v="0.114"/>
    <n v="0.51500000000000001"/>
    <n v="0.47399999999999998"/>
    <s v="含气层"/>
    <s v="马五41a"/>
    <x v="5"/>
    <n v="2"/>
    <s v="薄片"/>
    <n v="0.183"/>
    <n v="-0.17499999999999999"/>
  </r>
  <r>
    <s v="延982"/>
    <n v="3373.125"/>
    <n v="18.367000000000001"/>
    <n v="23.132000000000001"/>
    <n v="1.718"/>
    <n v="158.85"/>
    <n v="2.7789999999999999"/>
    <n v="6.3769999999999998"/>
    <n v="2.9510000000000001"/>
    <n v="426.91500000000002"/>
    <n v="473.09699999999998"/>
    <n v="1.8360000000000001"/>
    <n v="0.01"/>
    <n v="61.523000000000003"/>
    <n v="4.4999999999999998E-2"/>
    <n v="0.251"/>
    <n v="0.105"/>
    <n v="0.56000000000000005"/>
    <n v="0.39600000000000002"/>
    <s v="含气层"/>
    <s v="马五41a"/>
    <x v="5"/>
    <n v="2"/>
    <s v="薄片"/>
    <n v="0.15"/>
    <n v="-0.20600000000000002"/>
  </r>
  <r>
    <s v="延982"/>
    <n v="3373.25"/>
    <n v="17.135000000000002"/>
    <n v="23.125"/>
    <n v="1.597"/>
    <n v="158.53100000000001"/>
    <n v="2.7890000000000001"/>
    <n v="5.8840000000000003"/>
    <n v="2.97"/>
    <n v="450.65600000000001"/>
    <n v="504.13099999999997"/>
    <n v="1.82"/>
    <n v="0.01"/>
    <n v="57.784999999999997"/>
    <n v="3.6999999999999998E-2"/>
    <n v="0.26"/>
    <n v="0.10199999999999999"/>
    <n v="0.58599999999999997"/>
    <n v="0.36299999999999999"/>
    <s v="含气层"/>
    <s v="马五41a"/>
    <x v="5"/>
    <n v="2"/>
    <s v="薄片"/>
    <n v="0.13899999999999998"/>
    <n v="-0.223"/>
  </r>
  <r>
    <s v="延982"/>
    <n v="3373.375"/>
    <n v="16.3"/>
    <n v="23.103999999999999"/>
    <n v="1.5229999999999999"/>
    <n v="157.90600000000001"/>
    <n v="2.7959999999999998"/>
    <n v="5.7709999999999999"/>
    <n v="2.976"/>
    <n v="454.541"/>
    <n v="515.80899999999997"/>
    <n v="1.804"/>
    <n v="0.01"/>
    <n v="57.337000000000003"/>
    <n v="3.1E-2"/>
    <n v="0.26400000000000001"/>
    <n v="9.6000000000000002E-2"/>
    <n v="0.60599999999999998"/>
    <n v="0.35599999999999998"/>
    <s v="含气层"/>
    <s v="马五41a"/>
    <x v="5"/>
    <n v="2"/>
    <s v="薄片"/>
    <n v="0.127"/>
    <n v="-0.23300000000000001"/>
  </r>
  <r>
    <s v="延982"/>
    <n v="3373.5"/>
    <n v="15.358000000000001"/>
    <n v="23.038"/>
    <n v="1.4239999999999999"/>
    <n v="157.334"/>
    <n v="2.8050000000000002"/>
    <n v="5.84"/>
    <n v="3.0230000000000001"/>
    <n v="452.84399999999999"/>
    <n v="521.42600000000004"/>
    <n v="1.7689999999999999"/>
    <n v="0.01"/>
    <n v="60.781999999999996"/>
    <n v="2.4E-2"/>
    <n v="0.28599999999999998"/>
    <n v="0.09"/>
    <n v="0.629"/>
    <n v="0.36099999999999999"/>
    <s v="含气层"/>
    <s v="马五41a"/>
    <x v="5"/>
    <n v="2"/>
    <s v="薄片"/>
    <n v="0.11399999999999999"/>
    <n v="-0.26199999999999996"/>
  </r>
  <r>
    <s v="延982"/>
    <n v="3373.625"/>
    <n v="14.319000000000001"/>
    <n v="23.024000000000001"/>
    <n v="1.302"/>
    <n v="157.24100000000001"/>
    <n v="2.81"/>
    <n v="5.9390000000000001"/>
    <n v="3.05"/>
    <n v="445.28500000000003"/>
    <n v="518.27599999999995"/>
    <n v="1.7769999999999999"/>
    <n v="0.01"/>
    <n v="64.372"/>
    <n v="1.6E-2"/>
    <n v="0.29799999999999999"/>
    <n v="0.09"/>
    <n v="0.64100000000000001"/>
    <n v="0.36699999999999999"/>
    <s v="含气层"/>
    <s v="马五41a"/>
    <x v="5"/>
    <n v="2"/>
    <s v="薄片"/>
    <n v="0.106"/>
    <n v="-0.28199999999999997"/>
  </r>
  <r>
    <s v="延982"/>
    <n v="3373.75"/>
    <n v="13.45"/>
    <n v="23.052"/>
    <n v="1.1859999999999999"/>
    <n v="157.571"/>
    <n v="2.8090000000000002"/>
    <n v="5.91"/>
    <n v="3.0550000000000002"/>
    <n v="423.60599999999999"/>
    <n v="495.08"/>
    <n v="1.8069999999999999"/>
    <n v="0.01"/>
    <n v="66.105999999999995"/>
    <n v="0.01"/>
    <n v="0.3"/>
    <n v="9.2999999999999999E-2"/>
    <n v="0.63700000000000001"/>
    <n v="0.36399999999999999"/>
    <s v="含气层"/>
    <s v="马五41a"/>
    <x v="5"/>
    <n v="2"/>
    <s v="薄片"/>
    <n v="0.10299999999999999"/>
    <n v="-0.28999999999999998"/>
  </r>
  <r>
    <s v="延982"/>
    <n v="3373.875"/>
    <n v="13.163"/>
    <n v="23.111999999999998"/>
    <n v="1.0960000000000001"/>
    <n v="158.363"/>
    <n v="2.8"/>
    <n v="5.6980000000000004"/>
    <n v="3.05"/>
    <n v="384.21800000000002"/>
    <n v="447.69499999999999"/>
    <n v="1.879"/>
    <n v="0.01"/>
    <n v="68.912000000000006"/>
    <n v="8.9999999999999993E-3"/>
    <n v="0.29799999999999999"/>
    <n v="0.10100000000000001"/>
    <n v="0.61299999999999999"/>
    <n v="0.34899999999999998"/>
    <s v="含气层"/>
    <s v="马五41a"/>
    <x v="5"/>
    <n v="2"/>
    <s v="薄片"/>
    <n v="0.11"/>
    <n v="-0.28899999999999998"/>
  </r>
  <r>
    <s v="延982"/>
    <n v="3374"/>
    <n v="13.528"/>
    <n v="23.186"/>
    <n v="1.0309999999999999"/>
    <n v="159.11600000000001"/>
    <n v="2.7909999999999999"/>
    <n v="5.4930000000000003"/>
    <n v="3.0339999999999998"/>
    <n v="331.70299999999997"/>
    <n v="383.322"/>
    <n v="1.923"/>
    <n v="0.01"/>
    <n v="74.616"/>
    <n v="1.0999999999999999E-2"/>
    <n v="0.28999999999999998"/>
    <n v="0.108"/>
    <n v="0.59"/>
    <n v="0.33600000000000002"/>
    <s v="含气层"/>
    <s v="马五41a"/>
    <x v="5"/>
    <n v="2"/>
    <s v="薄片"/>
    <n v="0.11899999999999999"/>
    <n v="-0.27899999999999997"/>
  </r>
  <r>
    <s v="延982"/>
    <n v="3374.125"/>
    <n v="13.962999999999999"/>
    <n v="23.245999999999999"/>
    <n v="0.99"/>
    <n v="159.31399999999999"/>
    <n v="2.7869999999999999"/>
    <n v="5.5209999999999999"/>
    <n v="3.008"/>
    <n v="278.31900000000002"/>
    <n v="318.22000000000003"/>
    <n v="1.9279999999999999"/>
    <n v="0.01"/>
    <n v="77.941000000000003"/>
    <n v="1.4E-2"/>
    <n v="0.27600000000000002"/>
    <n v="0.11"/>
    <n v="0.57999999999999996"/>
    <n v="0.33900000000000002"/>
    <s v="含气层"/>
    <s v="马五41a"/>
    <x v="5"/>
    <n v="2"/>
    <s v="薄片"/>
    <n v="0.124"/>
    <n v="-0.26200000000000001"/>
  </r>
  <r>
    <s v="延982"/>
    <n v="3374.25"/>
    <n v="14.093999999999999"/>
    <n v="23.323"/>
    <n v="0.97699999999999998"/>
    <n v="159.31"/>
    <n v="2.7909999999999999"/>
    <n v="5.8440000000000003"/>
    <n v="2.9550000000000001"/>
    <n v="232.68100000000001"/>
    <n v="262.84100000000001"/>
    <n v="1.883"/>
    <n v="0.01"/>
    <n v="82.046000000000006"/>
    <n v="1.4999999999999999E-2"/>
    <n v="0.249"/>
    <n v="0.11"/>
    <n v="0.59199999999999997"/>
    <n v="0.36299999999999999"/>
    <s v="含气层"/>
    <s v="马五41a"/>
    <x v="5"/>
    <n v="2"/>
    <s v="薄片"/>
    <n v="0.125"/>
    <n v="-0.23399999999999999"/>
  </r>
  <r>
    <s v="延982"/>
    <n v="3374.375"/>
    <n v="14.135999999999999"/>
    <n v="23.442"/>
    <n v="0.98499999999999999"/>
    <n v="159.56299999999999"/>
    <n v="2.8"/>
    <n v="6.367"/>
    <n v="2.859"/>
    <n v="198.577"/>
    <n v="221.53700000000001"/>
    <n v="2.5169999999999999"/>
    <n v="0.01"/>
    <n v="64.911000000000001"/>
    <n v="1.6E-2"/>
    <n v="0.20200000000000001"/>
    <n v="0.113"/>
    <n v="0.61599999999999999"/>
    <n v="0.40100000000000002"/>
    <s v="含气层"/>
    <s v="马五41a"/>
    <x v="5"/>
    <n v="2"/>
    <s v="薄片"/>
    <n v="0.129"/>
    <n v="-0.186"/>
  </r>
  <r>
    <s v="延982"/>
    <n v="3374.5"/>
    <n v="14.571"/>
    <n v="23.5"/>
    <n v="1.002"/>
    <n v="159.959"/>
    <n v="2.8090000000000002"/>
    <n v="6.9779999999999998"/>
    <n v="2.75"/>
    <n v="174.904"/>
    <n v="192.79599999999999"/>
    <n v="2.6890000000000001"/>
    <n v="0.01"/>
    <n v="60.747"/>
    <n v="1.9E-2"/>
    <n v="0.151"/>
    <n v="0.11700000000000001"/>
    <n v="0.64"/>
    <n v="0.44500000000000001"/>
    <s v="含气层"/>
    <s v="马五41a"/>
    <x v="5"/>
    <n v="2"/>
    <s v="薄片"/>
    <n v="0.13600000000000001"/>
    <n v="-0.13200000000000001"/>
  </r>
  <r>
    <s v="延982"/>
    <n v="3374.625"/>
    <n v="15.462999999999999"/>
    <n v="23.39"/>
    <n v="1.014"/>
    <n v="160.41"/>
    <n v="2.8159999999999998"/>
    <n v="7.577"/>
    <n v="2.6850000000000001"/>
    <n v="160.61699999999999"/>
    <n v="175.13800000000001"/>
    <n v="3.3290000000000002"/>
    <n v="0.01"/>
    <n v="50.22"/>
    <n v="2.5000000000000001E-2"/>
    <n v="0.122"/>
    <n v="0.121"/>
    <n v="0.65800000000000003"/>
    <n v="0.48699999999999999"/>
    <s v="含气层"/>
    <s v="马五41a"/>
    <x v="5"/>
    <n v="2"/>
    <s v="薄片"/>
    <n v="0.14599999999999999"/>
    <n v="-9.7000000000000003E-2"/>
  </r>
  <r>
    <s v="延982"/>
    <n v="3374.75"/>
    <n v="16.204999999999998"/>
    <n v="23.248999999999999"/>
    <n v="1.0129999999999999"/>
    <n v="160.505"/>
    <n v="2.82"/>
    <n v="8.0310000000000006"/>
    <n v="2.677"/>
    <n v="154.374"/>
    <n v="166.858"/>
    <n v="3.496"/>
    <n v="0.01"/>
    <n v="45.344999999999999"/>
    <n v="3.1E-2"/>
    <n v="0.11899999999999999"/>
    <n v="0.121"/>
    <n v="0.66900000000000004"/>
    <n v="0.51800000000000002"/>
    <s v="含气层"/>
    <s v="马五41a"/>
    <x v="5"/>
    <n v="2"/>
    <s v="薄片"/>
    <n v="0.152"/>
    <n v="-8.7999999999999995E-2"/>
  </r>
  <r>
    <s v="延982"/>
    <n v="3374.875"/>
    <n v="16.332000000000001"/>
    <n v="23.257000000000001"/>
    <n v="0.997"/>
    <n v="159.779"/>
    <n v="2.8239999999999998"/>
    <n v="8.1989999999999998"/>
    <n v="2.6970000000000001"/>
    <n v="153.53299999999999"/>
    <n v="164.98"/>
    <n v="3.4780000000000002"/>
    <n v="0.01"/>
    <n v="43.985999999999997"/>
    <n v="3.1E-2"/>
    <n v="0.129"/>
    <n v="0.114"/>
    <n v="0.67900000000000005"/>
    <n v="0.52800000000000002"/>
    <s v="含气层"/>
    <s v="马五41a"/>
    <x v="5"/>
    <n v="2"/>
    <s v="薄片"/>
    <n v="0.14500000000000002"/>
    <n v="-9.8000000000000004E-2"/>
  </r>
  <r>
    <s v="延982"/>
    <n v="3375"/>
    <n v="15.869"/>
    <n v="23.332000000000001"/>
    <n v="0.96199999999999997"/>
    <n v="158.49299999999999"/>
    <n v="2.8250000000000002"/>
    <n v="8.1159999999999997"/>
    <n v="2.7290000000000001"/>
    <n v="155.97"/>
    <n v="167.059"/>
    <n v="3.496"/>
    <n v="0.01"/>
    <n v="42.805"/>
    <n v="2.8000000000000001E-2"/>
    <n v="0.14499999999999999"/>
    <n v="0.10100000000000001"/>
    <n v="0.68200000000000005"/>
    <n v="0.52200000000000002"/>
    <s v="含气层"/>
    <s v="马五41a"/>
    <x v="5"/>
    <n v="2"/>
    <s v="薄片"/>
    <n v="0.129"/>
    <n v="-0.11699999999999999"/>
  </r>
  <r>
    <s v="延982"/>
    <n v="3375.125"/>
    <n v="15.303000000000001"/>
    <n v="23.318000000000001"/>
    <n v="0.91900000000000004"/>
    <n v="157.44200000000001"/>
    <n v="2.823"/>
    <n v="7.9029999999999996"/>
    <n v="2.7749999999999999"/>
    <n v="159.934"/>
    <n v="170.85300000000001"/>
    <n v="3.5169999999999999"/>
    <n v="0.01"/>
    <n v="42.637"/>
    <n v="2.4E-2"/>
    <n v="0.16600000000000001"/>
    <n v="9.0999999999999998E-2"/>
    <n v="0.67600000000000005"/>
    <n v="0.50600000000000001"/>
    <s v="含气层"/>
    <s v="马五41a"/>
    <x v="5"/>
    <n v="2"/>
    <s v="薄片"/>
    <n v="0.11499999999999999"/>
    <n v="-0.14200000000000002"/>
  </r>
  <r>
    <s v="延982"/>
    <n v="3375.25"/>
    <n v="14.943"/>
    <n v="23.216000000000001"/>
    <n v="0.88200000000000001"/>
    <n v="157.154"/>
    <n v="2.8210000000000002"/>
    <n v="7.6669999999999998"/>
    <n v="2.7930000000000001"/>
    <n v="163.84399999999999"/>
    <n v="174.49700000000001"/>
    <n v="3.5339999999999998"/>
    <n v="0.01"/>
    <n v="43.142000000000003"/>
    <n v="2.1000000000000001E-2"/>
    <n v="0.17499999999999999"/>
    <n v="8.8999999999999996E-2"/>
    <n v="0.67100000000000004"/>
    <n v="0.49"/>
    <s v="含气层"/>
    <s v="马五41a"/>
    <x v="5"/>
    <n v="2"/>
    <s v="薄片"/>
    <n v="0.11"/>
    <n v="-0.154"/>
  </r>
  <r>
    <s v="延982"/>
    <n v="3375.375"/>
    <n v="14.795"/>
    <n v="23.138999999999999"/>
    <n v="0.86799999999999999"/>
    <n v="157.85599999999999"/>
    <n v="2.8210000000000002"/>
    <n v="7.45"/>
    <n v="2.7970000000000002"/>
    <n v="166.19"/>
    <n v="176.589"/>
    <n v="2.8340000000000001"/>
    <n v="0.01"/>
    <n v="55.82"/>
    <n v="0.02"/>
    <n v="0.17699999999999999"/>
    <n v="9.6000000000000002E-2"/>
    <n v="0.67100000000000004"/>
    <n v="0.47499999999999998"/>
    <s v="含气层"/>
    <s v="马五41a"/>
    <x v="5"/>
    <n v="2"/>
    <s v="薄片"/>
    <n v="0.11600000000000001"/>
    <n v="-0.157"/>
  </r>
  <r>
    <s v="延982"/>
    <n v="3375.5"/>
    <n v="14.877000000000001"/>
    <n v="23.239000000000001"/>
    <n v="0.876"/>
    <n v="158.99299999999999"/>
    <n v="2.8180000000000001"/>
    <n v="7.306"/>
    <n v="2.8140000000000001"/>
    <n v="167.029"/>
    <n v="177.553"/>
    <n v="2.64"/>
    <n v="0.01"/>
    <n v="59.610999999999997"/>
    <n v="2.1000000000000001E-2"/>
    <n v="0.185"/>
    <n v="0.107"/>
    <n v="0.66200000000000003"/>
    <n v="0.46500000000000002"/>
    <s v="含气层"/>
    <s v="马五41a"/>
    <x v="5"/>
    <n v="2"/>
    <s v="薄片"/>
    <n v="0.128"/>
    <n v="-0.16400000000000001"/>
  </r>
  <r>
    <s v="延982"/>
    <n v="3375.625"/>
    <n v="15.234"/>
    <n v="23.35"/>
    <n v="0.90700000000000003"/>
    <n v="159.875"/>
    <n v="2.8149999999999999"/>
    <n v="7.2770000000000001"/>
    <n v="2.827"/>
    <n v="167.785"/>
    <n v="179.11099999999999"/>
    <n v="2.6429999999999998"/>
    <n v="0.01"/>
    <n v="59.456000000000003"/>
    <n v="2.4E-2"/>
    <n v="0.191"/>
    <n v="0.11600000000000001"/>
    <n v="0.65400000000000003"/>
    <n v="0.46300000000000002"/>
    <s v="含气层"/>
    <s v="马五41a"/>
    <x v="5"/>
    <n v="2"/>
    <s v="薄片"/>
    <n v="0.14000000000000001"/>
    <n v="-0.16700000000000001"/>
  </r>
  <r>
    <s v="延982"/>
    <n v="3375.75"/>
    <n v="15.798"/>
    <n v="23.183"/>
    <n v="0.96299999999999997"/>
    <n v="160.184"/>
    <n v="2.8119999999999998"/>
    <n v="7.3220000000000001"/>
    <n v="2.8279999999999998"/>
    <n v="170.071"/>
    <n v="183.179"/>
    <n v="2.6320000000000001"/>
    <n v="0.01"/>
    <n v="58.305"/>
    <n v="2.8000000000000001E-2"/>
    <n v="0.191"/>
    <n v="0.11799999999999999"/>
    <n v="0.64500000000000002"/>
    <n v="0.46600000000000003"/>
    <s v="含气层"/>
    <s v="马五41a"/>
    <x v="5"/>
    <n v="2"/>
    <s v="薄片"/>
    <n v="0.14599999999999999"/>
    <n v="-0.16300000000000001"/>
  </r>
  <r>
    <s v="延982"/>
    <n v="3375.875"/>
    <n v="16.318999999999999"/>
    <n v="22.905999999999999"/>
    <n v="1.0489999999999999"/>
    <n v="159.983"/>
    <n v="2.8"/>
    <n v="7.367"/>
    <n v="2.823"/>
    <n v="174.47900000000001"/>
    <n v="190.34399999999999"/>
    <n v="2.7309999999999999"/>
    <n v="0.01"/>
    <n v="55.231999999999999"/>
    <n v="3.1E-2"/>
    <n v="0.188"/>
    <n v="0.11600000000000001"/>
    <n v="0.61299999999999999"/>
    <n v="0.47"/>
    <s v="含气层"/>
    <s v="马五41a"/>
    <x v="5"/>
    <n v="2"/>
    <s v="薄片"/>
    <n v="0.14700000000000002"/>
    <n v="-0.157"/>
  </r>
  <r>
    <s v="延982"/>
    <n v="3376"/>
    <n v="16.643999999999998"/>
    <n v="22.754000000000001"/>
    <n v="1.1839999999999999"/>
    <n v="159.333"/>
    <n v="2.79"/>
    <n v="7.4"/>
    <n v="2.8109999999999999"/>
    <n v="181.71299999999999"/>
    <n v="201.042"/>
    <n v="2.76"/>
    <n v="0.01"/>
    <n v="53.488"/>
    <n v="3.4000000000000002E-2"/>
    <n v="0.182"/>
    <n v="0.109"/>
    <n v="0.58799999999999997"/>
    <n v="0.47199999999999998"/>
    <s v="含气层"/>
    <s v="马五41a"/>
    <x v="5"/>
    <n v="2"/>
    <s v="薄片"/>
    <n v="0.14300000000000002"/>
    <n v="-0.14799999999999999"/>
  </r>
  <r>
    <s v="延982"/>
    <n v="3376.125"/>
    <n v="16.983000000000001"/>
    <n v="22.748000000000001"/>
    <n v="1.4019999999999999"/>
    <n v="158.46799999999999"/>
    <n v="2.7919999999999998"/>
    <n v="7.4480000000000004"/>
    <n v="2.7679999999999998"/>
    <n v="193.31"/>
    <n v="216.46799999999999"/>
    <n v="3.3980000000000001"/>
    <n v="0.01"/>
    <n v="42.76"/>
    <n v="3.5999999999999997E-2"/>
    <n v="0.16"/>
    <n v="0.10100000000000001"/>
    <n v="0.59499999999999997"/>
    <n v="0.47599999999999998"/>
    <s v="含气层"/>
    <s v="马五41a"/>
    <x v="5"/>
    <n v="2"/>
    <s v="薄片"/>
    <n v="0.13700000000000001"/>
    <n v="-0.124"/>
  </r>
  <r>
    <s v="延982"/>
    <n v="3376.25"/>
    <n v="17.626000000000001"/>
    <n v="22.795000000000002"/>
    <n v="1.714"/>
    <n v="157.72499999999999"/>
    <n v="2.8039999999999998"/>
    <n v="7.5179999999999998"/>
    <n v="2.7120000000000002"/>
    <n v="211.06"/>
    <n v="238.82599999999999"/>
    <n v="3.5419999999999998"/>
    <n v="0.01"/>
    <n v="39.293999999999997"/>
    <n v="4.1000000000000002E-2"/>
    <n v="0.13400000000000001"/>
    <n v="9.4E-2"/>
    <n v="0.627"/>
    <n v="0.48"/>
    <s v="含气层"/>
    <s v="马五41a"/>
    <x v="5"/>
    <n v="2"/>
    <s v="薄片"/>
    <n v="0.13500000000000001"/>
    <n v="-9.2999999999999999E-2"/>
  </r>
  <r>
    <s v="延982"/>
    <n v="3376.375"/>
    <n v="18.571999999999999"/>
    <n v="22.835999999999999"/>
    <n v="2.1080000000000001"/>
    <n v="156.88900000000001"/>
    <n v="2.8149999999999999"/>
    <n v="7.5679999999999996"/>
    <n v="2.6840000000000002"/>
    <n v="238.44"/>
    <n v="272.80599999999998"/>
    <n v="3.4489999999999998"/>
    <n v="0.01"/>
    <n v="36.74"/>
    <n v="4.8000000000000001E-2"/>
    <n v="0.122"/>
    <n v="8.5000000000000006E-2"/>
    <n v="0.65600000000000003"/>
    <n v="0.48399999999999999"/>
    <s v="含气层"/>
    <s v="马五41a"/>
    <x v="5"/>
    <n v="2"/>
    <s v="薄片"/>
    <n v="0.13300000000000001"/>
    <n v="-7.3999999999999996E-2"/>
  </r>
  <r>
    <s v="延982"/>
    <n v="3376.5"/>
    <n v="19.454000000000001"/>
    <n v="22.791"/>
    <n v="2.5230000000000001"/>
    <n v="155.53899999999999"/>
    <n v="2.8220000000000001"/>
    <n v="7.5140000000000002"/>
    <n v="2.6819999999999999"/>
    <n v="278.654"/>
    <n v="322.916"/>
    <n v="2.6840000000000002"/>
    <n v="0.01"/>
    <n v="41.715000000000003"/>
    <n v="5.3999999999999999E-2"/>
    <n v="0.121"/>
    <n v="7.1999999999999995E-2"/>
    <n v="0.67500000000000004"/>
    <n v="0.47899999999999998"/>
    <s v="含气层"/>
    <s v="马五41a"/>
    <x v="5"/>
    <n v="2"/>
    <s v="薄片"/>
    <n v="0.126"/>
    <n v="-6.7000000000000004E-2"/>
  </r>
  <r>
    <s v="延982"/>
    <n v="3376.625"/>
    <n v="20.143000000000001"/>
    <n v="22.690999999999999"/>
    <n v="2.89"/>
    <n v="154.05799999999999"/>
    <n v="2.827"/>
    <n v="7.3019999999999996"/>
    <n v="2.6880000000000002"/>
    <n v="331.15499999999997"/>
    <n v="389.64800000000002"/>
    <n v="2.4380000000000002"/>
    <n v="0.01"/>
    <n v="42.735999999999997"/>
    <n v="5.8999999999999997E-2"/>
    <n v="0.124"/>
    <n v="5.7000000000000002E-2"/>
    <n v="0.68799999999999994"/>
    <n v="0.46400000000000002"/>
    <s v="含气层"/>
    <s v="马五41a"/>
    <x v="5"/>
    <n v="2"/>
    <s v="薄片"/>
    <n v="0.11599999999999999"/>
    <n v="-6.5000000000000002E-2"/>
  </r>
  <r>
    <s v="延982"/>
    <n v="3376.75"/>
    <n v="20.782"/>
    <n v="22.657"/>
    <n v="3.1469999999999998"/>
    <n v="153.04599999999999"/>
    <n v="2.83"/>
    <n v="7.0730000000000004"/>
    <n v="2.6970000000000001"/>
    <n v="394.23500000000001"/>
    <n v="472.18400000000003"/>
    <n v="2.3980000000000001"/>
    <n v="0.01"/>
    <n v="40.82"/>
    <n v="6.4000000000000001E-2"/>
    <n v="0.129"/>
    <n v="4.8000000000000001E-2"/>
    <n v="0.69499999999999995"/>
    <n v="0.44800000000000001"/>
    <s v="含气层"/>
    <s v="马五41a"/>
    <x v="5"/>
    <n v="2"/>
    <s v="薄片"/>
    <n v="0.112"/>
    <n v="-6.5000000000000002E-2"/>
  </r>
  <r>
    <s v="延982"/>
    <n v="3376.875"/>
    <n v="21.446000000000002"/>
    <n v="22.728000000000002"/>
    <n v="3.2879999999999998"/>
    <n v="152.453"/>
    <n v="2.8290000000000002"/>
    <n v="6.992"/>
    <n v="2.7120000000000002"/>
    <n v="460.84899999999999"/>
    <n v="559.41800000000001"/>
    <n v="2.399"/>
    <n v="0.01"/>
    <n v="39.828000000000003"/>
    <n v="6.9000000000000006E-2"/>
    <n v="0.13600000000000001"/>
    <n v="4.2000000000000003E-2"/>
    <n v="0.69099999999999995"/>
    <n v="0.443"/>
    <s v="含气层"/>
    <s v="马五41a"/>
    <x v="5"/>
    <n v="2"/>
    <s v="薄片"/>
    <n v="0.11100000000000002"/>
    <n v="-6.7000000000000004E-2"/>
  </r>
  <r>
    <s v="延982"/>
    <n v="3377"/>
    <n v="21.988"/>
    <n v="22.893999999999998"/>
    <n v="3.3359999999999999"/>
    <n v="152.15"/>
    <n v="2.8220000000000001"/>
    <n v="7.11"/>
    <n v="2.7309999999999999"/>
    <n v="520.08299999999997"/>
    <n v="632.75900000000001"/>
    <n v="2.4329999999999998"/>
    <n v="0.01"/>
    <n v="39.911000000000001"/>
    <n v="7.1999999999999995E-2"/>
    <n v="0.14499999999999999"/>
    <n v="3.9E-2"/>
    <n v="0.67300000000000004"/>
    <n v="0.45200000000000001"/>
    <s v="含气层"/>
    <s v="马五41a"/>
    <x v="5"/>
    <n v="2"/>
    <s v="薄片"/>
    <n v="0.11099999999999999"/>
    <n v="-7.2999999999999995E-2"/>
  </r>
  <r>
    <s v="延982"/>
    <n v="3377.125"/>
    <n v="22.452999999999999"/>
    <n v="23.167000000000002"/>
    <n v="3.2930000000000001"/>
    <n v="152.233"/>
    <n v="2.819"/>
    <n v="7.2809999999999997"/>
    <n v="2.7509999999999999"/>
    <n v="555.09199999999998"/>
    <n v="665.72299999999996"/>
    <n v="2.4420000000000002"/>
    <n v="0.01"/>
    <n v="43.8"/>
    <n v="7.5999999999999998E-2"/>
    <n v="0.155"/>
    <n v="0.04"/>
    <n v="0.66400000000000003"/>
    <n v="0.46400000000000002"/>
    <s v="含气层"/>
    <s v="马五41a"/>
    <x v="5"/>
    <n v="2"/>
    <s v="薄片"/>
    <n v="0.11599999999999999"/>
    <n v="-7.9000000000000001E-2"/>
  </r>
  <r>
    <s v="延982"/>
    <n v="3377.25"/>
    <n v="23.734999999999999"/>
    <n v="23.59"/>
    <n v="3.1440000000000001"/>
    <n v="152.57499999999999"/>
    <n v="2.8090000000000002"/>
    <n v="7.359"/>
    <n v="2.7629999999999999"/>
    <n v="551.88900000000001"/>
    <n v="642.66099999999994"/>
    <n v="2.476"/>
    <n v="0.01"/>
    <n v="47.023000000000003"/>
    <n v="8.6999999999999994E-2"/>
    <n v="0.16"/>
    <n v="4.3999999999999997E-2"/>
    <n v="0.63700000000000001"/>
    <n v="0.46899999999999997"/>
    <s v="含气层"/>
    <s v="马五41a"/>
    <x v="5"/>
    <n v="2"/>
    <s v="薄片"/>
    <n v="0.13100000000000001"/>
    <n v="-7.3000000000000009E-2"/>
  </r>
  <r>
    <s v="延982"/>
    <n v="3377.375"/>
    <n v="27.744"/>
    <n v="24.07"/>
    <n v="2.9489999999999998"/>
    <n v="153.21100000000001"/>
    <n v="2.798"/>
    <n v="7.3369999999999997"/>
    <n v="2.7690000000000001"/>
    <n v="502.78"/>
    <n v="561.94299999999998"/>
    <n v="2.423"/>
    <n v="0.01"/>
    <n v="51.545000000000002"/>
    <n v="0.11899999999999999"/>
    <n v="0.16300000000000001"/>
    <n v="5.0999999999999997E-2"/>
    <n v="0.60699999999999998"/>
    <n v="0.46700000000000003"/>
    <m/>
    <s v="马五41a"/>
    <x v="5"/>
    <n v="2"/>
    <s v="薄片"/>
    <n v="0.16999999999999998"/>
    <n v="-4.4000000000000011E-2"/>
  </r>
  <r>
    <s v="延982"/>
    <n v="3377.5"/>
    <n v="37.473999999999997"/>
    <n v="24.271000000000001"/>
    <n v="2.9009999999999998"/>
    <n v="154.982"/>
    <n v="2.7850000000000001"/>
    <n v="7.298"/>
    <n v="2.7759999999999998"/>
    <n v="413.25"/>
    <n v="441.28100000000001"/>
    <n v="1.4370000000000001"/>
    <n v="0.01"/>
    <n v="88.832999999999998"/>
    <n v="0.192"/>
    <n v="0.16700000000000001"/>
    <n v="6.9000000000000006E-2"/>
    <n v="0.56899999999999995"/>
    <n v="0.46500000000000002"/>
    <m/>
    <s v="马五41a"/>
    <x v="5"/>
    <n v="2"/>
    <s v="薄片"/>
    <n v="0.26100000000000001"/>
    <n v="2.4999999999999994E-2"/>
  </r>
  <r>
    <s v="延981"/>
    <n v="3442.25"/>
    <n v="17.974"/>
    <n v="23.254999999999999"/>
    <n v="1.5369999999999999"/>
    <n v="160.756"/>
    <n v="2.734"/>
    <n v="5.8259999999999996"/>
    <n v="3.302"/>
    <n v="123.935"/>
    <n v="177.971"/>
    <n v="1.256"/>
    <n v="0.01"/>
    <n v="100"/>
    <n v="3.4000000000000002E-2"/>
    <n v="0.29899999999999999"/>
    <n v="0.13"/>
    <n v="0.49199999999999999"/>
    <n v="0.44600000000000001"/>
    <s v="含气层"/>
    <s v="马五41a"/>
    <x v="5"/>
    <n v="4"/>
    <s v="岩心观察"/>
    <n v="0.16400000000000001"/>
    <n v="-0.26500000000000001"/>
  </r>
  <r>
    <s v="延981"/>
    <n v="3442.375"/>
    <n v="19.178999999999998"/>
    <n v="23.21"/>
    <n v="1.6719999999999999"/>
    <n v="161.60499999999999"/>
    <n v="2.7320000000000002"/>
    <n v="6.2880000000000003"/>
    <n v="3.2240000000000002"/>
    <n v="124.306"/>
    <n v="176.19800000000001"/>
    <n v="2.16"/>
    <n v="0.01"/>
    <n v="69.340999999999994"/>
    <n v="4.2000000000000003E-2"/>
    <n v="0.26"/>
    <n v="0.14299999999999999"/>
    <n v="0.48699999999999999"/>
    <n v="0.48199999999999998"/>
    <s v="含气层"/>
    <s v="马五41a"/>
    <x v="5"/>
    <n v="4"/>
    <s v="岩心观察"/>
    <n v="0.185"/>
    <n v="-0.218"/>
  </r>
  <r>
    <s v="延981"/>
    <n v="3442.5"/>
    <n v="20.12"/>
    <n v="23.187999999999999"/>
    <n v="1.819"/>
    <n v="162.56299999999999"/>
    <n v="2.7280000000000002"/>
    <n v="6.6980000000000004"/>
    <n v="3.16"/>
    <n v="126.643"/>
    <n v="179.53800000000001"/>
    <n v="2.1480000000000001"/>
    <n v="0.01"/>
    <n v="68.343999999999994"/>
    <n v="0.05"/>
    <n v="0.23"/>
    <n v="0.157"/>
    <n v="0.47799999999999998"/>
    <n v="0.51600000000000001"/>
    <s v="含气层"/>
    <s v="马五41a"/>
    <x v="5"/>
    <n v="4"/>
    <s v="岩心观察"/>
    <n v="0.20700000000000002"/>
    <n v="-0.18"/>
  </r>
  <r>
    <s v="延981"/>
    <n v="3442.625"/>
    <n v="20.591000000000001"/>
    <n v="23.152999999999999"/>
    <n v="1.9279999999999999"/>
    <n v="163.40299999999999"/>
    <n v="2.7290000000000001"/>
    <n v="7.0119999999999996"/>
    <n v="3.0640000000000001"/>
    <n v="130.99"/>
    <n v="187.87"/>
    <n v="3.0640000000000001"/>
    <n v="0.01"/>
    <n v="45.993000000000002"/>
    <n v="5.3999999999999999E-2"/>
    <n v="0.189"/>
    <n v="0.17100000000000001"/>
    <n v="0.47799999999999998"/>
    <n v="0.54300000000000004"/>
    <s v="含气层"/>
    <s v="马五41a"/>
    <x v="5"/>
    <n v="4"/>
    <s v="岩心观察"/>
    <n v="0.22500000000000001"/>
    <n v="-0.13500000000000001"/>
  </r>
  <r>
    <s v="延981"/>
    <n v="3442.75"/>
    <n v="20.71"/>
    <n v="23.117999999999999"/>
    <n v="1.9890000000000001"/>
    <n v="163.863"/>
    <n v="2.7360000000000002"/>
    <n v="7.1130000000000004"/>
    <n v="2.9220000000000002"/>
    <n v="137.214"/>
    <n v="200.798"/>
    <n v="3.0489999999999999"/>
    <n v="0.01"/>
    <n v="44.517000000000003"/>
    <n v="5.5E-2"/>
    <n v="0.129"/>
    <n v="0.17899999999999999"/>
    <n v="0.49299999999999999"/>
    <n v="0.55500000000000005"/>
    <s v="含气层"/>
    <s v="马五41a"/>
    <x v="5"/>
    <n v="4"/>
    <s v="岩心观察"/>
    <n v="0.23399999999999999"/>
    <n v="-7.400000000000001E-2"/>
  </r>
  <r>
    <s v="延981"/>
    <n v="3442.875"/>
    <n v="20.25"/>
    <n v="23.096"/>
    <n v="1.9970000000000001"/>
    <n v="163.863"/>
    <n v="2.75"/>
    <n v="7.0350000000000001"/>
    <n v="2.7669999999999999"/>
    <n v="144.88800000000001"/>
    <n v="217.68299999999999"/>
    <n v="3.0009999999999999"/>
    <n v="0.01"/>
    <n v="43.674999999999997"/>
    <n v="5.2999999999999999E-2"/>
    <n v="0.06"/>
    <n v="0.18"/>
    <n v="0.52500000000000002"/>
    <n v="0.55200000000000005"/>
    <s v="含气层"/>
    <s v="马五41a"/>
    <x v="5"/>
    <n v="4"/>
    <s v="岩心观察"/>
    <n v="0.23299999999999998"/>
    <n v="-6.9999999999999993E-3"/>
  </r>
  <r>
    <s v="延981"/>
    <n v="3443"/>
    <n v="19.259"/>
    <n v="23.045999999999999"/>
    <n v="1.946"/>
    <n v="163.47300000000001"/>
    <n v="2.7650000000000001"/>
    <n v="6.8390000000000004"/>
    <n v="2.6659999999999999"/>
    <n v="153.083"/>
    <n v="237.256"/>
    <n v="2.9279999999999999"/>
    <n v="0.01"/>
    <n v="43.326999999999998"/>
    <n v="4.5999999999999999E-2"/>
    <n v="8.9999999999999993E-3"/>
    <n v="0.17599999999999999"/>
    <n v="0.56299999999999994"/>
    <n v="0.53800000000000003"/>
    <s v="含气层"/>
    <s v="马五41a"/>
    <x v="5"/>
    <n v="4"/>
    <s v="岩心观察"/>
    <n v="0.22199999999999998"/>
    <n v="3.6999999999999998E-2"/>
  </r>
  <r>
    <s v="延981"/>
    <n v="3443.125"/>
    <n v="18.577000000000002"/>
    <n v="23.027999999999999"/>
    <n v="1.871"/>
    <n v="163.047"/>
    <n v="2.7749999999999999"/>
    <n v="6.6580000000000004"/>
    <n v="2.6669999999999998"/>
    <n v="160.34299999999999"/>
    <n v="256.19400000000002"/>
    <n v="2.8660000000000001"/>
    <n v="0.01"/>
    <n v="43.354999999999997"/>
    <n v="4.1000000000000002E-2"/>
    <n v="0"/>
    <n v="0.16900000000000001"/>
    <n v="0.59099999999999997"/>
    <n v="0.52300000000000002"/>
    <s v="含气层"/>
    <s v="马五41a"/>
    <x v="5"/>
    <n v="4"/>
    <s v="岩心观察"/>
    <n v="0.21000000000000002"/>
    <n v="4.1000000000000002E-2"/>
  </r>
  <r>
    <s v="延981"/>
    <n v="3443.25"/>
    <n v="18.7"/>
    <n v="23.015000000000001"/>
    <n v="1.8280000000000001"/>
    <n v="162.79499999999999"/>
    <n v="2.7810000000000001"/>
    <n v="6.55"/>
    <n v="2.754"/>
    <n v="166.28800000000001"/>
    <n v="272.601"/>
    <n v="2.82"/>
    <n v="0.01"/>
    <n v="42.761000000000003"/>
    <n v="4.1000000000000002E-2"/>
    <n v="3.2000000000000001E-2"/>
    <n v="0.16500000000000001"/>
    <n v="0.60799999999999998"/>
    <n v="0.51300000000000001"/>
    <s v="含气层"/>
    <s v="马五41a"/>
    <x v="5"/>
    <n v="4"/>
    <s v="岩心观察"/>
    <n v="0.20600000000000002"/>
    <n v="9.0000000000000011E-3"/>
  </r>
  <r>
    <s v="延981"/>
    <n v="3443.375"/>
    <n v="19.032"/>
    <n v="23.033000000000001"/>
    <n v="1.8540000000000001"/>
    <n v="162.97399999999999"/>
    <n v="2.7839999999999998"/>
    <n v="6.5069999999999997"/>
    <n v="2.8639999999999999"/>
    <n v="171.20699999999999"/>
    <n v="285.06700000000001"/>
    <n v="1.865"/>
    <n v="0.01"/>
    <n v="63.118000000000002"/>
    <n v="4.2999999999999997E-2"/>
    <n v="0.08"/>
    <n v="0.16600000000000001"/>
    <n v="0.61699999999999999"/>
    <n v="0.50800000000000001"/>
    <s v="含气层"/>
    <s v="马五41a"/>
    <x v="5"/>
    <n v="4"/>
    <s v="岩心观察"/>
    <n v="0.20900000000000002"/>
    <n v="-3.7000000000000005E-2"/>
  </r>
  <r>
    <s v="延981"/>
    <n v="3443.5"/>
    <n v="18.86"/>
    <n v="23.047999999999998"/>
    <n v="1.909"/>
    <n v="163.477"/>
    <n v="2.7839999999999998"/>
    <n v="6.4989999999999997"/>
    <n v="2.9350000000000001"/>
    <n v="175.39500000000001"/>
    <n v="294.13499999999999"/>
    <n v="1.839"/>
    <n v="0.01"/>
    <n v="62.209000000000003"/>
    <n v="4.2000000000000003E-2"/>
    <n v="0.11600000000000001"/>
    <n v="0.17299999999999999"/>
    <n v="0.61899999999999999"/>
    <n v="0.50700000000000001"/>
    <s v="含气层"/>
    <s v="马五41a"/>
    <x v="5"/>
    <n v="4"/>
    <s v="岩心观察"/>
    <n v="0.215"/>
    <n v="-7.400000000000001E-2"/>
  </r>
  <r>
    <s v="延981"/>
    <n v="3443.625"/>
    <n v="18.448"/>
    <n v="23.085999999999999"/>
    <n v="1.9910000000000001"/>
    <n v="164.14099999999999"/>
    <n v="2.78"/>
    <n v="6.5419999999999998"/>
    <n v="2.952"/>
    <n v="178.62100000000001"/>
    <n v="301.06799999999998"/>
    <n v="1.8420000000000001"/>
    <n v="0.01"/>
    <n v="61.219000000000001"/>
    <n v="3.9E-2"/>
    <n v="0.128"/>
    <n v="0.183"/>
    <n v="0.61099999999999999"/>
    <n v="0.51"/>
    <s v="含气层"/>
    <s v="马五41a"/>
    <x v="5"/>
    <n v="4"/>
    <s v="岩心观察"/>
    <n v="0.222"/>
    <n v="-8.8999999999999996E-2"/>
  </r>
  <r>
    <s v="延981"/>
    <n v="3443.75"/>
    <n v="18.675999999999998"/>
    <n v="23.137"/>
    <n v="2.16"/>
    <n v="164.607"/>
    <n v="2.7719999999999998"/>
    <n v="6.6580000000000004"/>
    <n v="2.9390000000000001"/>
    <n v="179.82400000000001"/>
    <n v="307.55500000000001"/>
    <n v="1.8740000000000001"/>
    <n v="0.01"/>
    <n v="59.326000000000001"/>
    <n v="0.04"/>
    <n v="0.125"/>
    <n v="0.19"/>
    <n v="0.59199999999999997"/>
    <n v="0.51800000000000002"/>
    <s v="含气层"/>
    <s v="马五41a"/>
    <x v="5"/>
    <n v="4"/>
    <s v="岩心观察"/>
    <n v="0.23"/>
    <n v="-8.4999999999999992E-2"/>
  </r>
  <r>
    <s v="延981"/>
    <n v="3443.875"/>
    <n v="19.704000000000001"/>
    <n v="23.17"/>
    <n v="2.4020000000000001"/>
    <n v="164.72800000000001"/>
    <n v="2.76"/>
    <n v="6.8890000000000002"/>
    <n v="2.9350000000000001"/>
    <n v="177.53299999999999"/>
    <n v="312.35300000000001"/>
    <n v="2.839"/>
    <n v="0.01"/>
    <n v="38.795999999999999"/>
    <n v="4.5999999999999999E-2"/>
    <n v="0.122"/>
    <n v="0.193"/>
    <n v="0.56399999999999995"/>
    <n v="0.53500000000000003"/>
    <s v="含气层"/>
    <s v="马五41a"/>
    <x v="5"/>
    <n v="4"/>
    <s v="岩心观察"/>
    <n v="0.23899999999999999"/>
    <n v="-7.5999999999999998E-2"/>
  </r>
  <r>
    <s v="延981"/>
    <n v="3444"/>
    <n v="21.146000000000001"/>
    <n v="23.260999999999999"/>
    <n v="2.601"/>
    <n v="164.46700000000001"/>
    <n v="2.7450000000000001"/>
    <n v="7.2030000000000003"/>
    <n v="2.9580000000000002"/>
    <n v="170.93"/>
    <n v="310.80200000000002"/>
    <n v="2.8849999999999998"/>
    <n v="0.01"/>
    <n v="38.893999999999998"/>
    <n v="5.6000000000000001E-2"/>
    <n v="0.13"/>
    <n v="0.191"/>
    <n v="0.52700000000000002"/>
    <n v="0.55900000000000005"/>
    <s v="含气层"/>
    <s v="马五41a"/>
    <x v="5"/>
    <n v="4"/>
    <s v="岩心观察"/>
    <n v="0.247"/>
    <n v="-7.400000000000001E-2"/>
  </r>
  <r>
    <s v="延981"/>
    <n v="3444.125"/>
    <n v="22.385000000000002"/>
    <n v="23.399000000000001"/>
    <n v="2.6389999999999998"/>
    <n v="163.96700000000001"/>
    <n v="2.7290000000000001"/>
    <n v="7.6239999999999997"/>
    <n v="3.0009999999999999"/>
    <n v="163.232"/>
    <n v="300.24099999999999"/>
    <n v="2.9340000000000002"/>
    <n v="0.01"/>
    <n v="40.185000000000002"/>
    <n v="6.6000000000000003E-2"/>
    <n v="0.14799999999999999"/>
    <n v="0.184"/>
    <n v="0.48599999999999999"/>
    <n v="0.59099999999999997"/>
    <s v="含气层"/>
    <s v="马五41a"/>
    <x v="5"/>
    <n v="4"/>
    <s v="岩心观察"/>
    <n v="0.25"/>
    <n v="-8.199999999999999E-2"/>
  </r>
  <r>
    <s v="延981"/>
    <n v="3444.25"/>
    <n v="23.324999999999999"/>
    <n v="23.47"/>
    <n v="2.5510000000000002"/>
    <n v="163.339"/>
    <n v="2.7069999999999999"/>
    <n v="8.1020000000000003"/>
    <n v="3.04"/>
    <n v="158.38200000000001"/>
    <n v="283.553"/>
    <n v="3.0030000000000001"/>
    <n v="0.01"/>
    <n v="42.722000000000001"/>
    <n v="7.2999999999999995E-2"/>
    <n v="0.16600000000000001"/>
    <n v="0.17399999999999999"/>
    <n v="0.433"/>
    <n v="0.629"/>
    <s v="含气层"/>
    <s v="马五41a"/>
    <x v="5"/>
    <n v="4"/>
    <s v="岩心观察"/>
    <n v="0.247"/>
    <n v="-9.3000000000000013E-2"/>
  </r>
  <r>
    <s v="延981"/>
    <n v="3444.375"/>
    <n v="23.579000000000001"/>
    <n v="23.529"/>
    <n v="2.3940000000000001"/>
    <n v="162.62799999999999"/>
    <n v="2.6829999999999998"/>
    <n v="8.6240000000000006"/>
    <n v="3.06"/>
    <n v="159.58099999999999"/>
    <n v="266.84699999999998"/>
    <n v="4.0270000000000001"/>
    <n v="0.01"/>
    <n v="34.018999999999998"/>
    <n v="7.5999999999999998E-2"/>
    <n v="0.17699999999999999"/>
    <n v="0.16400000000000001"/>
    <n v="0.373"/>
    <n v="0.67100000000000004"/>
    <s v="含气层"/>
    <s v="马五41a"/>
    <x v="5"/>
    <n v="4"/>
    <s v="岩心观察"/>
    <n v="0.24"/>
    <n v="-0.10099999999999999"/>
  </r>
  <r>
    <s v="延981"/>
    <n v="3444.5"/>
    <n v="22.899000000000001"/>
    <n v="23.478000000000002"/>
    <n v="2.137"/>
    <n v="161.78800000000001"/>
    <n v="2.66"/>
    <n v="9.0950000000000006"/>
    <n v="3.0640000000000001"/>
    <n v="167.35900000000001"/>
    <n v="256.23099999999999"/>
    <n v="4.1710000000000003"/>
    <n v="0.01"/>
    <n v="33.414000000000001"/>
    <n v="7.1999999999999995E-2"/>
    <n v="0.18"/>
    <n v="0.151"/>
    <n v="0.314"/>
    <n v="0.71"/>
    <s v="含气层"/>
    <s v="马五41a"/>
    <x v="5"/>
    <n v="4"/>
    <s v="岩心观察"/>
    <n v="0.22299999999999998"/>
    <n v="-0.108"/>
  </r>
  <r>
    <s v="延981"/>
    <n v="3444.625"/>
    <n v="21.628"/>
    <n v="23.215"/>
    <n v="1.802"/>
    <n v="160.80000000000001"/>
    <n v="2.6469999999999998"/>
    <n v="9.4350000000000005"/>
    <n v="3.0609999999999999"/>
    <n v="183.02799999999999"/>
    <n v="256.22800000000001"/>
    <n v="5.2469999999999999"/>
    <n v="2.5000000000000001E-2"/>
    <n v="25.614999999999998"/>
    <n v="6.4000000000000001E-2"/>
    <n v="0.17899999999999999"/>
    <n v="0.13600000000000001"/>
    <n v="0.27500000000000002"/>
    <n v="0.74"/>
    <s v="含气层"/>
    <s v="马五41a"/>
    <x v="5"/>
    <n v="4"/>
    <s v="岩心观察"/>
    <n v="0.2"/>
    <n v="-0.11499999999999999"/>
  </r>
  <r>
    <s v="延981"/>
    <n v="3444.75"/>
    <n v="20.667999999999999"/>
    <n v="22.899000000000001"/>
    <n v="1.5269999999999999"/>
    <n v="159.74"/>
    <n v="2.6520000000000001"/>
    <n v="9.609"/>
    <n v="3.0590000000000002"/>
    <n v="207.93700000000001"/>
    <n v="273.26"/>
    <n v="5.3559999999999999"/>
    <n v="2.7E-2"/>
    <n v="24.574999999999999"/>
    <n v="5.6000000000000001E-2"/>
    <n v="0.17799999999999999"/>
    <n v="0.12"/>
    <n v="0.27900000000000003"/>
    <n v="0.75700000000000001"/>
    <s v="含气层"/>
    <s v="马五41a"/>
    <x v="5"/>
    <n v="4"/>
    <s v="岩心观察"/>
    <n v="0.17599999999999999"/>
    <n v="-0.122"/>
  </r>
  <r>
    <s v="延981"/>
    <n v="3444.875"/>
    <n v="20.457999999999998"/>
    <n v="22.780999999999999"/>
    <n v="1.355"/>
    <n v="158.88300000000001"/>
    <n v="2.6749999999999998"/>
    <n v="9.5730000000000004"/>
    <n v="3.0489999999999999"/>
    <n v="234.53100000000001"/>
    <n v="300.88299999999998"/>
    <n v="6.27"/>
    <n v="5.3999999999999999E-2"/>
    <n v="21.196999999999999"/>
    <n v="5.3999999999999999E-2"/>
    <n v="0.17499999999999999"/>
    <n v="0.106"/>
    <n v="0.32800000000000001"/>
    <n v="0.75800000000000001"/>
    <s v="含气层"/>
    <s v="马五41a"/>
    <x v="5"/>
    <n v="4"/>
    <s v="岩心观察"/>
    <n v="0.16"/>
    <n v="-0.121"/>
  </r>
  <r>
    <s v="延981"/>
    <n v="3445"/>
    <n v="21.187000000000001"/>
    <n v="22.652000000000001"/>
    <n v="1.232"/>
    <n v="158.43899999999999"/>
    <n v="2.7109999999999999"/>
    <n v="9.36"/>
    <n v="3.024"/>
    <n v="249.96"/>
    <n v="321.36099999999999"/>
    <n v="6.1369999999999996"/>
    <n v="4.9000000000000002E-2"/>
    <n v="22.585999999999999"/>
    <n v="5.8000000000000003E-2"/>
    <n v="0.16500000000000001"/>
    <n v="9.8000000000000004E-2"/>
    <n v="0.41399999999999998"/>
    <n v="0.74299999999999999"/>
    <s v="含气层"/>
    <s v="马五41a"/>
    <x v="5"/>
    <n v="4"/>
    <s v="岩心观察"/>
    <n v="0.156"/>
    <n v="-0.10700000000000001"/>
  </r>
  <r>
    <s v="延981"/>
    <n v="3445.125"/>
    <n v="25.355"/>
    <n v="22.614000000000001"/>
    <n v="1.1739999999999999"/>
    <n v="159.01"/>
    <n v="2.7480000000000002"/>
    <n v="9.0169999999999995"/>
    <n v="2.984"/>
    <n v="242.35599999999999"/>
    <n v="312.19799999999998"/>
    <n v="4.9809999999999999"/>
    <n v="0.02"/>
    <n v="29.137"/>
    <n v="8.3000000000000004E-2"/>
    <n v="0.14799999999999999"/>
    <n v="0.104"/>
    <n v="0.50800000000000001"/>
    <n v="0.71699999999999997"/>
    <s v="含气层"/>
    <s v="马五41a"/>
    <x v="5"/>
    <n v="4"/>
    <s v="岩心观察"/>
    <n v="0.187"/>
    <n v="-6.4999999999999988E-2"/>
  </r>
  <r>
    <s v="延981"/>
    <n v="3445.25"/>
    <n v="37.210999999999999"/>
    <n v="22.614999999999998"/>
    <n v="1.304"/>
    <n v="160.78899999999999"/>
    <n v="2.778"/>
    <n v="8.6850000000000005"/>
    <n v="2.9529999999999998"/>
    <n v="216.31899999999999"/>
    <n v="275.21100000000001"/>
    <n v="4.641"/>
    <n v="1.4E-2"/>
    <n v="32.896999999999998"/>
    <n v="0.158"/>
    <n v="0.13300000000000001"/>
    <n v="0.128"/>
    <n v="0.58799999999999997"/>
    <n v="0.69"/>
    <s v="含气层"/>
    <s v="马五41a"/>
    <x v="5"/>
    <n v="4"/>
    <s v="岩心观察"/>
    <n v="0.28600000000000003"/>
    <n v="2.4999999999999994E-2"/>
  </r>
  <r>
    <s v="延981"/>
    <n v="3450.5"/>
    <n v="31.506"/>
    <n v="22.646000000000001"/>
    <n v="2.2309999999999999"/>
    <n v="176.45699999999999"/>
    <n v="2.89"/>
    <n v="1.4910000000000001"/>
    <n v="4.1970000000000001"/>
    <n v="568.00300000000004"/>
    <n v="710.90899999999999"/>
    <n v="0.01"/>
    <n v="1E-3"/>
    <n v="100"/>
    <n v="0.14099999999999999"/>
    <n v="0.70899999999999996"/>
    <n v="0.375"/>
    <n v="0.89700000000000002"/>
    <n v="9.7000000000000003E-2"/>
    <m/>
    <s v="马五41b"/>
    <x v="5"/>
    <n v="7"/>
    <s v="岩心观察"/>
    <n v="0.51600000000000001"/>
    <n v="-0.56799999999999995"/>
  </r>
  <r>
    <s v="延981"/>
    <n v="3450.625"/>
    <n v="30.161000000000001"/>
    <n v="22.645"/>
    <n v="2.4449999999999998"/>
    <n v="176.697"/>
    <n v="2.867"/>
    <n v="1.6539999999999999"/>
    <n v="3.9910000000000001"/>
    <n v="459.68400000000003"/>
    <n v="600.98199999999997"/>
    <n v="0.01"/>
    <n v="1E-3"/>
    <n v="100"/>
    <n v="0.126"/>
    <n v="0.61899999999999999"/>
    <n v="0.377"/>
    <n v="0.84299999999999997"/>
    <n v="0.11"/>
    <m/>
    <s v="马五41b"/>
    <x v="5"/>
    <n v="7"/>
    <s v="岩心观察"/>
    <n v="0.503"/>
    <n v="-0.49299999999999999"/>
  </r>
  <r>
    <s v="延981"/>
    <n v="3450.75"/>
    <n v="34.424999999999997"/>
    <n v="22.65"/>
    <n v="2.843"/>
    <n v="177.57"/>
    <n v="2.8410000000000002"/>
    <n v="1.9850000000000001"/>
    <n v="3.7440000000000002"/>
    <n v="349.60500000000002"/>
    <n v="456.298"/>
    <n v="0.01"/>
    <n v="1E-3"/>
    <n v="100"/>
    <n v="0.14799999999999999"/>
    <n v="0.51100000000000001"/>
    <n v="0.38900000000000001"/>
    <n v="0.77800000000000002"/>
    <n v="0.13400000000000001"/>
    <m/>
    <s v="马五41b"/>
    <x v="5"/>
    <n v="7"/>
    <s v="岩心观察"/>
    <n v="0.53700000000000003"/>
    <n v="-0.36299999999999999"/>
  </r>
  <r>
    <s v="延981"/>
    <n v="3450.875"/>
    <n v="43.609000000000002"/>
    <n v="22.667999999999999"/>
    <n v="3.49"/>
    <n v="179.054"/>
    <n v="2.8210000000000002"/>
    <n v="2.6110000000000002"/>
    <n v="3.7440000000000002"/>
    <n v="269.41300000000001"/>
    <n v="335.08800000000002"/>
    <n v="0.01"/>
    <n v="1E-3"/>
    <n v="100"/>
    <n v="0.20799999999999999"/>
    <n v="0.48899999999999999"/>
    <n v="0.40899999999999997"/>
    <n v="0.72399999999999998"/>
    <n v="0.18"/>
    <m/>
    <s v="马五41b"/>
    <x v="5"/>
    <n v="7"/>
    <s v="岩心观察"/>
    <n v="0.61699999999999999"/>
    <n v="-0.28100000000000003"/>
  </r>
  <r>
    <s v="延981"/>
    <n v="3451"/>
    <n v="54.912999999999997"/>
    <n v="22.687999999999999"/>
    <n v="4.093"/>
    <n v="181.40199999999999"/>
    <n v="2.8109999999999999"/>
    <n v="3.5190000000000001"/>
    <n v="3.7440000000000002"/>
    <n v="229.49600000000001"/>
    <n v="273.70499999999998"/>
    <n v="0.01"/>
    <n v="1E-3"/>
    <n v="100"/>
    <n v="0.28599999999999998"/>
    <n v="0.48899999999999999"/>
    <n v="0.443"/>
    <n v="0.69299999999999995"/>
    <n v="0.249"/>
    <m/>
    <s v="马五41b"/>
    <x v="5"/>
    <n v="7"/>
    <s v="岩心观察"/>
    <n v="0.72899999999999998"/>
    <n v="-0.20300000000000001"/>
  </r>
  <r>
    <s v="延981"/>
    <n v="3451.125"/>
    <n v="64.866"/>
    <n v="22.698"/>
    <n v="4.42"/>
    <n v="185.38"/>
    <n v="2.8109999999999999"/>
    <n v="4.4589999999999996"/>
    <n v="3.7440000000000002"/>
    <n v="215.7"/>
    <n v="258.221"/>
    <n v="0.01"/>
    <n v="1E-3"/>
    <n v="100"/>
    <n v="0.36"/>
    <n v="0.48899999999999999"/>
    <n v="0.499"/>
    <n v="0.68799999999999994"/>
    <n v="0.32500000000000001"/>
    <m/>
    <s v="马五41b"/>
    <x v="5"/>
    <n v="7"/>
    <s v="岩心观察"/>
    <n v="0.85899999999999999"/>
    <n v="-0.129"/>
  </r>
  <r>
    <s v="延981"/>
    <n v="3451.25"/>
    <n v="71.06"/>
    <n v="22.715"/>
    <n v="4.5599999999999996"/>
    <n v="191.37200000000001"/>
    <n v="2.8180000000000001"/>
    <n v="5.0629999999999997"/>
    <n v="3.7440000000000002"/>
    <n v="225.76499999999999"/>
    <n v="283.36200000000002"/>
    <n v="0.01"/>
    <n v="1E-3"/>
    <n v="100"/>
    <n v="0.41099999999999998"/>
    <n v="0.48899999999999999"/>
    <n v="0.58499999999999996"/>
    <n v="0.70199999999999996"/>
    <n v="0.38"/>
    <m/>
    <s v="马五41b"/>
    <x v="5"/>
    <n v="7"/>
    <s v="岩心观察"/>
    <n v="0.996"/>
    <n v="-7.8000000000000014E-2"/>
  </r>
  <r>
    <s v="延981"/>
    <n v="3451.375"/>
    <n v="71.495000000000005"/>
    <n v="22.715"/>
    <n v="4.5309999999999997"/>
    <n v="199.304"/>
    <n v="2.8250000000000002"/>
    <n v="5.2279999999999998"/>
    <n v="3.774"/>
    <n v="258.20800000000003"/>
    <n v="345.08100000000002"/>
    <n v="0.01"/>
    <n v="1E-3"/>
    <n v="100"/>
    <n v="0.42199999999999999"/>
    <n v="0.5"/>
    <n v="0.70099999999999996"/>
    <n v="0.72"/>
    <n v="0.40100000000000002"/>
    <m/>
    <s v="马五41b"/>
    <x v="5"/>
    <n v="7"/>
    <s v="岩心观察"/>
    <n v="1.123"/>
    <n v="-7.8000000000000014E-2"/>
  </r>
  <r>
    <s v="延949"/>
    <n v="3854.375"/>
    <n v="67.497"/>
    <n v="22.187999999999999"/>
    <n v="4.6920000000000002"/>
    <n v="170.78"/>
    <n v="2.726"/>
    <n v="5.415"/>
    <n v="3.2509999999999999"/>
    <n v="308.53100000000001"/>
    <n v="447.44900000000001"/>
    <n v="0"/>
    <n v="0"/>
    <n v="100"/>
    <n v="0.40699999999999997"/>
    <n v="0.94399999999999995"/>
    <n v="0.22"/>
    <n v="0.38100000000000001"/>
    <n v="0.182"/>
    <m/>
    <s v="马五41a"/>
    <x v="5"/>
    <n v="3"/>
    <s v="薄片"/>
    <n v="0.627"/>
    <n v="-0.53699999999999992"/>
  </r>
  <r>
    <s v="延949"/>
    <n v="3854.5"/>
    <n v="62.387"/>
    <n v="22.193999999999999"/>
    <n v="4.4569999999999999"/>
    <n v="170.02699999999999"/>
    <n v="2.7240000000000002"/>
    <n v="5.1980000000000004"/>
    <n v="3.2349999999999999"/>
    <n v="329.43900000000002"/>
    <n v="482.61099999999999"/>
    <n v="0"/>
    <n v="0"/>
    <n v="100"/>
    <n v="0.36599999999999999"/>
    <n v="0.92300000000000004"/>
    <n v="0.20899999999999999"/>
    <n v="0.375"/>
    <n v="0.153"/>
    <m/>
    <s v="马五41a"/>
    <x v="5"/>
    <n v="3"/>
    <s v="薄片"/>
    <n v="0.57499999999999996"/>
    <n v="-0.55700000000000005"/>
  </r>
  <r>
    <s v="延949"/>
    <n v="3854.625"/>
    <n v="57.847999999999999"/>
    <n v="22.149000000000001"/>
    <n v="4.2"/>
    <n v="170.29"/>
    <n v="2.7160000000000002"/>
    <n v="5.0590000000000002"/>
    <n v="3.2010000000000001"/>
    <n v="338.09199999999998"/>
    <n v="503.255"/>
    <n v="0"/>
    <n v="0"/>
    <n v="100"/>
    <n v="0.32800000000000001"/>
    <n v="0.86299999999999999"/>
    <n v="0.21099999999999999"/>
    <n v="0.33800000000000002"/>
    <n v="0.13300000000000001"/>
    <m/>
    <s v="马五41a"/>
    <x v="5"/>
    <n v="3"/>
    <s v="薄片"/>
    <n v="0.53900000000000003"/>
    <n v="-0.53499999999999992"/>
  </r>
  <r>
    <s v="延949"/>
    <n v="3854.75"/>
    <n v="55.093000000000004"/>
    <n v="22.111000000000001"/>
    <n v="4.0199999999999996"/>
    <n v="171.51400000000001"/>
    <n v="2.7080000000000002"/>
    <n v="4.968"/>
    <n v="3.17"/>
    <n v="335.33699999999999"/>
    <n v="509.03399999999999"/>
    <n v="0"/>
    <n v="0"/>
    <n v="100"/>
    <n v="0.30499999999999999"/>
    <n v="0.80500000000000005"/>
    <n v="0.22700000000000001"/>
    <n v="0.29699999999999999"/>
    <n v="0.121"/>
    <m/>
    <s v="马五41a"/>
    <x v="5"/>
    <n v="3"/>
    <s v="薄片"/>
    <n v="0.53200000000000003"/>
    <n v="-0.5"/>
  </r>
  <r>
    <s v="延949"/>
    <n v="3854.875"/>
    <n v="53.85"/>
    <n v="22.120999999999999"/>
    <n v="3.919"/>
    <n v="173.476"/>
    <n v="2.7080000000000002"/>
    <n v="4.9029999999999996"/>
    <n v="3.1259999999999999"/>
    <n v="318.012"/>
    <n v="490.42500000000001"/>
    <n v="0"/>
    <n v="0"/>
    <n v="100"/>
    <n v="0.29299999999999998"/>
    <n v="0.72499999999999998"/>
    <n v="0.253"/>
    <n v="0.29199999999999998"/>
    <n v="0.112"/>
    <m/>
    <s v="马五41a"/>
    <x v="5"/>
    <n v="3"/>
    <s v="薄片"/>
    <n v="0.54600000000000004"/>
    <n v="-0.432"/>
  </r>
  <r>
    <s v="延949"/>
    <n v="3855"/>
    <n v="52.655999999999999"/>
    <n v="22.132999999999999"/>
    <n v="3.843"/>
    <n v="175.672"/>
    <n v="2.7080000000000002"/>
    <n v="4.8630000000000004"/>
    <n v="3.081"/>
    <n v="281.63099999999997"/>
    <n v="437.73099999999999"/>
    <n v="0"/>
    <n v="0"/>
    <n v="100"/>
    <n v="0.28399999999999997"/>
    <n v="0.64200000000000002"/>
    <n v="0.28299999999999997"/>
    <n v="0.29199999999999998"/>
    <n v="0.106"/>
    <m/>
    <s v="马五41a"/>
    <x v="5"/>
    <n v="3"/>
    <s v="薄片"/>
    <n v="0.56699999999999995"/>
    <n v="-0.35800000000000004"/>
  </r>
  <r>
    <s v="延949"/>
    <n v="3855.125"/>
    <n v="50.457999999999998"/>
    <n v="22.116"/>
    <n v="3.74"/>
    <n v="177.20099999999999"/>
    <n v="2.706"/>
    <n v="4.8710000000000004"/>
    <n v="3.044"/>
    <n v="235.405"/>
    <n v="365.69"/>
    <n v="0"/>
    <n v="0"/>
    <n v="100"/>
    <n v="0.26700000000000002"/>
    <n v="0.57099999999999995"/>
    <n v="0.30499999999999999"/>
    <n v="0.28299999999999997"/>
    <n v="0.107"/>
    <m/>
    <s v="马五41a"/>
    <x v="5"/>
    <n v="3"/>
    <s v="薄片"/>
    <n v="0.57200000000000006"/>
    <n v="-0.30399999999999994"/>
  </r>
  <r>
    <s v="延949"/>
    <n v="3855.25"/>
    <n v="47.045999999999999"/>
    <n v="22.097000000000001"/>
    <n v="3.5110000000000001"/>
    <n v="177.07900000000001"/>
    <n v="2.7050000000000001"/>
    <n v="4.9160000000000004"/>
    <n v="3.028"/>
    <n v="200.518"/>
    <n v="308.08999999999997"/>
    <n v="0"/>
    <n v="0"/>
    <n v="100"/>
    <n v="0.24"/>
    <n v="0.53800000000000003"/>
    <n v="0.30499999999999999"/>
    <n v="0.27700000000000002"/>
    <n v="0.112"/>
    <m/>
    <s v="马五41a"/>
    <x v="5"/>
    <n v="3"/>
    <s v="薄片"/>
    <n v="0.54499999999999993"/>
    <n v="-0.29800000000000004"/>
  </r>
  <r>
    <s v="延949"/>
    <n v="3855.375"/>
    <n v="42.441000000000003"/>
    <n v="22.084"/>
    <n v="3.0539999999999998"/>
    <n v="175.261"/>
    <n v="2.7069999999999999"/>
    <n v="4.9130000000000003"/>
    <n v="3.0259999999999998"/>
    <n v="183.61799999999999"/>
    <n v="276.23200000000003"/>
    <n v="0"/>
    <n v="0"/>
    <n v="100"/>
    <n v="0.20399999999999999"/>
    <n v="0.53100000000000003"/>
    <n v="0.28299999999999997"/>
    <n v="0.28599999999999998"/>
    <n v="0.112"/>
    <m/>
    <s v="马五41a"/>
    <x v="5"/>
    <n v="3"/>
    <s v="薄片"/>
    <n v="0.48699999999999999"/>
    <n v="-0.32700000000000007"/>
  </r>
  <r>
    <s v="延949"/>
    <n v="3855.5"/>
    <n v="36.996000000000002"/>
    <n v="22.071999999999999"/>
    <n v="2.4420000000000002"/>
    <n v="172.86199999999999"/>
    <n v="2.7109999999999999"/>
    <n v="4.798"/>
    <n v="3.0350000000000001"/>
    <n v="169.73"/>
    <n v="249.03"/>
    <n v="0"/>
    <n v="0"/>
    <n v="100"/>
    <n v="0.161"/>
    <n v="0.54600000000000004"/>
    <n v="0.25"/>
    <n v="0.30599999999999999"/>
    <n v="9.9000000000000005E-2"/>
    <m/>
    <s v="马五41a"/>
    <x v="5"/>
    <n v="3"/>
    <s v="薄片"/>
    <n v="0.41100000000000003"/>
    <n v="-0.38500000000000001"/>
  </r>
  <r>
    <s v="延949"/>
    <n v="3856.75"/>
    <n v="35.866"/>
    <n v="21.821000000000002"/>
    <n v="1.3779999999999999"/>
    <n v="186.23"/>
    <n v="2.67"/>
    <n v="6.3739999999999997"/>
    <n v="3.2370000000000001"/>
    <n v="54.686"/>
    <n v="68.796999999999997"/>
    <n v="2.823"/>
    <n v="1.7000000000000001E-2"/>
    <n v="73.084999999999994"/>
    <n v="0.15"/>
    <n v="0.92800000000000005"/>
    <n v="0.435"/>
    <n v="0.105"/>
    <n v="0.3"/>
    <s v="含气层"/>
    <s v="马五41a"/>
    <x v="5"/>
    <n v="6"/>
    <s v="薄片"/>
    <n v="0.58499999999999996"/>
    <n v="-0.77800000000000002"/>
  </r>
  <r>
    <s v="延949"/>
    <n v="3856.875"/>
    <n v="30.863"/>
    <n v="21.773"/>
    <n v="1.595"/>
    <n v="181.982"/>
    <n v="2.6579999999999999"/>
    <n v="6.4160000000000004"/>
    <n v="3.198"/>
    <n v="60.137"/>
    <n v="75.564999999999998"/>
    <n v="3.4860000000000002"/>
    <n v="3.9E-2"/>
    <n v="58.091000000000001"/>
    <n v="0.111"/>
    <n v="0.85899999999999999"/>
    <n v="0.379"/>
    <n v="4.2000000000000003E-2"/>
    <n v="0.308"/>
    <s v="含气层"/>
    <s v="马五41a"/>
    <x v="5"/>
    <n v="6"/>
    <s v="薄片"/>
    <n v="0.49"/>
    <n v="-0.748"/>
  </r>
  <r>
    <s v="延949"/>
    <n v="3857"/>
    <n v="26.21"/>
    <n v="21.751000000000001"/>
    <n v="1.8420000000000001"/>
    <n v="177.12"/>
    <n v="2.6509999999999998"/>
    <n v="6.4610000000000003"/>
    <n v="3.1549999999999998"/>
    <n v="64.296999999999997"/>
    <n v="80.864999999999995"/>
    <n v="3.9769999999999999"/>
    <n v="6.7000000000000004E-2"/>
    <n v="49.755000000000003"/>
    <n v="7.2999999999999995E-2"/>
    <n v="0.77900000000000003"/>
    <n v="0.313"/>
    <n v="4.0000000000000001E-3"/>
    <n v="0.314"/>
    <s v="含气层"/>
    <s v="马五41a"/>
    <x v="5"/>
    <n v="6"/>
    <s v="薄片"/>
    <n v="0.38600000000000001"/>
    <n v="-0.70600000000000007"/>
  </r>
  <r>
    <s v="延949"/>
    <n v="3857.125"/>
    <n v="22.978000000000002"/>
    <n v="21.766999999999999"/>
    <n v="1.998"/>
    <n v="173.33600000000001"/>
    <n v="2.653"/>
    <n v="6.617"/>
    <n v="3.1280000000000001"/>
    <n v="66.046999999999997"/>
    <n v="83.278000000000006"/>
    <n v="4.2439999999999998"/>
    <n v="8.7999999999999995E-2"/>
    <n v="45.661999999999999"/>
    <n v="4.4999999999999998E-2"/>
    <n v="0.72599999999999998"/>
    <n v="0.25900000000000001"/>
    <n v="8.9999999999999993E-3"/>
    <n v="0.33300000000000002"/>
    <s v="含气层"/>
    <s v="马五41a"/>
    <x v="5"/>
    <n v="6"/>
    <s v="薄片"/>
    <n v="0.30399999999999999"/>
    <n v="-0.68099999999999994"/>
  </r>
  <r>
    <s v="延949"/>
    <n v="3857.25"/>
    <n v="20.952000000000002"/>
    <n v="21.809000000000001"/>
    <n v="1.9910000000000001"/>
    <n v="172.21899999999999"/>
    <n v="2.6589999999999998"/>
    <n v="6.8179999999999996"/>
    <n v="3.1139999999999999"/>
    <n v="66.367999999999995"/>
    <n v="84.085999999999999"/>
    <n v="4.3559999999999999"/>
    <n v="9.8000000000000004E-2"/>
    <n v="43.634999999999998"/>
    <n v="2.8000000000000001E-2"/>
    <n v="0.69699999999999995"/>
    <n v="0.24"/>
    <n v="3.7999999999999999E-2"/>
    <n v="0.35899999999999999"/>
    <s v="含气层"/>
    <s v="马五41a"/>
    <x v="5"/>
    <n v="6"/>
    <s v="薄片"/>
    <n v="0.26800000000000002"/>
    <n v="-0.66899999999999993"/>
  </r>
  <r>
    <s v="延949"/>
    <n v="3857.375"/>
    <n v="19.538"/>
    <n v="21.863"/>
    <n v="1.8380000000000001"/>
    <n v="174.649"/>
    <n v="2.6669999999999998"/>
    <n v="6.9870000000000001"/>
    <n v="3.0920000000000001"/>
    <n v="67.105999999999995"/>
    <n v="85.656000000000006"/>
    <n v="4.3630000000000004"/>
    <n v="9.9000000000000005E-2"/>
    <n v="43"/>
    <n v="1.6E-2"/>
    <n v="0.65800000000000003"/>
    <n v="0.26800000000000002"/>
    <n v="7.8E-2"/>
    <n v="0.38100000000000001"/>
    <s v="含气层"/>
    <s v="马五41a"/>
    <x v="5"/>
    <n v="6"/>
    <s v="薄片"/>
    <n v="0.28400000000000003"/>
    <n v="-0.64200000000000002"/>
  </r>
  <r>
    <s v="延949"/>
    <n v="3857.5"/>
    <n v="18.423999999999999"/>
    <n v="22.006"/>
    <n v="1.6220000000000001"/>
    <n v="179.739"/>
    <n v="2.6779999999999999"/>
    <n v="7.1479999999999997"/>
    <n v="3.0680000000000001"/>
    <n v="69.227999999999994"/>
    <n v="89.200999999999993"/>
    <n v="4.2629999999999999"/>
    <n v="8.8999999999999996E-2"/>
    <n v="43.58"/>
    <n v="7.0000000000000001E-3"/>
    <n v="0.61399999999999999"/>
    <n v="0.33500000000000002"/>
    <n v="0.13300000000000001"/>
    <n v="0.40200000000000002"/>
    <s v="含气层"/>
    <s v="马五41a"/>
    <x v="5"/>
    <n v="6"/>
    <s v="薄片"/>
    <n v="0.34200000000000003"/>
    <n v="-0.60699999999999998"/>
  </r>
  <r>
    <s v="延949"/>
    <n v="3857.625"/>
    <n v="17.742000000000001"/>
    <n v="22.195"/>
    <n v="1.419"/>
    <n v="185.18"/>
    <n v="2.6960000000000002"/>
    <n v="7.298"/>
    <n v="3.0649999999999999"/>
    <n v="72.331000000000003"/>
    <n v="94.141000000000005"/>
    <n v="4.0060000000000002"/>
    <n v="6.9000000000000006E-2"/>
    <n v="45.468000000000004"/>
    <n v="1E-3"/>
    <n v="0.60399999999999998"/>
    <n v="0.40899999999999997"/>
    <n v="0.221"/>
    <n v="0.42199999999999999"/>
    <s v="含气层"/>
    <s v="马五41a"/>
    <x v="5"/>
    <n v="6"/>
    <s v="薄片"/>
    <n v="0.41"/>
    <n v="-0.60299999999999998"/>
  </r>
  <r>
    <s v="延949"/>
    <n v="3858.375"/>
    <n v="25.911999999999999"/>
    <n v="22.542999999999999"/>
    <n v="1.8580000000000001"/>
    <n v="177.827"/>
    <n v="2.7109999999999999"/>
    <n v="8.8849999999999998"/>
    <n v="2.9940000000000002"/>
    <n v="64.341999999999999"/>
    <n v="84.075999999999993"/>
    <n v="3.9369999999999998"/>
    <n v="6.3E-2"/>
    <n v="43.249000000000002"/>
    <n v="6.5000000000000002E-2"/>
    <n v="0.48799999999999999"/>
    <n v="0.32100000000000001"/>
    <n v="0.311"/>
    <n v="0.627"/>
    <s v="含气层"/>
    <s v="马五41a"/>
    <x v="5"/>
    <n v="8"/>
    <s v="薄片"/>
    <n v="0.38600000000000001"/>
    <n v="-0.42299999999999999"/>
  </r>
  <r>
    <s v="延949"/>
    <n v="3858.5"/>
    <n v="26.385999999999999"/>
    <n v="22.6"/>
    <n v="2.08"/>
    <n v="173.739"/>
    <n v="2.714"/>
    <n v="8.7799999999999994"/>
    <n v="2.9119999999999999"/>
    <n v="64.212000000000003"/>
    <n v="84.546999999999997"/>
    <n v="3.8420000000000001"/>
    <n v="5.7000000000000002E-2"/>
    <n v="43.018999999999998"/>
    <n v="7.0000000000000007E-2"/>
    <n v="0.33400000000000002"/>
    <n v="0.26500000000000001"/>
    <n v="0.32100000000000001"/>
    <n v="0.61899999999999999"/>
    <s v="含气层"/>
    <s v="马五41a"/>
    <x v="5"/>
    <n v="8"/>
    <s v="薄片"/>
    <n v="0.33500000000000002"/>
    <n v="-0.26400000000000001"/>
  </r>
  <r>
    <s v="延949"/>
    <n v="3858.625"/>
    <n v="26.25"/>
    <n v="22.672999999999998"/>
    <n v="2.25"/>
    <n v="168.82599999999999"/>
    <n v="2.7240000000000002"/>
    <n v="8.4649999999999999"/>
    <n v="2.8460000000000001"/>
    <n v="66.87"/>
    <n v="89.24"/>
    <n v="3.5"/>
    <n v="3.7999999999999999E-2"/>
    <n v="44.201999999999998"/>
    <n v="6.9000000000000006E-2"/>
    <n v="0.20799999999999999"/>
    <n v="0.19800000000000001"/>
    <n v="0.36899999999999999"/>
    <n v="0.58099999999999996"/>
    <s v="含气层"/>
    <s v="马五41a"/>
    <x v="5"/>
    <n v="8"/>
    <s v="薄片"/>
    <n v="0.26700000000000002"/>
    <n v="-0.13899999999999998"/>
  </r>
  <r>
    <s v="延949"/>
    <n v="3858.75"/>
    <n v="27.67"/>
    <n v="22.734000000000002"/>
    <n v="2.504"/>
    <n v="164.142"/>
    <n v="2.7410000000000001"/>
    <n v="8.1940000000000008"/>
    <n v="2.778"/>
    <n v="71.808000000000007"/>
    <n v="97.325999999999993"/>
    <n v="2.9569999999999999"/>
    <n v="1.9E-2"/>
    <n v="47.761000000000003"/>
    <n v="7.9000000000000001E-2"/>
    <n v="8.2000000000000003E-2"/>
    <n v="0.13300000000000001"/>
    <n v="0.45300000000000001"/>
    <n v="0.54500000000000004"/>
    <s v="含气层"/>
    <s v="马五41a"/>
    <x v="5"/>
    <n v="8"/>
    <s v="薄片"/>
    <n v="0.21200000000000002"/>
    <n v="-3.0000000000000027E-3"/>
  </r>
  <r>
    <s v="延949"/>
    <n v="3858.875"/>
    <n v="33.098999999999997"/>
    <n v="22.786999999999999"/>
    <n v="2.923"/>
    <n v="161.59700000000001"/>
    <n v="2.7589999999999999"/>
    <n v="8.0649999999999995"/>
    <n v="2.746"/>
    <n v="76.521000000000001"/>
    <n v="105.024"/>
    <n v="2.2309999999999999"/>
    <n v="6.0000000000000001E-3"/>
    <n v="58.247"/>
    <n v="0.12"/>
    <n v="1.4999999999999999E-2"/>
    <n v="9.5000000000000001E-2"/>
    <n v="0.54400000000000004"/>
    <n v="0.52600000000000002"/>
    <s v="含气层"/>
    <s v="马五41a"/>
    <x v="5"/>
    <n v="8"/>
    <s v="薄片"/>
    <n v="0.215"/>
    <n v="0.105"/>
  </r>
  <r>
    <s v="延949"/>
    <n v="3859"/>
    <n v="43.610999999999997"/>
    <n v="22.826000000000001"/>
    <n v="3.4689999999999999"/>
    <n v="162.512"/>
    <n v="2.7730000000000001"/>
    <n v="8.18"/>
    <n v="2.8210000000000002"/>
    <n v="78.17"/>
    <n v="108.05800000000001"/>
    <n v="0.96899999999999997"/>
    <n v="1E-3"/>
    <n v="82.216999999999999"/>
    <n v="0.20100000000000001"/>
    <n v="0.13500000000000001"/>
    <n v="0.10299999999999999"/>
    <n v="0.61799999999999999"/>
    <n v="0.53800000000000003"/>
    <s v="含气层"/>
    <s v="马五41b"/>
    <x v="5"/>
    <n v="8"/>
    <s v="薄片"/>
    <n v="0.30399999999999999"/>
    <n v="6.6000000000000003E-2"/>
  </r>
  <r>
    <s v="延949"/>
    <n v="3859.875"/>
    <n v="63.841999999999999"/>
    <n v="22.791"/>
    <n v="3.0169999999999999"/>
    <n v="171.374"/>
    <n v="2.782"/>
    <n v="6.6840000000000002"/>
    <n v="3.2360000000000002"/>
    <n v="159.345"/>
    <n v="242.87700000000001"/>
    <n v="0"/>
    <n v="0"/>
    <n v="100"/>
    <n v="0.379"/>
    <n v="0.92600000000000005"/>
    <n v="0.23100000000000001"/>
    <n v="0.66700000000000004"/>
    <n v="0.35299999999999998"/>
    <m/>
    <s v="马五41b"/>
    <x v="5"/>
    <n v="10"/>
    <s v="薄片"/>
    <n v="0.61"/>
    <n v="-0.54700000000000004"/>
  </r>
  <r>
    <s v="延949"/>
    <n v="3860"/>
    <n v="57.161999999999999"/>
    <n v="22.76"/>
    <n v="2.968"/>
    <n v="168.55"/>
    <n v="2.7890000000000001"/>
    <n v="6.2809999999999997"/>
    <n v="3.1960000000000002"/>
    <n v="207.75399999999999"/>
    <n v="320.75200000000001"/>
    <n v="0"/>
    <n v="0"/>
    <n v="100"/>
    <n v="0.32500000000000001"/>
    <n v="0.85499999999999998"/>
    <n v="0.192"/>
    <n v="0.70399999999999996"/>
    <n v="0.29699999999999999"/>
    <m/>
    <s v="马五41b"/>
    <x v="5"/>
    <n v="10"/>
    <s v="薄片"/>
    <n v="0.51700000000000002"/>
    <n v="-0.53"/>
  </r>
  <r>
    <s v="延949"/>
    <n v="3860.125"/>
    <n v="49.884"/>
    <n v="22.768999999999998"/>
    <n v="2.9580000000000002"/>
    <n v="166.38"/>
    <n v="2.798"/>
    <n v="6.1219999999999999"/>
    <n v="3.2240000000000002"/>
    <n v="262.98399999999998"/>
    <n v="411.779"/>
    <n v="0"/>
    <n v="0"/>
    <n v="100"/>
    <n v="0.26600000000000001"/>
    <n v="0.89400000000000002"/>
    <n v="0.161"/>
    <n v="0.749"/>
    <n v="0.27200000000000002"/>
    <m/>
    <s v="马五41b"/>
    <x v="5"/>
    <n v="10"/>
    <s v="薄片"/>
    <n v="0.42700000000000005"/>
    <n v="-0.628"/>
  </r>
  <r>
    <s v="延949"/>
    <n v="3860.25"/>
    <n v="43.552999999999997"/>
    <n v="22.803999999999998"/>
    <n v="2.891"/>
    <n v="164.75700000000001"/>
    <n v="2.8140000000000001"/>
    <n v="6.21"/>
    <n v="3.258"/>
    <n v="312.40600000000001"/>
    <n v="494.94"/>
    <n v="0"/>
    <n v="0"/>
    <n v="100"/>
    <n v="0.214"/>
    <n v="0.95599999999999996"/>
    <n v="0.13700000000000001"/>
    <n v="0.82699999999999996"/>
    <n v="0.28100000000000003"/>
    <m/>
    <s v="马五41b"/>
    <x v="5"/>
    <n v="10"/>
    <s v="薄片"/>
    <n v="0.35099999999999998"/>
    <n v="-0.74199999999999999"/>
  </r>
  <r>
    <s v="延1950"/>
    <n v="3811.625"/>
    <n v="35.808999999999997"/>
    <n v="21.878"/>
    <n v="1.905"/>
    <n v="164.559"/>
    <n v="2.8420000000000001"/>
    <n v="7.3620000000000001"/>
    <n v="3.2360000000000002"/>
    <n v="350.851"/>
    <n v="403.488"/>
    <n v="0.01"/>
    <n v="1E-3"/>
    <n v="100"/>
    <n v="0.14699999999999999"/>
    <n v="0.54700000000000004"/>
    <n v="0.11600000000000001"/>
    <n v="0.996"/>
    <n v="0.121"/>
    <m/>
    <s v="马五41b"/>
    <x v="5"/>
    <n v="10"/>
    <s v="薄片"/>
    <n v="0.26300000000000001"/>
    <n v="-0.4"/>
  </r>
  <r>
    <s v="延1950"/>
    <n v="3811.75"/>
    <n v="29.015000000000001"/>
    <n v="21.896000000000001"/>
    <n v="1.3740000000000001"/>
    <n v="161.15700000000001"/>
    <n v="2.843"/>
    <n v="6.2539999999999996"/>
    <n v="3.2429999999999999"/>
    <n v="376.36"/>
    <n v="436.3"/>
    <n v="0.01"/>
    <n v="1E-3"/>
    <n v="100"/>
    <n v="0.108"/>
    <n v="0.56799999999999995"/>
    <n v="6.6000000000000003E-2"/>
    <n v="0.99299999999999999"/>
    <n v="8.6999999999999994E-2"/>
    <m/>
    <s v="马五41b"/>
    <x v="5"/>
    <n v="10"/>
    <s v="薄片"/>
    <n v="0.17399999999999999"/>
    <n v="-0.45999999999999996"/>
  </r>
  <r>
    <s v="延1950"/>
    <n v="3811.875"/>
    <n v="28.503"/>
    <n v="21.916"/>
    <n v="1.1759999999999999"/>
    <n v="159.25399999999999"/>
    <n v="2.84"/>
    <n v="6.2350000000000003"/>
    <n v="3.2810000000000001"/>
    <n v="351.66800000000001"/>
    <n v="409.79399999999998"/>
    <n v="0.01"/>
    <n v="1E-3"/>
    <n v="100"/>
    <n v="0.11899999999999999"/>
    <n v="0.61399999999999999"/>
    <n v="4.2999999999999997E-2"/>
    <n v="0.96199999999999997"/>
    <n v="0.10299999999999999"/>
    <m/>
    <s v="马五41b"/>
    <x v="5"/>
    <n v="10"/>
    <s v="薄片"/>
    <n v="0.16199999999999998"/>
    <n v="-0.495"/>
  </r>
  <r>
    <s v="延1950"/>
    <n v="3812"/>
    <n v="32.838000000000001"/>
    <n v="21.931000000000001"/>
    <n v="1.2689999999999999"/>
    <n v="158.91900000000001"/>
    <n v="2.8330000000000002"/>
    <n v="7.149"/>
    <n v="3.323"/>
    <n v="292.654"/>
    <n v="341.28899999999999"/>
    <n v="0.01"/>
    <n v="1E-3"/>
    <n v="100"/>
    <n v="0.16800000000000001"/>
    <n v="0.66200000000000003"/>
    <n v="4.5999999999999999E-2"/>
    <n v="0.89800000000000002"/>
    <n v="0.16"/>
    <m/>
    <s v="马五41b"/>
    <x v="5"/>
    <n v="10"/>
    <s v="薄片"/>
    <n v="0.21400000000000002"/>
    <n v="-0.49399999999999999"/>
  </r>
  <r>
    <s v="延1950"/>
    <n v="3812.125"/>
    <n v="40.540999999999997"/>
    <n v="21.939"/>
    <n v="1.49"/>
    <n v="159.90199999999999"/>
    <n v="2.819"/>
    <n v="8.8190000000000008"/>
    <n v="3.3620000000000001"/>
    <n v="230.77600000000001"/>
    <n v="268.56200000000001"/>
    <n v="0.01"/>
    <n v="1E-3"/>
    <n v="100"/>
    <n v="0.248"/>
    <n v="0.69699999999999995"/>
    <n v="7.0000000000000007E-2"/>
    <n v="0.80100000000000005"/>
    <n v="0.25"/>
    <m/>
    <s v="马五41b"/>
    <x v="5"/>
    <n v="10"/>
    <s v="薄片"/>
    <n v="0.318"/>
    <n v="-0.44899999999999995"/>
  </r>
  <r>
    <s v="延1952"/>
    <n v="3920.125"/>
    <n v="27.12"/>
    <n v="22.388999999999999"/>
    <n v="0.83199999999999996"/>
    <n v="179.642"/>
    <n v="2.6619999999999999"/>
    <n v="6.1879999999999997"/>
    <n v="3.419"/>
    <n v="57.015999999999998"/>
    <n v="63.665999999999997"/>
    <n v="3.2090000000000001"/>
    <n v="0.01"/>
    <n v="85.984999999999999"/>
    <n v="5.8999999999999997E-2"/>
    <n v="0.52600000000000002"/>
    <n v="0.78400000000000003"/>
    <n v="0.29199999999999998"/>
    <n v="0.28100000000000003"/>
    <s v="含气层"/>
    <s v="马五41a"/>
    <x v="5"/>
    <n v="3"/>
    <s v="薄片"/>
    <n v="0.84299999999999997"/>
    <n v="-0.46700000000000003"/>
  </r>
  <r>
    <s v="延1952"/>
    <n v="3920.25"/>
    <n v="25.916"/>
    <n v="22.466999999999999"/>
    <n v="0.79200000000000004"/>
    <n v="182.23400000000001"/>
    <n v="2.637"/>
    <n v="7.5970000000000004"/>
    <n v="3.331"/>
    <n v="41.944000000000003"/>
    <n v="46.838999999999999"/>
    <n v="4.819"/>
    <n v="1.7999999999999999E-2"/>
    <n v="60.905999999999999"/>
    <n v="4.5999999999999999E-2"/>
    <n v="0.46400000000000002"/>
    <n v="0.86899999999999999"/>
    <n v="0.16500000000000001"/>
    <n v="0.40699999999999997"/>
    <s v="含气层"/>
    <s v="马五41a"/>
    <x v="5"/>
    <n v="3"/>
    <s v="薄片"/>
    <n v="0.91500000000000004"/>
    <n v="-0.41800000000000004"/>
  </r>
  <r>
    <s v="延1952"/>
    <n v="3920.375"/>
    <n v="24.74"/>
    <n v="22.506"/>
    <n v="0.73399999999999999"/>
    <n v="183.53399999999999"/>
    <n v="2.6190000000000002"/>
    <n v="8.83"/>
    <n v="3.2570000000000001"/>
    <n v="34.154000000000003"/>
    <n v="38.140999999999998"/>
    <n v="5.851"/>
    <n v="4.2000000000000003E-2"/>
    <n v="52.136000000000003"/>
    <n v="3.5000000000000003E-2"/>
    <n v="0.41099999999999998"/>
    <n v="0.91800000000000004"/>
    <n v="6.8000000000000005E-2"/>
    <n v="0.52400000000000002"/>
    <s v="含气层"/>
    <s v="马五41a"/>
    <x v="5"/>
    <n v="3"/>
    <s v="薄片"/>
    <n v="0.95300000000000007"/>
    <n v="-0.376"/>
  </r>
  <r>
    <s v="延1952"/>
    <n v="3920.5"/>
    <n v="23.568999999999999"/>
    <n v="22.498000000000001"/>
    <n v="0.72099999999999997"/>
    <n v="183.291"/>
    <n v="2.61"/>
    <n v="9.73"/>
    <n v="3.1970000000000001"/>
    <n v="29.457999999999998"/>
    <n v="32.896000000000001"/>
    <n v="6.8529999999999998"/>
    <n v="8.3000000000000004E-2"/>
    <n v="47.192999999999998"/>
    <n v="2.5000000000000001E-2"/>
    <n v="0.36699999999999999"/>
    <n v="0.92"/>
    <n v="1.4E-2"/>
    <n v="0.61299999999999999"/>
    <s v="含气层"/>
    <s v="马五41a"/>
    <x v="5"/>
    <n v="3"/>
    <s v="薄片"/>
    <n v="0.94500000000000006"/>
    <n v="-0.34199999999999997"/>
  </r>
  <r>
    <s v="延1952"/>
    <n v="3920.625"/>
    <n v="23.209"/>
    <n v="22.454000000000001"/>
    <n v="0.78100000000000003"/>
    <n v="181.792"/>
    <n v="2.609"/>
    <n v="10.377000000000001"/>
    <n v="3.1459999999999999"/>
    <n v="26.742000000000001"/>
    <n v="29.863"/>
    <n v="7.4279999999999999"/>
    <n v="0.114"/>
    <n v="46.744"/>
    <n v="0.02"/>
    <n v="0.33100000000000002"/>
    <n v="0.88100000000000001"/>
    <n v="1E-3"/>
    <n v="0.67700000000000005"/>
    <s v="含气层"/>
    <s v="马五41a"/>
    <x v="5"/>
    <n v="3"/>
    <s v="薄片"/>
    <n v="0.90100000000000002"/>
    <n v="-0.311"/>
  </r>
  <r>
    <s v="延1952"/>
    <n v="3920.75"/>
    <n v="23.486999999999998"/>
    <n v="22.393999999999998"/>
    <n v="0.83199999999999996"/>
    <n v="179.79499999999999"/>
    <n v="2.6139999999999999"/>
    <n v="10.779"/>
    <n v="3.101"/>
    <n v="26.593"/>
    <n v="29.696000000000002"/>
    <n v="7.3920000000000003"/>
    <n v="0.112"/>
    <n v="48.308"/>
    <n v="2.1000000000000001E-2"/>
    <n v="0.29899999999999999"/>
    <n v="0.82099999999999995"/>
    <n v="0.02"/>
    <n v="0.71799999999999997"/>
    <s v="含气层"/>
    <s v="马五41a"/>
    <x v="5"/>
    <n v="3"/>
    <s v="薄片"/>
    <n v="0.84199999999999997"/>
    <n v="-0.27799999999999997"/>
  </r>
  <r>
    <s v="延1952"/>
    <n v="3920.875"/>
    <n v="23.628"/>
    <n v="22.343"/>
    <n v="0.84199999999999997"/>
    <n v="178.10400000000001"/>
    <n v="2.6219999999999999"/>
    <n v="10.888999999999999"/>
    <n v="3.0649999999999999"/>
    <n v="28.385999999999999"/>
    <n v="31.698"/>
    <n v="7.3449999999999998"/>
    <n v="0.108"/>
    <n v="47.448"/>
    <n v="2.3E-2"/>
    <n v="0.27300000000000002"/>
    <n v="0.76500000000000001"/>
    <n v="5.7000000000000002E-2"/>
    <n v="0.73399999999999999"/>
    <s v="含气层"/>
    <s v="马五41a"/>
    <x v="5"/>
    <n v="3"/>
    <s v="薄片"/>
    <n v="0.78800000000000003"/>
    <n v="-0.25"/>
  </r>
  <r>
    <s v="延1952"/>
    <n v="3921"/>
    <n v="23.341999999999999"/>
    <n v="22.311"/>
    <n v="0.85799999999999998"/>
    <n v="177.03800000000001"/>
    <n v="2.6349999999999998"/>
    <n v="10.739000000000001"/>
    <n v="3.04"/>
    <n v="30.826000000000001"/>
    <n v="34.423000000000002"/>
    <n v="7.2640000000000002"/>
    <n v="0.10299999999999999"/>
    <n v="43.420999999999999"/>
    <n v="2.1000000000000001E-2"/>
    <n v="0.255"/>
    <n v="0.72799999999999998"/>
    <n v="0.11700000000000001"/>
    <n v="0.72499999999999998"/>
    <s v="含气层"/>
    <s v="马五41a"/>
    <x v="5"/>
    <n v="3"/>
    <s v="薄片"/>
    <n v="0.749"/>
    <n v="-0.23400000000000001"/>
  </r>
  <r>
    <s v="延1952"/>
    <n v="3921.125"/>
    <n v="22.187000000000001"/>
    <n v="22.292000000000002"/>
    <n v="0.93799999999999994"/>
    <n v="176.387"/>
    <n v="2.6509999999999998"/>
    <n v="10.439"/>
    <n v="3.032"/>
    <n v="34.902000000000001"/>
    <n v="38.975000000000001"/>
    <n v="7.17"/>
    <n v="9.7000000000000003E-2"/>
    <n v="38.843000000000004"/>
    <n v="1.2E-2"/>
    <n v="0.247"/>
    <n v="0.70499999999999996"/>
    <n v="0.19400000000000001"/>
    <n v="0.7"/>
    <s v="含气层"/>
    <s v="马五41a"/>
    <x v="5"/>
    <n v="3"/>
    <s v="薄片"/>
    <n v="0.71699999999999997"/>
    <n v="-0.23499999999999999"/>
  </r>
  <r>
    <s v="延1952"/>
    <n v="3921.25"/>
    <n v="21.141999999999999"/>
    <n v="22.27"/>
    <n v="1.0940000000000001"/>
    <n v="175.67099999999999"/>
    <n v="2.67"/>
    <n v="10.039"/>
    <n v="3.0430000000000001"/>
    <n v="43.337000000000003"/>
    <n v="48.395000000000003"/>
    <n v="6.7320000000000002"/>
    <n v="7.6999999999999999E-2"/>
    <n v="39.423000000000002"/>
    <n v="2E-3"/>
    <n v="0.252"/>
    <n v="0.68200000000000005"/>
    <n v="0.28599999999999998"/>
    <n v="0.66500000000000004"/>
    <s v="含气层"/>
    <s v="马五41a"/>
    <x v="5"/>
    <n v="3"/>
    <s v="薄片"/>
    <n v="0.68400000000000005"/>
    <n v="-0.25"/>
  </r>
  <r>
    <s v="延1952"/>
    <n v="3921.375"/>
    <n v="21.468"/>
    <n v="22.234000000000002"/>
    <n v="1.3009999999999999"/>
    <n v="174.45500000000001"/>
    <n v="2.69"/>
    <n v="9.5310000000000006"/>
    <n v="3.0720000000000001"/>
    <n v="56.866999999999997"/>
    <n v="63.506999999999998"/>
    <n v="6.0810000000000004"/>
    <n v="4.7E-2"/>
    <n v="40.813000000000002"/>
    <n v="2E-3"/>
    <n v="0.26900000000000002"/>
    <n v="0.64700000000000002"/>
    <n v="0.38500000000000001"/>
    <n v="0.62"/>
    <s v="含气层"/>
    <s v="马五41a"/>
    <x v="5"/>
    <n v="3"/>
    <s v="薄片"/>
    <n v="0.64900000000000002"/>
    <n v="-0.26700000000000002"/>
  </r>
  <r>
    <s v="延1952"/>
    <n v="3921.5"/>
    <n v="22.811"/>
    <n v="22.178000000000001"/>
    <n v="1.464"/>
    <n v="172.59"/>
    <n v="2.7109999999999999"/>
    <n v="8.9559999999999995"/>
    <n v="3.1179999999999999"/>
    <n v="73.534000000000006"/>
    <n v="82.122"/>
    <n v="5.5369999999999999"/>
    <n v="3.4000000000000002E-2"/>
    <n v="40.512"/>
    <n v="1.2999999999999999E-2"/>
    <n v="0.29899999999999999"/>
    <n v="0.59199999999999997"/>
    <n v="0.48899999999999999"/>
    <n v="0.56899999999999995"/>
    <s v="含气层"/>
    <s v="马五41a"/>
    <x v="5"/>
    <n v="3"/>
    <s v="薄片"/>
    <n v="0.60499999999999998"/>
    <n v="-0.28599999999999998"/>
  </r>
  <r>
    <s v="延1952"/>
    <n v="3921.625"/>
    <n v="23.844999999999999"/>
    <n v="22.103999999999999"/>
    <n v="1.5029999999999999"/>
    <n v="170.137"/>
    <n v="2.73"/>
    <n v="8.4"/>
    <n v="3.1739999999999999"/>
    <n v="95.733000000000004"/>
    <n v="106.91500000000001"/>
    <n v="4.4290000000000003"/>
    <n v="1.4E-2"/>
    <n v="44.918999999999997"/>
    <n v="2.3E-2"/>
    <n v="0.33600000000000002"/>
    <n v="0.51800000000000002"/>
    <n v="0.58599999999999997"/>
    <n v="0.51700000000000002"/>
    <s v="含气层"/>
    <s v="马五41a"/>
    <x v="5"/>
    <n v="3"/>
    <s v="薄片"/>
    <n v="0.54100000000000004"/>
    <n v="-0.313"/>
  </r>
  <r>
    <s v="延1952"/>
    <n v="3924.375"/>
    <n v="34.362000000000002"/>
    <n v="21.919"/>
    <n v="1.2949999999999999"/>
    <n v="163.982"/>
    <n v="2.7639999999999998"/>
    <n v="8.9860000000000007"/>
    <n v="3.0630000000000002"/>
    <n v="1623.421"/>
    <n v="1812.2159999999999"/>
    <n v="0.01"/>
    <n v="1E-3"/>
    <n v="100"/>
    <n v="0.14499999999999999"/>
    <n v="0.27400000000000002"/>
    <n v="0.314"/>
    <n v="0.78200000000000003"/>
    <n v="0.57199999999999995"/>
    <m/>
    <s v="马五41b"/>
    <x v="5"/>
    <n v="7"/>
    <s v="薄片"/>
    <n v="0.45899999999999996"/>
    <n v="-0.12900000000000003"/>
  </r>
  <r>
    <s v="延1952"/>
    <n v="3924.5"/>
    <n v="27.675000000000001"/>
    <n v="21.876999999999999"/>
    <n v="1.2749999999999999"/>
    <n v="162.577"/>
    <n v="2.762"/>
    <n v="8.2219999999999995"/>
    <n v="3.0139999999999998"/>
    <n v="1675.857"/>
    <n v="1866.9839999999999"/>
    <n v="0.01"/>
    <n v="1E-3"/>
    <n v="100"/>
    <n v="7.2999999999999995E-2"/>
    <n v="0.24"/>
    <n v="0.27300000000000002"/>
    <n v="0.76700000000000002"/>
    <n v="0.505"/>
    <m/>
    <s v="马五41b"/>
    <x v="5"/>
    <n v="7"/>
    <s v="薄片"/>
    <n v="0.34600000000000003"/>
    <n v="-0.16699999999999998"/>
  </r>
  <r>
    <s v="延1952"/>
    <n v="3924.625"/>
    <n v="26.294"/>
    <n v="21.827999999999999"/>
    <n v="1.304"/>
    <n v="160.93799999999999"/>
    <n v="2.7669999999999999"/>
    <n v="7.5759999999999996"/>
    <n v="2.9609999999999999"/>
    <n v="1612.2449999999999"/>
    <n v="1788.62"/>
    <n v="0.01"/>
    <n v="1E-3"/>
    <n v="100"/>
    <n v="0.05"/>
    <n v="0.20399999999999999"/>
    <n v="0.223"/>
    <n v="0.78500000000000003"/>
    <n v="0.443"/>
    <m/>
    <s v="马五41b"/>
    <x v="5"/>
    <n v="7"/>
    <s v="薄片"/>
    <n v="0.27300000000000002"/>
    <n v="-0.15399999999999997"/>
  </r>
  <r>
    <s v="延1952"/>
    <n v="3924.75"/>
    <n v="27.824999999999999"/>
    <n v="21.789000000000001"/>
    <n v="1.4319999999999999"/>
    <n v="159.63399999999999"/>
    <n v="2.7770000000000001"/>
    <n v="7.1070000000000002"/>
    <n v="2.9"/>
    <n v="1482.8309999999999"/>
    <n v="1639.6880000000001"/>
    <n v="0.01"/>
    <n v="1E-3"/>
    <n v="100"/>
    <n v="5.8999999999999997E-2"/>
    <n v="0.16300000000000001"/>
    <n v="0.17899999999999999"/>
    <n v="0.83"/>
    <n v="0.39700000000000002"/>
    <m/>
    <s v="马五41b"/>
    <x v="5"/>
    <n v="7"/>
    <s v="薄片"/>
    <n v="0.23799999999999999"/>
    <n v="-0.10400000000000001"/>
  </r>
  <r>
    <s v="延959"/>
    <n v="3868.75"/>
    <n v="49.319000000000003"/>
    <n v="21.710999999999999"/>
    <n v="3.2360000000000002"/>
    <n v="169.49199999999999"/>
    <n v="2.657"/>
    <n v="12.461"/>
    <n v="3.8109999999999999"/>
    <n v="91.686999999999998"/>
    <n v="101.875"/>
    <n v="0"/>
    <n v="0"/>
    <n v="100"/>
    <n v="0.28599999999999998"/>
    <n v="0.55500000000000005"/>
    <n v="0.20799999999999999"/>
    <n v="5.5E-2"/>
    <n v="0.70399999999999996"/>
    <m/>
    <s v="马五41a"/>
    <x v="5"/>
    <n v="2"/>
    <m/>
    <n v="0.49399999999999999"/>
    <n v="-0.26900000000000007"/>
  </r>
  <r>
    <s v="延959"/>
    <n v="3868.875"/>
    <n v="32.229999999999997"/>
    <n v="21.568999999999999"/>
    <n v="2.0449999999999999"/>
    <n v="162.90799999999999"/>
    <n v="2.6760000000000002"/>
    <n v="12.087"/>
    <n v="3.6549999999999998"/>
    <n v="87.108000000000004"/>
    <n v="96.786000000000001"/>
    <n v="0"/>
    <n v="0"/>
    <n v="100"/>
    <n v="0.13800000000000001"/>
    <n v="0.46600000000000003"/>
    <n v="0.122"/>
    <n v="0.17100000000000001"/>
    <n v="0.65"/>
    <m/>
    <s v="马五41a"/>
    <x v="5"/>
    <n v="2"/>
    <m/>
    <n v="0.26"/>
    <n v="-0.32800000000000001"/>
  </r>
  <r>
    <s v="延959"/>
    <n v="3869"/>
    <n v="22.108000000000001"/>
    <n v="21.605"/>
    <n v="1.504"/>
    <n v="160.762"/>
    <n v="2.6989999999999998"/>
    <n v="11.170999999999999"/>
    <n v="3.4860000000000002"/>
    <n v="83.001999999999995"/>
    <n v="92.224000000000004"/>
    <n v="0.83899999999999997"/>
    <n v="4.2000000000000003E-2"/>
    <n v="87.028000000000006"/>
    <n v="5.5E-2"/>
    <n v="0.38800000000000001"/>
    <n v="0.108"/>
    <n v="0.29099999999999998"/>
    <n v="0.56699999999999995"/>
    <m/>
    <s v="马五41a"/>
    <x v="5"/>
    <n v="2"/>
    <m/>
    <n v="0.16300000000000001"/>
    <n v="-0.33300000000000002"/>
  </r>
  <r>
    <s v="延959"/>
    <n v="3869.125"/>
    <n v="17.626000000000001"/>
    <n v="21.782"/>
    <n v="1.403"/>
    <n v="163.14500000000001"/>
    <n v="2.714"/>
    <n v="10.574"/>
    <n v="3.419"/>
    <n v="76.42"/>
    <n v="84.911000000000001"/>
    <n v="4.2069999999999999"/>
    <n v="0.20899999999999999"/>
    <n v="35.415999999999997"/>
    <n v="1.9E-2"/>
    <n v="0.35899999999999999"/>
    <n v="0.14699999999999999"/>
    <n v="0.35899999999999999"/>
    <n v="0.52300000000000002"/>
    <s v="含气层"/>
    <s v="马五41a"/>
    <x v="5"/>
    <n v="2"/>
    <m/>
    <n v="0.16599999999999998"/>
    <n v="-0.33999999999999997"/>
  </r>
  <r>
    <s v="延959"/>
    <n v="3869.25"/>
    <n v="16.116"/>
    <n v="21.998000000000001"/>
    <n v="1.3819999999999999"/>
    <n v="165.59299999999999"/>
    <n v="2.718"/>
    <n v="10.535"/>
    <n v="3.4039999999999999"/>
    <n v="67.415999999999997"/>
    <n v="74.906000000000006"/>
    <n v="4.194"/>
    <n v="0.20699999999999999"/>
    <n v="38.101999999999997"/>
    <n v="7.0000000000000001E-3"/>
    <n v="0.35199999999999998"/>
    <n v="0.17899999999999999"/>
    <n v="0.377"/>
    <n v="0.51800000000000002"/>
    <s v="含气层"/>
    <s v="马五41a"/>
    <x v="5"/>
    <n v="2"/>
    <m/>
    <n v="0.186"/>
    <n v="-0.34499999999999997"/>
  </r>
  <r>
    <s v="延959"/>
    <n v="3869.375"/>
    <n v="15.5"/>
    <n v="22.178999999999998"/>
    <n v="1.3939999999999999"/>
    <n v="166.458"/>
    <n v="2.7189999999999999"/>
    <n v="10.476000000000001"/>
    <n v="3.399"/>
    <n v="59.287999999999997"/>
    <n v="65.876999999999995"/>
    <n v="4.2030000000000003"/>
    <n v="0.20899999999999999"/>
    <n v="40.841999999999999"/>
    <n v="3.0000000000000001E-3"/>
    <n v="0.35099999999999998"/>
    <n v="0.19"/>
    <n v="0.377"/>
    <n v="0.50900000000000001"/>
    <s v="含气层"/>
    <s v="马五41a"/>
    <x v="5"/>
    <n v="2"/>
    <m/>
    <n v="0.193"/>
    <n v="-0.34799999999999998"/>
  </r>
  <r>
    <s v="延959"/>
    <n v="3869.5"/>
    <n v="15.519"/>
    <n v="22.25"/>
    <n v="1.4279999999999999"/>
    <n v="166.64599999999999"/>
    <n v="2.7160000000000002"/>
    <n v="10.321999999999999"/>
    <n v="3.4039999999999999"/>
    <n v="53.93"/>
    <n v="59.921999999999997"/>
    <n v="4.1890000000000001"/>
    <n v="0.20599999999999999"/>
    <n v="43.143000000000001"/>
    <n v="5.0000000000000001E-3"/>
    <n v="0.35299999999999998"/>
    <n v="0.189"/>
    <n v="0.35899999999999999"/>
    <n v="0.49299999999999999"/>
    <s v="含气层"/>
    <s v="马五41a"/>
    <x v="5"/>
    <n v="2"/>
    <m/>
    <n v="0.19400000000000001"/>
    <n v="-0.34799999999999998"/>
  </r>
  <r>
    <s v="延959"/>
    <n v="3869.625"/>
    <n v="16.431999999999999"/>
    <n v="22.137"/>
    <n v="1.53"/>
    <n v="165.869"/>
    <n v="2.7130000000000001"/>
    <n v="10.138"/>
    <n v="3.4020000000000001"/>
    <n v="51.643999999999998"/>
    <n v="57.381999999999998"/>
    <n v="4.0970000000000004"/>
    <n v="0.187"/>
    <n v="45.015000000000001"/>
    <n v="1.6E-2"/>
    <n v="0.35299999999999998"/>
    <n v="0.16900000000000001"/>
    <n v="0.35"/>
    <n v="0.47499999999999998"/>
    <s v="含气层"/>
    <s v="马五41a"/>
    <x v="5"/>
    <n v="2"/>
    <m/>
    <n v="0.185"/>
    <n v="-0.33699999999999997"/>
  </r>
  <r>
    <s v="延959"/>
    <n v="3869.75"/>
    <n v="17.808"/>
    <n v="21.841999999999999"/>
    <n v="1.7210000000000001"/>
    <n v="163.447"/>
    <n v="2.7149999999999999"/>
    <n v="9.9879999999999995"/>
    <n v="3.4089999999999998"/>
    <n v="51.798000000000002"/>
    <n v="57.552999999999997"/>
    <n v="3.867"/>
    <n v="0.14599999999999999"/>
    <n v="47.155999999999999"/>
    <n v="2.9000000000000001E-2"/>
    <n v="0.36199999999999999"/>
    <n v="0.13"/>
    <n v="0.377"/>
    <n v="0.46300000000000002"/>
    <s v="含气层"/>
    <s v="马五41a"/>
    <x v="5"/>
    <n v="2"/>
    <m/>
    <n v="0.159"/>
    <n v="-0.33299999999999996"/>
  </r>
  <r>
    <s v="延959"/>
    <n v="3869.875"/>
    <n v="18.995999999999999"/>
    <n v="21.489000000000001"/>
    <n v="1.9530000000000001"/>
    <n v="161.30000000000001"/>
    <n v="2.726"/>
    <n v="9.93"/>
    <n v="3.4460000000000002"/>
    <n v="54.097000000000001"/>
    <n v="60.106999999999999"/>
    <n v="3.5150000000000001"/>
    <n v="9.6000000000000002E-2"/>
    <n v="49.798000000000002"/>
    <n v="3.9E-2"/>
    <n v="0.38"/>
    <n v="0.105"/>
    <n v="0.44700000000000001"/>
    <n v="0.46100000000000002"/>
    <s v="含气层"/>
    <s v="马五41a"/>
    <x v="5"/>
    <n v="2"/>
    <m/>
    <n v="0.14399999999999999"/>
    <n v="-0.34100000000000003"/>
  </r>
  <r>
    <s v="延959"/>
    <n v="3870"/>
    <n v="19.734999999999999"/>
    <n v="21.193999999999999"/>
    <n v="2.1469999999999998"/>
    <n v="161.21799999999999"/>
    <n v="2.7410000000000001"/>
    <n v="10.002000000000001"/>
    <n v="3.472"/>
    <n v="57.261000000000003"/>
    <n v="63.624000000000002"/>
    <n v="3.1760000000000002"/>
    <n v="6.2E-2"/>
    <n v="52.414000000000001"/>
    <n v="4.5999999999999999E-2"/>
    <n v="0.375"/>
    <n v="0.105"/>
    <n v="0.52900000000000003"/>
    <n v="0.46899999999999997"/>
    <s v="含气层"/>
    <s v="马五41a"/>
    <x v="5"/>
    <n v="2"/>
    <m/>
    <n v="0.151"/>
    <n v="-0.32900000000000001"/>
  </r>
  <r>
    <s v="延959"/>
    <n v="3870.125"/>
    <n v="20.286999999999999"/>
    <n v="20.94"/>
    <n v="2.2759999999999998"/>
    <n v="161.43299999999999"/>
    <n v="2.7530000000000001"/>
    <n v="10.113"/>
    <n v="3.3719999999999999"/>
    <n v="59.113"/>
    <n v="65.680999999999997"/>
    <n v="2.927"/>
    <n v="4.2999999999999997E-2"/>
    <n v="55.07"/>
    <n v="5.0999999999999997E-2"/>
    <n v="0.30099999999999999"/>
    <n v="0.104"/>
    <n v="0.59499999999999997"/>
    <n v="0.47499999999999998"/>
    <s v="含气层"/>
    <s v="马五41a"/>
    <x v="5"/>
    <n v="2"/>
    <m/>
    <n v="0.155"/>
    <n v="-0.25"/>
  </r>
  <r>
    <s v="延959"/>
    <n v="3870.25"/>
    <n v="20.79"/>
    <n v="20.765999999999998"/>
    <n v="2.35"/>
    <n v="160.68"/>
    <n v="2.7629999999999999"/>
    <n v="10.057"/>
    <n v="3.1579999999999999"/>
    <n v="58.198999999999998"/>
    <n v="64.665999999999997"/>
    <n v="2.66"/>
    <n v="2.8000000000000001E-2"/>
    <n v="60.234999999999999"/>
    <n v="5.3999999999999999E-2"/>
    <n v="0.20799999999999999"/>
    <n v="9.0999999999999998E-2"/>
    <n v="0.65600000000000003"/>
    <n v="0.46200000000000002"/>
    <s v="含气层"/>
    <s v="马五41a"/>
    <x v="5"/>
    <n v="2"/>
    <m/>
    <n v="0.14499999999999999"/>
    <n v="-0.154"/>
  </r>
  <r>
    <s v="延959"/>
    <n v="3871"/>
    <n v="17.186"/>
    <n v="20.634"/>
    <n v="2.105"/>
    <n v="156.892"/>
    <n v="2.7490000000000001"/>
    <n v="9.4450000000000003"/>
    <n v="2.7709999999999999"/>
    <n v="45.514000000000003"/>
    <n v="50.570999999999998"/>
    <n v="2.887"/>
    <n v="4.2000000000000003E-2"/>
    <n v="64.677000000000007"/>
    <n v="1.6E-2"/>
    <n v="8.9999999999999993E-3"/>
    <n v="3.5999999999999997E-2"/>
    <n v="0.53300000000000003"/>
    <n v="0.41199999999999998"/>
    <s v="含气层"/>
    <s v="马五41a"/>
    <x v="5"/>
    <n v="2"/>
    <m/>
    <n v="5.1999999999999998E-2"/>
    <n v="7.000000000000001E-3"/>
  </r>
  <r>
    <s v="延959"/>
    <n v="3871.125"/>
    <n v="16.141999999999999"/>
    <n v="20.722999999999999"/>
    <n v="2.1040000000000001"/>
    <n v="157.364"/>
    <n v="2.7360000000000002"/>
    <n v="9.5299999999999994"/>
    <n v="2.827"/>
    <n v="45.209000000000003"/>
    <n v="50.231999999999999"/>
    <n v="3.2679999999999998"/>
    <n v="6.9000000000000006E-2"/>
    <n v="58.384999999999998"/>
    <n v="7.0000000000000001E-3"/>
    <n v="5.8000000000000003E-2"/>
    <n v="4.3999999999999997E-2"/>
    <n v="0.47599999999999998"/>
    <n v="0.41099999999999998"/>
    <s v="含气层"/>
    <s v="马五41a"/>
    <x v="5"/>
    <n v="2"/>
    <m/>
    <n v="5.0999999999999997E-2"/>
    <n v="-5.1000000000000004E-2"/>
  </r>
  <r>
    <s v="延959"/>
    <n v="3871.25"/>
    <n v="15.34"/>
    <n v="20.817"/>
    <n v="2.077"/>
    <n v="157.88399999999999"/>
    <n v="2.734"/>
    <n v="9.2959999999999994"/>
    <n v="2.996"/>
    <n v="45.962000000000003"/>
    <n v="51.069000000000003"/>
    <n v="3.246"/>
    <n v="6.9000000000000006E-2"/>
    <n v="58.38"/>
    <n v="1E-3"/>
    <n v="0.16"/>
    <n v="5.6000000000000001E-2"/>
    <n v="0.48299999999999998"/>
    <n v="0.375"/>
    <s v="含气层"/>
    <s v="马五41a"/>
    <x v="5"/>
    <n v="2"/>
    <m/>
    <n v="5.7000000000000002E-2"/>
    <n v="-0.159"/>
  </r>
  <r>
    <s v="延959"/>
    <n v="3871.375"/>
    <n v="15.234999999999999"/>
    <n v="20.867000000000001"/>
    <n v="2.0190000000000001"/>
    <n v="159.13399999999999"/>
    <n v="2.7429999999999999"/>
    <n v="8.625"/>
    <n v="3.2090000000000001"/>
    <n v="47.125"/>
    <n v="52.360999999999997"/>
    <n v="2.7160000000000002"/>
    <n v="3.5000000000000003E-2"/>
    <n v="67.376999999999995"/>
    <n v="1E-3"/>
    <n v="0.26400000000000001"/>
    <n v="7.2999999999999995E-2"/>
    <n v="0.54500000000000004"/>
    <n v="0.307"/>
    <s v="含气层"/>
    <s v="马五41a"/>
    <x v="5"/>
    <n v="2"/>
    <m/>
    <n v="7.3999999999999996E-2"/>
    <n v="-0.26300000000000001"/>
  </r>
  <r>
    <s v="延959"/>
    <n v="3871.5"/>
    <n v="15.635"/>
    <n v="20.893000000000001"/>
    <n v="1.925"/>
    <n v="159.673"/>
    <n v="2.758"/>
    <n v="7.9770000000000003"/>
    <n v="3.3330000000000002"/>
    <n v="48.941000000000003"/>
    <n v="54.378999999999998"/>
    <n v="2.0699999999999998"/>
    <n v="0.01"/>
    <n v="81.486000000000004"/>
    <n v="6.0000000000000001E-3"/>
    <n v="0.32700000000000001"/>
    <n v="7.8E-2"/>
    <n v="0.622"/>
    <n v="0.254"/>
    <s v="含气层"/>
    <s v="马五41a"/>
    <x v="5"/>
    <n v="2"/>
    <m/>
    <n v="8.4000000000000005E-2"/>
    <n v="-0.32100000000000001"/>
  </r>
  <r>
    <s v="延990"/>
    <n v="3726.125"/>
    <n v="21.187999999999999"/>
    <n v="22.402999999999999"/>
    <n v="2.2570000000000001"/>
    <n v="193.57400000000001"/>
    <n v="2.7669999999999999"/>
    <n v="8.5340000000000007"/>
    <n v="3.2519999999999998"/>
    <n v="517.34299999999996"/>
    <n v="605.11"/>
    <n v="0.01"/>
    <n v="1E-3"/>
    <n v="100"/>
    <n v="0.114"/>
    <n v="0.39"/>
    <n v="0.58199999999999996"/>
    <n v="0.27400000000000002"/>
    <n v="0.60299999999999998"/>
    <m/>
    <s v="马五41b"/>
    <x v="5"/>
    <n v="3"/>
    <m/>
    <n v="0.69599999999999995"/>
    <n v="-0.27600000000000002"/>
  </r>
  <r>
    <s v="延990"/>
    <n v="3726.25"/>
    <n v="19.268000000000001"/>
    <n v="22.279"/>
    <n v="2.04"/>
    <n v="178.286"/>
    <n v="2.786"/>
    <n v="7.7380000000000004"/>
    <n v="3.077"/>
    <n v="569.87"/>
    <n v="666.90599999999995"/>
    <n v="0.01"/>
    <n v="1E-3"/>
    <n v="100"/>
    <n v="6.5000000000000002E-2"/>
    <n v="0.25900000000000001"/>
    <n v="0.35499999999999998"/>
    <n v="0.442"/>
    <n v="0.47699999999999998"/>
    <m/>
    <s v="马五41b"/>
    <x v="5"/>
    <n v="3"/>
    <m/>
    <n v="0.42"/>
    <n v="-0.19400000000000001"/>
  </r>
  <r>
    <s v="延990"/>
    <n v="3726.375"/>
    <n v="22.033000000000001"/>
    <n v="22.24"/>
    <n v="2.16"/>
    <n v="168.76599999999999"/>
    <n v="2.794"/>
    <n v="7.1429999999999998"/>
    <n v="2.9470000000000001"/>
    <n v="570.51499999999999"/>
    <n v="667.66499999999996"/>
    <n v="0.01"/>
    <n v="1E-3"/>
    <n v="100"/>
    <n v="7.3999999999999996E-2"/>
    <n v="0.14599999999999999"/>
    <n v="0.188"/>
    <n v="0.54700000000000004"/>
    <n v="0.379"/>
    <m/>
    <s v="马五41b"/>
    <x v="5"/>
    <n v="3"/>
    <m/>
    <n v="0.26200000000000001"/>
    <n v="-7.1999999999999995E-2"/>
  </r>
  <r>
    <s v="延990"/>
    <n v="3726.5"/>
    <n v="29.228999999999999"/>
    <n v="22.277999999999999"/>
    <n v="2.6259999999999999"/>
    <n v="165.86099999999999"/>
    <n v="2.798"/>
    <n v="6.7380000000000004"/>
    <n v="2.8969999999999998"/>
    <n v="533.13499999999999"/>
    <n v="623.68799999999999"/>
    <n v="0.01"/>
    <n v="1E-3"/>
    <n v="100"/>
    <n v="0.13100000000000001"/>
    <n v="8.3000000000000004E-2"/>
    <n v="0.109"/>
    <n v="0.59399999999999997"/>
    <n v="0.308"/>
    <m/>
    <s v="马五41b"/>
    <x v="5"/>
    <n v="3"/>
    <m/>
    <n v="0.24"/>
    <n v="4.8000000000000001E-2"/>
  </r>
  <r>
    <s v="延990"/>
    <n v="3726.625"/>
    <n v="39.744"/>
    <n v="22.276"/>
    <n v="3.4209999999999998"/>
    <n v="167.048"/>
    <n v="2.798"/>
    <n v="6.5540000000000003"/>
    <n v="2.919"/>
    <n v="471.15199999999999"/>
    <n v="550.76700000000005"/>
    <n v="0.01"/>
    <n v="1E-3"/>
    <n v="100"/>
    <n v="0.22800000000000001"/>
    <n v="7.6999999999999999E-2"/>
    <n v="0.10100000000000001"/>
    <n v="0.60799999999999998"/>
    <n v="0.26800000000000002"/>
    <m/>
    <s v="马五41b"/>
    <x v="5"/>
    <n v="3"/>
    <m/>
    <n v="0.32900000000000001"/>
    <n v="0.15100000000000002"/>
  </r>
  <r>
    <s v="延990"/>
    <n v="3726.75"/>
    <n v="49.963000000000001"/>
    <n v="22.184000000000001"/>
    <n v="4.2240000000000002"/>
    <n v="168.80600000000001"/>
    <n v="2.7970000000000002"/>
    <n v="6.6470000000000002"/>
    <n v="2.976"/>
    <n v="399.09100000000001"/>
    <n v="465.99"/>
    <n v="0.01"/>
    <n v="1E-3"/>
    <n v="100"/>
    <n v="0.33700000000000002"/>
    <n v="0.109"/>
    <n v="0.123"/>
    <n v="0.60299999999999998"/>
    <n v="0.26500000000000001"/>
    <m/>
    <s v="马五41b"/>
    <x v="5"/>
    <n v="3"/>
    <m/>
    <n v="0.46"/>
    <n v="0.22800000000000004"/>
  </r>
  <r>
    <s v="延990"/>
    <n v="3726.875"/>
    <n v="55.570999999999998"/>
    <n v="22.079000000000001"/>
    <n v="4.6870000000000003"/>
    <n v="169.374"/>
    <n v="2.7909999999999999"/>
    <n v="6.9290000000000003"/>
    <n v="3.0529999999999999"/>
    <n v="336.22899999999998"/>
    <n v="392.03399999999999"/>
    <n v="0.01"/>
    <n v="1E-3"/>
    <n v="100"/>
    <n v="0.41699999999999998"/>
    <n v="0.161"/>
    <n v="0.13800000000000001"/>
    <n v="0.57099999999999995"/>
    <n v="0.29499999999999998"/>
    <m/>
    <s v="马五41b"/>
    <x v="5"/>
    <n v="3"/>
    <m/>
    <n v="0.55499999999999994"/>
    <n v="0.25600000000000001"/>
  </r>
  <r>
    <s v="延990"/>
    <n v="3727"/>
    <n v="54.72"/>
    <n v="22.030999999999999"/>
    <n v="4.8440000000000003"/>
    <n v="168.53700000000001"/>
    <n v="2.7879999999999998"/>
    <n v="7.1420000000000003"/>
    <n v="3.1269999999999998"/>
    <n v="296.11500000000001"/>
    <n v="344.84100000000001"/>
    <n v="0.01"/>
    <n v="1E-3"/>
    <n v="100"/>
    <n v="0.437"/>
    <n v="0.218"/>
    <n v="0.13400000000000001"/>
    <n v="0.53500000000000003"/>
    <n v="0.33"/>
    <m/>
    <s v="马五41b"/>
    <x v="5"/>
    <n v="3"/>
    <m/>
    <n v="0.57099999999999995"/>
    <n v="0.219"/>
  </r>
  <r>
    <s v="延990"/>
    <n v="3727.125"/>
    <n v="48.241"/>
    <n v="22.047000000000001"/>
    <n v="4.8029999999999999"/>
    <n v="166.989"/>
    <n v="2.794"/>
    <n v="7.0890000000000004"/>
    <n v="3.1680000000000001"/>
    <n v="284.524"/>
    <n v="331.20499999999998"/>
    <n v="0.01"/>
    <n v="1E-3"/>
    <n v="100"/>
    <n v="0.39300000000000002"/>
    <n v="0.26"/>
    <n v="0.11700000000000001"/>
    <n v="0.55400000000000005"/>
    <n v="0.33800000000000002"/>
    <m/>
    <s v="马五41b"/>
    <x v="5"/>
    <n v="3"/>
    <m/>
    <n v="0.51"/>
    <n v="0.13300000000000001"/>
  </r>
  <r>
    <s v="延990"/>
    <n v="3727.25"/>
    <n v="39.99"/>
    <n v="22.085999999999999"/>
    <n v="4.6230000000000002"/>
    <n v="166.233"/>
    <n v="2.8"/>
    <n v="6.7750000000000004"/>
    <n v="3.2040000000000002"/>
    <n v="297.15800000000002"/>
    <n v="346.06799999999998"/>
    <n v="0.01"/>
    <n v="1E-3"/>
    <n v="100"/>
    <n v="0.313"/>
    <n v="0.28799999999999998"/>
    <n v="0.10100000000000001"/>
    <n v="0.60399999999999998"/>
    <n v="0.308"/>
    <m/>
    <s v="马五41b"/>
    <x v="5"/>
    <n v="3"/>
    <m/>
    <n v="0.41400000000000003"/>
    <n v="2.5000000000000022E-2"/>
  </r>
  <r>
    <s v="延990"/>
    <n v="3727.375"/>
    <n v="35.186999999999998"/>
    <n v="22.113"/>
    <n v="4.4050000000000002"/>
    <n v="167.33"/>
    <n v="2.806"/>
    <n v="6.3940000000000001"/>
    <n v="3.2240000000000002"/>
    <n v="322.25400000000002"/>
    <n v="375.59399999999999"/>
    <n v="0.01"/>
    <n v="1E-3"/>
    <n v="100"/>
    <n v="0.247"/>
    <n v="0.309"/>
    <n v="0.106"/>
    <n v="0.65400000000000003"/>
    <n v="0.25700000000000001"/>
    <m/>
    <s v="马五41b"/>
    <x v="5"/>
    <n v="3"/>
    <m/>
    <n v="0.35299999999999998"/>
    <n v="-6.2E-2"/>
  </r>
  <r>
    <s v="延990"/>
    <n v="3727.5"/>
    <n v="36.847999999999999"/>
    <n v="22.123999999999999"/>
    <n v="4.04"/>
    <n v="170.21700000000001"/>
    <n v="2.81"/>
    <n v="6.2119999999999997"/>
    <n v="3.2410000000000001"/>
    <n v="345.02300000000002"/>
    <n v="402.37900000000002"/>
    <n v="0.01"/>
    <n v="1E-3"/>
    <n v="100"/>
    <n v="0.23599999999999999"/>
    <n v="0.32200000000000001"/>
    <n v="0.13600000000000001"/>
    <n v="0.69399999999999995"/>
    <n v="0.219"/>
    <m/>
    <s v="马五41b"/>
    <x v="5"/>
    <n v="3"/>
    <m/>
    <n v="0.372"/>
    <n v="-8.6000000000000021E-2"/>
  </r>
  <r>
    <s v="延990"/>
    <n v="3727.625"/>
    <n v="44.064999999999998"/>
    <n v="22.135000000000002"/>
    <n v="3.3929999999999998"/>
    <n v="173.93600000000001"/>
    <n v="2.8130000000000002"/>
    <n v="6.3380000000000001"/>
    <n v="3.28"/>
    <n v="347.19799999999998"/>
    <n v="404.93799999999999"/>
    <n v="0.01"/>
    <n v="1E-3"/>
    <n v="100"/>
    <n v="0.28799999999999998"/>
    <n v="0.34499999999999997"/>
    <n v="0.183"/>
    <n v="0.72299999999999998"/>
    <n v="0.218"/>
    <m/>
    <s v="马五41b"/>
    <x v="5"/>
    <n v="3"/>
    <m/>
    <n v="0.47099999999999997"/>
    <n v="-5.6999999999999995E-2"/>
  </r>
  <r>
    <s v="延990"/>
    <n v="3727.75"/>
    <n v="51.006"/>
    <n v="22.154"/>
    <n v="2.7410000000000001"/>
    <n v="176.55199999999999"/>
    <n v="2.8140000000000001"/>
    <n v="6.681"/>
    <n v="3.3220000000000001"/>
    <n v="325.536"/>
    <n v="379.45499999999998"/>
    <n v="0.01"/>
    <n v="1E-3"/>
    <n v="100"/>
    <n v="0.36299999999999999"/>
    <n v="0.376"/>
    <n v="0.22600000000000001"/>
    <n v="0.73799999999999999"/>
    <n v="0.255"/>
    <m/>
    <s v="马五41b"/>
    <x v="5"/>
    <n v="3"/>
    <m/>
    <n v="0.58899999999999997"/>
    <n v="-1.3000000000000012E-2"/>
  </r>
  <r>
    <s v="延990"/>
    <n v="3727.875"/>
    <n v="51.930999999999997"/>
    <n v="22.170999999999999"/>
    <n v="2.4350000000000001"/>
    <n v="176.392"/>
    <n v="2.8130000000000002"/>
    <n v="7.0330000000000004"/>
    <n v="3.359"/>
    <n v="297.904"/>
    <n v="346.94600000000003"/>
    <n v="0.01"/>
    <n v="1E-3"/>
    <n v="100"/>
    <n v="0.39900000000000002"/>
    <n v="0.40500000000000003"/>
    <n v="0.24"/>
    <n v="0.73699999999999999"/>
    <n v="0.30599999999999999"/>
    <m/>
    <s v="马五41b"/>
    <x v="5"/>
    <n v="3"/>
    <m/>
    <n v="0.63900000000000001"/>
    <n v="-6.0000000000000053E-3"/>
  </r>
  <r>
    <s v="延990"/>
    <n v="3728"/>
    <n v="46.363"/>
    <n v="22.170999999999999"/>
    <n v="2.3620000000000001"/>
    <n v="173.61199999999999"/>
    <n v="2.8119999999999998"/>
    <n v="7.1970000000000001"/>
    <n v="3.3820000000000001"/>
    <n v="292.68599999999998"/>
    <n v="340.80700000000002"/>
    <n v="0.01"/>
    <n v="1E-3"/>
    <n v="100"/>
    <n v="0.36899999999999999"/>
    <n v="0.42699999999999999"/>
    <n v="0.216"/>
    <n v="0.72799999999999998"/>
    <n v="0.34100000000000003"/>
    <m/>
    <s v="马五41b"/>
    <x v="5"/>
    <n v="3"/>
    <m/>
    <n v="0.58499999999999996"/>
    <n v="-5.7999999999999996E-2"/>
  </r>
  <r>
    <s v="延990"/>
    <n v="3728.125"/>
    <n v="38.479999999999997"/>
    <n v="22.157"/>
    <n v="2.274"/>
    <n v="169.79900000000001"/>
    <n v="2.8119999999999998"/>
    <n v="7.0970000000000004"/>
    <n v="3.3969999999999998"/>
    <n v="352.286"/>
    <n v="410.92399999999998"/>
    <n v="0.01"/>
    <n v="1E-3"/>
    <n v="100"/>
    <n v="0.29499999999999998"/>
    <n v="0.441"/>
    <n v="0.16900000000000001"/>
    <n v="0.72499999999999998"/>
    <n v="0.34200000000000003"/>
    <m/>
    <s v="马五41b"/>
    <x v="5"/>
    <n v="3"/>
    <m/>
    <n v="0.46399999999999997"/>
    <n v="-0.14600000000000002"/>
  </r>
  <r>
    <s v="延990"/>
    <n v="3728.25"/>
    <n v="33.359000000000002"/>
    <n v="22.152000000000001"/>
    <n v="2.1709999999999998"/>
    <n v="167.06800000000001"/>
    <n v="2.8109999999999999"/>
    <n v="6.7919999999999998"/>
    <n v="3.4169999999999998"/>
    <n v="487.26"/>
    <n v="569.71699999999998"/>
    <n v="0.01"/>
    <n v="1E-3"/>
    <n v="100"/>
    <n v="0.22900000000000001"/>
    <n v="0.45500000000000002"/>
    <n v="0.125"/>
    <n v="0.72"/>
    <n v="0.31"/>
    <m/>
    <s v="马五41b"/>
    <x v="5"/>
    <n v="3"/>
    <m/>
    <n v="0.35399999999999998"/>
    <n v="-0.22600000000000001"/>
  </r>
  <r>
    <s v="延990"/>
    <n v="3728.375"/>
    <n v="33.463000000000001"/>
    <n v="22.181000000000001"/>
    <n v="2.085"/>
    <n v="167.16900000000001"/>
    <n v="2.8090000000000002"/>
    <n v="6.4630000000000001"/>
    <n v="3.4649999999999999"/>
    <n v="633.82299999999998"/>
    <n v="742.14499999999998"/>
    <n v="0.01"/>
    <n v="1E-3"/>
    <n v="100"/>
    <n v="0.20699999999999999"/>
    <n v="0.48199999999999998"/>
    <n v="0.109"/>
    <n v="0.70699999999999996"/>
    <n v="0.26400000000000001"/>
    <m/>
    <s v="马五41b"/>
    <x v="5"/>
    <n v="3"/>
    <m/>
    <n v="0.316"/>
    <n v="-0.27500000000000002"/>
  </r>
  <r>
    <s v="延990"/>
    <n v="3730"/>
    <n v="53.731000000000002"/>
    <n v="22.411999999999999"/>
    <n v="3.2170000000000001"/>
    <n v="181.976"/>
    <n v="2.8149999999999999"/>
    <n v="7.0229999999999997"/>
    <n v="3.7170000000000001"/>
    <n v="413.81799999999998"/>
    <n v="483.315"/>
    <n v="0.01"/>
    <n v="1E-3"/>
    <n v="100"/>
    <n v="0.434"/>
    <n v="0.70499999999999996"/>
    <n v="0.29099999999999998"/>
    <n v="0.73299999999999998"/>
    <n v="0.35699999999999998"/>
    <m/>
    <s v="马五41b"/>
    <x v="5"/>
    <n v="5"/>
    <m/>
    <n v="0.72499999999999998"/>
    <n v="-0.27099999999999996"/>
  </r>
  <r>
    <s v="延990"/>
    <n v="3730.125"/>
    <n v="50.773000000000003"/>
    <n v="22.638000000000002"/>
    <n v="2.7250000000000001"/>
    <n v="186.43600000000001"/>
    <n v="2.82"/>
    <n v="6.5410000000000004"/>
    <n v="3.569"/>
    <n v="385.35599999999999"/>
    <n v="449.83100000000002"/>
    <n v="0.01"/>
    <n v="1E-3"/>
    <n v="100"/>
    <n v="0.40400000000000003"/>
    <n v="0.623"/>
    <n v="0.35399999999999998"/>
    <n v="0.77400000000000002"/>
    <n v="0.28399999999999997"/>
    <m/>
    <s v="马五41b"/>
    <x v="5"/>
    <n v="5"/>
    <m/>
    <n v="0.75800000000000001"/>
    <n v="-0.21899999999999997"/>
  </r>
  <r>
    <s v="延990"/>
    <n v="3730.25"/>
    <n v="48.488"/>
    <n v="22.888000000000002"/>
    <n v="2.3479999999999999"/>
    <n v="189.07"/>
    <n v="2.8220000000000001"/>
    <n v="6.194"/>
    <n v="3.3679999999999999"/>
    <n v="343.94600000000003"/>
    <n v="401.11399999999998"/>
    <n v="0.01"/>
    <n v="1E-3"/>
    <n v="100"/>
    <n v="0.377"/>
    <n v="0.48699999999999999"/>
    <n v="0.40100000000000002"/>
    <n v="0.80100000000000005"/>
    <n v="0.22600000000000001"/>
    <m/>
    <s v="马五41b"/>
    <x v="5"/>
    <n v="5"/>
    <m/>
    <n v="0.77800000000000002"/>
    <n v="-0.10999999999999999"/>
  </r>
  <r>
    <s v="延990"/>
    <n v="3730.375"/>
    <n v="45.796999999999997"/>
    <n v="23.108000000000001"/>
    <n v="2.1219999999999999"/>
    <n v="188.291"/>
    <n v="2.8210000000000002"/>
    <n v="5.98"/>
    <n v="3.198"/>
    <n v="306.79399999999998"/>
    <n v="357.404"/>
    <n v="0.01"/>
    <n v="1E-3"/>
    <n v="100"/>
    <n v="0.35"/>
    <n v="0.34899999999999998"/>
    <n v="0.41"/>
    <n v="0.80300000000000005"/>
    <n v="0.187"/>
    <m/>
    <s v="马五41b"/>
    <x v="5"/>
    <n v="5"/>
    <m/>
    <n v="0.76"/>
    <n v="1.0000000000000009E-3"/>
  </r>
  <r>
    <s v="延990"/>
    <n v="3730.5"/>
    <n v="40.826000000000001"/>
    <n v="23.280999999999999"/>
    <n v="1.9490000000000001"/>
    <n v="183.917"/>
    <n v="2.8180000000000001"/>
    <n v="5.8220000000000001"/>
    <n v="3.1179999999999999"/>
    <n v="290.65899999999999"/>
    <n v="338.42200000000003"/>
    <n v="0.01"/>
    <n v="1E-3"/>
    <n v="100"/>
    <n v="0.307"/>
    <n v="0.26"/>
    <n v="0.37"/>
    <n v="0.78500000000000003"/>
    <n v="0.16"/>
    <m/>
    <s v="马五41b"/>
    <x v="5"/>
    <n v="5"/>
    <m/>
    <n v="0.67700000000000005"/>
    <n v="4.6999999999999986E-2"/>
  </r>
  <r>
    <s v="延990"/>
    <n v="3730.625"/>
    <n v="34.085999999999999"/>
    <n v="23.390999999999998"/>
    <n v="1.754"/>
    <n v="177.58"/>
    <n v="2.8159999999999998"/>
    <n v="5.6390000000000002"/>
    <n v="3.1240000000000001"/>
    <n v="329.15199999999999"/>
    <n v="383.70800000000003"/>
    <n v="0.01"/>
    <n v="1E-3"/>
    <n v="100"/>
    <n v="0.24399999999999999"/>
    <n v="0.23699999999999999"/>
    <n v="0.29299999999999998"/>
    <n v="0.76500000000000001"/>
    <n v="0.13500000000000001"/>
    <m/>
    <s v="马五41b"/>
    <x v="5"/>
    <n v="5"/>
    <m/>
    <n v="0.53699999999999992"/>
    <n v="7.0000000000000062E-3"/>
  </r>
  <r>
    <s v="延990"/>
    <n v="3730.75"/>
    <n v="28.72"/>
    <n v="23.413"/>
    <n v="1.5720000000000001"/>
    <n v="171.369"/>
    <n v="2.8159999999999998"/>
    <n v="5.4119999999999999"/>
    <n v="3.169"/>
    <n v="462.55"/>
    <n v="540.64700000000005"/>
    <n v="0.01"/>
    <n v="1E-3"/>
    <n v="100"/>
    <n v="0.18099999999999999"/>
    <n v="0.25900000000000001"/>
    <n v="0.20499999999999999"/>
    <n v="0.75800000000000001"/>
    <n v="0.105"/>
    <m/>
    <s v="马五41b"/>
    <x v="5"/>
    <n v="5"/>
    <m/>
    <n v="0.38600000000000001"/>
    <n v="-7.8000000000000014E-2"/>
  </r>
  <r>
    <s v="延990"/>
    <n v="3730.875"/>
    <n v="26.524999999999999"/>
    <n v="23.337"/>
    <n v="1.46"/>
    <n v="166.66300000000001"/>
    <n v="2.8180000000000001"/>
    <n v="5.1790000000000003"/>
    <n v="3.2010000000000001"/>
    <n v="678.25800000000004"/>
    <n v="794.42100000000005"/>
    <n v="0.01"/>
    <n v="1E-3"/>
    <n v="100"/>
    <n v="0.14299999999999999"/>
    <n v="0.28699999999999998"/>
    <n v="0.13"/>
    <n v="0.76800000000000002"/>
    <n v="7.0999999999999994E-2"/>
    <m/>
    <s v="马五41b"/>
    <x v="5"/>
    <n v="5"/>
    <m/>
    <n v="0.27300000000000002"/>
    <n v="-0.14399999999999999"/>
  </r>
  <r>
    <s v="延990"/>
    <n v="3731"/>
    <n v="26.158999999999999"/>
    <n v="23.178000000000001"/>
    <n v="1.403"/>
    <n v="164.02600000000001"/>
    <n v="2.8239999999999998"/>
    <n v="5.0129999999999999"/>
    <n v="3.194"/>
    <n v="884.04399999999998"/>
    <n v="1036.5229999999999"/>
    <n v="0.01"/>
    <n v="1E-3"/>
    <n v="100"/>
    <n v="0.13200000000000001"/>
    <n v="0.29399999999999998"/>
    <n v="8.1000000000000003E-2"/>
    <n v="0.80400000000000005"/>
    <n v="4.2999999999999997E-2"/>
    <m/>
    <s v="马五41b"/>
    <x v="5"/>
    <n v="5"/>
    <m/>
    <n v="0.21300000000000002"/>
    <n v="-0.16199999999999998"/>
  </r>
  <r>
    <s v="延990"/>
    <n v="3731.125"/>
    <n v="25.658999999999999"/>
    <n v="22.971"/>
    <n v="1.365"/>
    <n v="163.09200000000001"/>
    <n v="2.8340000000000001"/>
    <n v="4.9870000000000001"/>
    <n v="3.1560000000000001"/>
    <n v="952.42100000000005"/>
    <n v="1116.9649999999999"/>
    <n v="0.01"/>
    <n v="1E-3"/>
    <n v="100"/>
    <n v="0.127"/>
    <n v="0.27500000000000002"/>
    <n v="5.8000000000000003E-2"/>
    <n v="0.874"/>
    <n v="3.1E-2"/>
    <m/>
    <s v="马五41b"/>
    <x v="5"/>
    <n v="5"/>
    <m/>
    <n v="0.185"/>
    <n v="-0.14800000000000002"/>
  </r>
  <r>
    <s v="延990"/>
    <n v="3731.25"/>
    <n v="25.288"/>
    <n v="22.765000000000001"/>
    <n v="1.337"/>
    <n v="163.14599999999999"/>
    <n v="2.8420000000000001"/>
    <n v="5.1520000000000001"/>
    <n v="3.105"/>
    <n v="860.49900000000002"/>
    <n v="1008.822"/>
    <n v="0.01"/>
    <n v="1E-3"/>
    <n v="100"/>
    <n v="0.122"/>
    <n v="0.24099999999999999"/>
    <n v="5.2999999999999999E-2"/>
    <n v="0.94699999999999995"/>
    <n v="4.3999999999999997E-2"/>
    <m/>
    <s v="马五41b"/>
    <x v="5"/>
    <n v="5"/>
    <m/>
    <n v="0.17499999999999999"/>
    <n v="-0.11899999999999999"/>
  </r>
  <r>
    <s v="延990"/>
    <n v="3731.375"/>
    <n v="27.350999999999999"/>
    <n v="22.606999999999999"/>
    <n v="1.349"/>
    <n v="164.51300000000001"/>
    <n v="2.839"/>
    <n v="5.5330000000000004"/>
    <n v="3.1080000000000001"/>
    <n v="702.01900000000001"/>
    <n v="822.375"/>
    <n v="0.01"/>
    <n v="1E-3"/>
    <n v="100"/>
    <n v="0.13300000000000001"/>
    <n v="0.22600000000000001"/>
    <n v="6.5000000000000002E-2"/>
    <n v="0.96"/>
    <n v="8.5999999999999993E-2"/>
    <m/>
    <s v="马五41b"/>
    <x v="5"/>
    <n v="5"/>
    <m/>
    <n v="0.19800000000000001"/>
    <n v="-9.2999999999999999E-2"/>
  </r>
  <r>
    <s v="延990"/>
    <n v="3731.5"/>
    <n v="34.031999999999996"/>
    <n v="22.527000000000001"/>
    <n v="1.47"/>
    <n v="167.98500000000001"/>
    <n v="2.827"/>
    <n v="6.09"/>
    <n v="3.1789999999999998"/>
    <n v="551.44399999999996"/>
    <n v="645.22900000000004"/>
    <n v="0.01"/>
    <n v="1E-3"/>
    <n v="100"/>
    <n v="0.184"/>
    <n v="0.25800000000000001"/>
    <n v="0.10100000000000001"/>
    <n v="0.89200000000000002"/>
    <n v="0.156"/>
    <m/>
    <s v="马五41b"/>
    <x v="5"/>
    <n v="5"/>
    <m/>
    <n v="0.28500000000000003"/>
    <n v="-7.400000000000001E-2"/>
  </r>
  <r>
    <s v="延990"/>
    <n v="3731.625"/>
    <n v="46.77"/>
    <n v="22.509"/>
    <n v="1.92"/>
    <n v="173.87899999999999"/>
    <n v="2.8119999999999998"/>
    <n v="6.7240000000000002"/>
    <n v="3.2839999999999998"/>
    <n v="420.904"/>
    <n v="491.65199999999999"/>
    <n v="0.01"/>
    <n v="1E-3"/>
    <n v="100"/>
    <n v="0.29199999999999998"/>
    <n v="0.32700000000000001"/>
    <n v="0.17"/>
    <n v="0.77700000000000002"/>
    <n v="0.24399999999999999"/>
    <m/>
    <s v="马五41b"/>
    <x v="5"/>
    <n v="5"/>
    <m/>
    <n v="0.46199999999999997"/>
    <n v="-3.5000000000000031E-2"/>
  </r>
  <r>
    <s v="延990"/>
    <n v="3731.75"/>
    <n v="64.046000000000006"/>
    <n v="22.506"/>
    <n v="2.706"/>
    <n v="181.97499999999999"/>
    <n v="2.8"/>
    <n v="7.3579999999999997"/>
    <n v="3.4449999999999998"/>
    <n v="303.18799999999999"/>
    <n v="353.16300000000001"/>
    <n v="0.01"/>
    <n v="1E-3"/>
    <n v="100"/>
    <n v="0.45500000000000002"/>
    <n v="0.432"/>
    <n v="0.27"/>
    <n v="0.66700000000000004"/>
    <n v="0.33600000000000002"/>
    <m/>
    <s v="马五41b"/>
    <x v="5"/>
    <n v="5"/>
    <m/>
    <n v="0.72500000000000009"/>
    <n v="2.300000000000002E-2"/>
  </r>
  <r>
    <s v="延982"/>
    <n v="3382.5"/>
    <n v="25.370999999999999"/>
    <n v="23.503"/>
    <n v="2.0129999999999999"/>
    <n v="159.47499999999999"/>
    <n v="2.8140000000000001"/>
    <n v="1.9810000000000001"/>
    <n v="3.6059999999999999"/>
    <n v="933.59400000000005"/>
    <n v="964.923"/>
    <n v="0.01"/>
    <n v="1E-3"/>
    <n v="100"/>
    <n v="9.7000000000000003E-2"/>
    <n v="0.55900000000000005"/>
    <n v="0.109"/>
    <n v="0.65100000000000002"/>
    <n v="8.5000000000000006E-2"/>
    <m/>
    <s v="马五41b"/>
    <x v="5"/>
    <n v="8"/>
    <m/>
    <n v="0.20600000000000002"/>
    <n v="-0.46200000000000008"/>
  </r>
  <r>
    <s v="延982"/>
    <n v="3382.625"/>
    <n v="26.13"/>
    <n v="23.434000000000001"/>
    <n v="2.1669999999999998"/>
    <n v="156.506"/>
    <n v="2.8050000000000002"/>
    <n v="2.0259999999999998"/>
    <n v="3.4020000000000001"/>
    <n v="1030.5519999999999"/>
    <n v="1069.018"/>
    <n v="0.01"/>
    <n v="1E-3"/>
    <n v="100"/>
    <n v="0.105"/>
    <n v="0.46100000000000002"/>
    <n v="8.1000000000000003E-2"/>
    <n v="0.627"/>
    <n v="8.8999999999999996E-2"/>
    <m/>
    <s v="马五41b"/>
    <x v="5"/>
    <n v="8"/>
    <m/>
    <n v="0.186"/>
    <n v="-0.35600000000000004"/>
  </r>
  <r>
    <s v="延982"/>
    <n v="3382.75"/>
    <n v="31.077000000000002"/>
    <n v="23.350999999999999"/>
    <n v="2.6110000000000002"/>
    <n v="155.363"/>
    <n v="2.8010000000000002"/>
    <n v="2.206"/>
    <n v="3.198"/>
    <n v="913.25800000000004"/>
    <n v="976.77700000000004"/>
    <n v="0.01"/>
    <n v="1E-3"/>
    <n v="100"/>
    <n v="0.14199999999999999"/>
    <n v="0.36499999999999999"/>
    <n v="7.0999999999999994E-2"/>
    <n v="0.61699999999999999"/>
    <n v="0.10299999999999999"/>
    <m/>
    <s v="马五41b"/>
    <x v="5"/>
    <n v="8"/>
    <m/>
    <n v="0.21299999999999997"/>
    <n v="-0.223"/>
  </r>
  <r>
    <s v="延982"/>
    <n v="3382.875"/>
    <n v="39.08"/>
    <n v="23.263000000000002"/>
    <n v="3.1179999999999999"/>
    <n v="155.82400000000001"/>
    <n v="2.802"/>
    <n v="2.6779999999999999"/>
    <n v="3.081"/>
    <n v="675.68499999999995"/>
    <n v="751.21600000000001"/>
    <n v="0.01"/>
    <n v="1E-3"/>
    <n v="100"/>
    <n v="0.2"/>
    <n v="0.313"/>
    <n v="7.6999999999999999E-2"/>
    <n v="0.621"/>
    <n v="0.13800000000000001"/>
    <m/>
    <s v="马五41b"/>
    <x v="5"/>
    <n v="8"/>
    <m/>
    <n v="0.27700000000000002"/>
    <n v="-0.11299999999999999"/>
  </r>
  <r>
    <s v="延982"/>
    <n v="3383"/>
    <n v="48.252000000000002"/>
    <n v="23.202000000000002"/>
    <n v="3.3980000000000001"/>
    <n v="157.99100000000001"/>
    <n v="2.8090000000000002"/>
    <n v="3.4489999999999998"/>
    <n v="3.0779999999999998"/>
    <n v="464.815"/>
    <n v="530.53399999999999"/>
    <n v="0.01"/>
    <n v="1E-3"/>
    <n v="100"/>
    <n v="0.26600000000000001"/>
    <n v="0.313"/>
    <n v="9.9000000000000005E-2"/>
    <n v="0.64"/>
    <n v="0.19500000000000001"/>
    <m/>
    <s v="马五41b"/>
    <x v="5"/>
    <n v="8"/>
    <m/>
    <n v="0.36499999999999999"/>
    <n v="-4.6999999999999986E-2"/>
  </r>
  <r>
    <s v="延982"/>
    <n v="3383.875"/>
    <n v="45.945"/>
    <n v="23.367999999999999"/>
    <n v="3.2949999999999999"/>
    <n v="168.77199999999999"/>
    <n v="2.802"/>
    <n v="3.6909999999999998"/>
    <n v="3.2810000000000001"/>
    <n v="291.35899999999998"/>
    <n v="315.08600000000001"/>
    <n v="0.01"/>
    <n v="1E-3"/>
    <n v="100"/>
    <n v="0.24099999999999999"/>
    <n v="0.40899999999999997"/>
    <n v="0.20100000000000001"/>
    <n v="0.62"/>
    <n v="0.20399999999999999"/>
    <m/>
    <s v="马五41b"/>
    <x v="5"/>
    <n v="10"/>
    <m/>
    <n v="0.442"/>
    <n v="-0.16799999999999998"/>
  </r>
  <r>
    <s v="延982"/>
    <n v="3384"/>
    <n v="39.064999999999998"/>
    <n v="23.359000000000002"/>
    <n v="2.7559999999999998"/>
    <n v="165.66900000000001"/>
    <n v="2.8010000000000002"/>
    <n v="3.2170000000000001"/>
    <n v="3.282"/>
    <n v="315.39299999999997"/>
    <n v="344.46600000000001"/>
    <n v="0.01"/>
    <n v="1E-3"/>
    <n v="100"/>
    <n v="0.19500000000000001"/>
    <n v="0.40899999999999997"/>
    <n v="0.17299999999999999"/>
    <n v="0.61799999999999999"/>
    <n v="0.17100000000000001"/>
    <m/>
    <s v="马五41b"/>
    <x v="5"/>
    <n v="10"/>
    <m/>
    <n v="0.36799999999999999"/>
    <n v="-0.21399999999999997"/>
  </r>
  <r>
    <s v="延982"/>
    <n v="3384.125"/>
    <n v="38.081000000000003"/>
    <n v="23.283000000000001"/>
    <n v="2.621"/>
    <n v="166.34299999999999"/>
    <n v="2.806"/>
    <n v="2.8959999999999999"/>
    <n v="3.2669999999999999"/>
    <n v="308.89999999999998"/>
    <n v="344.15199999999999"/>
    <n v="0.01"/>
    <n v="1E-3"/>
    <n v="100"/>
    <n v="0.19"/>
    <n v="0.40100000000000002"/>
    <n v="0.182"/>
    <n v="0.63200000000000001"/>
    <n v="0.14899999999999999"/>
    <m/>
    <s v="马五41b"/>
    <x v="5"/>
    <n v="10"/>
    <m/>
    <n v="0.372"/>
    <n v="-0.21100000000000002"/>
  </r>
  <r>
    <s v="延982"/>
    <n v="3384.25"/>
    <n v="41.981999999999999"/>
    <n v="23.225999999999999"/>
    <n v="2.85"/>
    <n v="170.60300000000001"/>
    <n v="2.8109999999999999"/>
    <n v="2.746"/>
    <n v="3.2109999999999999"/>
    <n v="274.14800000000002"/>
    <n v="313.52999999999997"/>
    <n v="0.01"/>
    <n v="1E-3"/>
    <n v="100"/>
    <n v="0.219"/>
    <n v="0.373"/>
    <n v="0.22500000000000001"/>
    <n v="0.64500000000000002"/>
    <n v="0.14000000000000001"/>
    <m/>
    <s v="马五41b"/>
    <x v="5"/>
    <n v="10"/>
    <m/>
    <n v="0.44400000000000001"/>
    <n v="-0.154"/>
  </r>
  <r>
    <s v="延982"/>
    <n v="3384.375"/>
    <n v="47.805999999999997"/>
    <n v="23.266999999999999"/>
    <n v="3.3919999999999999"/>
    <n v="175.499"/>
    <n v="2.8140000000000001"/>
    <n v="2.774"/>
    <n v="3.1309999999999998"/>
    <n v="228.20400000000001"/>
    <n v="267.93900000000002"/>
    <n v="0.01"/>
    <n v="1E-3"/>
    <n v="100"/>
    <n v="0.26100000000000001"/>
    <n v="0.33600000000000002"/>
    <n v="0.27100000000000002"/>
    <n v="0.65300000000000002"/>
    <n v="0.14299999999999999"/>
    <m/>
    <s v="马五41b"/>
    <x v="5"/>
    <n v="10"/>
    <m/>
    <n v="0.53200000000000003"/>
    <n v="-7.5000000000000011E-2"/>
  </r>
  <r>
    <s v="延982"/>
    <n v="3384.5"/>
    <n v="52.322000000000003"/>
    <n v="23.387"/>
    <n v="4"/>
    <n v="178.17400000000001"/>
    <n v="2.8159999999999998"/>
    <n v="3.0369999999999999"/>
    <n v="3.11"/>
    <n v="190.48"/>
    <n v="227.58"/>
    <n v="0.01"/>
    <n v="1E-3"/>
    <n v="100"/>
    <n v="0.29199999999999998"/>
    <n v="0.32900000000000001"/>
    <n v="0.29499999999999998"/>
    <n v="0.65800000000000003"/>
    <n v="0.16400000000000001"/>
    <m/>
    <s v="马五41b"/>
    <x v="5"/>
    <n v="10"/>
    <m/>
    <n v="0.58699999999999997"/>
    <n v="-3.7000000000000033E-2"/>
  </r>
  <r>
    <s v="延982"/>
    <n v="3384.625"/>
    <n v="54.188000000000002"/>
    <n v="23.463000000000001"/>
    <n v="4.399"/>
    <n v="176.90199999999999"/>
    <n v="2.819"/>
    <n v="3.7360000000000002"/>
    <n v="3.153"/>
    <n v="165.84"/>
    <n v="199.554"/>
    <n v="0.01"/>
    <n v="1E-3"/>
    <n v="100"/>
    <n v="0.30399999999999999"/>
    <n v="0.33600000000000002"/>
    <n v="0.28000000000000003"/>
    <n v="0.66600000000000004"/>
    <n v="0.216"/>
    <m/>
    <s v="马五41b"/>
    <x v="5"/>
    <n v="10"/>
    <m/>
    <n v="0.58400000000000007"/>
    <n v="-3.2000000000000028E-2"/>
  </r>
  <r>
    <s v="延982"/>
    <n v="3384.75"/>
    <n v="54.055999999999997"/>
    <n v="23.419"/>
    <n v="4.6559999999999997"/>
    <n v="171.96799999999999"/>
    <n v="2.8210000000000002"/>
    <n v="4.97"/>
    <n v="2.8039999999999998"/>
    <n v="147.52500000000001"/>
    <n v="178.66900000000001"/>
    <n v="0.01"/>
    <n v="1E-3"/>
    <n v="100"/>
    <n v="0.30399999999999999"/>
    <n v="0.17599999999999999"/>
    <n v="0.23300000000000001"/>
    <n v="0.67200000000000004"/>
    <n v="0.30599999999999999"/>
    <m/>
    <s v="马五41b"/>
    <x v="5"/>
    <n v="10"/>
    <m/>
    <n v="0.53700000000000003"/>
    <n v="0.128"/>
  </r>
  <r>
    <s v="延982"/>
    <n v="3384.875"/>
    <n v="55.965000000000003"/>
    <n v="23.31"/>
    <n v="5.1239999999999997"/>
    <n v="169.995"/>
    <n v="2.823"/>
    <n v="6.49"/>
    <n v="2.6880000000000002"/>
    <n v="125.337"/>
    <n v="153.81299999999999"/>
    <n v="0.01"/>
    <n v="1E-3"/>
    <n v="100"/>
    <n v="0.32200000000000001"/>
    <n v="0.12"/>
    <n v="0.219"/>
    <n v="0.67400000000000004"/>
    <n v="0.41399999999999998"/>
    <m/>
    <s v="马五41b"/>
    <x v="5"/>
    <n v="10"/>
    <m/>
    <n v="0.54100000000000004"/>
    <n v="0.20200000000000001"/>
  </r>
  <r>
    <s v="延982"/>
    <n v="3385"/>
    <n v="65.566000000000003"/>
    <n v="23.187000000000001"/>
    <n v="5.8090000000000002"/>
    <n v="175.30099999999999"/>
    <n v="2.8079999999999998"/>
    <n v="7.931"/>
    <n v="2.5710000000000002"/>
    <n v="96.861000000000004"/>
    <n v="120.69499999999999"/>
    <n v="0.01"/>
    <n v="1E-3"/>
    <n v="100"/>
    <n v="0.39800000000000002"/>
    <n v="6.4000000000000001E-2"/>
    <n v="0.27600000000000002"/>
    <n v="0.624"/>
    <n v="0.51600000000000001"/>
    <m/>
    <s v="马五41b"/>
    <x v="5"/>
    <n v="10"/>
    <m/>
    <n v="0.67400000000000004"/>
    <n v="0.33400000000000002"/>
  </r>
  <r>
    <s v="延982"/>
    <n v="3385.125"/>
    <n v="87.204999999999998"/>
    <n v="23.151"/>
    <n v="6.3940000000000001"/>
    <n v="187.7"/>
    <n v="2.7480000000000002"/>
    <n v="9.0739999999999998"/>
    <n v="2.46"/>
    <n v="68.965999999999994"/>
    <n v="86.314999999999998"/>
    <n v="0.01"/>
    <n v="1E-3"/>
    <n v="100"/>
    <n v="0.55700000000000005"/>
    <n v="1.2999999999999999E-2"/>
    <n v="0.40400000000000003"/>
    <n v="0.46800000000000003"/>
    <n v="0.59699999999999998"/>
    <m/>
    <s v="马五41b"/>
    <x v="5"/>
    <n v="10"/>
    <m/>
    <n v="0.96100000000000008"/>
    <n v="0.54400000000000004"/>
  </r>
  <r>
    <s v="延981"/>
    <n v="3439.5"/>
    <n v="50.579000000000001"/>
    <n v="22.986000000000001"/>
    <n v="4.4859999999999998"/>
    <n v="157.411"/>
    <n v="2.778"/>
    <n v="8.8190000000000008"/>
    <n v="3.0409999999999999"/>
    <n v="366.387"/>
    <n v="670.11199999999997"/>
    <n v="0.01"/>
    <n v="1E-3"/>
    <n v="100"/>
    <n v="0.309"/>
    <n v="0.16600000000000001"/>
    <n v="9.1999999999999998E-2"/>
    <n v="0.60399999999999998"/>
    <n v="0.69699999999999995"/>
    <m/>
    <s v="马五41a"/>
    <x v="5"/>
    <n v="2"/>
    <m/>
    <n v="0.40100000000000002"/>
    <n v="0.14299999999999999"/>
  </r>
  <r>
    <s v="延981"/>
    <n v="3439.625"/>
    <n v="30.186"/>
    <n v="22.986999999999998"/>
    <n v="2.798"/>
    <n v="154.47399999999999"/>
    <n v="2.7770000000000001"/>
    <n v="8.1649999999999991"/>
    <n v="3.1339999999999999"/>
    <n v="430.024"/>
    <n v="814.22"/>
    <n v="0.01"/>
    <n v="1E-3"/>
    <n v="100"/>
    <n v="0.153"/>
    <n v="0.20399999999999999"/>
    <n v="4.4999999999999998E-2"/>
    <n v="0.60199999999999998"/>
    <n v="0.65300000000000002"/>
    <s v="含气层"/>
    <s v="马五41a"/>
    <x v="5"/>
    <n v="2"/>
    <m/>
    <n v="0.19800000000000001"/>
    <n v="-5.099999999999999E-2"/>
  </r>
  <r>
    <s v="延981"/>
    <n v="3439.75"/>
    <n v="20.073"/>
    <n v="22.998000000000001"/>
    <n v="1.7270000000000001"/>
    <n v="152.643"/>
    <n v="2.7730000000000001"/>
    <n v="7.1639999999999997"/>
    <n v="3.2610000000000001"/>
    <n v="433.47"/>
    <n v="824.82"/>
    <n v="0.01"/>
    <n v="1E-3"/>
    <n v="100"/>
    <n v="6.5000000000000002E-2"/>
    <n v="0.25800000000000001"/>
    <n v="1.2999999999999999E-2"/>
    <n v="0.59299999999999997"/>
    <n v="0.57699999999999996"/>
    <s v="含气层"/>
    <s v="马五41a"/>
    <x v="5"/>
    <n v="2"/>
    <m/>
    <n v="7.8E-2"/>
    <n v="-0.193"/>
  </r>
  <r>
    <s v="延981"/>
    <n v="3439.875"/>
    <n v="17.672000000000001"/>
    <n v="23.010999999999999"/>
    <n v="1.3959999999999999"/>
    <n v="152.13"/>
    <n v="2.7650000000000001"/>
    <n v="6.0380000000000003"/>
    <n v="3.399"/>
    <n v="392.63799999999998"/>
    <n v="733.22"/>
    <n v="2.7959999999999998"/>
    <n v="0.01"/>
    <n v="41.46"/>
    <n v="3.6999999999999998E-2"/>
    <n v="0.32"/>
    <n v="2E-3"/>
    <n v="0.57399999999999995"/>
    <n v="0.48699999999999999"/>
    <s v="含气层"/>
    <s v="马五41a"/>
    <x v="5"/>
    <n v="2"/>
    <m/>
    <n v="3.9E-2"/>
    <n v="-0.28300000000000003"/>
  </r>
  <r>
    <s v="延981"/>
    <n v="3440"/>
    <n v="18.239000000000001"/>
    <n v="23.018000000000001"/>
    <n v="1.359"/>
    <n v="152.423"/>
    <n v="2.7549999999999999"/>
    <n v="5.1779999999999999"/>
    <n v="3.5169999999999999"/>
    <n v="348.173"/>
    <n v="634.00099999999998"/>
    <n v="1.982"/>
    <n v="0.01"/>
    <n v="55.241999999999997"/>
    <n v="3.6999999999999998E-2"/>
    <n v="0.375"/>
    <n v="4.0000000000000001E-3"/>
    <n v="0.55000000000000004"/>
    <n v="0.41299999999999998"/>
    <s v="含气层"/>
    <s v="马五41a"/>
    <x v="5"/>
    <n v="2"/>
    <m/>
    <n v="4.0999999999999995E-2"/>
    <n v="-0.33800000000000002"/>
  </r>
  <r>
    <s v="延981"/>
    <n v="3440.125"/>
    <n v="20.273"/>
    <n v="23.027000000000001"/>
    <n v="1.3580000000000001"/>
    <n v="153.21600000000001"/>
    <n v="2.7440000000000002"/>
    <n v="4.71"/>
    <n v="3.5779999999999998"/>
    <n v="313.26299999999998"/>
    <n v="558.08600000000001"/>
    <n v="1.109"/>
    <n v="0.01"/>
    <n v="95.34"/>
    <n v="4.9000000000000002E-2"/>
    <n v="0.40799999999999997"/>
    <n v="1.4E-2"/>
    <n v="0.52200000000000002"/>
    <n v="0.36899999999999999"/>
    <s v="含气层"/>
    <s v="马五41a"/>
    <x v="5"/>
    <n v="2"/>
    <m/>
    <n v="6.3E-2"/>
    <n v="-0.35899999999999999"/>
  </r>
  <r>
    <s v="延981"/>
    <n v="3440.25"/>
    <n v="22.327000000000002"/>
    <n v="23.024000000000001"/>
    <n v="1.3620000000000001"/>
    <n v="154.08699999999999"/>
    <n v="2.734"/>
    <n v="4.6109999999999998"/>
    <n v="3.5609999999999999"/>
    <n v="289.67500000000001"/>
    <n v="507.03199999999998"/>
    <n v="0.01"/>
    <n v="1E-3"/>
    <n v="100"/>
    <n v="6.4000000000000001E-2"/>
    <n v="0.40699999999999997"/>
    <n v="2.7E-2"/>
    <n v="0.496"/>
    <n v="0.35499999999999998"/>
    <s v="含气层"/>
    <s v="马五41a"/>
    <x v="5"/>
    <n v="2"/>
    <m/>
    <n v="9.0999999999999998E-2"/>
    <n v="-0.34299999999999997"/>
  </r>
  <r>
    <s v="延981"/>
    <n v="3440.375"/>
    <n v="23.335000000000001"/>
    <n v="23.02"/>
    <n v="1.375"/>
    <n v="154.89099999999999"/>
    <n v="2.7309999999999999"/>
    <n v="4.7629999999999999"/>
    <n v="3.4790000000000001"/>
    <n v="274.91500000000002"/>
    <n v="474.68799999999999"/>
    <n v="0.01"/>
    <n v="1E-3"/>
    <n v="100"/>
    <n v="7.2999999999999995E-2"/>
    <n v="0.376"/>
    <n v="0.04"/>
    <n v="0.48499999999999999"/>
    <n v="0.36299999999999999"/>
    <s v="含气层"/>
    <s v="马五41a"/>
    <x v="5"/>
    <n v="2"/>
    <m/>
    <n v="0.11299999999999999"/>
    <n v="-0.30299999999999999"/>
  </r>
  <r>
    <s v="延981"/>
    <n v="3440.5"/>
    <n v="22.905999999999999"/>
    <n v="23.016999999999999"/>
    <n v="1.3939999999999999"/>
    <n v="155.62899999999999"/>
    <n v="2.734"/>
    <n v="5.0140000000000002"/>
    <n v="3.3839999999999999"/>
    <n v="267.399"/>
    <n v="458.56299999999999"/>
    <n v="0.01"/>
    <n v="1E-3"/>
    <n v="100"/>
    <n v="7.1999999999999995E-2"/>
    <n v="0.33400000000000002"/>
    <n v="5.1999999999999998E-2"/>
    <n v="0.49"/>
    <n v="0.38200000000000001"/>
    <s v="含气层"/>
    <s v="马五41a"/>
    <x v="5"/>
    <n v="2"/>
    <m/>
    <n v="0.124"/>
    <n v="-0.26200000000000001"/>
  </r>
  <r>
    <s v="延981"/>
    <n v="3440.625"/>
    <n v="21.55"/>
    <n v="23.024999999999999"/>
    <n v="1.41"/>
    <n v="156.345"/>
    <n v="2.742"/>
    <n v="5.2839999999999998"/>
    <n v="3.3330000000000002"/>
    <n v="262.673"/>
    <n v="450.48099999999999"/>
    <n v="1.1160000000000001"/>
    <n v="0.01"/>
    <n v="88.835999999999999"/>
    <n v="6.3E-2"/>
    <n v="0.307"/>
    <n v="6.3E-2"/>
    <n v="0.50700000000000001"/>
    <n v="0.40300000000000002"/>
    <s v="含气层"/>
    <s v="马五41a"/>
    <x v="5"/>
    <n v="2"/>
    <m/>
    <n v="0.126"/>
    <n v="-0.24399999999999999"/>
  </r>
  <r>
    <s v="延981"/>
    <n v="3440.75"/>
    <n v="19.800999999999998"/>
    <n v="23.032"/>
    <n v="1.4119999999999999"/>
    <n v="156.994"/>
    <n v="2.7509999999999999"/>
    <n v="5.44"/>
    <n v="3.3460000000000001"/>
    <n v="255.965"/>
    <n v="440.755"/>
    <n v="1.1020000000000001"/>
    <n v="0.01"/>
    <n v="90.74"/>
    <n v="5.0999999999999997E-2"/>
    <n v="0.307"/>
    <n v="7.2999999999999995E-2"/>
    <n v="0.53"/>
    <n v="0.41799999999999998"/>
    <s v="含气层"/>
    <s v="马五41a"/>
    <x v="5"/>
    <n v="2"/>
    <m/>
    <n v="0.124"/>
    <n v="-0.25600000000000001"/>
  </r>
  <r>
    <s v="延981"/>
    <n v="3440.875"/>
    <n v="18.042000000000002"/>
    <n v="23.039000000000001"/>
    <n v="1.3839999999999999"/>
    <n v="157.54599999999999"/>
    <n v="2.7570000000000001"/>
    <n v="5.4589999999999996"/>
    <n v="3.41"/>
    <n v="244.672"/>
    <n v="423.48500000000001"/>
    <n v="1.093"/>
    <n v="0.01"/>
    <n v="94.542000000000002"/>
    <n v="3.7999999999999999E-2"/>
    <n v="0.33100000000000002"/>
    <n v="8.2000000000000003E-2"/>
    <n v="0.54700000000000004"/>
    <n v="0.42199999999999999"/>
    <s v="含气层"/>
    <s v="马五41a"/>
    <x v="5"/>
    <n v="2"/>
    <m/>
    <n v="0.12"/>
    <n v="-0.29300000000000004"/>
  </r>
  <r>
    <s v="延981"/>
    <n v="3441"/>
    <n v="16.564"/>
    <n v="23.033000000000001"/>
    <n v="1.3420000000000001"/>
    <n v="157.87"/>
    <n v="2.758"/>
    <n v="5.343"/>
    <n v="3.4969999999999999"/>
    <n v="230.554"/>
    <n v="400.44200000000001"/>
    <n v="1.1040000000000001"/>
    <n v="0.01"/>
    <n v="99.736000000000004"/>
    <n v="2.7E-2"/>
    <n v="0.36899999999999999"/>
    <n v="8.6999999999999994E-2"/>
    <n v="0.55200000000000005"/>
    <n v="0.41399999999999998"/>
    <s v="含气层"/>
    <s v="马五41a"/>
    <x v="5"/>
    <n v="2"/>
    <m/>
    <n v="0.11399999999999999"/>
    <n v="-0.34199999999999997"/>
  </r>
  <r>
    <s v="延1087"/>
    <n v="3400.125"/>
    <n v="16.87"/>
    <n v="21.943000000000001"/>
    <n v="2.4529999999999998"/>
    <n v="165.69900000000001"/>
    <n v="2.9009999999999998"/>
    <n v="2.71"/>
    <n v="4.0819999999999999"/>
    <n v="17310.428"/>
    <n v="28954.842000000001"/>
    <n v="0.39400000000000002"/>
    <n v="0.1"/>
    <n v="100"/>
    <n v="4.5999999999999999E-2"/>
    <n v="0.42"/>
    <n v="0.189"/>
    <n v="0.877"/>
    <n v="8.2000000000000003E-2"/>
    <m/>
    <s v="马五41b"/>
    <x v="5"/>
    <n v="9"/>
    <m/>
    <n v="0.23499999999999999"/>
    <n v="-0.374"/>
  </r>
  <r>
    <s v="延1087"/>
    <n v="3400.25"/>
    <n v="16.576000000000001"/>
    <n v="21.957999999999998"/>
    <n v="2.4849999999999999"/>
    <n v="165.17599999999999"/>
    <n v="2.899"/>
    <n v="2.504"/>
    <n v="3.69"/>
    <n v="18043.780999999999"/>
    <n v="30493.973000000002"/>
    <n v="0.36699999999999999"/>
    <n v="0.1"/>
    <n v="100"/>
    <n v="4.3999999999999997E-2"/>
    <n v="0.30199999999999999"/>
    <n v="0.183"/>
    <n v="0.872"/>
    <n v="7.0999999999999994E-2"/>
    <m/>
    <s v="马五41b"/>
    <x v="5"/>
    <n v="9"/>
    <m/>
    <n v="0.22699999999999998"/>
    <n v="-0.25800000000000001"/>
  </r>
  <r>
    <s v="延1087"/>
    <n v="3400.375"/>
    <n v="18.600999999999999"/>
    <n v="21.969000000000001"/>
    <n v="2.5129999999999999"/>
    <n v="169.8"/>
    <n v="2.903"/>
    <n v="2.5339999999999998"/>
    <n v="3.5950000000000002"/>
    <n v="12849.331"/>
    <n v="21388.898000000001"/>
    <n v="0.35399999999999998"/>
    <n v="0.1"/>
    <n v="100"/>
    <n v="0.06"/>
    <n v="0.27400000000000002"/>
    <n v="0.23499999999999999"/>
    <n v="0.88200000000000001"/>
    <n v="7.1999999999999995E-2"/>
    <m/>
    <s v="马五41b"/>
    <x v="5"/>
    <n v="9"/>
    <m/>
    <n v="0.29499999999999998"/>
    <n v="-0.21400000000000002"/>
  </r>
  <r>
    <s v="延1950"/>
    <n v="3800.5"/>
    <n v="40.19"/>
    <n v="22.091999999999999"/>
    <n v="2.1419999999999999"/>
    <n v="172.03700000000001"/>
    <n v="2.7959999999999998"/>
    <n v="8.1170000000000009"/>
    <n v="3.3090000000000002"/>
    <n v="370.74900000000002"/>
    <n v="425.79899999999998"/>
    <n v="6.01"/>
    <n v="5.1999999999999998E-2"/>
    <n v="18.513999999999999"/>
    <n v="0.18"/>
    <n v="0.64300000000000002"/>
    <n v="0.26"/>
    <n v="0.68"/>
    <n v="0.14799999999999999"/>
    <s v="含气层"/>
    <s v="马五41a"/>
    <x v="5"/>
    <n v="2"/>
    <m/>
    <n v="0.44"/>
    <n v="-0.46300000000000002"/>
  </r>
  <r>
    <s v="延1950"/>
    <n v="3800.625"/>
    <n v="31.532"/>
    <n v="22.079000000000001"/>
    <n v="1.633"/>
    <n v="170.709"/>
    <n v="2.7949999999999999"/>
    <n v="6.4509999999999996"/>
    <n v="3.3420000000000001"/>
    <n v="319.16899999999998"/>
    <n v="366.00900000000001"/>
    <n v="3.8479999999999999"/>
    <n v="0.01"/>
    <n v="30.423999999999999"/>
    <n v="0.114"/>
    <n v="0.68200000000000005"/>
    <n v="0.246"/>
    <n v="0.66300000000000003"/>
    <n v="7.6999999999999999E-2"/>
    <s v="含气层"/>
    <s v="马五41a"/>
    <x v="5"/>
    <n v="2"/>
    <m/>
    <n v="0.36"/>
    <n v="-0.56800000000000006"/>
  </r>
  <r>
    <s v="延1950"/>
    <n v="3800.75"/>
    <n v="25.963999999999999"/>
    <n v="22.065999999999999"/>
    <n v="1.327"/>
    <n v="170.90299999999999"/>
    <n v="2.79"/>
    <n v="5.3280000000000003"/>
    <n v="3.3769999999999998"/>
    <n v="246.84100000000001"/>
    <n v="282.34100000000001"/>
    <n v="3.0569999999999999"/>
    <n v="0.01"/>
    <n v="42.189"/>
    <n v="6.9000000000000006E-2"/>
    <n v="0.71799999999999997"/>
    <n v="0.25600000000000001"/>
    <n v="0.625"/>
    <n v="0.03"/>
    <s v="含气层"/>
    <s v="马五41a"/>
    <x v="5"/>
    <n v="2"/>
    <m/>
    <n v="0.32500000000000001"/>
    <n v="-0.64900000000000002"/>
  </r>
  <r>
    <s v="延1950"/>
    <n v="3800.875"/>
    <n v="21.815999999999999"/>
    <n v="22.01"/>
    <n v="1.081"/>
    <n v="172.10400000000001"/>
    <n v="2.7829999999999999"/>
    <n v="4.6470000000000002"/>
    <n v="3.399"/>
    <n v="188.98699999999999"/>
    <n v="215.30199999999999"/>
    <n v="2.4830000000000001"/>
    <n v="0.01"/>
    <n v="59.749000000000002"/>
    <n v="3.9E-2"/>
    <n v="0.73299999999999998"/>
    <n v="0.27700000000000002"/>
    <n v="0.58199999999999996"/>
    <n v="7.0000000000000001E-3"/>
    <s v="含气层"/>
    <s v="马五41a"/>
    <x v="5"/>
    <n v="2"/>
    <m/>
    <n v="0.316"/>
    <n v="-0.69399999999999995"/>
  </r>
  <r>
    <s v="延1950"/>
    <n v="3801"/>
    <n v="19.763000000000002"/>
    <n v="21.946999999999999"/>
    <n v="0.91"/>
    <n v="173.26300000000001"/>
    <n v="2.778"/>
    <n v="4.4980000000000002"/>
    <n v="3.3969999999999998"/>
    <n v="150.42500000000001"/>
    <n v="170.751"/>
    <n v="2.552"/>
    <n v="0.01"/>
    <n v="65.460999999999999"/>
    <n v="2.8000000000000001E-2"/>
    <n v="0.71699999999999997"/>
    <n v="0.29199999999999998"/>
    <n v="0.56299999999999994"/>
    <n v="7.0000000000000001E-3"/>
    <s v="含气层"/>
    <s v="马五41a"/>
    <x v="5"/>
    <n v="2"/>
    <m/>
    <n v="0.32"/>
    <n v="-0.68899999999999995"/>
  </r>
  <r>
    <s v="延1950"/>
    <n v="3801.125"/>
    <n v="19.725999999999999"/>
    <n v="21.919"/>
    <n v="0.88300000000000001"/>
    <n v="173.65299999999999"/>
    <n v="2.7789999999999999"/>
    <n v="4.7619999999999996"/>
    <n v="3.3639999999999999"/>
    <n v="124.81399999999999"/>
    <n v="141.23599999999999"/>
    <n v="2.548"/>
    <n v="0.01"/>
    <n v="69.745000000000005"/>
    <n v="2.9000000000000001E-2"/>
    <n v="0.67400000000000004"/>
    <n v="0.29299999999999998"/>
    <n v="0.57999999999999996"/>
    <n v="2.1000000000000001E-2"/>
    <s v="含气层"/>
    <s v="马五41a"/>
    <x v="5"/>
    <n v="2"/>
    <m/>
    <n v="0.32200000000000001"/>
    <n v="-0.64500000000000002"/>
  </r>
  <r>
    <s v="延1950"/>
    <n v="3801.25"/>
    <n v="20.074000000000002"/>
    <n v="21.937000000000001"/>
    <n v="0.91500000000000004"/>
    <n v="173.18299999999999"/>
    <n v="2.7839999999999998"/>
    <n v="5.1120000000000001"/>
    <n v="3.319"/>
    <n v="108.84399999999999"/>
    <n v="122.79300000000001"/>
    <n v="2.673"/>
    <n v="0.01"/>
    <n v="72.703000000000003"/>
    <n v="3.1E-2"/>
    <n v="0.622"/>
    <n v="0.28100000000000003"/>
    <n v="0.60899999999999999"/>
    <n v="4.4999999999999998E-2"/>
    <s v="含气层"/>
    <s v="马五41a"/>
    <x v="5"/>
    <n v="2"/>
    <m/>
    <n v="0.31200000000000006"/>
    <n v="-0.59099999999999997"/>
  </r>
  <r>
    <s v="延1950"/>
    <n v="3801.375"/>
    <n v="20.096"/>
    <n v="21.974"/>
    <n v="0.91500000000000004"/>
    <n v="172.00899999999999"/>
    <n v="2.7869999999999999"/>
    <n v="5.8259999999999996"/>
    <n v="3.2759999999999998"/>
    <n v="97.474999999999994"/>
    <n v="109.746"/>
    <n v="3.56"/>
    <n v="0.01"/>
    <n v="57.462000000000003"/>
    <n v="0.03"/>
    <n v="0.57499999999999996"/>
    <n v="0.25800000000000001"/>
    <n v="0.61699999999999999"/>
    <n v="8.6999999999999994E-2"/>
    <s v="含气层"/>
    <s v="马五41a"/>
    <x v="5"/>
    <n v="2"/>
    <m/>
    <n v="0.28800000000000003"/>
    <n v="-0.54499999999999993"/>
  </r>
  <r>
    <s v="延1950"/>
    <n v="3801.5"/>
    <n v="19.888000000000002"/>
    <n v="21.981999999999999"/>
    <n v="0.94599999999999995"/>
    <n v="170.44200000000001"/>
    <n v="2.7850000000000001"/>
    <n v="6.9720000000000004"/>
    <n v="3.2410000000000001"/>
    <n v="86.757000000000005"/>
    <n v="97.488"/>
    <n v="4.5"/>
    <n v="1.4E-2"/>
    <n v="47.012999999999998"/>
    <n v="2.4E-2"/>
    <n v="0.53800000000000003"/>
    <n v="0.23100000000000001"/>
    <n v="0.58799999999999997"/>
    <n v="0.13800000000000001"/>
    <s v="含气层"/>
    <s v="马五41a"/>
    <x v="5"/>
    <n v="2"/>
    <m/>
    <n v="0.255"/>
    <n v="-0.51400000000000001"/>
  </r>
  <r>
    <s v="延1950"/>
    <n v="3801.625"/>
    <n v="18.47"/>
    <n v="21.99"/>
    <n v="0.90300000000000002"/>
    <n v="168.96199999999999"/>
    <n v="2.7770000000000001"/>
    <n v="7.9"/>
    <n v="3.2130000000000001"/>
    <n v="76.198999999999998"/>
    <n v="85.429000000000002"/>
    <n v="5.5060000000000002"/>
    <n v="3.2000000000000001E-2"/>
    <n v="40.743000000000002"/>
    <n v="1.0999999999999999E-2"/>
    <n v="0.50800000000000001"/>
    <n v="0.20899999999999999"/>
    <n v="0.52900000000000003"/>
    <n v="0.17799999999999999"/>
    <s v="含气层"/>
    <s v="马五41a"/>
    <x v="5"/>
    <n v="2"/>
    <m/>
    <n v="0.22"/>
    <n v="-0.497"/>
  </r>
  <r>
    <s v="延1950"/>
    <n v="3801.75"/>
    <n v="16.773"/>
    <n v="22.027999999999999"/>
    <n v="0.79100000000000004"/>
    <n v="168.071"/>
    <n v="2.7669999999999999"/>
    <n v="8.5280000000000005"/>
    <n v="3.1930000000000001"/>
    <n v="66.986999999999995"/>
    <n v="74.872"/>
    <n v="6.3319999999999999"/>
    <n v="5.7000000000000002E-2"/>
    <n v="36.664000000000001"/>
    <n v="1E-3"/>
    <n v="0.49099999999999999"/>
    <n v="0.20200000000000001"/>
    <n v="0.45700000000000002"/>
    <n v="0.20499999999999999"/>
    <s v="含气层"/>
    <s v="马五41a"/>
    <x v="5"/>
    <n v="2"/>
    <m/>
    <n v="0.20300000000000001"/>
    <n v="-0.49"/>
  </r>
  <r>
    <s v="延1950"/>
    <n v="3801.875"/>
    <n v="16.59"/>
    <n v="21.986999999999998"/>
    <n v="0.72499999999999998"/>
    <n v="168.48400000000001"/>
    <n v="2.7549999999999999"/>
    <n v="8.99"/>
    <n v="3.1869999999999998"/>
    <n v="60.648000000000003"/>
    <n v="67.588999999999999"/>
    <n v="6.58"/>
    <n v="6.8000000000000005E-2"/>
    <n v="37.274000000000001"/>
    <n v="3.0000000000000001E-3"/>
    <n v="0.49"/>
    <n v="0.216"/>
    <n v="0.373"/>
    <n v="0.224"/>
    <s v="含气层"/>
    <s v="马五41a"/>
    <x v="5"/>
    <n v="2"/>
    <m/>
    <n v="0.219"/>
    <n v="-0.48699999999999999"/>
  </r>
  <r>
    <s v="延1950"/>
    <n v="3802"/>
    <n v="17.489999999999998"/>
    <n v="21.943000000000001"/>
    <n v="0.78700000000000003"/>
    <n v="169.947"/>
    <n v="2.742"/>
    <n v="9.2780000000000005"/>
    <n v="3.194"/>
    <n v="56.027999999999999"/>
    <n v="62.317999999999998"/>
    <n v="7.4009999999999998"/>
    <n v="0.112"/>
    <n v="34.274000000000001"/>
    <n v="8.9999999999999993E-3"/>
    <n v="0.502"/>
    <n v="0.24099999999999999"/>
    <n v="0.29499999999999998"/>
    <n v="0.23599999999999999"/>
    <s v="含气层"/>
    <s v="马五41a"/>
    <x v="5"/>
    <n v="2"/>
    <m/>
    <n v="0.25"/>
    <n v="-0.49299999999999999"/>
  </r>
  <r>
    <s v="延1950"/>
    <n v="3802.125"/>
    <n v="17.734999999999999"/>
    <n v="21.821000000000002"/>
    <n v="0.82799999999999996"/>
    <n v="171.45500000000001"/>
    <n v="2.7330000000000001"/>
    <n v="9.4160000000000004"/>
    <n v="3.2109999999999999"/>
    <n v="52.259"/>
    <n v="58.021000000000001"/>
    <n v="7.4450000000000003"/>
    <n v="0.115"/>
    <n v="34.771999999999998"/>
    <n v="8.9999999999999993E-3"/>
    <n v="0.52200000000000002"/>
    <n v="0.26300000000000001"/>
    <n v="0.247"/>
    <n v="0.24"/>
    <s v="含气层"/>
    <s v="马五41a"/>
    <x v="5"/>
    <n v="2"/>
    <m/>
    <n v="0.27200000000000002"/>
    <n v="-0.51300000000000001"/>
  </r>
  <r>
    <s v="延1950"/>
    <n v="3802.25"/>
    <n v="17.300999999999998"/>
    <n v="21.736999999999998"/>
    <n v="0.77400000000000002"/>
    <n v="172.23"/>
    <n v="2.7290000000000001"/>
    <n v="9.4489999999999998"/>
    <n v="3.2290000000000001"/>
    <n v="49.518000000000001"/>
    <n v="54.877000000000002"/>
    <n v="7.5010000000000003"/>
    <n v="0.11899999999999999"/>
    <n v="35.514000000000003"/>
    <n v="8.9999999999999993E-3"/>
    <n v="0.53700000000000003"/>
    <n v="0.27300000000000002"/>
    <n v="0.23200000000000001"/>
    <n v="0.24"/>
    <s v="含气层"/>
    <s v="马五41a"/>
    <x v="5"/>
    <n v="2"/>
    <m/>
    <n v="0.28200000000000003"/>
    <n v="-0.52800000000000002"/>
  </r>
  <r>
    <s v="延1950"/>
    <n v="3802.375"/>
    <n v="17.995000000000001"/>
    <n v="21.667999999999999"/>
    <n v="0.76300000000000001"/>
    <n v="172.48599999999999"/>
    <n v="2.73"/>
    <n v="9.3670000000000009"/>
    <n v="3.2330000000000001"/>
    <n v="47.667999999999999"/>
    <n v="52.753999999999998"/>
    <n v="7.468"/>
    <n v="0.11600000000000001"/>
    <n v="36.261000000000003"/>
    <n v="1.7999999999999999E-2"/>
    <n v="0.53300000000000003"/>
    <n v="0.27700000000000002"/>
    <n v="0.251"/>
    <n v="0.23400000000000001"/>
    <s v="含气层"/>
    <s v="马五41a"/>
    <x v="5"/>
    <n v="2"/>
    <m/>
    <n v="0.29500000000000004"/>
    <n v="-0.51500000000000001"/>
  </r>
  <r>
    <s v="延1950"/>
    <n v="3802.5"/>
    <n v="19.731000000000002"/>
    <n v="21.686"/>
    <n v="0.87"/>
    <n v="172.60499999999999"/>
    <n v="2.7360000000000002"/>
    <n v="9.1590000000000007"/>
    <n v="3.2149999999999999"/>
    <n v="46.906999999999996"/>
    <n v="51.872"/>
    <n v="7.4160000000000004"/>
    <n v="0.113"/>
    <n v="36.539000000000001"/>
    <n v="2.9000000000000001E-2"/>
    <n v="0.50600000000000001"/>
    <n v="0.27900000000000003"/>
    <n v="0.29699999999999999"/>
    <n v="0.223"/>
    <s v="含气层"/>
    <s v="马五41a"/>
    <x v="5"/>
    <n v="2"/>
    <m/>
    <n v="0.30800000000000005"/>
    <n v="-0.47699999999999998"/>
  </r>
  <r>
    <s v="延1950"/>
    <n v="3802.625"/>
    <n v="20.204999999999998"/>
    <n v="21.797999999999998"/>
    <n v="0.95"/>
    <n v="172.703"/>
    <n v="2.7440000000000002"/>
    <n v="8.9009999999999998"/>
    <n v="3.1850000000000001"/>
    <n v="47.094000000000001"/>
    <n v="52.051000000000002"/>
    <n v="7.1950000000000003"/>
    <n v="0.1"/>
    <n v="37.232999999999997"/>
    <n v="2.8000000000000001E-2"/>
    <n v="0.47299999999999998"/>
    <n v="0.27900000000000003"/>
    <n v="0.34799999999999998"/>
    <n v="0.21099999999999999"/>
    <s v="含气层"/>
    <s v="马五41a"/>
    <x v="5"/>
    <n v="2"/>
    <m/>
    <n v="0.30700000000000005"/>
    <n v="-0.44499999999999995"/>
  </r>
  <r>
    <s v="延1950"/>
    <n v="3802.75"/>
    <n v="19.123999999999999"/>
    <n v="21.881"/>
    <n v="0.89500000000000002"/>
    <n v="172.57400000000001"/>
    <n v="2.7509999999999999"/>
    <n v="8.6809999999999992"/>
    <n v="3.1579999999999999"/>
    <n v="47.939"/>
    <n v="52.988"/>
    <n v="6.42"/>
    <n v="0.06"/>
    <n v="40.503"/>
    <n v="2.1000000000000001E-2"/>
    <n v="0.44700000000000001"/>
    <n v="0.27400000000000002"/>
    <n v="0.378"/>
    <n v="0.20200000000000001"/>
    <s v="含气层"/>
    <s v="马五41a"/>
    <x v="5"/>
    <n v="2"/>
    <m/>
    <n v="0.29500000000000004"/>
    <n v="-0.42599999999999999"/>
  </r>
  <r>
    <s v="延1950"/>
    <n v="3802.875"/>
    <n v="18.635000000000002"/>
    <n v="21.82"/>
    <n v="0.82799999999999996"/>
    <n v="172.096"/>
    <n v="2.7509999999999999"/>
    <n v="8.5419999999999998"/>
    <n v="3.145"/>
    <n v="48.905000000000001"/>
    <n v="54.08"/>
    <n v="6.4089999999999998"/>
    <n v="0.06"/>
    <n v="39.796999999999997"/>
    <n v="2.1000000000000001E-2"/>
    <n v="0.436"/>
    <n v="0.26500000000000001"/>
    <n v="0.376"/>
    <n v="0.19600000000000001"/>
    <s v="含气层"/>
    <s v="马五41a"/>
    <x v="5"/>
    <n v="2"/>
    <m/>
    <n v="0.28600000000000003"/>
    <n v="-0.41499999999999998"/>
  </r>
  <r>
    <s v="延1950"/>
    <n v="3803"/>
    <n v="19.593"/>
    <n v="21.646999999999998"/>
    <n v="0.84599999999999997"/>
    <n v="171.46"/>
    <n v="2.75"/>
    <n v="8.4309999999999992"/>
    <n v="3.141"/>
    <n v="50.148000000000003"/>
    <n v="55.433"/>
    <n v="6.3819999999999997"/>
    <n v="5.8999999999999997E-2"/>
    <n v="38.792999999999999"/>
    <n v="0.03"/>
    <n v="0.433"/>
    <n v="0.25600000000000001"/>
    <n v="0.38200000000000001"/>
    <n v="0.191"/>
    <s v="含气层"/>
    <s v="马五41a"/>
    <x v="5"/>
    <n v="2"/>
    <m/>
    <n v="0.28600000000000003"/>
    <n v="-0.40300000000000002"/>
  </r>
  <r>
    <s v="延1950"/>
    <n v="3803.125"/>
    <n v="20.797000000000001"/>
    <n v="21.728000000000002"/>
    <n v="0.96499999999999997"/>
    <n v="171.07400000000001"/>
    <n v="2.754"/>
    <n v="8.3689999999999998"/>
    <n v="3.1419999999999999"/>
    <n v="52.709000000000003"/>
    <n v="58.296999999999997"/>
    <n v="6.3579999999999997"/>
    <n v="5.8000000000000003E-2"/>
    <n v="37.851999999999997"/>
    <n v="3.5000000000000003E-2"/>
    <n v="0.437"/>
    <n v="0.253"/>
    <n v="0.42299999999999999"/>
    <n v="0.192"/>
    <s v="含气层"/>
    <s v="马五41a"/>
    <x v="5"/>
    <n v="2"/>
    <m/>
    <n v="0.28800000000000003"/>
    <n v="-0.40200000000000002"/>
  </r>
  <r>
    <s v="延1950"/>
    <n v="3803.25"/>
    <n v="20.042999999999999"/>
    <n v="21.614999999999998"/>
    <n v="0.96699999999999997"/>
    <n v="171.351"/>
    <n v="2.7639999999999998"/>
    <n v="8.5180000000000007"/>
    <n v="3.149"/>
    <n v="57.104999999999997"/>
    <n v="63.241"/>
    <n v="6.3369999999999997"/>
    <n v="5.7000000000000002E-2"/>
    <n v="37.154000000000003"/>
    <n v="2.5999999999999999E-2"/>
    <n v="0.44700000000000001"/>
    <n v="0.26"/>
    <n v="0.49099999999999999"/>
    <n v="0.19600000000000001"/>
    <s v="含气层"/>
    <s v="马五41a"/>
    <x v="5"/>
    <n v="2"/>
    <m/>
    <n v="0.28600000000000003"/>
    <n v="-0.42099999999999999"/>
  </r>
  <r>
    <s v="延1950"/>
    <n v="3803.375"/>
    <n v="18.606000000000002"/>
    <n v="21.585999999999999"/>
    <n v="0.84199999999999997"/>
    <n v="171.905"/>
    <n v="2.774"/>
    <n v="8.5079999999999991"/>
    <n v="3.1589999999999998"/>
    <n v="63.637999999999998"/>
    <n v="70.536000000000001"/>
    <n v="6.3040000000000003"/>
    <n v="5.6000000000000001E-2"/>
    <n v="35.841000000000001"/>
    <n v="0.02"/>
    <n v="0.45900000000000002"/>
    <n v="0.26600000000000001"/>
    <n v="0.55100000000000005"/>
    <n v="0.187"/>
    <s v="含气层"/>
    <s v="马五41a"/>
    <x v="5"/>
    <n v="2"/>
    <m/>
    <n v="0.28600000000000003"/>
    <n v="-0.439"/>
  </r>
  <r>
    <s v="延1950"/>
    <n v="3803.5"/>
    <n v="19.387"/>
    <n v="21.616"/>
    <n v="0.80800000000000005"/>
    <n v="171.935"/>
    <n v="2.7810000000000001"/>
    <n v="8.0109999999999992"/>
    <n v="3.1709999999999998"/>
    <n v="73.701999999999998"/>
    <n v="81.804000000000002"/>
    <n v="6.0730000000000004"/>
    <n v="4.9000000000000002E-2"/>
    <n v="35.904000000000003"/>
    <n v="3.3000000000000002E-2"/>
    <n v="0.47099999999999997"/>
    <n v="0.25900000000000001"/>
    <n v="0.58899999999999997"/>
    <n v="0.161"/>
    <s v="含气层"/>
    <s v="马五41a"/>
    <x v="5"/>
    <n v="2"/>
    <m/>
    <n v="0.29200000000000004"/>
    <n v="-0.43799999999999994"/>
  </r>
  <r>
    <s v="延1950"/>
    <n v="3803.625"/>
    <n v="21.890999999999998"/>
    <n v="21.666"/>
    <n v="0.94499999999999995"/>
    <n v="170.768"/>
    <n v="2.7839999999999998"/>
    <n v="7.391"/>
    <n v="3.1789999999999998"/>
    <n v="87.74"/>
    <n v="97.650999999999996"/>
    <n v="5.1950000000000003"/>
    <n v="2.4E-2"/>
    <n v="38.723999999999997"/>
    <n v="0.05"/>
    <n v="0.47799999999999998"/>
    <n v="0.23200000000000001"/>
    <n v="0.60099999999999998"/>
    <n v="0.13200000000000001"/>
    <s v="含气层"/>
    <s v="马五41a"/>
    <x v="5"/>
    <n v="2"/>
    <m/>
    <n v="0.28200000000000003"/>
    <n v="-0.42799999999999999"/>
  </r>
  <r>
    <s v="延1950"/>
    <n v="3803.75"/>
    <n v="22.963999999999999"/>
    <n v="21.756"/>
    <n v="1.0669999999999999"/>
    <n v="168.64599999999999"/>
    <n v="2.7839999999999998"/>
    <n v="6.8070000000000004"/>
    <n v="3.18"/>
    <n v="99.471999999999994"/>
    <n v="111.197"/>
    <n v="5.0209999999999999"/>
    <n v="2.1000000000000001E-2"/>
    <n v="38.017000000000003"/>
    <n v="5.3999999999999999E-2"/>
    <n v="0.47599999999999998"/>
    <n v="0.193"/>
    <n v="0.60399999999999998"/>
    <n v="0.1"/>
    <s v="含气层"/>
    <s v="马五41a"/>
    <x v="5"/>
    <n v="2"/>
    <m/>
    <n v="0.247"/>
    <n v="-0.42199999999999999"/>
  </r>
  <r>
    <s v="延1950"/>
    <n v="3803.875"/>
    <n v="22.245999999999999"/>
    <n v="21.859000000000002"/>
    <n v="1.032"/>
    <n v="166.19399999999999"/>
    <n v="2.7850000000000001"/>
    <n v="6.0110000000000001"/>
    <n v="3.1739999999999999"/>
    <n v="106.645"/>
    <n v="119.551"/>
    <n v="4.1189999999999998"/>
    <n v="0.01"/>
    <n v="45.625999999999998"/>
    <n v="4.9000000000000002E-2"/>
    <n v="0.47099999999999997"/>
    <n v="0.153"/>
    <n v="0.621"/>
    <n v="6.0999999999999999E-2"/>
    <s v="含气层"/>
    <s v="马五41a"/>
    <x v="5"/>
    <n v="2"/>
    <m/>
    <n v="0.20200000000000001"/>
    <n v="-0.42199999999999999"/>
  </r>
  <r>
    <s v="延1950"/>
    <n v="3804"/>
    <n v="22.001000000000001"/>
    <n v="21.934999999999999"/>
    <n v="0.97799999999999998"/>
    <n v="164.19399999999999"/>
    <n v="2.79"/>
    <n v="5.1879999999999997"/>
    <n v="3.1739999999999999"/>
    <n v="110.754"/>
    <n v="124.438"/>
    <n v="3.1749999999999998"/>
    <n v="0.01"/>
    <n v="58.667000000000002"/>
    <n v="0.05"/>
    <n v="0.47599999999999998"/>
    <n v="0.123"/>
    <n v="0.66200000000000003"/>
    <n v="2.9000000000000001E-2"/>
    <s v="含气层"/>
    <s v="马五41a"/>
    <x v="5"/>
    <n v="2"/>
    <m/>
    <n v="0.17299999999999999"/>
    <n v="-0.42599999999999999"/>
  </r>
  <r>
    <s v="延1950"/>
    <n v="3804.125"/>
    <n v="22.844000000000001"/>
    <n v="21.957000000000001"/>
    <n v="1.02"/>
    <n v="162.92500000000001"/>
    <n v="2.798"/>
    <n v="4.8280000000000003"/>
    <n v="3.1850000000000001"/>
    <n v="112.249"/>
    <n v="126.372"/>
    <n v="2.331"/>
    <n v="0.01"/>
    <n v="77.998999999999995"/>
    <n v="5.7000000000000002E-2"/>
    <n v="0.49099999999999999"/>
    <n v="0.105"/>
    <n v="0.71599999999999997"/>
    <n v="1.7000000000000001E-2"/>
    <s v="含气层"/>
    <s v="马五41a"/>
    <x v="5"/>
    <n v="2"/>
    <m/>
    <n v="0.16200000000000001"/>
    <n v="-0.434"/>
  </r>
  <r>
    <s v="延1950"/>
    <n v="3804.25"/>
    <n v="23.303000000000001"/>
    <n v="21.911999999999999"/>
    <n v="1.0920000000000001"/>
    <n v="162.191"/>
    <n v="2.806"/>
    <n v="4.7670000000000003"/>
    <n v="3.2"/>
    <n v="112.41200000000001"/>
    <n v="126.72499999999999"/>
    <n v="2.2989999999999999"/>
    <n v="0.01"/>
    <n v="78.992000000000004"/>
    <n v="5.6000000000000001E-2"/>
    <n v="0.505"/>
    <n v="9.0999999999999998E-2"/>
    <n v="0.75700000000000001"/>
    <n v="1.2999999999999999E-2"/>
    <s v="含气层"/>
    <s v="马五41a"/>
    <x v="5"/>
    <n v="2"/>
    <m/>
    <n v="0.14699999999999999"/>
    <n v="-0.44900000000000001"/>
  </r>
  <r>
    <s v="延1950"/>
    <n v="3804.375"/>
    <n v="22.228999999999999"/>
    <n v="21.859000000000002"/>
    <n v="1.0580000000000001"/>
    <n v="161.358"/>
    <n v="2.8090000000000002"/>
    <n v="4.601"/>
    <n v="3.2069999999999999"/>
    <n v="113.904"/>
    <n v="128.47200000000001"/>
    <n v="2.3069999999999999"/>
    <n v="0.01"/>
    <n v="78.165999999999997"/>
    <n v="4.5999999999999999E-2"/>
    <n v="0.51100000000000001"/>
    <n v="7.2999999999999995E-2"/>
    <n v="0.77500000000000002"/>
    <n v="5.0000000000000001E-3"/>
    <s v="含气层"/>
    <s v="马五41a"/>
    <x v="5"/>
    <n v="2"/>
    <m/>
    <n v="0.11899999999999999"/>
    <n v="-0.46500000000000002"/>
  </r>
  <r>
    <s v="延1950"/>
    <n v="3804.5"/>
    <n v="20.972999999999999"/>
    <n v="21.847000000000001"/>
    <n v="0.97899999999999998"/>
    <n v="159.94"/>
    <n v="2.8109999999999999"/>
    <n v="4.4470000000000001"/>
    <n v="3.2090000000000001"/>
    <n v="117.223"/>
    <n v="132.37700000000001"/>
    <n v="2.331"/>
    <n v="0.01"/>
    <n v="76.265000000000001"/>
    <n v="3.9E-2"/>
    <n v="0.51400000000000001"/>
    <n v="4.5999999999999999E-2"/>
    <n v="0.78900000000000003"/>
    <n v="2E-3"/>
    <s v="含气层"/>
    <s v="马五41a"/>
    <x v="5"/>
    <n v="2"/>
    <m/>
    <n v="8.4999999999999992E-2"/>
    <n v="-0.47500000000000003"/>
  </r>
  <r>
    <s v="延1950"/>
    <n v="3804.625"/>
    <n v="20.995999999999999"/>
    <n v="22.003"/>
    <n v="0.89100000000000001"/>
    <n v="158.11699999999999"/>
    <n v="2.8130000000000002"/>
    <n v="4.556"/>
    <n v="3.2120000000000002"/>
    <n v="119.54"/>
    <n v="135.26400000000001"/>
    <n v="2.2959999999999998"/>
    <n v="0.01"/>
    <n v="77.066000000000003"/>
    <n v="4.5999999999999999E-2"/>
    <n v="0.51700000000000002"/>
    <n v="1.7000000000000001E-2"/>
    <n v="0.8"/>
    <n v="1.2999999999999999E-2"/>
    <s v="含气层"/>
    <s v="马五41a"/>
    <x v="5"/>
    <n v="2"/>
    <m/>
    <n v="6.3E-2"/>
    <n v="-0.47100000000000003"/>
  </r>
  <r>
    <s v="延1950"/>
    <n v="3804.75"/>
    <n v="23.327999999999999"/>
    <n v="22.172999999999998"/>
    <n v="0.95299999999999996"/>
    <n v="156.77199999999999"/>
    <n v="2.8140000000000001"/>
    <n v="5.0060000000000002"/>
    <n v="3.2160000000000002"/>
    <n v="119.788"/>
    <n v="135.74199999999999"/>
    <n v="2.3540000000000001"/>
    <n v="0.01"/>
    <n v="76.084999999999994"/>
    <n v="7.0999999999999994E-2"/>
    <n v="0.52400000000000002"/>
    <n v="1E-3"/>
    <n v="0.79900000000000004"/>
    <n v="3.6999999999999998E-2"/>
    <s v="含气层"/>
    <s v="马五41a"/>
    <x v="5"/>
    <n v="2"/>
    <m/>
    <n v="7.1999999999999995E-2"/>
    <n v="-0.45300000000000001"/>
  </r>
  <r>
    <s v="延1950"/>
    <n v="3804.875"/>
    <n v="26.771000000000001"/>
    <n v="22.292000000000002"/>
    <n v="1.131"/>
    <n v="156.65700000000001"/>
    <n v="2.8119999999999998"/>
    <n v="5.593"/>
    <n v="3.2250000000000001"/>
    <n v="120.247"/>
    <n v="136.31899999999999"/>
    <n v="3.004"/>
    <n v="0.01"/>
    <n v="58.817"/>
    <n v="9.8000000000000004E-2"/>
    <n v="0.53700000000000003"/>
    <n v="8.9999999999999993E-3"/>
    <n v="0.78300000000000003"/>
    <n v="6.5000000000000002E-2"/>
    <s v="含气层"/>
    <s v="马五41a"/>
    <x v="5"/>
    <n v="2"/>
    <m/>
    <n v="0.107"/>
    <n v="-0.43900000000000006"/>
  </r>
  <r>
    <s v="延1950"/>
    <n v="3805"/>
    <n v="29.309000000000001"/>
    <n v="22.391999999999999"/>
    <n v="1.2529999999999999"/>
    <n v="158.10599999999999"/>
    <n v="2.8090000000000002"/>
    <n v="6.12"/>
    <n v="3.24"/>
    <n v="125.393"/>
    <n v="142.07300000000001"/>
    <n v="3.1259999999999999"/>
    <n v="0.01"/>
    <n v="56.314999999999998"/>
    <n v="0.12"/>
    <n v="0.55600000000000005"/>
    <n v="4.1000000000000002E-2"/>
    <n v="0.75800000000000001"/>
    <n v="8.7999999999999995E-2"/>
    <s v="含气层"/>
    <s v="马五41a"/>
    <x v="5"/>
    <n v="2"/>
    <m/>
    <n v="0.161"/>
    <n v="-0.43600000000000005"/>
  </r>
  <r>
    <s v="延1950"/>
    <n v="3805.125"/>
    <n v="31.606999999999999"/>
    <n v="22.509"/>
    <n v="1.3919999999999999"/>
    <n v="160.50299999999999"/>
    <n v="2.8039999999999998"/>
    <n v="6.5250000000000004"/>
    <n v="3.258"/>
    <n v="139.27000000000001"/>
    <n v="157.643"/>
    <n v="3.83"/>
    <n v="0.01"/>
    <n v="43.438000000000002"/>
    <n v="0.13700000000000001"/>
    <n v="0.57199999999999995"/>
    <n v="8.3000000000000004E-2"/>
    <n v="0.73199999999999998"/>
    <n v="0.105"/>
    <s v="含气层"/>
    <s v="马五41a"/>
    <x v="5"/>
    <n v="2"/>
    <m/>
    <n v="0.22000000000000003"/>
    <n v="-0.43499999999999994"/>
  </r>
  <r>
    <s v="延1950"/>
    <n v="3805.25"/>
    <n v="33.012"/>
    <n v="22.655999999999999"/>
    <n v="1.478"/>
    <n v="163.07400000000001"/>
    <n v="2.802"/>
    <n v="6.7919999999999998"/>
    <n v="3.2629999999999999"/>
    <n v="165.05600000000001"/>
    <n v="186.67400000000001"/>
    <n v="3.8029999999999999"/>
    <n v="0.01"/>
    <n v="41.51"/>
    <n v="0.14699999999999999"/>
    <n v="0.56499999999999995"/>
    <n v="0.123"/>
    <n v="0.71799999999999997"/>
    <n v="0.11600000000000001"/>
    <s v="含气层"/>
    <s v="马五41a"/>
    <x v="5"/>
    <n v="2"/>
    <m/>
    <n v="0.27"/>
    <n v="-0.41799999999999993"/>
  </r>
  <r>
    <s v="延1950"/>
    <n v="3805.375"/>
    <n v="33.664999999999999"/>
    <n v="22.501000000000001"/>
    <n v="1.5229999999999999"/>
    <n v="164.792"/>
    <n v="2.8"/>
    <n v="6.944"/>
    <n v="3.2389999999999999"/>
    <n v="206.21100000000001"/>
    <n v="233.26499999999999"/>
    <n v="3.8119999999999998"/>
    <n v="0.01"/>
    <n v="36.923000000000002"/>
    <n v="0.152"/>
    <n v="0.52500000000000002"/>
    <n v="0.14399999999999999"/>
    <n v="0.70199999999999996"/>
    <n v="0.125"/>
    <s v="含气层"/>
    <s v="马五41a"/>
    <x v="5"/>
    <n v="2"/>
    <m/>
    <n v="0.29599999999999999"/>
    <n v="-0.373"/>
  </r>
  <r>
    <s v="延1950"/>
    <n v="3805.5"/>
    <n v="34.037999999999997"/>
    <n v="22.248000000000001"/>
    <n v="1.4930000000000001"/>
    <n v="165.13"/>
    <n v="2.7970000000000002"/>
    <n v="7.2039999999999997"/>
    <n v="3.1859999999999999"/>
    <n v="253.87899999999999"/>
    <n v="287.64999999999998"/>
    <n v="3.9750000000000001"/>
    <n v="1.0999999999999999E-2"/>
    <n v="31.94"/>
    <n v="0.16200000000000001"/>
    <n v="0.45600000000000002"/>
    <n v="0.14399999999999999"/>
    <n v="0.67200000000000004"/>
    <n v="0.14799999999999999"/>
    <s v="含气层"/>
    <s v="马五41a"/>
    <x v="5"/>
    <n v="2"/>
    <m/>
    <n v="0.30599999999999999"/>
    <n v="-0.29400000000000004"/>
  </r>
  <r>
    <s v="延1950"/>
    <n v="3805.625"/>
    <n v="36.512"/>
    <n v="22.004000000000001"/>
    <n v="1.4119999999999999"/>
    <n v="164.596"/>
    <n v="2.79"/>
    <n v="8.0470000000000006"/>
    <n v="3.1179999999999999"/>
    <n v="284.47800000000001"/>
    <n v="323.22899999999998"/>
    <n v="4.8049999999999997"/>
    <n v="1.7000000000000001E-2"/>
    <n v="25.335999999999999"/>
    <n v="0.20499999999999999"/>
    <n v="0.38"/>
    <n v="0.13600000000000001"/>
    <n v="0.62"/>
    <n v="0.20799999999999999"/>
    <s v="含气层"/>
    <s v="马五41a"/>
    <x v="5"/>
    <n v="2"/>
    <m/>
    <n v="0.34099999999999997"/>
    <n v="-0.17500000000000002"/>
  </r>
  <r>
    <s v="延1950"/>
    <n v="3805.75"/>
    <n v="45.677999999999997"/>
    <n v="21.98"/>
    <n v="1.629"/>
    <n v="164.28"/>
    <n v="2.7810000000000001"/>
    <n v="9.9700000000000006"/>
    <n v="3.056"/>
    <n v="278.50299999999999"/>
    <n v="317.108"/>
    <n v="5.74"/>
    <n v="4.9000000000000002E-2"/>
    <n v="21.661999999999999"/>
    <n v="0.30199999999999999"/>
    <n v="0.318"/>
    <n v="0.13600000000000001"/>
    <n v="0.54600000000000004"/>
    <n v="0.312"/>
    <s v="含气层"/>
    <s v="马五41a"/>
    <x v="5"/>
    <n v="2"/>
    <m/>
    <n v="0.438"/>
    <n v="-1.6000000000000014E-2"/>
  </r>
  <r>
    <s v="延1950"/>
    <n v="3805.875"/>
    <n v="59.734999999999999"/>
    <n v="22.036000000000001"/>
    <n v="2.2509999999999999"/>
    <n v="164.84"/>
    <n v="2.7669999999999999"/>
    <n v="12.503"/>
    <n v="3.0190000000000001"/>
    <n v="252.48400000000001"/>
    <n v="287.90199999999999"/>
    <n v="6.6120000000000001"/>
    <n v="0.13200000000000001"/>
    <n v="30.611999999999998"/>
    <n v="0.42199999999999999"/>
    <n v="0.29099999999999998"/>
    <n v="0.154"/>
    <n v="0.44900000000000001"/>
    <n v="0.43"/>
    <s v="含气层"/>
    <s v="马五41a"/>
    <x v="5"/>
    <n v="2"/>
    <m/>
    <n v="0.57599999999999996"/>
    <n v="0.13100000000000001"/>
  </r>
  <r>
    <s v="延1952"/>
    <n v="3926.625"/>
    <n v="53.124000000000002"/>
    <n v="21.827000000000002"/>
    <n v="2.839"/>
    <n v="160.89400000000001"/>
    <n v="2.7930000000000001"/>
    <n v="8.8350000000000009"/>
    <n v="2.8889999999999998"/>
    <n v="962.98299999999995"/>
    <n v="1075.287"/>
    <n v="0.01"/>
    <n v="1E-3"/>
    <n v="100"/>
    <n v="0.33"/>
    <n v="0.14599999999999999"/>
    <n v="0.21299999999999999"/>
    <n v="0.92600000000000005"/>
    <n v="0.55500000000000005"/>
    <m/>
    <s v="马五41b"/>
    <x v="5"/>
    <n v="10"/>
    <m/>
    <n v="0.54300000000000004"/>
    <n v="0.18400000000000002"/>
  </r>
  <r>
    <s v="延1952"/>
    <n v="3926.75"/>
    <n v="40.478000000000002"/>
    <n v="21.843"/>
    <n v="3.3170000000000002"/>
    <n v="161.446"/>
    <n v="2.7890000000000001"/>
    <n v="8.5129999999999999"/>
    <n v="2.8929999999999998"/>
    <n v="1051.836"/>
    <n v="1174.58"/>
    <n v="0.01"/>
    <n v="1E-3"/>
    <n v="100"/>
    <n v="0.20200000000000001"/>
    <n v="0.14899999999999999"/>
    <n v="0.22500000000000001"/>
    <n v="0.90400000000000003"/>
    <n v="0.52300000000000002"/>
    <m/>
    <s v="马五41b"/>
    <x v="5"/>
    <n v="10"/>
    <m/>
    <n v="0.42700000000000005"/>
    <n v="5.3000000000000019E-2"/>
  </r>
  <r>
    <s v="延1952"/>
    <n v="3926.875"/>
    <n v="36.247999999999998"/>
    <n v="21.893000000000001"/>
    <n v="3.726"/>
    <n v="163.10599999999999"/>
    <n v="2.79"/>
    <n v="8.1630000000000003"/>
    <n v="2.895"/>
    <n v="928.3"/>
    <n v="1036.7380000000001"/>
    <n v="0.01"/>
    <n v="1E-3"/>
    <n v="100"/>
    <n v="0.14699999999999999"/>
    <n v="0.151"/>
    <n v="0.27"/>
    <n v="0.90400000000000003"/>
    <n v="0.49199999999999999"/>
    <m/>
    <s v="马五41b"/>
    <x v="5"/>
    <n v="10"/>
    <m/>
    <n v="0.41700000000000004"/>
    <n v="-4.0000000000000036E-3"/>
  </r>
  <r>
    <s v="延1952"/>
    <n v="3927"/>
    <n v="39.238999999999997"/>
    <n v="21.972999999999999"/>
    <n v="4.0890000000000004"/>
    <n v="165.78700000000001"/>
    <n v="2.7930000000000001"/>
    <n v="7.7160000000000002"/>
    <n v="2.8929999999999998"/>
    <n v="768.41300000000001"/>
    <n v="858.20100000000002"/>
    <n v="0.01"/>
    <n v="1E-3"/>
    <n v="100"/>
    <n v="0.161"/>
    <n v="0.15"/>
    <n v="0.34899999999999998"/>
    <n v="0.91700000000000004"/>
    <n v="0.45200000000000001"/>
    <m/>
    <s v="马五41b"/>
    <x v="5"/>
    <n v="10"/>
    <m/>
    <n v="0.51"/>
    <n v="1.100000000000001E-2"/>
  </r>
  <r>
    <s v="延1952"/>
    <n v="3927.125"/>
    <n v="52.884999999999998"/>
    <n v="22.071000000000002"/>
    <n v="4.4509999999999996"/>
    <n v="169.06399999999999"/>
    <n v="2.7919999999999998"/>
    <n v="7.3680000000000003"/>
    <n v="2.8860000000000001"/>
    <n v="621.76499999999999"/>
    <n v="694.42200000000003"/>
    <n v="0.01"/>
    <n v="1E-3"/>
    <n v="100"/>
    <n v="0.26800000000000002"/>
    <n v="0.14599999999999999"/>
    <n v="0.44800000000000001"/>
    <n v="0.91600000000000004"/>
    <n v="0.41899999999999998"/>
    <m/>
    <s v="马五41b"/>
    <x v="5"/>
    <n v="10"/>
    <m/>
    <n v="0.71599999999999997"/>
    <n v="0.12200000000000003"/>
  </r>
  <r>
    <s v="延1952"/>
    <n v="3927.25"/>
    <n v="82.119"/>
    <n v="22.158000000000001"/>
    <n v="4.7270000000000003"/>
    <n v="171.94200000000001"/>
    <n v="2.7829999999999999"/>
    <n v="7.43"/>
    <n v="2.8759999999999999"/>
    <n v="451.21600000000001"/>
    <n v="503.94400000000002"/>
    <n v="0.01"/>
    <n v="1E-3"/>
    <n v="100"/>
    <n v="0.50900000000000001"/>
    <n v="0.14000000000000001"/>
    <n v="0.54200000000000004"/>
    <n v="0.879"/>
    <n v="0.41699999999999998"/>
    <m/>
    <s v="马五41b"/>
    <x v="5"/>
    <n v="10"/>
    <m/>
    <n v="1.0510000000000002"/>
    <n v="0.36899999999999999"/>
  </r>
  <r>
    <s v="延1952"/>
    <n v="3928"/>
    <n v="76.53"/>
    <n v="22.216000000000001"/>
    <n v="2.3980000000000001"/>
    <n v="173.87700000000001"/>
    <n v="2.718"/>
    <n v="10.579000000000001"/>
    <n v="3.1629999999999998"/>
    <n v="294.80399999999997"/>
    <n v="329.2"/>
    <n v="0.01"/>
    <n v="1E-3"/>
    <n v="100"/>
    <n v="0.54400000000000004"/>
    <n v="0.32400000000000001"/>
    <n v="0.61099999999999999"/>
    <n v="0.53700000000000003"/>
    <n v="0.71299999999999997"/>
    <m/>
    <s v="马五41b"/>
    <x v="5"/>
    <n v="12"/>
    <m/>
    <n v="1.155"/>
    <n v="0.22000000000000003"/>
  </r>
  <r>
    <s v="延1952"/>
    <n v="3928.125"/>
    <n v="70.945999999999998"/>
    <n v="22.259"/>
    <n v="2.0259999999999998"/>
    <n v="175.29300000000001"/>
    <n v="2.7269999999999999"/>
    <n v="10.103"/>
    <n v="3.24"/>
    <n v="393.86700000000002"/>
    <n v="439.858"/>
    <n v="0.01"/>
    <n v="1E-3"/>
    <n v="100"/>
    <n v="0.47"/>
    <n v="0.378"/>
    <n v="0.65700000000000003"/>
    <n v="0.58099999999999996"/>
    <n v="0.67200000000000004"/>
    <m/>
    <s v="马五41b"/>
    <x v="5"/>
    <n v="12"/>
    <m/>
    <n v="1.127"/>
    <n v="9.1999999999999971E-2"/>
  </r>
  <r>
    <s v="延1952"/>
    <n v="3928.25"/>
    <n v="70.475999999999999"/>
    <n v="22.257000000000001"/>
    <n v="1.7989999999999999"/>
    <n v="175.22399999999999"/>
    <n v="2.7360000000000002"/>
    <n v="9.4909999999999997"/>
    <n v="3.2989999999999999"/>
    <n v="449.07"/>
    <n v="501.56599999999997"/>
    <n v="0.01"/>
    <n v="1E-3"/>
    <n v="100"/>
    <n v="0.45600000000000002"/>
    <n v="0.42099999999999999"/>
    <n v="0.66400000000000003"/>
    <n v="0.626"/>
    <n v="0.61899999999999999"/>
    <m/>
    <s v="马五41b"/>
    <x v="5"/>
    <n v="12"/>
    <m/>
    <n v="1.1200000000000001"/>
    <n v="3.5000000000000031E-2"/>
  </r>
  <r>
    <s v="延1952"/>
    <n v="3928.375"/>
    <n v="69.915000000000006"/>
    <n v="22.198"/>
    <n v="1.7090000000000001"/>
    <n v="173.262"/>
    <n v="2.7429999999999999"/>
    <n v="8.8780000000000001"/>
    <n v="3.3340000000000001"/>
    <n v="448.12599999999998"/>
    <n v="500.52199999999999"/>
    <n v="0.01"/>
    <n v="1E-3"/>
    <n v="100"/>
    <n v="0.45100000000000001"/>
    <n v="0.44900000000000001"/>
    <n v="0.61399999999999999"/>
    <n v="0.66300000000000003"/>
    <n v="0.56200000000000006"/>
    <m/>
    <s v="马五41b"/>
    <x v="5"/>
    <n v="12"/>
    <m/>
    <n v="1.0649999999999999"/>
    <n v="2.0000000000000018E-3"/>
  </r>
  <r>
    <s v="延1952"/>
    <n v="3928.5"/>
    <n v="68.498999999999995"/>
    <n v="22.109000000000002"/>
    <n v="1.7450000000000001"/>
    <n v="170.31100000000001"/>
    <n v="2.746"/>
    <n v="8.4469999999999992"/>
    <n v="3.34"/>
    <n v="460.39299999999997"/>
    <n v="514.21199999999999"/>
    <n v="0.01"/>
    <n v="1E-3"/>
    <n v="100"/>
    <n v="0.44"/>
    <n v="0.45700000000000002"/>
    <n v="0.52700000000000002"/>
    <n v="0.68200000000000005"/>
    <n v="0.51900000000000002"/>
    <m/>
    <s v="马五41b"/>
    <x v="5"/>
    <n v="12"/>
    <m/>
    <n v="0.96700000000000008"/>
    <n v="-1.7000000000000015E-2"/>
  </r>
  <r>
    <s v="延1952"/>
    <n v="3928.625"/>
    <n v="60.692999999999998"/>
    <n v="22.024000000000001"/>
    <n v="1.9470000000000001"/>
    <n v="167.46700000000001"/>
    <n v="2.75"/>
    <n v="8.2620000000000005"/>
    <n v="3.3220000000000001"/>
    <n v="485.54199999999997"/>
    <n v="542.26599999999996"/>
    <n v="0.01"/>
    <n v="1E-3"/>
    <n v="100"/>
    <n v="0.379"/>
    <n v="0.44800000000000001"/>
    <n v="0.436"/>
    <n v="0.70099999999999996"/>
    <n v="0.498"/>
    <m/>
    <s v="马五41b"/>
    <x v="5"/>
    <n v="12"/>
    <m/>
    <n v="0.81499999999999995"/>
    <n v="-6.9000000000000006E-2"/>
  </r>
  <r>
    <s v="延1952"/>
    <n v="3928.75"/>
    <n v="51.146000000000001"/>
    <n v="21.969000000000001"/>
    <n v="2.298"/>
    <n v="165.63499999999999"/>
    <n v="2.7549999999999999"/>
    <n v="8.2439999999999998"/>
    <n v="3.2829999999999999"/>
    <n v="509.35500000000002"/>
    <n v="568.75"/>
    <n v="0.01"/>
    <n v="1E-3"/>
    <n v="100"/>
    <n v="0.29399999999999998"/>
    <n v="0.42399999999999999"/>
    <n v="0.372"/>
    <n v="0.72499999999999998"/>
    <n v="0.49299999999999999"/>
    <m/>
    <s v="马五41b"/>
    <x v="5"/>
    <n v="12"/>
    <m/>
    <n v="0.66599999999999993"/>
    <n v="-0.13"/>
  </r>
  <r>
    <s v="延1952"/>
    <n v="3928.875"/>
    <n v="54.116"/>
    <n v="21.954000000000001"/>
    <n v="2.6309999999999998"/>
    <n v="165.12799999999999"/>
    <n v="2.7629999999999999"/>
    <n v="8.2940000000000005"/>
    <n v="3.2250000000000001"/>
    <n v="518.96600000000001"/>
    <n v="579.17100000000005"/>
    <n v="0.01"/>
    <n v="1E-3"/>
    <n v="100"/>
    <n v="0.29899999999999999"/>
    <n v="0.38600000000000001"/>
    <n v="0.34799999999999998"/>
    <n v="0.76200000000000001"/>
    <n v="0.496"/>
    <m/>
    <s v="马五41b"/>
    <x v="5"/>
    <n v="12"/>
    <m/>
    <n v="0.64700000000000002"/>
    <n v="-8.7000000000000022E-2"/>
  </r>
  <r>
    <s v="延1952"/>
    <n v="3929"/>
    <n v="63.418999999999997"/>
    <n v="21.97"/>
    <n v="2.8290000000000002"/>
    <n v="165.678"/>
    <n v="2.774"/>
    <n v="8.4049999999999994"/>
    <n v="3.1539999999999999"/>
    <n v="505.35700000000003"/>
    <n v="563.48099999999999"/>
    <n v="0.01"/>
    <n v="1E-3"/>
    <n v="100"/>
    <n v="0.373"/>
    <n v="0.33900000000000002"/>
    <n v="0.35899999999999999"/>
    <n v="0.81399999999999995"/>
    <n v="0.505"/>
    <m/>
    <s v="马五41b"/>
    <x v="5"/>
    <n v="12"/>
    <m/>
    <n v="0.73199999999999998"/>
    <n v="3.3999999999999975E-2"/>
  </r>
  <r>
    <s v="延1087"/>
    <n v="3394.375"/>
    <n v="24.154"/>
    <n v="22.1"/>
    <n v="3.0329999999999999"/>
    <n v="150.69399999999999"/>
    <n v="2.7970000000000002"/>
    <n v="6.8170000000000002"/>
    <n v="3.5379999999999998"/>
    <n v="353.899"/>
    <n v="405.084"/>
    <n v="0.91900000000000004"/>
    <n v="0.1"/>
    <n v="100"/>
    <n v="0.104"/>
    <n v="0.25600000000000001"/>
    <n v="1.9E-2"/>
    <n v="0.621"/>
    <n v="0.311"/>
    <m/>
    <s v="马五41a"/>
    <x v="7"/>
    <n v="3"/>
    <s v="薄片"/>
    <n v="0.123"/>
    <n v="-0.15200000000000002"/>
  </r>
  <r>
    <s v="延1087"/>
    <n v="3394.5"/>
    <n v="26.315999999999999"/>
    <n v="22.053000000000001"/>
    <n v="3.0939999999999999"/>
    <n v="150.18299999999999"/>
    <n v="2.8029999999999999"/>
    <n v="6.4219999999999997"/>
    <n v="3.5470000000000002"/>
    <n v="444.30799999999999"/>
    <n v="519.78399999999999"/>
    <n v="0.79500000000000004"/>
    <n v="0.1"/>
    <n v="100"/>
    <n v="0.121"/>
    <n v="0.25900000000000001"/>
    <n v="1.2999999999999999E-2"/>
    <n v="0.63500000000000001"/>
    <n v="0.28899999999999998"/>
    <m/>
    <s v="马五41a"/>
    <x v="7"/>
    <n v="3"/>
    <s v="薄片"/>
    <n v="0.13400000000000001"/>
    <n v="-0.13800000000000001"/>
  </r>
  <r>
    <s v="延1087"/>
    <n v="3394.625"/>
    <n v="29.291"/>
    <n v="22.045999999999999"/>
    <n v="3.1480000000000001"/>
    <n v="149.53299999999999"/>
    <n v="2.8090000000000002"/>
    <n v="6.1239999999999997"/>
    <n v="3.7090000000000001"/>
    <n v="578.56600000000003"/>
    <n v="683.33500000000004"/>
    <n v="0.67100000000000004"/>
    <n v="0.1"/>
    <n v="100"/>
    <n v="0.14399999999999999"/>
    <n v="0.308"/>
    <n v="5.0000000000000001E-3"/>
    <n v="0.65"/>
    <n v="0.27200000000000002"/>
    <m/>
    <s v="马五41a"/>
    <x v="7"/>
    <n v="3"/>
    <s v="薄片"/>
    <n v="0.14899999999999999"/>
    <n v="-0.16400000000000001"/>
  </r>
  <r>
    <s v="延1087"/>
    <n v="3394.75"/>
    <n v="31.488"/>
    <n v="22.056999999999999"/>
    <n v="3.218"/>
    <n v="149.06100000000001"/>
    <n v="2.8180000000000001"/>
    <n v="6.0650000000000004"/>
    <n v="4.1210000000000004"/>
    <n v="705.995"/>
    <n v="820.83799999999997"/>
    <n v="0.55700000000000005"/>
    <n v="0.1"/>
    <n v="100"/>
    <n v="0.16200000000000001"/>
    <n v="0.432"/>
    <n v="0"/>
    <n v="0.67200000000000004"/>
    <n v="0.26900000000000002"/>
    <m/>
    <s v="马五41a"/>
    <x v="7"/>
    <n v="3"/>
    <s v="薄片"/>
    <n v="0.16200000000000001"/>
    <n v="-0.27"/>
  </r>
  <r>
    <s v="延958"/>
    <n v="3807.625"/>
    <n v="36.718000000000004"/>
    <n v="23.826000000000001"/>
    <n v="2.0459999999999998"/>
    <n v="182.71"/>
    <n v="2.851"/>
    <n v="7.72"/>
    <n v="3.1760000000000002"/>
    <n v="361.23099999999999"/>
    <n v="290.26499999999999"/>
    <n v="0.01"/>
    <n v="1E-3"/>
    <n v="100"/>
    <n v="0.16700000000000001"/>
    <n v="0.30499999999999999"/>
    <n v="0.28599999999999998"/>
    <n v="0.77400000000000002"/>
    <n v="0.27100000000000002"/>
    <m/>
    <s v="马五41b"/>
    <x v="8"/>
    <n v="12"/>
    <s v="薄片"/>
    <n v="0.45299999999999996"/>
    <n v="-0.13799999999999998"/>
  </r>
  <r>
    <s v="延958"/>
    <n v="3807.75"/>
    <n v="45.832000000000001"/>
    <n v="23.763000000000002"/>
    <n v="2.1349999999999998"/>
    <n v="203.40899999999999"/>
    <n v="2.8210000000000002"/>
    <n v="7.9249999999999998"/>
    <n v="3.3260000000000001"/>
    <n v="239.42500000000001"/>
    <n v="189.244"/>
    <n v="0.01"/>
    <n v="1E-3"/>
    <n v="100"/>
    <n v="0.24299999999999999"/>
    <n v="0.37"/>
    <n v="0.47799999999999998"/>
    <n v="0.70799999999999996"/>
    <n v="0.29199999999999998"/>
    <m/>
    <s v="马五41b"/>
    <x v="8"/>
    <n v="12"/>
    <s v="薄片"/>
    <n v="0.72099999999999997"/>
    <n v="-0.127"/>
  </r>
  <r>
    <s v="延958"/>
    <n v="3807.875"/>
    <n v="60.804000000000002"/>
    <n v="23.733000000000001"/>
    <n v="2.794"/>
    <n v="216.32900000000001"/>
    <n v="2.79"/>
    <n v="8.7469999999999999"/>
    <n v="3.5609999999999999"/>
    <n v="157.47"/>
    <n v="123.99299999999999"/>
    <n v="0.01"/>
    <n v="1E-3"/>
    <n v="100"/>
    <n v="0.35499999999999998"/>
    <n v="0.45100000000000001"/>
    <n v="0.58399999999999996"/>
    <n v="0.64700000000000002"/>
    <n v="0.35099999999999998"/>
    <m/>
    <s v="马五41b"/>
    <x v="8"/>
    <n v="12"/>
    <s v="薄片"/>
    <n v="0.93899999999999995"/>
    <n v="-9.600000000000003E-2"/>
  </r>
  <r>
    <s v="延958"/>
    <n v="3808"/>
    <n v="76.652000000000001"/>
    <n v="23.757000000000001"/>
    <n v="3.7549999999999999"/>
    <n v="216.61099999999999"/>
    <n v="2.7770000000000001"/>
    <n v="9.8019999999999996"/>
    <n v="3.645"/>
    <n v="124.756"/>
    <n v="98.956999999999994"/>
    <n v="0.01"/>
    <n v="1E-3"/>
    <n v="100"/>
    <n v="0.46400000000000002"/>
    <n v="0.46800000000000003"/>
    <n v="0.57199999999999995"/>
    <n v="0.627"/>
    <n v="0.42299999999999999"/>
    <m/>
    <s v="马五41b"/>
    <x v="8"/>
    <n v="12"/>
    <s v="薄片"/>
    <n v="1.036"/>
    <n v="-4.0000000000000036E-3"/>
  </r>
  <r>
    <s v="延958"/>
    <n v="3808.125"/>
    <n v="85.715999999999994"/>
    <n v="23.809000000000001"/>
    <n v="4.3890000000000002"/>
    <n v="208.92099999999999"/>
    <n v="2.7850000000000001"/>
    <n v="10.95"/>
    <n v="3.512"/>
    <n v="117.928"/>
    <n v="94.350999999999999"/>
    <n v="0.01"/>
    <n v="1E-3"/>
    <n v="100"/>
    <n v="0.51500000000000001"/>
    <n v="0.40400000000000003"/>
    <n v="0.48199999999999998"/>
    <n v="0.64800000000000002"/>
    <n v="0.501"/>
    <m/>
    <s v="马五41b"/>
    <x v="8"/>
    <n v="12"/>
    <s v="薄片"/>
    <n v="0.997"/>
    <n v="0.11099999999999999"/>
  </r>
  <r>
    <s v="延958"/>
    <n v="3808.25"/>
    <n v="83.314999999999998"/>
    <n v="23.879000000000001"/>
    <n v="4.6139999999999999"/>
    <n v="193.88300000000001"/>
    <n v="2.8029999999999999"/>
    <n v="12.186999999999999"/>
    <n v="3.2080000000000002"/>
    <n v="126.895"/>
    <n v="101.914"/>
    <n v="0.01"/>
    <n v="1E-3"/>
    <n v="100"/>
    <n v="0.48899999999999999"/>
    <n v="0.28699999999999998"/>
    <n v="0.32900000000000001"/>
    <n v="0.68600000000000005"/>
    <n v="0.57899999999999996"/>
    <m/>
    <s v="马五41b"/>
    <x v="8"/>
    <n v="12"/>
    <s v="薄片"/>
    <n v="0.81800000000000006"/>
    <n v="0.20200000000000001"/>
  </r>
  <r>
    <s v="延958"/>
    <n v="3808.375"/>
    <n v="74.671000000000006"/>
    <n v="23.937999999999999"/>
    <n v="5.0780000000000003"/>
    <n v="177.18"/>
    <n v="2.8159999999999998"/>
    <n v="12.986000000000001"/>
    <n v="2.9350000000000001"/>
    <n v="146.369"/>
    <n v="116.84699999999999"/>
    <n v="0.01"/>
    <n v="1E-3"/>
    <n v="100"/>
    <n v="0.42699999999999999"/>
    <n v="0.19400000000000001"/>
    <n v="0.17499999999999999"/>
    <n v="0.70799999999999996"/>
    <n v="0.622"/>
    <m/>
    <s v="马五41b"/>
    <x v="8"/>
    <n v="12"/>
    <s v="薄片"/>
    <n v="0.60199999999999998"/>
    <n v="0.23299999999999998"/>
  </r>
  <r>
    <s v="延958"/>
    <n v="3808.5"/>
    <n v="67.59"/>
    <n v="23.956"/>
    <n v="5.6029999999999998"/>
    <n v="167.71299999999999"/>
    <n v="2.8119999999999998"/>
    <n v="12.911"/>
    <n v="2.8639999999999999"/>
    <n v="168.32"/>
    <n v="132.53200000000001"/>
    <n v="0.01"/>
    <n v="1E-3"/>
    <n v="100"/>
    <n v="0.38300000000000001"/>
    <n v="0.17699999999999999"/>
    <n v="0.1"/>
    <n v="0.69199999999999995"/>
    <n v="0.61099999999999999"/>
    <m/>
    <s v="马五41b"/>
    <x v="8"/>
    <n v="12"/>
    <s v="薄片"/>
    <n v="0.48299999999999998"/>
    <n v="0.20600000000000002"/>
  </r>
  <r>
    <s v="延958"/>
    <n v="3808.625"/>
    <n v="66.790999999999997"/>
    <n v="23.893999999999998"/>
    <n v="5.8739999999999997"/>
    <n v="168.87299999999999"/>
    <n v="2.79"/>
    <n v="12.349"/>
    <n v="2.9340000000000002"/>
    <n v="183.38300000000001"/>
    <n v="141.97900000000001"/>
    <n v="0.01"/>
    <n v="1E-3"/>
    <n v="100"/>
    <n v="0.38100000000000001"/>
    <n v="0.20200000000000001"/>
    <n v="0.11700000000000001"/>
    <n v="0.63900000000000001"/>
    <n v="0.57699999999999996"/>
    <m/>
    <s v="马五41b"/>
    <x v="8"/>
    <n v="12"/>
    <s v="薄片"/>
    <n v="0.498"/>
    <n v="0.17899999999999999"/>
  </r>
  <r>
    <s v="延958"/>
    <n v="3808.75"/>
    <n v="69.150999999999996"/>
    <n v="23.841999999999999"/>
    <n v="5.9740000000000002"/>
    <n v="172.72300000000001"/>
    <n v="2.7589999999999999"/>
    <n v="12.081"/>
    <n v="2.968"/>
    <n v="191.767"/>
    <n v="146.464"/>
    <n v="0.01"/>
    <n v="1E-3"/>
    <n v="100"/>
    <n v="0.39700000000000002"/>
    <n v="0.21199999999999999"/>
    <n v="0.15"/>
    <n v="0.57399999999999995"/>
    <n v="0.56200000000000006"/>
    <m/>
    <s v="马五41b"/>
    <x v="8"/>
    <n v="12"/>
    <s v="薄片"/>
    <n v="0.54700000000000004"/>
    <n v="0.18500000000000003"/>
  </r>
  <r>
    <s v="延958"/>
    <n v="3808.875"/>
    <n v="69.893000000000001"/>
    <n v="23.939"/>
    <n v="6.0570000000000004"/>
    <n v="173.99299999999999"/>
    <n v="2.7349999999999999"/>
    <n v="12.07"/>
    <n v="2.956"/>
    <n v="201.18"/>
    <n v="152.61699999999999"/>
    <n v="0.01"/>
    <n v="1E-3"/>
    <n v="100"/>
    <n v="0.39300000000000002"/>
    <n v="0.20699999999999999"/>
    <n v="0.156"/>
    <n v="0.53100000000000003"/>
    <n v="0.55600000000000005"/>
    <m/>
    <s v="马五41b"/>
    <x v="8"/>
    <n v="12"/>
    <s v="薄片"/>
    <n v="0.54900000000000004"/>
    <n v="0.18600000000000003"/>
  </r>
  <r>
    <s v="延958"/>
    <n v="3809"/>
    <n v="64.23"/>
    <n v="24.02"/>
    <n v="5.9790000000000001"/>
    <n v="171.714"/>
    <n v="2.7349999999999999"/>
    <n v="11.686999999999999"/>
    <n v="2.9470000000000001"/>
    <n v="225.149"/>
    <n v="170.91399999999999"/>
    <n v="0.01"/>
    <n v="1E-3"/>
    <n v="100"/>
    <n v="0.34499999999999997"/>
    <n v="0.20399999999999999"/>
    <n v="0.13200000000000001"/>
    <n v="0.54300000000000004"/>
    <n v="0.52400000000000002"/>
    <m/>
    <s v="马五41b"/>
    <x v="8"/>
    <n v="12"/>
    <s v="薄片"/>
    <n v="0.47699999999999998"/>
    <n v="0.14099999999999999"/>
  </r>
  <r>
    <s v="延958"/>
    <n v="3809.125"/>
    <n v="54.103999999999999"/>
    <n v="24.045999999999999"/>
    <n v="5.6029999999999998"/>
    <n v="168.33199999999999"/>
    <n v="2.7639999999999998"/>
    <n v="10.776"/>
    <n v="2.95"/>
    <n v="264.11900000000003"/>
    <n v="200.13800000000001"/>
    <n v="0.01"/>
    <n v="1E-3"/>
    <n v="100"/>
    <n v="0.27"/>
    <n v="0.20599999999999999"/>
    <n v="0.10199999999999999"/>
    <n v="0.61099999999999999"/>
    <n v="0.46100000000000002"/>
    <m/>
    <s v="马五41b"/>
    <x v="8"/>
    <n v="12"/>
    <s v="薄片"/>
    <n v="0.372"/>
    <n v="6.4000000000000029E-2"/>
  </r>
  <r>
    <s v="延958"/>
    <n v="3809.25"/>
    <n v="44.308"/>
    <n v="24.02"/>
    <n v="5.0659999999999998"/>
    <n v="166.99700000000001"/>
    <n v="2.8039999999999998"/>
    <n v="9.7080000000000002"/>
    <n v="2.956"/>
    <n v="296.64800000000002"/>
    <n v="222.08199999999999"/>
    <n v="0.01"/>
    <n v="1E-3"/>
    <n v="100"/>
    <n v="0.20599999999999999"/>
    <n v="0.20899999999999999"/>
    <n v="0.107"/>
    <n v="0.68200000000000005"/>
    <n v="0.39300000000000002"/>
    <m/>
    <s v="马五41b"/>
    <x v="8"/>
    <n v="12"/>
    <s v="薄片"/>
    <n v="0.313"/>
    <n v="-3.0000000000000027E-3"/>
  </r>
  <r>
    <s v="延958"/>
    <n v="3809.375"/>
    <n v="40.866999999999997"/>
    <n v="23.936"/>
    <n v="4.9160000000000004"/>
    <n v="175.62100000000001"/>
    <n v="2.8010000000000002"/>
    <n v="8.9870000000000001"/>
    <n v="2.9740000000000002"/>
    <n v="283.084"/>
    <n v="207.04499999999999"/>
    <n v="0.01"/>
    <n v="1E-3"/>
    <n v="100"/>
    <n v="0.19400000000000001"/>
    <n v="0.21199999999999999"/>
    <n v="0.21199999999999999"/>
    <n v="0.65100000000000002"/>
    <n v="0.35"/>
    <m/>
    <s v="马五41b"/>
    <x v="8"/>
    <n v="12"/>
    <s v="薄片"/>
    <n v="0.40600000000000003"/>
    <n v="-1.7999999999999988E-2"/>
  </r>
  <r>
    <s v="延958"/>
    <n v="3809.5"/>
    <n v="47.374000000000002"/>
    <n v="23.922000000000001"/>
    <n v="5.0590000000000002"/>
    <n v="194.63"/>
    <n v="2.738"/>
    <n v="8.7129999999999992"/>
    <n v="2.9380000000000002"/>
    <n v="221.96100000000001"/>
    <n v="157.119"/>
    <n v="0.01"/>
    <n v="1E-3"/>
    <n v="100"/>
    <n v="0.26100000000000001"/>
    <n v="0.186"/>
    <n v="0.40899999999999997"/>
    <n v="0.501"/>
    <n v="0.33800000000000002"/>
    <m/>
    <s v="马五41b"/>
    <x v="8"/>
    <n v="12"/>
    <s v="薄片"/>
    <n v="0.66999999999999993"/>
    <n v="7.5000000000000011E-2"/>
  </r>
  <r>
    <s v="延982"/>
    <n v="3378.25"/>
    <n v="75.353999999999999"/>
    <n v="23.49"/>
    <n v="3.24"/>
    <n v="172.06700000000001"/>
    <n v="2.7189999999999999"/>
    <n v="8.4700000000000006"/>
    <n v="2.91"/>
    <n v="193.762"/>
    <n v="208.554"/>
    <n v="0.01"/>
    <n v="1E-3"/>
    <n v="100"/>
    <n v="0.44900000000000001"/>
    <n v="0.23599999999999999"/>
    <n v="0.23400000000000001"/>
    <n v="0.39800000000000002"/>
    <n v="0.54100000000000004"/>
    <m/>
    <s v="马五41b"/>
    <x v="8"/>
    <n v="4"/>
    <s v="薄片"/>
    <n v="0.68300000000000005"/>
    <n v="0.21300000000000002"/>
  </r>
  <r>
    <s v="延982"/>
    <n v="3378.375"/>
    <n v="60.34"/>
    <n v="23.440999999999999"/>
    <n v="2.0070000000000001"/>
    <n v="169.16800000000001"/>
    <n v="2.726"/>
    <n v="7.0209999999999999"/>
    <n v="3.0510000000000002"/>
    <n v="287.07499999999999"/>
    <n v="317.29599999999999"/>
    <n v="0.01"/>
    <n v="1E-3"/>
    <n v="100"/>
    <n v="0.34100000000000003"/>
    <n v="0.30199999999999999"/>
    <n v="0.20300000000000001"/>
    <n v="0.41699999999999998"/>
    <n v="0.434"/>
    <m/>
    <s v="马五41b"/>
    <x v="8"/>
    <n v="4"/>
    <s v="薄片"/>
    <n v="0.54400000000000004"/>
    <n v="3.9000000000000035E-2"/>
  </r>
  <r>
    <s v="延982"/>
    <n v="3378.5"/>
    <n v="44.744"/>
    <n v="23.481999999999999"/>
    <n v="1.276"/>
    <n v="163.94499999999999"/>
    <n v="2.7370000000000001"/>
    <n v="4.944"/>
    <n v="3.137"/>
    <n v="494.88600000000002"/>
    <n v="558.18600000000004"/>
    <n v="0.01"/>
    <n v="1E-3"/>
    <n v="100"/>
    <n v="0.23"/>
    <n v="0.34"/>
    <n v="0.151"/>
    <n v="0.44800000000000001"/>
    <n v="0.28699999999999998"/>
    <m/>
    <s v="马五41b"/>
    <x v="8"/>
    <n v="4"/>
    <s v="薄片"/>
    <n v="0.38100000000000001"/>
    <n v="-0.11000000000000001"/>
  </r>
  <r>
    <s v="延982"/>
    <n v="3378.625"/>
    <n v="32.667000000000002"/>
    <n v="23.640999999999998"/>
    <n v="1.1399999999999999"/>
    <n v="158.05699999999999"/>
    <n v="2.7519999999999998"/>
    <n v="3.1579999999999999"/>
    <n v="3.1389999999999998"/>
    <n v="830.96699999999998"/>
    <n v="936.66600000000005"/>
    <n v="0.01"/>
    <n v="1E-3"/>
    <n v="100"/>
    <n v="0.14499999999999999"/>
    <n v="0.33900000000000002"/>
    <n v="9.5000000000000001E-2"/>
    <n v="0.5"/>
    <n v="0.16400000000000001"/>
    <m/>
    <s v="马五41b"/>
    <x v="8"/>
    <n v="4"/>
    <s v="薄片"/>
    <n v="0.24"/>
    <n v="-0.19400000000000003"/>
  </r>
  <r>
    <s v="延982"/>
    <n v="3378.75"/>
    <n v="25.381"/>
    <n v="23.751000000000001"/>
    <n v="1.2350000000000001"/>
    <n v="154.268"/>
    <n v="2.827"/>
    <n v="2.2000000000000002"/>
    <n v="3.0880000000000001"/>
    <n v="1251.2629999999999"/>
    <n v="1396.123"/>
    <n v="0.01"/>
    <n v="1E-3"/>
    <n v="100"/>
    <n v="9.5000000000000001E-2"/>
    <n v="0.314"/>
    <n v="5.8999999999999997E-2"/>
    <n v="0.69399999999999995"/>
    <n v="9.8000000000000004E-2"/>
    <m/>
    <s v="马五41b"/>
    <x v="8"/>
    <n v="4"/>
    <s v="薄片"/>
    <n v="0.154"/>
    <n v="-0.219"/>
  </r>
  <r>
    <s v="延982"/>
    <n v="3378.875"/>
    <n v="22.218"/>
    <n v="23.640999999999998"/>
    <n v="1.34"/>
    <n v="152.75200000000001"/>
    <n v="2.859"/>
    <n v="1.796"/>
    <n v="3.0169999999999999"/>
    <n v="1740.374"/>
    <n v="1960.7840000000001"/>
    <n v="0.01"/>
    <n v="1E-3"/>
    <n v="100"/>
    <n v="7.2999999999999995E-2"/>
    <n v="0.3"/>
    <n v="4.4999999999999998E-2"/>
    <n v="0.77700000000000002"/>
    <n v="7.0999999999999994E-2"/>
    <m/>
    <s v="马五41b"/>
    <x v="8"/>
    <n v="4"/>
    <s v="薄片"/>
    <n v="0.11799999999999999"/>
    <n v="-0.22699999999999998"/>
  </r>
  <r>
    <s v="延982"/>
    <n v="3379"/>
    <n v="21.071000000000002"/>
    <n v="23.504000000000001"/>
    <n v="1.389"/>
    <n v="152.05799999999999"/>
    <n v="2.8740000000000001"/>
    <n v="1.7070000000000001"/>
    <n v="3.5230000000000001"/>
    <n v="2408.6970000000001"/>
    <n v="2892.712"/>
    <n v="0.01"/>
    <n v="1E-3"/>
    <n v="100"/>
    <n v="6.5000000000000002E-2"/>
    <n v="0.53900000000000003"/>
    <n v="3.7999999999999999E-2"/>
    <n v="0.81899999999999995"/>
    <n v="6.5000000000000002E-2"/>
    <m/>
    <s v="马五41b"/>
    <x v="8"/>
    <n v="4"/>
    <s v="薄片"/>
    <n v="0.10300000000000001"/>
    <n v="-0.47400000000000003"/>
  </r>
  <r>
    <s v="延981"/>
    <n v="3451.5"/>
    <n v="65.816000000000003"/>
    <n v="22.709"/>
    <n v="4.2869999999999999"/>
    <n v="207.26"/>
    <n v="2.8279999999999998"/>
    <n v="5.0069999999999997"/>
    <n v="3.8330000000000002"/>
    <n v="298.18900000000002"/>
    <n v="421.39699999999999"/>
    <n v="0.01"/>
    <n v="1E-3"/>
    <n v="100"/>
    <n v="0.39"/>
    <n v="0.52400000000000002"/>
    <n v="0.82299999999999995"/>
    <n v="0.73"/>
    <n v="0.38900000000000001"/>
    <m/>
    <s v="马五41b"/>
    <x v="8"/>
    <n v="8"/>
    <s v="岩心观察"/>
    <n v="1.2130000000000001"/>
    <n v="-0.13400000000000001"/>
  </r>
  <r>
    <s v="延981"/>
    <n v="3451.625"/>
    <n v="56.636000000000003"/>
    <n v="22.707000000000001"/>
    <n v="3.97"/>
    <n v="213.74600000000001"/>
    <n v="2.8260000000000001"/>
    <n v="4.6429999999999998"/>
    <n v="3.7480000000000002"/>
    <n v="325.06"/>
    <n v="472.35599999999999"/>
    <n v="0.01"/>
    <n v="1E-3"/>
    <n v="100"/>
    <n v="0.32800000000000001"/>
    <n v="0.498"/>
    <n v="0.92800000000000005"/>
    <n v="0.72699999999999998"/>
    <n v="0.36199999999999999"/>
    <m/>
    <s v="马五41b"/>
    <x v="8"/>
    <n v="8"/>
    <s v="岩心观察"/>
    <n v="1.256"/>
    <n v="-0.16999999999999998"/>
  </r>
  <r>
    <s v="延981"/>
    <n v="3451.75"/>
    <n v="51.848999999999997"/>
    <n v="22.79"/>
    <n v="3.782"/>
    <n v="215.87799999999999"/>
    <n v="2.8170000000000002"/>
    <n v="4.2439999999999998"/>
    <n v="3.6030000000000002"/>
    <n v="322.81"/>
    <n v="456.55799999999999"/>
    <n v="0.01"/>
    <n v="1E-3"/>
    <n v="100"/>
    <n v="0.28699999999999998"/>
    <n v="0.438"/>
    <n v="0.97399999999999998"/>
    <n v="0.70799999999999996"/>
    <n v="0.33"/>
    <m/>
    <s v="马五41b"/>
    <x v="8"/>
    <n v="8"/>
    <s v="岩心观察"/>
    <n v="1.2609999999999999"/>
    <n v="-0.15100000000000002"/>
  </r>
  <r>
    <s v="延981"/>
    <n v="3451.875"/>
    <n v="54.837000000000003"/>
    <n v="22.887"/>
    <n v="3.67"/>
    <n v="213.42099999999999"/>
    <n v="2.8010000000000002"/>
    <n v="3.9580000000000002"/>
    <n v="3.3969999999999998"/>
    <n v="295.56"/>
    <n v="381.77"/>
    <n v="0.01"/>
    <n v="1E-3"/>
    <n v="100"/>
    <n v="0.29799999999999999"/>
    <n v="0.35"/>
    <n v="0.95"/>
    <n v="0.67100000000000004"/>
    <n v="0.30399999999999999"/>
    <m/>
    <s v="马五41b"/>
    <x v="8"/>
    <n v="8"/>
    <s v="岩心观察"/>
    <n v="1.248"/>
    <n v="-5.1999999999999991E-2"/>
  </r>
  <r>
    <s v="延981"/>
    <n v="3452"/>
    <n v="62.924999999999997"/>
    <n v="23.085000000000001"/>
    <n v="3.49"/>
    <n v="206.12"/>
    <n v="2.7759999999999998"/>
    <n v="3.8610000000000002"/>
    <n v="3.3079999999999998"/>
    <n v="258.45100000000002"/>
    <n v="287.39499999999998"/>
    <n v="0.01"/>
    <n v="1E-3"/>
    <n v="100"/>
    <n v="0.34899999999999998"/>
    <n v="0.29899999999999999"/>
    <n v="0.85299999999999998"/>
    <n v="0.61099999999999999"/>
    <n v="0.29399999999999998"/>
    <m/>
    <s v="马五41b"/>
    <x v="8"/>
    <n v="8"/>
    <s v="岩心观察"/>
    <n v="1.202"/>
    <n v="4.9999999999999989E-2"/>
  </r>
  <r>
    <s v="延981"/>
    <n v="3452.125"/>
    <n v="69.019000000000005"/>
    <n v="23.013000000000002"/>
    <n v="3.3490000000000002"/>
    <n v="196.84100000000001"/>
    <n v="2.742"/>
    <n v="4.0919999999999996"/>
    <n v="3.218"/>
    <n v="236.71700000000001"/>
    <n v="222.541"/>
    <n v="0.01"/>
    <n v="1E-3"/>
    <n v="100"/>
    <n v="0.39600000000000002"/>
    <n v="0.25800000000000001"/>
    <n v="0.71599999999999997"/>
    <n v="0.52900000000000003"/>
    <n v="0.307"/>
    <m/>
    <s v="马五41b"/>
    <x v="8"/>
    <n v="8"/>
    <s v="岩心观察"/>
    <n v="1.1120000000000001"/>
    <n v="0.13800000000000001"/>
  </r>
  <r>
    <s v="延981"/>
    <n v="3452.25"/>
    <n v="70.608000000000004"/>
    <n v="22.827999999999999"/>
    <n v="3.2770000000000001"/>
    <n v="187.43899999999999"/>
    <n v="2.7"/>
    <n v="4.7119999999999997"/>
    <n v="3.1579999999999999"/>
    <n v="240.78100000000001"/>
    <n v="196.50200000000001"/>
    <n v="0.01"/>
    <n v="1E-3"/>
    <n v="100"/>
    <n v="0.41399999999999998"/>
    <n v="0.22800000000000001"/>
    <n v="0.57199999999999995"/>
    <n v="0.42499999999999999"/>
    <n v="0.35099999999999998"/>
    <m/>
    <s v="马五41b"/>
    <x v="8"/>
    <n v="8"/>
    <s v="岩心观察"/>
    <n v="0.98599999999999999"/>
    <n v="0.18599999999999997"/>
  </r>
  <r>
    <s v="延981"/>
    <n v="3452.375"/>
    <n v="68.222999999999999"/>
    <n v="22.318000000000001"/>
    <n v="3.1629999999999998"/>
    <n v="181.07400000000001"/>
    <n v="2.653"/>
    <n v="5.6520000000000001"/>
    <n v="3.145"/>
    <n v="254.20699999999999"/>
    <n v="192.19399999999999"/>
    <n v="0.01"/>
    <n v="1E-3"/>
    <n v="100"/>
    <n v="0.40200000000000002"/>
    <n v="0.218"/>
    <n v="0.46500000000000002"/>
    <n v="0.308"/>
    <n v="0.42299999999999999"/>
    <m/>
    <s v="马五41b"/>
    <x v="8"/>
    <n v="8"/>
    <s v="岩心观察"/>
    <n v="0.86699999999999999"/>
    <n v="0.18400000000000002"/>
  </r>
  <r>
    <s v="延981"/>
    <n v="3452.5"/>
    <n v="63.401000000000003"/>
    <n v="22.105"/>
    <n v="3.02"/>
    <n v="179.614"/>
    <n v="2.6040000000000001"/>
    <n v="6.7149999999999999"/>
    <n v="3.1789999999999998"/>
    <n v="239.86600000000001"/>
    <n v="179.124"/>
    <n v="0.01"/>
    <n v="1E-3"/>
    <n v="100"/>
    <n v="0.371"/>
    <n v="0.22900000000000001"/>
    <n v="0.42699999999999999"/>
    <n v="0.184"/>
    <n v="0.50700000000000001"/>
    <m/>
    <s v="马五41b"/>
    <x v="8"/>
    <n v="8"/>
    <s v="岩心观察"/>
    <n v="0.79800000000000004"/>
    <n v="0.14199999999999999"/>
  </r>
  <r>
    <s v="延1087"/>
    <n v="3397.875"/>
    <n v="12.497"/>
    <n v="21.84"/>
    <n v="2.2200000000000002"/>
    <n v="158.08799999999999"/>
    <n v="2.9289999999999998"/>
    <n v="2.0190000000000001"/>
    <n v="4.8360000000000003"/>
    <n v="17296.861000000001"/>
    <n v="29853.491999999998"/>
    <n v="9.0999999999999998E-2"/>
    <n v="0.1"/>
    <n v="100"/>
    <n v="1.2E-2"/>
    <n v="0.64700000000000002"/>
    <n v="0.10199999999999999"/>
    <n v="0.94599999999999995"/>
    <n v="4.3999999999999997E-2"/>
    <m/>
    <s v="马五41b"/>
    <x v="8"/>
    <n v="7"/>
    <s v="薄片"/>
    <n v="0.11399999999999999"/>
    <n v="-0.63500000000000001"/>
  </r>
  <r>
    <s v="延1087"/>
    <n v="3398"/>
    <n v="14.218999999999999"/>
    <n v="21.797999999999998"/>
    <n v="2.1219999999999999"/>
    <n v="160.45400000000001"/>
    <n v="2.9380000000000002"/>
    <n v="1.4239999999999999"/>
    <n v="4.6879999999999997"/>
    <n v="7983.41"/>
    <n v="12251.191000000001"/>
    <n v="9.0999999999999998E-2"/>
    <n v="0.1"/>
    <n v="100"/>
    <n v="2.5000000000000001E-2"/>
    <n v="0.60199999999999998"/>
    <n v="0.129"/>
    <n v="0.96799999999999997"/>
    <n v="1.0999999999999999E-2"/>
    <m/>
    <s v="马五41b"/>
    <x v="8"/>
    <n v="7"/>
    <s v="薄片"/>
    <n v="0.154"/>
    <n v="-0.57699999999999996"/>
  </r>
  <r>
    <s v="延1087"/>
    <n v="3398.125"/>
    <n v="15.5"/>
    <n v="21.821000000000002"/>
    <n v="2.0099999999999998"/>
    <n v="162.66499999999999"/>
    <n v="2.9470000000000001"/>
    <n v="1.2350000000000001"/>
    <n v="4.5839999999999996"/>
    <n v="4198.2910000000002"/>
    <n v="5332.192"/>
    <n v="0.09"/>
    <n v="0.1"/>
    <n v="100"/>
    <n v="3.5999999999999997E-2"/>
    <n v="0.57099999999999995"/>
    <n v="0.154"/>
    <n v="0.99"/>
    <n v="0"/>
    <m/>
    <s v="马五41b"/>
    <x v="8"/>
    <n v="7"/>
    <s v="薄片"/>
    <n v="0.19"/>
    <n v="-0.53499999999999992"/>
  </r>
  <r>
    <s v="延1087"/>
    <n v="3398.25"/>
    <n v="15.526"/>
    <n v="21.870999999999999"/>
    <n v="1.8759999999999999"/>
    <n v="164.65100000000001"/>
    <n v="2.9510000000000001"/>
    <n v="1.2350000000000001"/>
    <n v="4.4779999999999998"/>
    <n v="3082.645"/>
    <n v="3535.47"/>
    <n v="8.8999999999999996E-2"/>
    <n v="0.1"/>
    <n v="100"/>
    <n v="3.5999999999999997E-2"/>
    <n v="0.53900000000000003"/>
    <n v="0.17699999999999999"/>
    <n v="1"/>
    <n v="0"/>
    <m/>
    <s v="马五41b"/>
    <x v="8"/>
    <n v="7"/>
    <s v="薄片"/>
    <n v="0.21299999999999999"/>
    <n v="-0.503"/>
  </r>
  <r>
    <s v="延1087"/>
    <n v="3398.375"/>
    <n v="15.113"/>
    <n v="21.901"/>
    <n v="1.7669999999999999"/>
    <n v="166.40799999999999"/>
    <n v="2.9470000000000001"/>
    <n v="1.7270000000000001"/>
    <n v="4.5590000000000002"/>
    <n v="2417.739"/>
    <n v="2620.6320000000001"/>
    <n v="8.7999999999999995E-2"/>
    <n v="0.1"/>
    <n v="100"/>
    <n v="3.2000000000000001E-2"/>
    <n v="0.56299999999999994"/>
    <n v="0.19700000000000001"/>
    <n v="0.99"/>
    <n v="2.7E-2"/>
    <m/>
    <s v="马五41b"/>
    <x v="8"/>
    <n v="7"/>
    <s v="薄片"/>
    <n v="0.22900000000000001"/>
    <n v="-0.53099999999999992"/>
  </r>
  <r>
    <s v="延1087"/>
    <n v="3398.5"/>
    <n v="15.742000000000001"/>
    <n v="21.893000000000001"/>
    <n v="1.6990000000000001"/>
    <n v="167.767"/>
    <n v="2.9369999999999998"/>
    <n v="2.5209999999999999"/>
    <n v="4.8600000000000003"/>
    <n v="1810.57"/>
    <n v="1845.9449999999999"/>
    <n v="8.6999999999999994E-2"/>
    <n v="0.1"/>
    <n v="100"/>
    <n v="3.6999999999999998E-2"/>
    <n v="0.65400000000000003"/>
    <n v="0.21199999999999999"/>
    <n v="0.96599999999999997"/>
    <n v="7.1999999999999995E-2"/>
    <m/>
    <s v="马五41b"/>
    <x v="8"/>
    <n v="7"/>
    <s v="薄片"/>
    <n v="0.249"/>
    <n v="-0.61699999999999999"/>
  </r>
  <r>
    <s v="延1087"/>
    <n v="3398.625"/>
    <n v="18.074000000000002"/>
    <n v="21.861999999999998"/>
    <n v="1.659"/>
    <n v="168.60300000000001"/>
    <n v="2.9289999999999998"/>
    <n v="2.94"/>
    <n v="5.0209999999999999"/>
    <n v="1353.954"/>
    <n v="1313.373"/>
    <n v="8.6999999999999994E-2"/>
    <n v="0.1"/>
    <n v="100"/>
    <n v="5.6000000000000001E-2"/>
    <n v="0.70199999999999996"/>
    <n v="0.222"/>
    <n v="0.94599999999999995"/>
    <n v="9.5000000000000001E-2"/>
    <m/>
    <s v="马五41b"/>
    <x v="8"/>
    <n v="7"/>
    <s v="薄片"/>
    <n v="0.27800000000000002"/>
    <n v="-0.64599999999999991"/>
  </r>
  <r>
    <s v="靖40"/>
    <n v="3805.25"/>
    <n v="29.105"/>
    <n v="22.35"/>
    <n v="1.4650000000000001"/>
    <n v="167.35499999999999"/>
    <n v="2.754"/>
    <n v="5.641"/>
    <n v="3.0369999999999999"/>
    <n v="415.81599999999997"/>
    <n v="456.94"/>
    <n v="4.0119999999999996"/>
    <n v="2.1000000000000001E-2"/>
    <n v="20.324000000000002"/>
    <n v="7.5999999999999998E-2"/>
    <n v="0.65800000000000003"/>
    <n v="0.128"/>
    <n v="0.8"/>
    <n v="0.128"/>
    <s v="含气层"/>
    <s v="马五41a"/>
    <x v="9"/>
    <n v="1"/>
    <m/>
    <n v="0.20400000000000001"/>
    <n v="-0.58200000000000007"/>
  </r>
  <r>
    <s v="靖40"/>
    <n v="3805.375"/>
    <n v="29.6"/>
    <n v="22.228000000000002"/>
    <n v="1.6"/>
    <n v="170.41"/>
    <n v="2.74"/>
    <n v="6.7679999999999998"/>
    <n v="2.9649999999999999"/>
    <n v="436.827"/>
    <n v="480.029"/>
    <n v="4.8099999999999996"/>
    <n v="4.5999999999999999E-2"/>
    <n v="16.513000000000002"/>
    <n v="8.2000000000000003E-2"/>
    <n v="0.57599999999999996"/>
    <n v="0.16600000000000001"/>
    <n v="0.76700000000000002"/>
    <n v="0.18099999999999999"/>
    <s v="含气层"/>
    <s v="马五41a"/>
    <x v="9"/>
    <n v="1"/>
    <m/>
    <n v="0.248"/>
    <n v="-0.49399999999999994"/>
  </r>
  <r>
    <s v="靖40"/>
    <n v="3805.5"/>
    <n v="31.678000000000001"/>
    <n v="22.035"/>
    <n v="1.7669999999999999"/>
    <n v="173.274"/>
    <n v="2.7280000000000002"/>
    <n v="7.9139999999999997"/>
    <n v="2.8679999999999999"/>
    <n v="437.64"/>
    <n v="480.923"/>
    <n v="5.4269999999999996"/>
    <n v="7.6999999999999999E-2"/>
    <n v="14.554"/>
    <n v="0.10100000000000001"/>
    <n v="0.47699999999999998"/>
    <n v="0.2"/>
    <n v="0.74099999999999999"/>
    <n v="0.23300000000000001"/>
    <s v="含气层"/>
    <s v="马五41a"/>
    <x v="9"/>
    <n v="1"/>
    <m/>
    <n v="0.30100000000000005"/>
    <n v="-0.376"/>
  </r>
  <r>
    <s v="靖40"/>
    <n v="3805.625"/>
    <n v="36.231000000000002"/>
    <n v="21.986999999999998"/>
    <n v="2.1040000000000001"/>
    <n v="175.238"/>
    <n v="2.7229999999999999"/>
    <n v="8.9109999999999996"/>
    <n v="2.7989999999999999"/>
    <n v="382.95100000000002"/>
    <n v="420.82600000000002"/>
    <n v="5.6470000000000002"/>
    <n v="9.0999999999999998E-2"/>
    <n v="14.984999999999999"/>
    <n v="0.14000000000000001"/>
    <n v="0.39100000000000001"/>
    <n v="0.22800000000000001"/>
    <n v="0.73099999999999998"/>
    <n v="0.27800000000000002"/>
    <s v="含气层"/>
    <s v="马五41a"/>
    <x v="9"/>
    <n v="1"/>
    <m/>
    <n v="0.36799999999999999"/>
    <n v="-0.251"/>
  </r>
  <r>
    <s v="靖40"/>
    <n v="3805.75"/>
    <n v="44.789000000000001"/>
    <n v="22.2"/>
    <n v="2.5609999999999999"/>
    <n v="178.19499999999999"/>
    <n v="2.722"/>
    <n v="9.74"/>
    <n v="2.677"/>
    <n v="305.08199999999999"/>
    <n v="335.255"/>
    <n v="5.3029999999999999"/>
    <n v="7.0999999999999994E-2"/>
    <n v="18.027000000000001"/>
    <n v="0.21"/>
    <n v="0.26100000000000001"/>
    <n v="0.26100000000000001"/>
    <n v="0.73299999999999998"/>
    <n v="0.313"/>
    <s v="含气层"/>
    <s v="马五41b"/>
    <x v="9"/>
    <n v="1"/>
    <m/>
    <n v="0.47099999999999997"/>
    <n v="-5.1000000000000018E-2"/>
  </r>
  <r>
    <s v="延958"/>
    <n v="3801.125"/>
    <n v="18.143000000000001"/>
    <n v="22.52"/>
    <n v="1.952"/>
    <n v="165.26400000000001"/>
    <n v="2.7029999999999998"/>
    <n v="9.8369999999999997"/>
    <n v="3"/>
    <n v="84.710999999999999"/>
    <n v="75.911000000000001"/>
    <n v="6.04"/>
    <n v="80.337999999999994"/>
    <n v="21.323"/>
    <n v="1.7000000000000001E-2"/>
    <n v="0.24199999999999999"/>
    <n v="7.0000000000000007E-2"/>
    <n v="0.46600000000000003"/>
    <n v="0.40799999999999997"/>
    <s v="含气层"/>
    <s v="马五41a"/>
    <x v="9"/>
    <n v="3"/>
    <s v="薄片"/>
    <n v="8.7000000000000008E-2"/>
    <n v="-0.22499999999999998"/>
  </r>
  <r>
    <s v="延958"/>
    <n v="3801.25"/>
    <n v="18.626000000000001"/>
    <n v="22.521000000000001"/>
    <n v="1.847"/>
    <n v="163.59800000000001"/>
    <n v="2.7170000000000001"/>
    <n v="9.5660000000000007"/>
    <n v="3.238"/>
    <n v="88.805000000000007"/>
    <n v="78.183000000000007"/>
    <n v="5.9039999999999999"/>
    <n v="71.378"/>
    <n v="22.126000000000001"/>
    <n v="0.02"/>
    <n v="0.33300000000000002"/>
    <n v="5.3999999999999999E-2"/>
    <n v="0.5"/>
    <n v="0.39100000000000001"/>
    <s v="含气层"/>
    <s v="马五41a"/>
    <x v="9"/>
    <n v="3"/>
    <s v="薄片"/>
    <n v="7.3999999999999996E-2"/>
    <n v="-0.313"/>
  </r>
  <r>
    <s v="延958"/>
    <n v="3801.375"/>
    <n v="18.667999999999999"/>
    <n v="22.526"/>
    <n v="1.724"/>
    <n v="162.346"/>
    <n v="2.738"/>
    <n v="9.4480000000000004"/>
    <n v="3.444"/>
    <n v="91.763999999999996"/>
    <n v="79.721000000000004"/>
    <n v="5.4139999999999997"/>
    <n v="45.569000000000003"/>
    <n v="24.614000000000001"/>
    <n v="0.02"/>
    <n v="0.4"/>
    <n v="4.3999999999999997E-2"/>
    <n v="0.54400000000000004"/>
    <n v="0.38500000000000001"/>
    <s v="含气层"/>
    <s v="马五41a"/>
    <x v="9"/>
    <n v="3"/>
    <s v="薄片"/>
    <n v="6.4000000000000001E-2"/>
    <n v="-0.38"/>
  </r>
  <r>
    <s v="延958"/>
    <n v="3801.5"/>
    <n v="18.343"/>
    <n v="22.536000000000001"/>
    <n v="1.605"/>
    <n v="162.33199999999999"/>
    <n v="2.754"/>
    <n v="9.51"/>
    <n v="3.4630000000000001"/>
    <n v="93.296999999999997"/>
    <n v="80.400000000000006"/>
    <n v="5.1379999999999999"/>
    <n v="34.718000000000004"/>
    <n v="26.068999999999999"/>
    <n v="1.7999999999999999E-2"/>
    <n v="0.40500000000000003"/>
    <n v="4.7E-2"/>
    <n v="0.57299999999999995"/>
    <n v="0.39200000000000002"/>
    <s v="含气层"/>
    <s v="马五41a"/>
    <x v="9"/>
    <n v="3"/>
    <s v="薄片"/>
    <n v="6.5000000000000002E-2"/>
    <n v="-0.38700000000000001"/>
  </r>
  <r>
    <s v="延958"/>
    <n v="3801.625"/>
    <n v="18.135000000000002"/>
    <n v="22.545999999999999"/>
    <n v="1.5069999999999999"/>
    <n v="163.779"/>
    <n v="2.754"/>
    <n v="9.7360000000000007"/>
    <n v="3.44"/>
    <n v="93.153000000000006"/>
    <n v="80.134"/>
    <n v="4.8550000000000004"/>
    <n v="25.907"/>
    <n v="27.547000000000001"/>
    <n v="1.7000000000000001E-2"/>
    <n v="0.39900000000000002"/>
    <n v="6.0999999999999999E-2"/>
    <n v="0.56699999999999995"/>
    <n v="0.40799999999999997"/>
    <s v="含气层"/>
    <s v="马五41a"/>
    <x v="9"/>
    <n v="3"/>
    <s v="薄片"/>
    <n v="7.8E-2"/>
    <n v="-0.38200000000000001"/>
  </r>
  <r>
    <s v="延958"/>
    <n v="3801.75"/>
    <n v="18.175000000000001"/>
    <n v="22.55"/>
    <n v="1.4350000000000001"/>
    <n v="165.34899999999999"/>
    <n v="2.74"/>
    <n v="10.028"/>
    <n v="3.4590000000000001"/>
    <n v="91.442999999999998"/>
    <n v="79.051000000000002"/>
    <n v="5.1070000000000002"/>
    <n v="33.676000000000002"/>
    <n v="25.751999999999999"/>
    <n v="1.7000000000000001E-2"/>
    <n v="0.40699999999999997"/>
    <n v="7.5999999999999998E-2"/>
    <n v="0.53600000000000003"/>
    <n v="0.42699999999999999"/>
    <s v="含气层"/>
    <s v="马五41a"/>
    <x v="9"/>
    <n v="3"/>
    <s v="薄片"/>
    <n v="9.2999999999999999E-2"/>
    <n v="-0.38999999999999996"/>
  </r>
  <r>
    <s v="延958"/>
    <n v="3801.875"/>
    <n v="18.361000000000001"/>
    <n v="22.553000000000001"/>
    <n v="1.395"/>
    <n v="166.09200000000001"/>
    <n v="2.7250000000000001"/>
    <n v="10.254"/>
    <n v="3.484"/>
    <n v="89.057000000000002"/>
    <n v="77.872"/>
    <n v="5.3310000000000004"/>
    <n v="42.043999999999997"/>
    <n v="24.315999999999999"/>
    <n v="1.7999999999999999E-2"/>
    <n v="0.41799999999999998"/>
    <n v="8.2000000000000003E-2"/>
    <n v="0.50700000000000001"/>
    <n v="0.44"/>
    <s v="含气层"/>
    <s v="马五41a"/>
    <x v="9"/>
    <n v="3"/>
    <s v="薄片"/>
    <n v="0.1"/>
    <n v="-0.39999999999999997"/>
  </r>
  <r>
    <s v="延958"/>
    <n v="3802"/>
    <n v="18.251999999999999"/>
    <n v="22.547000000000001"/>
    <n v="1.385"/>
    <n v="166.119"/>
    <n v="2.7210000000000001"/>
    <n v="10.343999999999999"/>
    <n v="3.53"/>
    <n v="87.45"/>
    <n v="77.914000000000001"/>
    <n v="6.2690000000000001"/>
    <n v="97.369"/>
    <n v="19.843"/>
    <n v="1.7000000000000001E-2"/>
    <n v="0.433"/>
    <n v="8.1000000000000003E-2"/>
    <n v="0.502"/>
    <n v="0.44500000000000001"/>
    <s v="含气层"/>
    <s v="马五41a"/>
    <x v="9"/>
    <n v="3"/>
    <s v="薄片"/>
    <n v="9.8000000000000004E-2"/>
    <n v="-0.41599999999999998"/>
  </r>
  <r>
    <s v="延958"/>
    <n v="3802.125"/>
    <n v="17.643000000000001"/>
    <n v="22.539000000000001"/>
    <n v="1.401"/>
    <n v="165.48099999999999"/>
    <n v="2.7269999999999999"/>
    <n v="10.314"/>
    <n v="3.54"/>
    <n v="88.046000000000006"/>
    <n v="80.481999999999999"/>
    <n v="6.1959999999999997"/>
    <n v="91.647000000000006"/>
    <n v="18.808"/>
    <n v="1.2E-2"/>
    <n v="0.437"/>
    <n v="7.2999999999999995E-2"/>
    <n v="0.51600000000000001"/>
    <n v="0.441"/>
    <s v="含气层"/>
    <s v="马五41a"/>
    <x v="9"/>
    <n v="3"/>
    <s v="薄片"/>
    <n v="8.4999999999999992E-2"/>
    <n v="-0.42499999999999999"/>
  </r>
  <r>
    <s v="延958"/>
    <n v="3802.25"/>
    <n v="16.998000000000001"/>
    <n v="22.536999999999999"/>
    <n v="1.4419999999999999"/>
    <n v="164.298"/>
    <n v="2.7349999999999999"/>
    <n v="10.170999999999999"/>
    <n v="3.5390000000000001"/>
    <n v="91.715999999999994"/>
    <n v="86.495000000000005"/>
    <n v="6.0940000000000003"/>
    <n v="84.11"/>
    <n v="18.417000000000002"/>
    <n v="8.0000000000000002E-3"/>
    <n v="0.438"/>
    <n v="6.2E-2"/>
    <n v="0.53400000000000003"/>
    <n v="0.43"/>
    <s v="含气层"/>
    <s v="马五41a"/>
    <x v="9"/>
    <n v="3"/>
    <s v="薄片"/>
    <n v="7.0000000000000007E-2"/>
    <n v="-0.43"/>
  </r>
  <r>
    <s v="延958"/>
    <n v="3802.875"/>
    <n v="20.675000000000001"/>
    <n v="22.58"/>
    <n v="2.1859999999999999"/>
    <n v="158.483"/>
    <n v="2.7829999999999999"/>
    <n v="9.2379999999999995"/>
    <n v="3.452"/>
    <n v="175.31200000000001"/>
    <n v="196.42099999999999"/>
    <n v="3.7280000000000002"/>
    <n v="6.5880000000000001"/>
    <n v="19.079000000000001"/>
    <n v="3.5999999999999997E-2"/>
    <n v="0.39600000000000002"/>
    <n v="5.0000000000000001E-3"/>
    <n v="0.63800000000000001"/>
    <n v="0.371"/>
    <s v="含气层"/>
    <s v="马五41a"/>
    <x v="9"/>
    <n v="5"/>
    <s v="薄片"/>
    <n v="4.0999999999999995E-2"/>
    <n v="-0.36000000000000004"/>
  </r>
  <r>
    <s v="延958"/>
    <n v="3803"/>
    <n v="21.123000000000001"/>
    <n v="22.58"/>
    <n v="2.242"/>
    <n v="157.917"/>
    <n v="2.786"/>
    <n v="9.298"/>
    <n v="3.363"/>
    <n v="191.77500000000001"/>
    <n v="219.67599999999999"/>
    <n v="3.597"/>
    <n v="5.476"/>
    <n v="17.38"/>
    <n v="3.7999999999999999E-2"/>
    <n v="0.36199999999999999"/>
    <n v="1E-3"/>
    <n v="0.64400000000000002"/>
    <n v="0.373"/>
    <s v="含气层"/>
    <s v="马五41a"/>
    <x v="9"/>
    <n v="5"/>
    <s v="薄片"/>
    <n v="3.9E-2"/>
    <n v="-0.32400000000000001"/>
  </r>
  <r>
    <s v="延958"/>
    <n v="3803.125"/>
    <n v="20.661999999999999"/>
    <n v="22.571999999999999"/>
    <n v="2.254"/>
    <n v="158.434"/>
    <n v="2.7890000000000001"/>
    <n v="9.1349999999999998"/>
    <n v="3.2879999999999998"/>
    <n v="203.82300000000001"/>
    <n v="237.31399999999999"/>
    <n v="3.5259999999999998"/>
    <n v="4.9370000000000003"/>
    <n v="15.721"/>
    <n v="3.4000000000000002E-2"/>
    <n v="0.33200000000000002"/>
    <n v="7.0000000000000001E-3"/>
    <n v="0.65"/>
    <n v="0.35799999999999998"/>
    <s v="含气层"/>
    <s v="马五41a"/>
    <x v="9"/>
    <n v="5"/>
    <s v="薄片"/>
    <n v="4.1000000000000002E-2"/>
    <n v="-0.29800000000000004"/>
  </r>
  <r>
    <s v="延958"/>
    <n v="3803.25"/>
    <n v="19.831"/>
    <n v="22.562000000000001"/>
    <n v="2.2789999999999999"/>
    <n v="159.39500000000001"/>
    <n v="2.7890000000000001"/>
    <n v="8.7050000000000001"/>
    <n v="3.1989999999999998"/>
    <n v="213.41399999999999"/>
    <n v="251.43600000000001"/>
    <n v="3.5110000000000001"/>
    <n v="4.8310000000000004"/>
    <n v="14.912000000000001"/>
    <n v="0.03"/>
    <n v="0.29399999999999998"/>
    <n v="1.6E-2"/>
    <n v="0.65100000000000002"/>
    <n v="0.32800000000000001"/>
    <s v="含气层"/>
    <s v="马五41a"/>
    <x v="9"/>
    <n v="5"/>
    <s v="薄片"/>
    <n v="4.5999999999999999E-2"/>
    <n v="-0.26400000000000001"/>
  </r>
  <r>
    <s v="延958"/>
    <n v="3803.375"/>
    <n v="20.302"/>
    <n v="22.556000000000001"/>
    <n v="2.2549999999999999"/>
    <n v="159.935"/>
    <n v="2.7909999999999999"/>
    <n v="8.1720000000000006"/>
    <n v="3.07"/>
    <n v="222.64"/>
    <n v="264.59500000000003"/>
    <n v="3.4980000000000002"/>
    <n v="4.7359999999999998"/>
    <n v="13.627000000000001"/>
    <n v="3.6999999999999998E-2"/>
    <n v="0.24199999999999999"/>
    <n v="2.1999999999999999E-2"/>
    <n v="0.65500000000000003"/>
    <n v="0.29399999999999998"/>
    <s v="含气层"/>
    <s v="马五41a"/>
    <x v="9"/>
    <n v="5"/>
    <s v="薄片"/>
    <n v="5.8999999999999997E-2"/>
    <n v="-0.20499999999999999"/>
  </r>
  <r>
    <s v="延958"/>
    <n v="3803.5"/>
    <n v="23.814"/>
    <n v="22.56"/>
    <n v="2.11"/>
    <n v="160.86500000000001"/>
    <n v="2.794"/>
    <n v="7.7439999999999998"/>
    <n v="2.9249999999999998"/>
    <n v="232.24199999999999"/>
    <n v="277.26900000000001"/>
    <n v="2.7559999999999998"/>
    <n v="1.377"/>
    <n v="16.279"/>
    <n v="6.8000000000000005E-2"/>
    <n v="0.191"/>
    <n v="3.4000000000000002E-2"/>
    <n v="0.66100000000000003"/>
    <n v="0.26700000000000002"/>
    <s v="含气层"/>
    <s v="马五41a"/>
    <x v="9"/>
    <n v="5"/>
    <s v="薄片"/>
    <n v="0.10200000000000001"/>
    <n v="-0.123"/>
  </r>
  <r>
    <s v="延958"/>
    <n v="3803.625"/>
    <n v="31.004000000000001"/>
    <n v="22.585999999999999"/>
    <n v="1.946"/>
    <n v="163.20400000000001"/>
    <n v="2.7949999999999999"/>
    <n v="7.4729999999999999"/>
    <n v="2.8559999999999999"/>
    <n v="239.85499999999999"/>
    <n v="285.613"/>
    <n v="2.6859999999999999"/>
    <n v="1.2050000000000001"/>
    <n v="16.530999999999999"/>
    <n v="0.127"/>
    <n v="0.182"/>
    <n v="0.06"/>
    <n v="0.66100000000000003"/>
    <n v="0.251"/>
    <s v="含气层"/>
    <s v="马五41a"/>
    <x v="9"/>
    <n v="5"/>
    <s v="薄片"/>
    <n v="0.187"/>
    <n v="-5.4999999999999993E-2"/>
  </r>
  <r>
    <s v="延958"/>
    <n v="3803.75"/>
    <n v="42.109000000000002"/>
    <n v="22.625"/>
    <n v="1.8759999999999999"/>
    <n v="166.94300000000001"/>
    <n v="2.7890000000000001"/>
    <n v="7.399"/>
    <n v="3.044"/>
    <n v="239.87799999999999"/>
    <n v="281.86799999999999"/>
    <n v="1.978"/>
    <n v="0.247"/>
    <n v="23.093"/>
    <n v="0.21299999999999999"/>
    <n v="0.27900000000000003"/>
    <n v="0.1"/>
    <n v="0.64300000000000002"/>
    <n v="0.249"/>
    <s v="含气层"/>
    <s v="马五41a"/>
    <x v="9"/>
    <n v="5"/>
    <s v="薄片"/>
    <n v="0.313"/>
    <n v="-6.6000000000000031E-2"/>
  </r>
  <r>
    <s v="延958"/>
    <n v="3803.875"/>
    <n v="55.29"/>
    <n v="22.666"/>
    <n v="1.8879999999999999"/>
    <n v="172.14699999999999"/>
    <n v="2.7719999999999998"/>
    <n v="7.5650000000000004"/>
    <n v="3.5569999999999999"/>
    <n v="228.149"/>
    <n v="262.33999999999997"/>
    <n v="0.01"/>
    <n v="1E-3"/>
    <n v="100"/>
    <n v="0.311"/>
    <n v="0.49199999999999999"/>
    <n v="0.154"/>
    <n v="0.60299999999999998"/>
    <n v="0.26500000000000001"/>
    <m/>
    <s v="马五41a"/>
    <x v="9"/>
    <n v="5"/>
    <s v="薄片"/>
    <n v="0.46499999999999997"/>
    <n v="-0.18099999999999999"/>
  </r>
  <r>
    <s v="延958"/>
    <n v="3804"/>
    <n v="69.194999999999993"/>
    <n v="22.707000000000001"/>
    <n v="2.0270000000000001"/>
    <n v="178.65100000000001"/>
    <n v="2.7480000000000002"/>
    <n v="8.1010000000000009"/>
    <n v="4.2309999999999999"/>
    <n v="205.46600000000001"/>
    <n v="230.09299999999999"/>
    <n v="0.01"/>
    <n v="1E-3"/>
    <n v="100"/>
    <n v="0.41399999999999998"/>
    <n v="0.74299999999999999"/>
    <n v="0.218"/>
    <n v="0.55200000000000005"/>
    <n v="0.307"/>
    <m/>
    <s v="马五41a"/>
    <x v="9"/>
    <n v="5"/>
    <s v="薄片"/>
    <n v="0.63200000000000001"/>
    <n v="-0.32900000000000001"/>
  </r>
  <r>
    <s v="延958"/>
    <n v="3804.75"/>
    <n v="70.546000000000006"/>
    <n v="22.873000000000001"/>
    <n v="4.9290000000000003"/>
    <n v="183.25899999999999"/>
    <n v="2.69"/>
    <n v="10.286"/>
    <n v="3.8319999999999999"/>
    <n v="209.94499999999999"/>
    <n v="225.833"/>
    <n v="0.01"/>
    <n v="1E-3"/>
    <n v="100"/>
    <n v="0.38"/>
    <n v="0.53500000000000003"/>
    <n v="0.24199999999999999"/>
    <n v="0.42799999999999999"/>
    <n v="0.41799999999999998"/>
    <m/>
    <s v="马五41b"/>
    <x v="9"/>
    <n v="7"/>
    <s v="薄片"/>
    <n v="0.622"/>
    <n v="-0.15500000000000003"/>
  </r>
  <r>
    <s v="延958"/>
    <n v="3804.875"/>
    <n v="51.814"/>
    <n v="22.861999999999998"/>
    <n v="4.9550000000000001"/>
    <n v="177.00200000000001"/>
    <n v="2.681"/>
    <n v="8.4039999999999999"/>
    <n v="3.601"/>
    <n v="261.661"/>
    <n v="280.97199999999998"/>
    <n v="0.01"/>
    <n v="1E-3"/>
    <n v="100"/>
    <n v="0.24399999999999999"/>
    <n v="0.46100000000000002"/>
    <n v="0.17899999999999999"/>
    <n v="0.41299999999999998"/>
    <n v="0.29699999999999999"/>
    <m/>
    <s v="马五41b"/>
    <x v="9"/>
    <n v="7"/>
    <s v="薄片"/>
    <n v="0.42299999999999999"/>
    <n v="-0.21700000000000003"/>
  </r>
  <r>
    <s v="延958"/>
    <n v="3805"/>
    <n v="35.536000000000001"/>
    <n v="22.856000000000002"/>
    <n v="4.4710000000000001"/>
    <n v="170.51"/>
    <n v="2.6840000000000002"/>
    <n v="6.95"/>
    <n v="3.61"/>
    <n v="308.488"/>
    <n v="327.15899999999999"/>
    <n v="0.01"/>
    <n v="1E-3"/>
    <n v="100"/>
    <n v="0.13100000000000001"/>
    <n v="0.46899999999999997"/>
    <n v="0.11700000000000001"/>
    <n v="0.42499999999999999"/>
    <n v="0.20799999999999999"/>
    <m/>
    <s v="马五41b"/>
    <x v="9"/>
    <n v="7"/>
    <s v="薄片"/>
    <n v="0.248"/>
    <n v="-0.33799999999999997"/>
  </r>
  <r>
    <s v="延958"/>
    <n v="3805.125"/>
    <n v="24.917999999999999"/>
    <n v="22.861999999999998"/>
    <n v="3.6859999999999999"/>
    <n v="165.80699999999999"/>
    <n v="2.6989999999999998"/>
    <n v="6.2720000000000002"/>
    <n v="3.6779999999999999"/>
    <n v="323.64800000000002"/>
    <n v="335.26900000000001"/>
    <n v="0.01"/>
    <n v="1E-3"/>
    <n v="100"/>
    <n v="5.8999999999999997E-2"/>
    <n v="0.49399999999999999"/>
    <n v="7.0000000000000007E-2"/>
    <n v="0.46300000000000002"/>
    <n v="0.16900000000000001"/>
    <m/>
    <s v="马五41b"/>
    <x v="9"/>
    <n v="7"/>
    <s v="薄片"/>
    <n v="0.129"/>
    <n v="-0.435"/>
  </r>
  <r>
    <s v="延958"/>
    <n v="3805.625"/>
    <n v="17.992999999999999"/>
    <n v="23.004000000000001"/>
    <n v="1.8819999999999999"/>
    <n v="166.12"/>
    <n v="2.718"/>
    <n v="6.8339999999999996"/>
    <n v="3.996"/>
    <n v="238.14599999999999"/>
    <n v="222.875"/>
    <n v="0.01"/>
    <n v="1E-3"/>
    <n v="100"/>
    <n v="2.1999999999999999E-2"/>
    <n v="0.625"/>
    <n v="0.09"/>
    <n v="0.499"/>
    <n v="0.21"/>
    <m/>
    <s v="马五41b"/>
    <x v="9"/>
    <n v="9"/>
    <s v="薄片"/>
    <n v="0.11199999999999999"/>
    <n v="-0.60299999999999998"/>
  </r>
  <r>
    <s v="延958"/>
    <n v="3805.75"/>
    <n v="22.768999999999998"/>
    <n v="23.023"/>
    <n v="1.6"/>
    <n v="170.71100000000001"/>
    <n v="2.7320000000000002"/>
    <n v="6.9619999999999997"/>
    <n v="4.125"/>
    <n v="243.77600000000001"/>
    <n v="227.952"/>
    <n v="0.01"/>
    <n v="1E-3"/>
    <n v="100"/>
    <n v="0.06"/>
    <n v="0.66"/>
    <n v="0.13500000000000001"/>
    <n v="0.54"/>
    <n v="0.216"/>
    <m/>
    <s v="马五41b"/>
    <x v="9"/>
    <n v="9"/>
    <s v="薄片"/>
    <n v="0.19500000000000001"/>
    <n v="-0.60000000000000009"/>
  </r>
  <r>
    <s v="延958"/>
    <n v="3805.875"/>
    <n v="29.731000000000002"/>
    <n v="23.096"/>
    <n v="1.4019999999999999"/>
    <n v="174.77099999999999"/>
    <n v="2.7719999999999998"/>
    <n v="6.8719999999999999"/>
    <n v="4.0369999999999999"/>
    <n v="265.892"/>
    <n v="249.96100000000001"/>
    <n v="0.01"/>
    <n v="1E-3"/>
    <n v="100"/>
    <n v="0.112"/>
    <n v="0.61099999999999999"/>
    <n v="0.17899999999999999"/>
    <n v="0.621"/>
    <n v="0.21199999999999999"/>
    <m/>
    <s v="马五41b"/>
    <x v="9"/>
    <n v="9"/>
    <s v="薄片"/>
    <n v="0.29099999999999998"/>
    <n v="-0.499"/>
  </r>
  <r>
    <s v="延958"/>
    <n v="3806"/>
    <n v="36.664000000000001"/>
    <n v="23.22"/>
    <n v="1.3680000000000001"/>
    <n v="180.73500000000001"/>
    <n v="2.794"/>
    <n v="6.883"/>
    <n v="3.746"/>
    <n v="297.03899999999999"/>
    <n v="280.26900000000001"/>
    <n v="0.01"/>
    <n v="1E-3"/>
    <n v="100"/>
    <n v="0.161"/>
    <n v="0.49099999999999999"/>
    <n v="0.24399999999999999"/>
    <n v="0.64900000000000002"/>
    <n v="0.217"/>
    <m/>
    <s v="马五41b"/>
    <x v="9"/>
    <n v="9"/>
    <s v="薄片"/>
    <n v="0.40500000000000003"/>
    <n v="-0.32999999999999996"/>
  </r>
  <r>
    <s v="延958"/>
    <n v="3806.125"/>
    <n v="41.377000000000002"/>
    <n v="23.359000000000002"/>
    <n v="1.3779999999999999"/>
    <n v="189.35400000000001"/>
    <n v="2.7650000000000001"/>
    <n v="7.2750000000000004"/>
    <n v="3.3730000000000002"/>
    <n v="324.447"/>
    <n v="306.56900000000002"/>
    <n v="0.01"/>
    <n v="1E-3"/>
    <n v="100"/>
    <n v="0.19"/>
    <n v="0.34699999999999998"/>
    <n v="0.32500000000000001"/>
    <n v="0.56499999999999995"/>
    <n v="0.247"/>
    <m/>
    <s v="马五41b"/>
    <x v="9"/>
    <n v="9"/>
    <s v="薄片"/>
    <n v="0.51500000000000001"/>
    <n v="-0.15699999999999997"/>
  </r>
  <r>
    <s v="延958"/>
    <n v="3806.25"/>
    <n v="41.878"/>
    <n v="23.585000000000001"/>
    <n v="1.47"/>
    <n v="195.12700000000001"/>
    <n v="2.6859999999999999"/>
    <n v="7.9889999999999999"/>
    <n v="3.0390000000000001"/>
    <n v="338.83"/>
    <n v="321.28300000000002"/>
    <n v="0.01"/>
    <n v="1E-3"/>
    <n v="100"/>
    <n v="0.188"/>
    <n v="0.22600000000000001"/>
    <n v="0.376"/>
    <n v="0.39200000000000002"/>
    <n v="0.29499999999999998"/>
    <m/>
    <s v="马五41b"/>
    <x v="9"/>
    <n v="9"/>
    <s v="薄片"/>
    <n v="0.56400000000000006"/>
    <n v="-3.8000000000000006E-2"/>
  </r>
  <r>
    <s v="延958"/>
    <n v="3806.375"/>
    <n v="38.372999999999998"/>
    <n v="23.823"/>
    <n v="1.7190000000000001"/>
    <n v="197.274"/>
    <n v="2.609"/>
    <n v="8.6679999999999993"/>
    <n v="2.8359999999999999"/>
    <n v="341.55"/>
    <n v="325.97300000000001"/>
    <n v="0.01"/>
    <n v="1E-3"/>
    <n v="100"/>
    <n v="0.159"/>
    <n v="0.161"/>
    <n v="0.39300000000000002"/>
    <n v="0.24299999999999999"/>
    <n v="0.33700000000000002"/>
    <m/>
    <s v="马五41b"/>
    <x v="9"/>
    <n v="9"/>
    <s v="薄片"/>
    <n v="0.55200000000000005"/>
    <n v="-2.0000000000000018E-3"/>
  </r>
  <r>
    <s v="延958"/>
    <n v="3806.5"/>
    <n v="32.991"/>
    <n v="24.061"/>
    <n v="1.992"/>
    <n v="197.10599999999999"/>
    <n v="2.5830000000000002"/>
    <n v="9.0280000000000005"/>
    <n v="2.8359999999999999"/>
    <n v="331.35300000000001"/>
    <n v="318.43700000000001"/>
    <n v="0.01"/>
    <n v="1E-3"/>
    <n v="100"/>
    <n v="0.124"/>
    <n v="0.17199999999999999"/>
    <n v="0.38300000000000001"/>
    <n v="0.20200000000000001"/>
    <n v="0.35799999999999998"/>
    <m/>
    <s v="马五41b"/>
    <x v="9"/>
    <n v="9"/>
    <s v="薄片"/>
    <n v="0.50700000000000001"/>
    <n v="-4.7999999999999987E-2"/>
  </r>
  <r>
    <s v="延958"/>
    <n v="3806.625"/>
    <n v="30.901"/>
    <n v="24.207000000000001"/>
    <n v="2.1930000000000001"/>
    <n v="192.29"/>
    <n v="2.597"/>
    <n v="9.1219999999999999"/>
    <n v="2.9910000000000001"/>
    <n v="310.73099999999999"/>
    <n v="299.58600000000001"/>
    <n v="0.01"/>
    <n v="1E-3"/>
    <n v="100"/>
    <n v="0.11700000000000001"/>
    <n v="0.23799999999999999"/>
    <n v="0.32600000000000001"/>
    <n v="0.24099999999999999"/>
    <n v="0.36299999999999999"/>
    <m/>
    <s v="马五41b"/>
    <x v="9"/>
    <n v="9"/>
    <s v="薄片"/>
    <n v="0.443"/>
    <n v="-0.12099999999999998"/>
  </r>
  <r>
    <s v="延959"/>
    <n v="3875.375"/>
    <n v="31.132000000000001"/>
    <n v="21.178000000000001"/>
    <n v="1.9430000000000001"/>
    <n v="163.18100000000001"/>
    <n v="2.802"/>
    <n v="5.4029999999999996"/>
    <n v="3.331"/>
    <n v="488.72300000000001"/>
    <n v="543.02499999999998"/>
    <n v="0"/>
    <n v="0"/>
    <n v="100"/>
    <n v="0.17599999999999999"/>
    <n v="0.317"/>
    <n v="0.13100000000000001"/>
    <n v="0.86599999999999999"/>
    <n v="1.6E-2"/>
    <m/>
    <s v="马五41b"/>
    <x v="9"/>
    <n v="5"/>
    <s v="薄片"/>
    <n v="0.307"/>
    <n v="-0.14100000000000001"/>
  </r>
  <r>
    <s v="延959"/>
    <n v="3875.5"/>
    <n v="38.517000000000003"/>
    <n v="21.303999999999998"/>
    <n v="2.3460000000000001"/>
    <n v="162.078"/>
    <n v="2.8050000000000002"/>
    <n v="5.9379999999999997"/>
    <n v="3.3620000000000001"/>
    <n v="467.738"/>
    <n v="519.70799999999997"/>
    <n v="0"/>
    <n v="0"/>
    <n v="100"/>
    <n v="0.246"/>
    <n v="0.32700000000000001"/>
    <n v="0.128"/>
    <n v="0.88900000000000001"/>
    <n v="7.4999999999999997E-2"/>
    <m/>
    <s v="马五41b"/>
    <x v="9"/>
    <n v="5"/>
    <s v="薄片"/>
    <n v="0.374"/>
    <n v="-8.1000000000000016E-2"/>
  </r>
  <r>
    <s v="延959"/>
    <n v="3875.625"/>
    <n v="44.954000000000001"/>
    <n v="21.596"/>
    <n v="2.907"/>
    <n v="164.273"/>
    <n v="2.8109999999999999"/>
    <n v="6.6710000000000003"/>
    <n v="3.3460000000000001"/>
    <n v="439.78399999999999"/>
    <n v="488.65"/>
    <n v="0"/>
    <n v="0"/>
    <n v="100"/>
    <n v="0.30199999999999999"/>
    <n v="0.317"/>
    <n v="0.17199999999999999"/>
    <n v="0.92300000000000004"/>
    <n v="0.151"/>
    <m/>
    <s v="马五41b"/>
    <x v="9"/>
    <n v="5"/>
    <s v="薄片"/>
    <n v="0.47399999999999998"/>
    <n v="-1.5000000000000013E-2"/>
  </r>
  <r>
    <s v="延959"/>
    <n v="3876.25"/>
    <n v="39.118000000000002"/>
    <n v="23.053000000000001"/>
    <n v="4.194"/>
    <n v="180.89"/>
    <n v="2.7839999999999998"/>
    <n v="8.4510000000000005"/>
    <n v="3.3039999999999998"/>
    <n v="286.84500000000003"/>
    <n v="318.71600000000001"/>
    <n v="0"/>
    <n v="0"/>
    <n v="100"/>
    <n v="0.251"/>
    <n v="0.29899999999999999"/>
    <n v="0.42499999999999999"/>
    <n v="0.751"/>
    <n v="0.32100000000000001"/>
    <m/>
    <s v="马五41b"/>
    <x v="9"/>
    <n v="7"/>
    <s v="薄片"/>
    <n v="0.67599999999999993"/>
    <n v="-4.7999999999999987E-2"/>
  </r>
  <r>
    <s v="延959"/>
    <n v="3876.375"/>
    <n v="45.1"/>
    <n v="22.994"/>
    <n v="3.4769999999999999"/>
    <n v="181.01499999999999"/>
    <n v="2.78"/>
    <n v="8.8800000000000008"/>
    <n v="3.3149999999999999"/>
    <n v="266.31200000000001"/>
    <n v="295.90199999999999"/>
    <n v="0"/>
    <n v="0"/>
    <n v="100"/>
    <n v="0.32800000000000001"/>
    <n v="0.30499999999999999"/>
    <n v="0.41299999999999998"/>
    <n v="0.73399999999999999"/>
    <n v="0.376"/>
    <m/>
    <s v="马五41b"/>
    <x v="9"/>
    <n v="7"/>
    <s v="薄片"/>
    <n v="0.74099999999999999"/>
    <n v="2.300000000000002E-2"/>
  </r>
  <r>
    <s v="延959"/>
    <n v="3876.75"/>
    <n v="66.540999999999997"/>
    <n v="21.754000000000001"/>
    <n v="1.488"/>
    <n v="170.929"/>
    <n v="2.7879999999999998"/>
    <n v="10.130000000000001"/>
    <n v="3.3290000000000002"/>
    <n v="204.61699999999999"/>
    <n v="227.352"/>
    <n v="0"/>
    <n v="0"/>
    <n v="100"/>
    <n v="0.46899999999999997"/>
    <n v="0.312"/>
    <n v="0.23599999999999999"/>
    <n v="0.78900000000000003"/>
    <n v="0.43099999999999999"/>
    <m/>
    <s v="马五41b"/>
    <x v="10"/>
    <n v="10"/>
    <s v="薄片"/>
    <n v="0.70499999999999996"/>
    <n v="0.15699999999999997"/>
  </r>
  <r>
    <s v="延959"/>
    <n v="3876.875"/>
    <n v="54.506999999999998"/>
    <n v="21.518999999999998"/>
    <n v="1.6020000000000001"/>
    <n v="165.273"/>
    <n v="2.7930000000000001"/>
    <n v="8.4870000000000001"/>
    <n v="3.3370000000000002"/>
    <n v="226.98500000000001"/>
    <n v="252.20599999999999"/>
    <n v="0"/>
    <n v="0"/>
    <n v="100"/>
    <n v="0.34499999999999997"/>
    <n v="0.318"/>
    <n v="0.14299999999999999"/>
    <n v="0.81599999999999995"/>
    <n v="0.27600000000000002"/>
    <m/>
    <s v="马五41b"/>
    <x v="10"/>
    <n v="10"/>
    <s v="薄片"/>
    <n v="0.48799999999999999"/>
    <n v="2.6999999999999968E-2"/>
  </r>
  <r>
    <s v="延959"/>
    <n v="3877"/>
    <n v="40.325000000000003"/>
    <n v="21.433"/>
    <n v="1.8440000000000001"/>
    <n v="159.40100000000001"/>
    <n v="2.7970000000000002"/>
    <n v="7.2380000000000004"/>
    <n v="3.351"/>
    <n v="300.53199999999998"/>
    <n v="333.92399999999998"/>
    <n v="0"/>
    <n v="0"/>
    <n v="100"/>
    <n v="0.22"/>
    <n v="0.32600000000000001"/>
    <n v="5.7000000000000002E-2"/>
    <n v="0.83599999999999997"/>
    <n v="0.16200000000000001"/>
    <m/>
    <s v="马五41b"/>
    <x v="10"/>
    <n v="10"/>
    <s v="薄片"/>
    <n v="0.27700000000000002"/>
    <n v="-0.10600000000000001"/>
  </r>
  <r>
    <s v="延959"/>
    <n v="3879.125"/>
    <n v="53.177999999999997"/>
    <n v="21.905999999999999"/>
    <n v="3.7250000000000001"/>
    <n v="171.56899999999999"/>
    <n v="2.7480000000000002"/>
    <n v="8.4909999999999997"/>
    <n v="3.9039999999999999"/>
    <n v="200.99799999999999"/>
    <n v="223.33099999999999"/>
    <n v="0"/>
    <n v="0"/>
    <n v="100"/>
    <n v="0.33800000000000002"/>
    <n v="0.59599999999999997"/>
    <n v="0.252"/>
    <n v="0.58199999999999996"/>
    <n v="0.35799999999999998"/>
    <m/>
    <s v="马五41b"/>
    <x v="9"/>
    <n v="18"/>
    <s v="薄片"/>
    <n v="0.59000000000000008"/>
    <n v="-0.25799999999999995"/>
  </r>
  <r>
    <s v="延959"/>
    <n v="3879.25"/>
    <n v="41.097000000000001"/>
    <n v="21.917999999999999"/>
    <n v="2.5840000000000001"/>
    <n v="167.08199999999999"/>
    <n v="2.7679999999999998"/>
    <n v="10.039"/>
    <n v="3.6829999999999998"/>
    <n v="220.33600000000001"/>
    <n v="244.81800000000001"/>
    <n v="0"/>
    <n v="0"/>
    <n v="100"/>
    <n v="0.23899999999999999"/>
    <n v="0.47799999999999998"/>
    <n v="0.19"/>
    <n v="0.69599999999999995"/>
    <n v="0.51700000000000002"/>
    <m/>
    <s v="马五41b"/>
    <x v="9"/>
    <n v="18"/>
    <s v="薄片"/>
    <n v="0.42899999999999999"/>
    <n v="-0.23899999999999999"/>
  </r>
  <r>
    <s v="延959"/>
    <n v="3879.375"/>
    <n v="36.061"/>
    <n v="21.879000000000001"/>
    <n v="2.1280000000000001"/>
    <n v="165.05799999999999"/>
    <n v="2.7869999999999999"/>
    <n v="11.680999999999999"/>
    <n v="3.4929999999999999"/>
    <n v="237.64500000000001"/>
    <n v="264.04899999999998"/>
    <n v="0"/>
    <n v="0"/>
    <n v="100"/>
    <n v="0.216"/>
    <n v="0.379"/>
    <n v="0.18099999999999999"/>
    <n v="0.79800000000000004"/>
    <n v="0.66600000000000004"/>
    <m/>
    <s v="马五41b"/>
    <x v="9"/>
    <n v="18"/>
    <s v="薄片"/>
    <n v="0.39700000000000002"/>
    <n v="-0.16300000000000001"/>
  </r>
  <r>
    <s v="延919"/>
    <n v="3816.375"/>
    <n v="46.914999999999999"/>
    <n v="21.372"/>
    <n v="3.262"/>
    <n v="172.797"/>
    <n v="2.726"/>
    <n v="7.4109999999999996"/>
    <n v="3.8260000000000001"/>
    <n v="156.08099999999999"/>
    <n v="161.059"/>
    <n v="1.77"/>
    <n v="0.1"/>
    <n v="100"/>
    <n v="0.17"/>
    <n v="0.83399999999999996"/>
    <n v="0.42299999999999999"/>
    <n v="0.71299999999999997"/>
    <n v="0.23499999999999999"/>
    <m/>
    <s v="马五41a"/>
    <x v="9"/>
    <n v="1"/>
    <s v="薄片"/>
    <n v="0.59299999999999997"/>
    <n v="-0.66399999999999992"/>
  </r>
  <r>
    <s v="延919"/>
    <n v="3816.5"/>
    <n v="29.094000000000001"/>
    <n v="21.372"/>
    <n v="3.012"/>
    <n v="171.22900000000001"/>
    <n v="2.726"/>
    <n v="7.3650000000000002"/>
    <n v="3.63"/>
    <n v="157.55500000000001"/>
    <n v="155.77199999999999"/>
    <n v="2.83"/>
    <n v="0.1"/>
    <n v="100"/>
    <n v="7.1999999999999995E-2"/>
    <n v="0.72699999999999998"/>
    <n v="0.39300000000000002"/>
    <n v="0.71599999999999997"/>
    <n v="0.23499999999999999"/>
    <m/>
    <s v="马五41a"/>
    <x v="9"/>
    <n v="1"/>
    <s v="薄片"/>
    <n v="0.46500000000000002"/>
    <n v="-0.65500000000000003"/>
  </r>
  <r>
    <s v="延919"/>
    <n v="3816.625"/>
    <n v="22.047000000000001"/>
    <n v="21.367000000000001"/>
    <n v="2.577"/>
    <n v="169.476"/>
    <n v="2.7290000000000001"/>
    <n v="7.359"/>
    <n v="3.431"/>
    <n v="156.4"/>
    <n v="123.301"/>
    <n v="3.1"/>
    <n v="0.1"/>
    <n v="100"/>
    <n v="3.3000000000000002E-2"/>
    <n v="0.623"/>
    <n v="0.36099999999999999"/>
    <n v="0.72099999999999997"/>
    <n v="0.23"/>
    <m/>
    <s v="马五41a"/>
    <x v="9"/>
    <n v="1"/>
    <s v="薄片"/>
    <n v="0.39400000000000002"/>
    <n v="-0.59"/>
  </r>
  <r>
    <s v="延919"/>
    <n v="3816.75"/>
    <n v="18.774999999999999"/>
    <n v="21.363"/>
    <n v="2.1709999999999998"/>
    <n v="167.917"/>
    <n v="2.7250000000000001"/>
    <n v="7.4649999999999999"/>
    <n v="3.2639999999999998"/>
    <n v="127.095"/>
    <n v="98.88"/>
    <n v="3.3519999999999999"/>
    <n v="0.1"/>
    <n v="100"/>
    <n v="1.4E-2"/>
    <n v="0.53900000000000003"/>
    <n v="0.33400000000000002"/>
    <n v="0.69"/>
    <n v="0.23300000000000001"/>
    <m/>
    <s v="马五41a"/>
    <x v="9"/>
    <n v="1"/>
    <s v="薄片"/>
    <n v="0.34800000000000003"/>
    <n v="-0.52500000000000002"/>
  </r>
  <r>
    <s v="延919"/>
    <n v="3816.875"/>
    <n v="17.251999999999999"/>
    <n v="21.361999999999998"/>
    <n v="1.845"/>
    <n v="166.654"/>
    <n v="2.7069999999999999"/>
    <n v="7.6139999999999999"/>
    <n v="3.1469999999999998"/>
    <n v="102.244"/>
    <n v="90.998000000000005"/>
    <n v="3.8730000000000002"/>
    <n v="0.1"/>
    <n v="100"/>
    <n v="5.0000000000000001E-3"/>
    <n v="0.48299999999999998"/>
    <n v="0.312"/>
    <n v="0.61299999999999999"/>
    <n v="0.25"/>
    <m/>
    <s v="马五41a"/>
    <x v="9"/>
    <n v="1"/>
    <s v="薄片"/>
    <n v="0.317"/>
    <n v="-0.47799999999999998"/>
  </r>
  <r>
    <s v="延919"/>
    <n v="3817"/>
    <n v="16.228999999999999"/>
    <n v="21.367999999999999"/>
    <n v="1.6559999999999999"/>
    <n v="165.67400000000001"/>
    <n v="2.6819999999999999"/>
    <n v="7.6870000000000003"/>
    <n v="3.081"/>
    <n v="94.468000000000004"/>
    <n v="85.677999999999997"/>
    <n v="4.6059999999999999"/>
    <n v="0.1"/>
    <n v="100"/>
    <n v="0"/>
    <n v="0.45300000000000001"/>
    <n v="0.29499999999999998"/>
    <n v="0.51900000000000002"/>
    <n v="0.26800000000000002"/>
    <m/>
    <s v="马五41a"/>
    <x v="9"/>
    <n v="1"/>
    <s v="薄片"/>
    <n v="0.29499999999999998"/>
    <n v="-0.45300000000000001"/>
  </r>
  <r>
    <s v="延919"/>
    <n v="3817.125"/>
    <n v="16.280999999999999"/>
    <n v="21.367000000000001"/>
    <n v="1.6539999999999999"/>
    <n v="164.97499999999999"/>
    <n v="2.66"/>
    <n v="7.7229999999999999"/>
    <n v="3.0579999999999998"/>
    <n v="89.376999999999995"/>
    <n v="78.795000000000002"/>
    <n v="5.1559999999999997"/>
    <n v="0.11600000000000001"/>
    <n v="100"/>
    <n v="5.0000000000000001E-3"/>
    <n v="0.443"/>
    <n v="0.28399999999999997"/>
    <n v="0.44500000000000001"/>
    <n v="0.27700000000000002"/>
    <m/>
    <s v="马五41a"/>
    <x v="9"/>
    <n v="1"/>
    <s v="薄片"/>
    <n v="0.28899999999999998"/>
    <n v="-0.438"/>
  </r>
  <r>
    <s v="延919"/>
    <n v="3817.25"/>
    <n v="18.646999999999998"/>
    <n v="21.364000000000001"/>
    <n v="1.752"/>
    <n v="164.52099999999999"/>
    <n v="2.6480000000000001"/>
    <n v="7.7359999999999998"/>
    <n v="3.0529999999999999"/>
    <n v="82.709000000000003"/>
    <n v="74.994"/>
    <n v="5.343"/>
    <n v="0.13600000000000001"/>
    <n v="100"/>
    <n v="0.02"/>
    <n v="0.441"/>
    <n v="0.27700000000000002"/>
    <n v="0.41"/>
    <n v="0.28100000000000003"/>
    <m/>
    <s v="马五41a"/>
    <x v="9"/>
    <n v="1"/>
    <s v="薄片"/>
    <n v="0.29700000000000004"/>
    <n v="-0.42099999999999999"/>
  </r>
  <r>
    <s v="延919"/>
    <n v="3817.375"/>
    <n v="20.997"/>
    <n v="21.361000000000001"/>
    <n v="1.7310000000000001"/>
    <n v="164.32599999999999"/>
    <n v="2.6469999999999998"/>
    <n v="7.6580000000000004"/>
    <n v="3.05"/>
    <n v="78.591999999999999"/>
    <n v="76.566999999999993"/>
    <n v="5.2670000000000003"/>
    <n v="0.127"/>
    <n v="100"/>
    <n v="3.1E-2"/>
    <n v="0.439"/>
    <n v="0.27400000000000002"/>
    <n v="0.41599999999999998"/>
    <n v="0.28000000000000003"/>
    <m/>
    <s v="马五41a"/>
    <x v="9"/>
    <n v="1"/>
    <s v="薄片"/>
    <n v="0.30500000000000005"/>
    <n v="-0.40800000000000003"/>
  </r>
  <r>
    <s v="延919"/>
    <n v="3817.5"/>
    <n v="20.949000000000002"/>
    <n v="21.369"/>
    <n v="1.4159999999999999"/>
    <n v="164.351"/>
    <n v="2.6560000000000001"/>
    <n v="7.4960000000000004"/>
    <n v="3.0419999999999998"/>
    <n v="80.453000000000003"/>
    <n v="76.433000000000007"/>
    <n v="5.01"/>
    <n v="0.10199999999999999"/>
    <n v="100"/>
    <n v="3.1E-2"/>
    <n v="0.433"/>
    <n v="0.27500000000000002"/>
    <n v="0.46"/>
    <n v="0.26500000000000001"/>
    <m/>
    <s v="马五41a"/>
    <x v="9"/>
    <n v="1"/>
    <s v="薄片"/>
    <n v="0.30600000000000005"/>
    <n v="-0.40200000000000002"/>
  </r>
  <r>
    <s v="延919"/>
    <n v="3817.625"/>
    <n v="21.053999999999998"/>
    <n v="21.373000000000001"/>
    <n v="1.2809999999999999"/>
    <n v="164.46100000000001"/>
    <n v="2.673"/>
    <n v="7.2859999999999996"/>
    <n v="3.0270000000000001"/>
    <n v="80.396000000000001"/>
    <n v="77.387"/>
    <n v="4.5090000000000003"/>
    <n v="0.1"/>
    <n v="100"/>
    <n v="3.1E-2"/>
    <n v="0.42499999999999999"/>
    <n v="0.27600000000000002"/>
    <n v="0.52700000000000002"/>
    <n v="0.24099999999999999"/>
    <m/>
    <s v="马五41a"/>
    <x v="9"/>
    <n v="1"/>
    <s v="薄片"/>
    <n v="0.30700000000000005"/>
    <n v="-0.39400000000000002"/>
  </r>
  <r>
    <s v="延919"/>
    <n v="3817.75"/>
    <n v="20.428000000000001"/>
    <n v="21.382000000000001"/>
    <n v="1.323"/>
    <n v="164.447"/>
    <n v="2.6909999999999998"/>
    <n v="7.0640000000000001"/>
    <n v="3.0110000000000001"/>
    <n v="81.119"/>
    <n v="80.034000000000006"/>
    <n v="3.988"/>
    <n v="0.1"/>
    <n v="100"/>
    <n v="2.5000000000000001E-2"/>
    <n v="0.41799999999999998"/>
    <n v="0.27500000000000002"/>
    <n v="0.59499999999999997"/>
    <n v="0.21"/>
    <m/>
    <s v="马五41a"/>
    <x v="9"/>
    <n v="1"/>
    <s v="薄片"/>
    <n v="0.30000000000000004"/>
    <n v="-0.39299999999999996"/>
  </r>
  <r>
    <s v="延919"/>
    <n v="3817.875"/>
    <n v="18.853000000000002"/>
    <n v="21.39"/>
    <n v="1.321"/>
    <n v="164.17500000000001"/>
    <n v="2.7080000000000002"/>
    <n v="6.8929999999999998"/>
    <n v="3.0049999999999999"/>
    <n v="83.688000000000002"/>
    <n v="83.364999999999995"/>
    <n v="3.5529999999999999"/>
    <n v="0.1"/>
    <n v="100"/>
    <n v="1.4999999999999999E-2"/>
    <n v="0.41599999999999998"/>
    <n v="0.26800000000000002"/>
    <n v="0.66"/>
    <n v="0.18099999999999999"/>
    <m/>
    <s v="马五41a"/>
    <x v="9"/>
    <n v="1"/>
    <s v="薄片"/>
    <n v="0.28300000000000003"/>
    <n v="-0.40099999999999997"/>
  </r>
  <r>
    <s v="延919"/>
    <n v="3818"/>
    <n v="17.291"/>
    <n v="21.396999999999998"/>
    <n v="1.393"/>
    <n v="163.61099999999999"/>
    <n v="2.7240000000000002"/>
    <n v="6.7290000000000001"/>
    <n v="3.0139999999999998"/>
    <n v="86.85"/>
    <n v="86.679000000000002"/>
    <n v="3.1920000000000002"/>
    <n v="0.1"/>
    <n v="100"/>
    <n v="8.9999999999999993E-3"/>
    <n v="0.42499999999999999"/>
    <n v="0.25700000000000001"/>
    <n v="0.71799999999999997"/>
    <n v="0.157"/>
    <m/>
    <s v="马五41a"/>
    <x v="9"/>
    <n v="1"/>
    <s v="薄片"/>
    <n v="0.26600000000000001"/>
    <n v="-0.41599999999999998"/>
  </r>
  <r>
    <s v="延919"/>
    <n v="3818.125"/>
    <n v="18.513000000000002"/>
    <n v="21.396000000000001"/>
    <n v="1.5269999999999999"/>
    <n v="162.797"/>
    <n v="2.7360000000000002"/>
    <n v="6.548"/>
    <n v="3.0459999999999998"/>
    <n v="89.700999999999993"/>
    <n v="90.590999999999994"/>
    <n v="2.7919999999999998"/>
    <n v="0.1"/>
    <n v="100"/>
    <n v="1.7999999999999999E-2"/>
    <n v="0.44400000000000001"/>
    <n v="0.24099999999999999"/>
    <n v="0.75600000000000001"/>
    <n v="0.13300000000000001"/>
    <m/>
    <s v="马五41a"/>
    <x v="9"/>
    <n v="1"/>
    <s v="薄片"/>
    <n v="0.25900000000000001"/>
    <n v="-0.42599999999999999"/>
  </r>
  <r>
    <s v="延919"/>
    <n v="3825.375"/>
    <n v="43.624000000000002"/>
    <n v="21.434999999999999"/>
    <n v="2.964"/>
    <n v="159.958"/>
    <n v="2.7650000000000001"/>
    <n v="7.4279999999999999"/>
    <n v="3.29"/>
    <n v="207.636"/>
    <n v="294.08300000000003"/>
    <n v="0"/>
    <n v="0"/>
    <n v="100"/>
    <n v="0.184"/>
    <n v="0.55600000000000005"/>
    <n v="0.19800000000000001"/>
    <n v="0.86499999999999999"/>
    <n v="0.24399999999999999"/>
    <m/>
    <s v="马五41b"/>
    <x v="9"/>
    <n v="5"/>
    <s v="薄片"/>
    <n v="0.38200000000000001"/>
    <n v="-0.37200000000000005"/>
  </r>
  <r>
    <s v="延919"/>
    <n v="3825.5"/>
    <n v="45.57"/>
    <n v="21.451000000000001"/>
    <n v="3.3119999999999998"/>
    <n v="160.84800000000001"/>
    <n v="2.766"/>
    <n v="7.5519999999999996"/>
    <n v="3.1880000000000002"/>
    <n v="190.76900000000001"/>
    <n v="261.58699999999999"/>
    <n v="0"/>
    <n v="0"/>
    <n v="100"/>
    <n v="0.223"/>
    <n v="0.50800000000000001"/>
    <n v="0.217"/>
    <n v="0.872"/>
    <n v="0.27100000000000002"/>
    <m/>
    <s v="马五41b"/>
    <x v="9"/>
    <n v="5"/>
    <s v="薄片"/>
    <n v="0.44"/>
    <n v="-0.28500000000000003"/>
  </r>
  <r>
    <s v="延919"/>
    <n v="3825.625"/>
    <n v="62.31"/>
    <n v="21.471"/>
    <n v="3.387"/>
    <n v="162.29"/>
    <n v="2.77"/>
    <n v="7.931"/>
    <n v="3.141"/>
    <n v="140.20099999999999"/>
    <n v="187.62899999999999"/>
    <n v="0"/>
    <n v="0"/>
    <n v="100"/>
    <n v="0.34200000000000003"/>
    <n v="0.49099999999999999"/>
    <n v="0.245"/>
    <n v="0.88700000000000001"/>
    <n v="0.33100000000000002"/>
    <m/>
    <s v="马五41b"/>
    <x v="9"/>
    <n v="5"/>
    <s v="薄片"/>
    <n v="0.58699999999999997"/>
    <n v="-0.14899999999999997"/>
  </r>
  <r>
    <s v="延919"/>
    <n v="3825.75"/>
    <n v="83.781000000000006"/>
    <n v="21.498000000000001"/>
    <n v="3.3650000000000002"/>
    <n v="163.94300000000001"/>
    <n v="2.7730000000000001"/>
    <n v="8.4559999999999995"/>
    <n v="3.1520000000000001"/>
    <n v="104.078"/>
    <n v="139.87"/>
    <n v="0"/>
    <n v="0"/>
    <n v="100"/>
    <n v="0.46100000000000002"/>
    <n v="0.50600000000000001"/>
    <n v="0.27500000000000002"/>
    <n v="0.88400000000000001"/>
    <n v="0.40100000000000002"/>
    <m/>
    <s v="马五41b"/>
    <x v="9"/>
    <n v="5"/>
    <s v="薄片"/>
    <n v="0.73599999999999999"/>
    <n v="-4.4999999999999984E-2"/>
  </r>
  <r>
    <s v="延919"/>
    <n v="3825.875"/>
    <n v="92.667000000000002"/>
    <n v="21.545000000000002"/>
    <n v="3.3610000000000002"/>
    <n v="165.66300000000001"/>
    <n v="2.762"/>
    <n v="8.8740000000000006"/>
    <n v="3.2210000000000001"/>
    <n v="83.724999999999994"/>
    <n v="114.33799999999999"/>
    <n v="0"/>
    <n v="0"/>
    <n v="100"/>
    <n v="0.495"/>
    <n v="0.55000000000000004"/>
    <n v="0.307"/>
    <n v="0.82899999999999996"/>
    <n v="0.45"/>
    <m/>
    <s v="马五41b"/>
    <x v="9"/>
    <n v="5"/>
    <s v="薄片"/>
    <n v="0.80200000000000005"/>
    <n v="-5.5000000000000049E-2"/>
  </r>
  <r>
    <s v="延919"/>
    <n v="3826"/>
    <n v="87.655000000000001"/>
    <n v="21.533999999999999"/>
    <n v="3.7029999999999998"/>
    <n v="167.39500000000001"/>
    <n v="2.7389999999999999"/>
    <n v="9.0239999999999991"/>
    <n v="3.3380000000000001"/>
    <n v="74.388000000000005"/>
    <n v="102.65"/>
    <n v="0"/>
    <n v="0"/>
    <n v="100"/>
    <n v="0.45300000000000001"/>
    <n v="0.61899999999999999"/>
    <n v="0.33900000000000002"/>
    <n v="0.73799999999999999"/>
    <n v="0.46400000000000002"/>
    <m/>
    <s v="马五41b"/>
    <x v="9"/>
    <n v="5"/>
    <s v="薄片"/>
    <n v="0.79200000000000004"/>
    <n v="-0.16599999999999998"/>
  </r>
  <r>
    <s v="延919"/>
    <n v="3826.125"/>
    <n v="77.825999999999993"/>
    <n v="21.393000000000001"/>
    <n v="4.2519999999999998"/>
    <n v="169.113"/>
    <n v="2.7149999999999999"/>
    <n v="8.9849999999999994"/>
    <n v="3.49"/>
    <n v="72.350999999999999"/>
    <n v="100.72499999999999"/>
    <n v="0"/>
    <n v="0"/>
    <n v="100"/>
    <n v="0.39800000000000002"/>
    <n v="0.70199999999999996"/>
    <n v="0.37"/>
    <n v="0.66"/>
    <n v="0.45500000000000002"/>
    <m/>
    <s v="马五41b"/>
    <x v="9"/>
    <n v="5"/>
    <s v="薄片"/>
    <n v="0.76800000000000002"/>
    <n v="-0.30399999999999994"/>
  </r>
  <r>
    <s v="延919"/>
    <n v="3826.25"/>
    <n v="73.427000000000007"/>
    <n v="21.373000000000001"/>
    <n v="4.694"/>
    <n v="170.648"/>
    <n v="2.7050000000000001"/>
    <n v="8.8539999999999992"/>
    <n v="3.6419999999999999"/>
    <n v="77.567999999999998"/>
    <n v="109.739"/>
    <n v="0"/>
    <n v="0"/>
    <n v="100"/>
    <n v="0.379"/>
    <n v="0.78100000000000003"/>
    <n v="0.39600000000000002"/>
    <n v="0.63900000000000001"/>
    <n v="0.433"/>
    <m/>
    <s v="马五41b"/>
    <x v="9"/>
    <n v="5"/>
    <s v="薄片"/>
    <n v="0.77500000000000002"/>
    <n v="-0.40200000000000002"/>
  </r>
  <r>
    <s v="延919"/>
    <n v="3826.375"/>
    <n v="74.272999999999996"/>
    <n v="21.378"/>
    <n v="4.9550000000000001"/>
    <n v="171.65600000000001"/>
    <n v="2.7120000000000002"/>
    <n v="8.6319999999999997"/>
    <n v="3.7650000000000001"/>
    <n v="88.385000000000005"/>
    <n v="125.57599999999999"/>
    <n v="0"/>
    <n v="0"/>
    <n v="100"/>
    <n v="0.39200000000000002"/>
    <n v="0.83899999999999997"/>
    <n v="0.41"/>
    <n v="0.67800000000000005"/>
    <n v="0.39500000000000002"/>
    <m/>
    <s v="马五41b"/>
    <x v="9"/>
    <n v="5"/>
    <s v="薄片"/>
    <n v="0.80200000000000005"/>
    <n v="-0.44699999999999995"/>
  </r>
  <r>
    <s v="延919"/>
    <n v="3826.5"/>
    <n v="79.212000000000003"/>
    <n v="21.385000000000002"/>
    <n v="4.9029999999999996"/>
    <n v="171.71899999999999"/>
    <n v="2.73"/>
    <n v="8.2409999999999997"/>
    <n v="3.8279999999999998"/>
    <n v="98.242999999999995"/>
    <n v="135.76300000000001"/>
    <n v="0"/>
    <n v="0"/>
    <n v="100"/>
    <n v="0.42499999999999999"/>
    <n v="0.85899999999999999"/>
    <n v="0.40400000000000003"/>
    <n v="0.75"/>
    <n v="0.33300000000000002"/>
    <m/>
    <s v="马五41b"/>
    <x v="9"/>
    <n v="5"/>
    <s v="薄片"/>
    <n v="0.82899999999999996"/>
    <n v="-0.434"/>
  </r>
  <r>
    <s v="延919"/>
    <n v="3826.625"/>
    <n v="84.569000000000003"/>
    <n v="21.387"/>
    <n v="4.9169999999999998"/>
    <n v="170.45699999999999"/>
    <n v="2.75"/>
    <n v="7.6890000000000001"/>
    <n v="3.7949999999999999"/>
    <n v="99.915999999999997"/>
    <n v="137.54900000000001"/>
    <n v="0"/>
    <n v="0"/>
    <n v="100"/>
    <n v="0.44600000000000001"/>
    <n v="0.82799999999999996"/>
    <n v="0.377"/>
    <n v="0.81799999999999995"/>
    <n v="0.26100000000000001"/>
    <m/>
    <s v="马五41b"/>
    <x v="9"/>
    <n v="5"/>
    <s v="薄片"/>
    <n v="0.82299999999999995"/>
    <n v="-0.38199999999999995"/>
  </r>
  <r>
    <s v="延919"/>
    <n v="3826.75"/>
    <n v="82.119"/>
    <n v="21.385000000000002"/>
    <n v="5.0179999999999998"/>
    <n v="168.44300000000001"/>
    <n v="2.7610000000000001"/>
    <n v="7.2960000000000003"/>
    <n v="3.67"/>
    <n v="111.152"/>
    <n v="153.345"/>
    <n v="0"/>
    <n v="0"/>
    <n v="100"/>
    <n v="0.41"/>
    <n v="0.748"/>
    <n v="0.34"/>
    <n v="0.84599999999999997"/>
    <n v="0.21099999999999999"/>
    <m/>
    <s v="马五41b"/>
    <x v="9"/>
    <n v="5"/>
    <s v="薄片"/>
    <n v="0.75"/>
    <n v="-0.33800000000000002"/>
  </r>
  <r>
    <s v="延919"/>
    <n v="3826.875"/>
    <n v="68.528999999999996"/>
    <n v="21.38"/>
    <n v="5.093"/>
    <n v="166.548"/>
    <n v="2.758"/>
    <n v="7.0469999999999997"/>
    <n v="3.4660000000000002"/>
    <n v="127.14"/>
    <n v="176.29499999999999"/>
    <n v="0"/>
    <n v="0"/>
    <n v="100"/>
    <n v="0.317"/>
    <n v="0.628"/>
    <n v="0.312"/>
    <n v="0.81799999999999995"/>
    <n v="0.17799999999999999"/>
    <m/>
    <s v="马五41b"/>
    <x v="9"/>
    <n v="5"/>
    <s v="薄片"/>
    <n v="0.629"/>
    <n v="-0.311"/>
  </r>
  <r>
    <s v="延919"/>
    <n v="3827"/>
    <n v="52.86"/>
    <n v="21.388999999999999"/>
    <n v="4.7809999999999997"/>
    <n v="165.875"/>
    <n v="2.74"/>
    <n v="6.8639999999999999"/>
    <n v="3.2050000000000001"/>
    <n v="139.49299999999999"/>
    <n v="196.52600000000001"/>
    <n v="0"/>
    <n v="0"/>
    <n v="100"/>
    <n v="0.23599999999999999"/>
    <n v="0.48299999999999998"/>
    <n v="0.312"/>
    <n v="0.73599999999999999"/>
    <n v="0.158"/>
    <m/>
    <s v="马五41b"/>
    <x v="9"/>
    <n v="5"/>
    <s v="薄片"/>
    <n v="0.54800000000000004"/>
    <n v="-0.247"/>
  </r>
  <r>
    <s v="延919"/>
    <n v="3827.125"/>
    <n v="49.898000000000003"/>
    <n v="21.393999999999998"/>
    <n v="4.1829999999999998"/>
    <n v="167.70500000000001"/>
    <n v="2.71"/>
    <n v="6.8390000000000004"/>
    <n v="2.923"/>
    <n v="143.94900000000001"/>
    <n v="217.047"/>
    <n v="0"/>
    <n v="0"/>
    <n v="100"/>
    <n v="0.245"/>
    <n v="0.33200000000000002"/>
    <n v="0.35699999999999998"/>
    <n v="0.61599999999999999"/>
    <n v="0.16200000000000001"/>
    <m/>
    <s v="马五41b"/>
    <x v="9"/>
    <n v="5"/>
    <s v="薄片"/>
    <n v="0.60199999999999998"/>
    <n v="-8.7000000000000022E-2"/>
  </r>
  <r>
    <s v="延919"/>
    <n v="3827.25"/>
    <n v="62.896000000000001"/>
    <n v="21.443000000000001"/>
    <n v="3.7450000000000001"/>
    <n v="171.82400000000001"/>
    <n v="2.677"/>
    <n v="7.0030000000000001"/>
    <n v="2.6619999999999999"/>
    <n v="117.03100000000001"/>
    <n v="187.52500000000001"/>
    <n v="0"/>
    <n v="0"/>
    <n v="100"/>
    <n v="0.35599999999999998"/>
    <n v="0.19700000000000001"/>
    <n v="0.441"/>
    <n v="0.48499999999999999"/>
    <n v="0.191"/>
    <m/>
    <s v="马五41b"/>
    <x v="9"/>
    <n v="5"/>
    <s v="薄片"/>
    <n v="0.79699999999999993"/>
    <n v="0.15899999999999997"/>
  </r>
  <r>
    <s v="延919"/>
    <n v="3827.375"/>
    <n v="90.117000000000004"/>
    <n v="21.675000000000001"/>
    <n v="3.5409999999999999"/>
    <n v="177.608"/>
    <n v="2.641"/>
    <n v="7.3159999999999998"/>
    <n v="2.452"/>
    <n v="72.462000000000003"/>
    <n v="114.438"/>
    <n v="0"/>
    <n v="0"/>
    <n v="100"/>
    <n v="0.54100000000000004"/>
    <n v="9.1999999999999998E-2"/>
    <n v="0.55100000000000005"/>
    <n v="0.34200000000000003"/>
    <n v="0.251"/>
    <m/>
    <s v="马五41b"/>
    <x v="9"/>
    <n v="5"/>
    <s v="薄片"/>
    <n v="1.0920000000000001"/>
    <n v="0.44900000000000007"/>
  </r>
  <r>
    <s v="延914"/>
    <n v="3384.125"/>
    <n v="44.621000000000002"/>
    <n v="22.41"/>
    <n v="2.4820000000000002"/>
    <n v="164.09700000000001"/>
    <n v="2.79"/>
    <n v="4.673"/>
    <n v="3.1179999999999999"/>
    <n v="316.54300000000001"/>
    <n v="344.06799999999998"/>
    <n v="0"/>
    <n v="0"/>
    <n v="100"/>
    <n v="0.22"/>
    <n v="0.46100000000000002"/>
    <n v="0.128"/>
    <n v="0.83899999999999997"/>
    <n v="0.48899999999999999"/>
    <m/>
    <s v="马五41b"/>
    <x v="9"/>
    <n v="6"/>
    <s v="薄片"/>
    <n v="0.34799999999999998"/>
    <n v="-0.24100000000000002"/>
  </r>
  <r>
    <s v="延914"/>
    <n v="3384.25"/>
    <n v="51.505000000000003"/>
    <n v="22.364999999999998"/>
    <n v="2.802"/>
    <n v="166.04300000000001"/>
    <n v="2.786"/>
    <n v="4.7830000000000004"/>
    <n v="3.093"/>
    <n v="240.21899999999999"/>
    <n v="261.10700000000003"/>
    <n v="0"/>
    <n v="0"/>
    <n v="100"/>
    <n v="0.27"/>
    <n v="0.40899999999999997"/>
    <n v="0.16900000000000001"/>
    <n v="0.82499999999999996"/>
    <n v="0.51300000000000001"/>
    <m/>
    <s v="马五41b"/>
    <x v="9"/>
    <n v="6"/>
    <s v="薄片"/>
    <n v="0.43900000000000006"/>
    <n v="-0.13899999999999996"/>
  </r>
  <r>
    <s v="延914"/>
    <n v="3384.375"/>
    <n v="62.625999999999998"/>
    <n v="22.332999999999998"/>
    <n v="3.0649999999999999"/>
    <n v="168.065"/>
    <n v="2.78"/>
    <n v="4.907"/>
    <n v="3.081"/>
    <n v="161.815"/>
    <n v="175.886"/>
    <n v="0"/>
    <n v="0"/>
    <n v="100"/>
    <n v="0.35"/>
    <n v="0.33800000000000002"/>
    <n v="0.21099999999999999"/>
    <n v="0.80500000000000005"/>
    <n v="0.53900000000000003"/>
    <m/>
    <s v="马五41b"/>
    <x v="9"/>
    <n v="6"/>
    <s v="薄片"/>
    <n v="0.56099999999999994"/>
    <n v="1.1999999999999955E-2"/>
  </r>
  <r>
    <s v="延914"/>
    <n v="3384.875"/>
    <n v="76.126999999999995"/>
    <n v="22.327999999999999"/>
    <n v="3.15"/>
    <n v="172.334"/>
    <n v="2.7690000000000001"/>
    <n v="5.4279999999999999"/>
    <n v="3.1960000000000002"/>
    <n v="120.39"/>
    <n v="130.85900000000001"/>
    <n v="0"/>
    <n v="0"/>
    <n v="100"/>
    <n v="0.438"/>
    <n v="0.28599999999999998"/>
    <n v="0.3"/>
    <n v="0.76900000000000002"/>
    <n v="0.64700000000000002"/>
    <m/>
    <s v="马五41b"/>
    <x v="9"/>
    <n v="8"/>
    <s v="薄片"/>
    <n v="0.73799999999999999"/>
    <n v="0.15200000000000002"/>
  </r>
  <r>
    <s v="延914"/>
    <n v="3385"/>
    <n v="60.165999999999997"/>
    <n v="22.283000000000001"/>
    <n v="3.145"/>
    <n v="172.858"/>
    <n v="2.7770000000000001"/>
    <n v="5.2439999999999998"/>
    <n v="3.2530000000000001"/>
    <n v="140.298"/>
    <n v="152.49799999999999"/>
    <n v="0"/>
    <n v="0"/>
    <n v="100"/>
    <n v="0.32800000000000001"/>
    <n v="0.314"/>
    <n v="0.311"/>
    <n v="0.79700000000000004"/>
    <n v="0.60599999999999998"/>
    <m/>
    <s v="马五41b"/>
    <x v="9"/>
    <n v="8"/>
    <s v="薄片"/>
    <n v="0.63900000000000001"/>
    <n v="1.4000000000000012E-2"/>
  </r>
  <r>
    <s v="延914"/>
    <n v="3385.125"/>
    <n v="57.302"/>
    <n v="22.282"/>
    <n v="3.0329999999999999"/>
    <n v="173.49799999999999"/>
    <n v="2.7909999999999999"/>
    <n v="4.7880000000000003"/>
    <n v="3.3119999999999998"/>
    <n v="161.01"/>
    <n v="175.011"/>
    <n v="0"/>
    <n v="0"/>
    <n v="100"/>
    <n v="0.309"/>
    <n v="0.33900000000000002"/>
    <n v="0.32500000000000001"/>
    <n v="0.84499999999999997"/>
    <n v="0.50900000000000001"/>
    <m/>
    <s v="马五41b"/>
    <x v="9"/>
    <n v="8"/>
    <s v="薄片"/>
    <n v="0.63400000000000001"/>
    <n v="-3.0000000000000027E-2"/>
  </r>
  <r>
    <s v="延914"/>
    <n v="3385.25"/>
    <n v="59.363999999999997"/>
    <n v="22.295999999999999"/>
    <n v="2.7229999999999999"/>
    <n v="174.15899999999999"/>
    <n v="2.8079999999999998"/>
    <n v="4.157"/>
    <n v="3.3650000000000002"/>
    <n v="195.03399999999999"/>
    <n v="211.99299999999999"/>
    <n v="0"/>
    <n v="0"/>
    <n v="100"/>
    <n v="0.32300000000000001"/>
    <n v="0.374"/>
    <n v="0.33800000000000002"/>
    <n v="0.90200000000000002"/>
    <n v="0.375"/>
    <m/>
    <s v="马五41b"/>
    <x v="9"/>
    <n v="8"/>
    <s v="薄片"/>
    <n v="0.66100000000000003"/>
    <n v="-5.099999999999999E-2"/>
  </r>
  <r>
    <s v="延914"/>
    <n v="3385.375"/>
    <n v="58.609000000000002"/>
    <n v="22.308"/>
    <n v="2.4889999999999999"/>
    <n v="174.66300000000001"/>
    <n v="2.8210000000000002"/>
    <n v="3.4740000000000002"/>
    <n v="3.4049999999999998"/>
    <n v="213.07400000000001"/>
    <n v="231.602"/>
    <n v="0"/>
    <n v="0"/>
    <n v="100"/>
    <n v="0.316"/>
    <n v="0.39"/>
    <n v="0.34899999999999998"/>
    <n v="0.94499999999999995"/>
    <n v="0.23200000000000001"/>
    <m/>
    <s v="马五41b"/>
    <x v="9"/>
    <n v="8"/>
    <s v="薄片"/>
    <n v="0.66500000000000004"/>
    <n v="-7.400000000000001E-2"/>
  </r>
  <r>
    <s v="延914"/>
    <n v="3385.5"/>
    <n v="52.784999999999997"/>
    <n v="22.315000000000001"/>
    <n v="2.2349999999999999"/>
    <n v="174.84299999999999"/>
    <n v="2.8210000000000002"/>
    <n v="2.8860000000000001"/>
    <n v="3.4260000000000002"/>
    <n v="213.31399999999999"/>
    <n v="231.863"/>
    <n v="0"/>
    <n v="0"/>
    <n v="100"/>
    <n v="0.27500000000000002"/>
    <n v="0.39"/>
    <n v="0.35199999999999998"/>
    <n v="0.94399999999999995"/>
    <n v="0.11"/>
    <m/>
    <s v="马五41b"/>
    <x v="9"/>
    <n v="8"/>
    <s v="薄片"/>
    <n v="0.627"/>
    <n v="-0.11499999999999999"/>
  </r>
  <r>
    <s v="延914"/>
    <n v="3385.625"/>
    <n v="48.02"/>
    <n v="22.308"/>
    <n v="2.1259999999999999"/>
    <n v="174.65799999999999"/>
    <n v="2.8039999999999998"/>
    <n v="2.5640000000000001"/>
    <n v="3.4119999999999999"/>
    <n v="221.12299999999999"/>
    <n v="240.351"/>
    <n v="0"/>
    <n v="0"/>
    <n v="100"/>
    <n v="0.24199999999999999"/>
    <n v="0.39600000000000002"/>
    <n v="0.34899999999999998"/>
    <n v="0.88500000000000001"/>
    <n v="4.3999999999999997E-2"/>
    <m/>
    <s v="马五41b"/>
    <x v="9"/>
    <n v="8"/>
    <s v="薄片"/>
    <n v="0.59099999999999997"/>
    <n v="-0.15400000000000003"/>
  </r>
  <r>
    <s v="延914"/>
    <n v="3385.75"/>
    <n v="46.514000000000003"/>
    <n v="22.271000000000001"/>
    <n v="2.1190000000000002"/>
    <n v="174.48"/>
    <n v="2.786"/>
    <n v="2.5329999999999999"/>
    <n v="3.3660000000000001"/>
    <n v="207.02099999999999"/>
    <n v="225.023"/>
    <n v="0"/>
    <n v="0"/>
    <n v="100"/>
    <n v="0.23200000000000001"/>
    <n v="0.38400000000000001"/>
    <n v="0.34499999999999997"/>
    <n v="0.82399999999999995"/>
    <n v="3.9E-2"/>
    <m/>
    <s v="马五41b"/>
    <x v="9"/>
    <n v="8"/>
    <s v="薄片"/>
    <n v="0.57699999999999996"/>
    <n v="-0.152"/>
  </r>
  <r>
    <s v="延914"/>
    <n v="3385.875"/>
    <n v="48.444000000000003"/>
    <n v="22.22"/>
    <n v="2.0019999999999998"/>
    <n v="174.85900000000001"/>
    <n v="2.7650000000000001"/>
    <n v="2.7770000000000001"/>
    <n v="3.3069999999999999"/>
    <n v="176.75399999999999"/>
    <n v="192.12299999999999"/>
    <n v="0"/>
    <n v="0"/>
    <n v="100"/>
    <n v="0.247"/>
    <n v="0.35499999999999998"/>
    <n v="0.35399999999999998"/>
    <n v="0.751"/>
    <n v="9.1999999999999998E-2"/>
    <m/>
    <s v="马五41b"/>
    <x v="9"/>
    <n v="8"/>
    <s v="薄片"/>
    <n v="0.60099999999999998"/>
    <n v="-0.10799999999999998"/>
  </r>
  <r>
    <s v="延914"/>
    <n v="3386"/>
    <n v="52.735999999999997"/>
    <n v="22.183"/>
    <n v="2.0550000000000002"/>
    <n v="176.46299999999999"/>
    <n v="2.7370000000000001"/>
    <n v="3.242"/>
    <n v="3.2570000000000001"/>
    <n v="155.309"/>
    <n v="168.81399999999999"/>
    <n v="0"/>
    <n v="0"/>
    <n v="100"/>
    <n v="0.27700000000000002"/>
    <n v="0.33200000000000002"/>
    <n v="0.38900000000000001"/>
    <n v="0.65500000000000003"/>
    <n v="0.191"/>
    <m/>
    <s v="马五41b"/>
    <x v="9"/>
    <n v="8"/>
    <s v="薄片"/>
    <n v="0.66600000000000004"/>
    <n v="-5.4999999999999993E-2"/>
  </r>
  <r>
    <s v="延914"/>
    <n v="3386.125"/>
    <n v="56.134999999999998"/>
    <n v="22.164000000000001"/>
    <n v="2.46"/>
    <n v="180.18799999999999"/>
    <n v="2.7040000000000002"/>
    <n v="3.88"/>
    <n v="3.2280000000000002"/>
    <n v="155.43899999999999"/>
    <n v="168.95599999999999"/>
    <n v="0"/>
    <n v="0"/>
    <n v="100"/>
    <n v="0.30099999999999999"/>
    <n v="0.33100000000000002"/>
    <n v="0.46899999999999997"/>
    <n v="0.54200000000000004"/>
    <n v="0.32600000000000001"/>
    <m/>
    <s v="马五41b"/>
    <x v="9"/>
    <n v="8"/>
    <s v="薄片"/>
    <n v="0.77"/>
    <n v="-3.0000000000000027E-2"/>
  </r>
  <r>
    <s v="延914"/>
    <n v="3386.25"/>
    <n v="60.235999999999997"/>
    <n v="22.15"/>
    <n v="2.9929999999999999"/>
    <n v="185.78700000000001"/>
    <n v="2.6669999999999998"/>
    <n v="4.5970000000000004"/>
    <n v="3.2109999999999999"/>
    <n v="139.47200000000001"/>
    <n v="151.6"/>
    <n v="0"/>
    <n v="0"/>
    <n v="100"/>
    <n v="0.33200000000000002"/>
    <n v="0.309"/>
    <n v="0.58699999999999997"/>
    <n v="0.41599999999999998"/>
    <n v="0.47799999999999998"/>
    <m/>
    <s v="马五41b"/>
    <x v="9"/>
    <n v="8"/>
    <s v="薄片"/>
    <n v="0.91900000000000004"/>
    <n v="2.300000000000002E-2"/>
  </r>
  <r>
    <s v="延914"/>
    <n v="3386.375"/>
    <n v="70.930000000000007"/>
    <n v="22.152000000000001"/>
    <n v="3.7"/>
    <n v="192.62700000000001"/>
    <n v="2.63"/>
    <n v="5.3479999999999999"/>
    <n v="3.202"/>
    <n v="85.210999999999999"/>
    <n v="92.62"/>
    <n v="0"/>
    <n v="0"/>
    <n v="100"/>
    <n v="0.41099999999999998"/>
    <n v="0.219"/>
    <n v="0.73099999999999998"/>
    <n v="0.28999999999999998"/>
    <n v="0.63600000000000001"/>
    <m/>
    <s v="马五41b"/>
    <x v="9"/>
    <n v="8"/>
    <s v="薄片"/>
    <n v="1.1419999999999999"/>
    <n v="0.19199999999999998"/>
  </r>
  <r>
    <s v="延949"/>
    <n v="3855.875"/>
    <n v="31.140999999999998"/>
    <n v="22.103999999999999"/>
    <n v="1.5509999999999999"/>
    <n v="173.06100000000001"/>
    <n v="2.7029999999999998"/>
    <n v="4.26"/>
    <n v="3.105"/>
    <n v="87.927000000000007"/>
    <n v="121.27500000000001"/>
    <n v="0"/>
    <n v="0"/>
    <n v="100"/>
    <n v="0.108"/>
    <n v="0.67500000000000004"/>
    <n v="0.247"/>
    <n v="0.27"/>
    <n v="2.9000000000000001E-2"/>
    <m/>
    <s v="马五41a"/>
    <x v="9"/>
    <n v="5"/>
    <s v="薄片"/>
    <n v="0.35499999999999998"/>
    <n v="-0.56700000000000006"/>
  </r>
  <r>
    <s v="延949"/>
    <n v="3856"/>
    <n v="33.841999999999999"/>
    <n v="22.033999999999999"/>
    <n v="1.431"/>
    <n v="176.08799999999999"/>
    <n v="2.698"/>
    <n v="4.0960000000000001"/>
    <n v="3.129"/>
    <n v="70.899000000000001"/>
    <n v="96.120999999999995"/>
    <n v="0"/>
    <n v="0"/>
    <n v="100"/>
    <n v="0.128"/>
    <n v="0.71799999999999997"/>
    <n v="0.28699999999999998"/>
    <n v="0.24399999999999999"/>
    <n v="8.0000000000000002E-3"/>
    <m/>
    <s v="马五41a"/>
    <x v="9"/>
    <n v="5"/>
    <s v="薄片"/>
    <n v="0.41499999999999998"/>
    <n v="-0.59"/>
  </r>
  <r>
    <s v="延949"/>
    <n v="3856.125"/>
    <n v="36.167999999999999"/>
    <n v="21.881"/>
    <n v="1.321"/>
    <n v="179.90899999999999"/>
    <n v="2.698"/>
    <n v="4.0519999999999996"/>
    <n v="3.1709999999999998"/>
    <n v="60.149000000000001"/>
    <n v="80.128"/>
    <n v="0"/>
    <n v="0"/>
    <n v="100"/>
    <n v="0.14699999999999999"/>
    <n v="0.79300000000000004"/>
    <n v="0.33900000000000002"/>
    <n v="0.24099999999999999"/>
    <n v="1E-3"/>
    <m/>
    <s v="马五41a"/>
    <x v="9"/>
    <n v="5"/>
    <s v="薄片"/>
    <n v="0.48599999999999999"/>
    <n v="-0.64600000000000002"/>
  </r>
  <r>
    <s v="延949"/>
    <n v="3856.25"/>
    <n v="37.691000000000003"/>
    <n v="21.827000000000002"/>
    <n v="1.2470000000000001"/>
    <n v="183.8"/>
    <n v="2.6989999999999998"/>
    <n v="4.2750000000000004"/>
    <n v="3.21"/>
    <n v="52.756"/>
    <n v="69.156999999999996"/>
    <n v="0"/>
    <n v="0"/>
    <n v="100"/>
    <n v="0.16"/>
    <n v="0.86599999999999999"/>
    <n v="0.39300000000000002"/>
    <n v="0.246"/>
    <n v="2.5999999999999999E-2"/>
    <m/>
    <s v="马五41a"/>
    <x v="9"/>
    <n v="5"/>
    <s v="薄片"/>
    <n v="0.55300000000000005"/>
    <n v="-0.70599999999999996"/>
  </r>
  <r>
    <s v="延949"/>
    <n v="3856.375"/>
    <n v="39.061999999999998"/>
    <n v="21.888000000000002"/>
    <n v="1.2130000000000001"/>
    <n v="186.99700000000001"/>
    <n v="2.6989999999999998"/>
    <n v="4.8129999999999997"/>
    <n v="3.2360000000000002"/>
    <n v="48.679000000000002"/>
    <n v="62.947000000000003"/>
    <n v="0"/>
    <n v="0"/>
    <n v="100"/>
    <n v="0.17199999999999999"/>
    <n v="0.91700000000000004"/>
    <n v="0.438"/>
    <n v="0.246"/>
    <n v="9.1999999999999998E-2"/>
    <m/>
    <s v="马五41a"/>
    <x v="9"/>
    <n v="5"/>
    <s v="薄片"/>
    <n v="0.61"/>
    <n v="-0.74500000000000011"/>
  </r>
  <r>
    <s v="延949"/>
    <n v="3856.5"/>
    <n v="40.097999999999999"/>
    <n v="21.914000000000001"/>
    <n v="1.2130000000000001"/>
    <n v="188.834"/>
    <n v="2.694"/>
    <n v="5.5149999999999997"/>
    <n v="3.2519999999999998"/>
    <n v="47.918999999999997"/>
    <n v="61.2"/>
    <n v="0.11"/>
    <n v="0"/>
    <n v="99.667000000000002"/>
    <n v="0.18"/>
    <n v="0.94799999999999995"/>
    <n v="0.46500000000000002"/>
    <n v="0.223"/>
    <n v="0.182"/>
    <m/>
    <s v="马五41a"/>
    <x v="9"/>
    <n v="5"/>
    <s v="薄片"/>
    <n v="0.64500000000000002"/>
    <n v="-0.76800000000000002"/>
  </r>
  <r>
    <s v="延949"/>
    <n v="3856.625"/>
    <n v="39.298000000000002"/>
    <n v="21.873999999999999"/>
    <n v="1.2569999999999999"/>
    <n v="188.67599999999999"/>
    <n v="2.6840000000000002"/>
    <n v="6.1"/>
    <n v="3.2589999999999999"/>
    <n v="50.124000000000002"/>
    <n v="63.384"/>
    <n v="1.361"/>
    <n v="4.0000000000000001E-3"/>
    <n v="90.846999999999994"/>
    <n v="0.17499999999999999"/>
    <n v="0.96299999999999997"/>
    <n v="0.46600000000000003"/>
    <n v="0.17499999999999999"/>
    <n v="0.26"/>
    <s v="含气层"/>
    <s v="马五41a"/>
    <x v="9"/>
    <n v="5"/>
    <s v="薄片"/>
    <n v="0.64100000000000001"/>
    <n v="-0.78800000000000003"/>
  </r>
  <r>
    <s v="延949"/>
    <n v="3856.75"/>
    <n v="35.866"/>
    <n v="21.821000000000002"/>
    <n v="1.3779999999999999"/>
    <n v="186.23"/>
    <n v="2.67"/>
    <n v="6.3739999999999997"/>
    <n v="3.2370000000000001"/>
    <n v="54.686"/>
    <n v="68.796999999999997"/>
    <n v="2.823"/>
    <n v="1.7000000000000001E-2"/>
    <n v="73.084999999999994"/>
    <n v="0.15"/>
    <n v="0.92800000000000005"/>
    <n v="0.435"/>
    <n v="0.105"/>
    <n v="0.3"/>
    <s v="含气层"/>
    <s v="马五41a"/>
    <x v="9"/>
    <n v="5"/>
    <s v="薄片"/>
    <n v="0.58499999999999996"/>
    <n v="-0.77800000000000002"/>
  </r>
  <r>
    <s v="延1952"/>
    <n v="3921.75"/>
    <n v="24.593"/>
    <n v="22.021999999999998"/>
    <n v="1.542"/>
    <n v="167.398"/>
    <n v="2.746"/>
    <n v="7.851"/>
    <n v="3.2330000000000001"/>
    <n v="124.521"/>
    <n v="139.065"/>
    <n v="3.7949999999999999"/>
    <n v="0.01"/>
    <n v="48.529000000000003"/>
    <n v="0.03"/>
    <n v="0.376"/>
    <n v="0.434"/>
    <n v="0.66900000000000004"/>
    <n v="0.46700000000000003"/>
    <s v="含气层"/>
    <s v="马五41a"/>
    <x v="9"/>
    <n v="4"/>
    <s v="薄片"/>
    <n v="0.46399999999999997"/>
    <n v="-0.34599999999999997"/>
  </r>
  <r>
    <s v="延1952"/>
    <n v="3921.875"/>
    <n v="26.417000000000002"/>
    <n v="21.946999999999999"/>
    <n v="1.65"/>
    <n v="164.87299999999999"/>
    <n v="2.7559999999999998"/>
    <n v="7.3040000000000003"/>
    <n v="3.286"/>
    <n v="151.572"/>
    <n v="169.27699999999999"/>
    <n v="3.3460000000000001"/>
    <n v="0.01"/>
    <n v="52.069000000000003"/>
    <n v="4.4999999999999998E-2"/>
    <n v="0.41299999999999998"/>
    <n v="0.35199999999999998"/>
    <n v="0.72499999999999998"/>
    <n v="0.41599999999999998"/>
    <s v="含气层"/>
    <s v="马五41a"/>
    <x v="9"/>
    <n v="4"/>
    <s v="薄片"/>
    <n v="0.39699999999999996"/>
    <n v="-0.36799999999999999"/>
  </r>
  <r>
    <s v="延1952"/>
    <n v="3922"/>
    <n v="29.344000000000001"/>
    <n v="21.890999999999998"/>
    <n v="1.827"/>
    <n v="163.024"/>
    <n v="2.76"/>
    <n v="6.84"/>
    <n v="3.3250000000000002"/>
    <n v="180.023"/>
    <n v="201.054"/>
    <n v="2.6789999999999998"/>
    <n v="0.01"/>
    <n v="57.526000000000003"/>
    <n v="7.0000000000000007E-2"/>
    <n v="0.442"/>
    <n v="0.28999999999999998"/>
    <n v="0.751"/>
    <n v="0.372"/>
    <s v="含气层"/>
    <s v="马五41a"/>
    <x v="9"/>
    <n v="4"/>
    <s v="薄片"/>
    <n v="0.36"/>
    <n v="-0.372"/>
  </r>
  <r>
    <s v="延1952"/>
    <n v="3922.125"/>
    <n v="32.027000000000001"/>
    <n v="21.861999999999998"/>
    <n v="2.0310000000000001"/>
    <n v="162.05699999999999"/>
    <n v="2.7610000000000001"/>
    <n v="6.508"/>
    <n v="3.3439999999999999"/>
    <n v="227.83500000000001"/>
    <n v="254.458"/>
    <n v="2.1970000000000001"/>
    <n v="0.01"/>
    <n v="64.674000000000007"/>
    <n v="9.5000000000000001E-2"/>
    <n v="0.45800000000000002"/>
    <n v="0.254"/>
    <n v="0.75900000000000001"/>
    <n v="0.33900000000000002"/>
    <s v="含气层"/>
    <s v="马五41a"/>
    <x v="9"/>
    <n v="4"/>
    <s v="薄片"/>
    <n v="0.34899999999999998"/>
    <n v="-0.36299999999999999"/>
  </r>
  <r>
    <s v="延1952"/>
    <n v="3922.25"/>
    <n v="33.390999999999998"/>
    <n v="21.856000000000002"/>
    <n v="2.1720000000000002"/>
    <n v="161.86799999999999"/>
    <n v="2.76"/>
    <n v="6.2889999999999997"/>
    <n v="3.343"/>
    <n v="303.68200000000002"/>
    <n v="339.17599999999999"/>
    <n v="1.617"/>
    <n v="0.01"/>
    <n v="78.819000000000003"/>
    <n v="0.111"/>
    <n v="0.46"/>
    <n v="0.24299999999999999"/>
    <n v="0.75600000000000001"/>
    <n v="0.317"/>
    <s v="含气层"/>
    <s v="马五41a"/>
    <x v="9"/>
    <n v="4"/>
    <s v="薄片"/>
    <n v="0.35399999999999998"/>
    <n v="-0.34900000000000003"/>
  </r>
  <r>
    <s v="延1952"/>
    <n v="3922.375"/>
    <n v="34.18"/>
    <n v="21.86"/>
    <n v="2.2349999999999999"/>
    <n v="162.01499999999999"/>
    <n v="2.76"/>
    <n v="6.1470000000000002"/>
    <n v="3.3239999999999998"/>
    <n v="380.089"/>
    <n v="424.51799999999997"/>
    <n v="1.5940000000000001"/>
    <n v="0.01"/>
    <n v="76.233000000000004"/>
    <n v="0.11899999999999999"/>
    <n v="0.44900000000000001"/>
    <n v="0.245"/>
    <n v="0.755"/>
    <n v="0.30199999999999999"/>
    <s v="含气层"/>
    <s v="马五41a"/>
    <x v="9"/>
    <n v="4"/>
    <s v="薄片"/>
    <n v="0.36399999999999999"/>
    <n v="-0.33"/>
  </r>
  <r>
    <s v="延1952"/>
    <n v="3922.5"/>
    <n v="34.914000000000001"/>
    <n v="21.858000000000001"/>
    <n v="2.3180000000000001"/>
    <n v="161.94200000000001"/>
    <n v="2.7610000000000001"/>
    <n v="6.0679999999999996"/>
    <n v="3.2930000000000001"/>
    <n v="424.02100000000002"/>
    <n v="473.58600000000001"/>
    <n v="1.5620000000000001"/>
    <n v="0.01"/>
    <n v="73.409000000000006"/>
    <n v="0.126"/>
    <n v="0.43"/>
    <n v="0.24399999999999999"/>
    <n v="0.75900000000000001"/>
    <n v="0.29399999999999998"/>
    <s v="含气层"/>
    <s v="马五41a"/>
    <x v="9"/>
    <n v="4"/>
    <s v="薄片"/>
    <n v="0.37"/>
    <n v="-0.30399999999999999"/>
  </r>
  <r>
    <s v="延1952"/>
    <n v="3922.625"/>
    <n v="34.982999999999997"/>
    <n v="21.841000000000001"/>
    <n v="2.5510000000000002"/>
    <n v="161.37200000000001"/>
    <n v="2.762"/>
    <n v="6.04"/>
    <n v="3.2610000000000001"/>
    <n v="450.91199999999998"/>
    <n v="503.61"/>
    <n v="1.5469999999999999"/>
    <n v="0.01"/>
    <n v="69.302999999999997"/>
    <n v="0.128"/>
    <n v="0.40799999999999997"/>
    <n v="0.23"/>
    <n v="0.76400000000000001"/>
    <n v="0.29099999999999998"/>
    <s v="含气层"/>
    <s v="马五41a"/>
    <x v="9"/>
    <n v="4"/>
    <s v="薄片"/>
    <n v="0.35799999999999998"/>
    <n v="-0.27999999999999997"/>
  </r>
  <r>
    <s v="延1950"/>
    <n v="3806.75"/>
    <n v="62.545000000000002"/>
    <n v="22.181000000000001"/>
    <n v="3.3180000000000001"/>
    <n v="179.63900000000001"/>
    <n v="2.754"/>
    <n v="12.512"/>
    <n v="3.6070000000000002"/>
    <n v="151.86500000000001"/>
    <n v="170.32599999999999"/>
    <n v="0.01"/>
    <n v="1E-3"/>
    <n v="100"/>
    <n v="0.36499999999999999"/>
    <n v="0.98499999999999999"/>
    <n v="0.39900000000000002"/>
    <n v="0.41099999999999998"/>
    <n v="0.34899999999999998"/>
    <m/>
    <s v="马五41b"/>
    <x v="9"/>
    <n v="4"/>
    <m/>
    <n v="0.76400000000000001"/>
    <n v="-0.62"/>
  </r>
  <r>
    <s v="延1950"/>
    <n v="3806.875"/>
    <n v="50.039000000000001"/>
    <n v="22.152000000000001"/>
    <n v="2.504"/>
    <n v="179.358"/>
    <n v="2.7589999999999999"/>
    <n v="10.253"/>
    <n v="3.6269999999999998"/>
    <n v="177.55699999999999"/>
    <n v="197.95400000000001"/>
    <n v="0.01"/>
    <n v="1E-3"/>
    <n v="100"/>
    <n v="0.27500000000000002"/>
    <n v="0.95899999999999996"/>
    <n v="0.39200000000000002"/>
    <n v="0.44700000000000001"/>
    <n v="0.254"/>
    <m/>
    <s v="马五41b"/>
    <x v="9"/>
    <n v="4"/>
    <m/>
    <n v="0.66700000000000004"/>
    <n v="-0.68399999999999994"/>
  </r>
  <r>
    <s v="延1950"/>
    <n v="3807"/>
    <n v="43.826999999999998"/>
    <n v="22.041"/>
    <n v="2.1629999999999998"/>
    <n v="178.815"/>
    <n v="2.7650000000000001"/>
    <n v="8.7889999999999997"/>
    <n v="3.532"/>
    <n v="227.422"/>
    <n v="251.73599999999999"/>
    <n v="0.01"/>
    <n v="1E-3"/>
    <n v="100"/>
    <n v="0.22"/>
    <n v="0.83799999999999997"/>
    <n v="0.377"/>
    <n v="0.48499999999999999"/>
    <n v="0.19"/>
    <m/>
    <s v="马五41b"/>
    <x v="9"/>
    <n v="4"/>
    <m/>
    <n v="0.59699999999999998"/>
    <n v="-0.61799999999999999"/>
  </r>
  <r>
    <s v="延1950"/>
    <n v="3807.125"/>
    <n v="37.771999999999998"/>
    <n v="21.902999999999999"/>
    <n v="1.913"/>
    <n v="177.30099999999999"/>
    <n v="2.77"/>
    <n v="7.6769999999999996"/>
    <n v="3.4119999999999999"/>
    <n v="318.52800000000002"/>
    <n v="351.19200000000001"/>
    <n v="0.01"/>
    <n v="1E-3"/>
    <n v="100"/>
    <n v="0.17100000000000001"/>
    <n v="0.71199999999999997"/>
    <n v="0.34300000000000003"/>
    <n v="0.51900000000000002"/>
    <n v="0.14499999999999999"/>
    <m/>
    <s v="马五41b"/>
    <x v="9"/>
    <n v="4"/>
    <m/>
    <n v="0.51400000000000001"/>
    <n v="-0.54099999999999993"/>
  </r>
  <r>
    <s v="延1952"/>
    <n v="3918.5"/>
    <n v="40.984000000000002"/>
    <n v="22.105"/>
    <n v="2.4569999999999999"/>
    <n v="170.155"/>
    <n v="2.7410000000000001"/>
    <n v="7.6980000000000004"/>
    <n v="3.234"/>
    <n v="182.44"/>
    <n v="203.733"/>
    <n v="0.01"/>
    <n v="1E-3"/>
    <n v="100"/>
    <n v="0.215"/>
    <n v="0.378"/>
    <n v="0.51"/>
    <n v="0.67100000000000004"/>
    <n v="0.45600000000000002"/>
    <m/>
    <s v="马五41a"/>
    <x v="9"/>
    <n v="2"/>
    <m/>
    <n v="0.72499999999999998"/>
    <n v="-0.16300000000000001"/>
  </r>
  <r>
    <s v="延1952"/>
    <n v="3918.625"/>
    <n v="28.541"/>
    <n v="22.071000000000002"/>
    <n v="2.1240000000000001"/>
    <n v="169.04499999999999"/>
    <n v="2.7330000000000001"/>
    <n v="7.0869999999999997"/>
    <n v="3.298"/>
    <n v="168.124"/>
    <n v="187.75399999999999"/>
    <n v="0.01"/>
    <n v="1E-3"/>
    <n v="100"/>
    <n v="9.0999999999999998E-2"/>
    <n v="0.42"/>
    <n v="0.47499999999999998"/>
    <n v="0.628"/>
    <n v="0.39800000000000002"/>
    <m/>
    <s v="马五41a"/>
    <x v="9"/>
    <n v="2"/>
    <m/>
    <n v="0.56599999999999995"/>
    <n v="-0.32899999999999996"/>
  </r>
  <r>
    <s v="延1952"/>
    <n v="3918.75"/>
    <n v="23.547000000000001"/>
    <n v="22.038"/>
    <n v="1.7569999999999999"/>
    <n v="167.93"/>
    <n v="2.7269999999999999"/>
    <n v="6.35"/>
    <n v="3.3780000000000001"/>
    <n v="173.25200000000001"/>
    <n v="193.488"/>
    <n v="0.01"/>
    <n v="1E-3"/>
    <n v="100"/>
    <n v="3.1E-2"/>
    <n v="0.47299999999999998"/>
    <n v="0.44"/>
    <n v="0.59599999999999997"/>
    <n v="0.33200000000000002"/>
    <m/>
    <s v="马五41a"/>
    <x v="9"/>
    <n v="2"/>
    <m/>
    <n v="0.47099999999999997"/>
    <n v="-0.44199999999999995"/>
  </r>
  <r>
    <s v="延1952"/>
    <n v="3918.875"/>
    <n v="24.21"/>
    <n v="22.013000000000002"/>
    <n v="1.4890000000000001"/>
    <n v="167.08600000000001"/>
    <n v="2.7250000000000001"/>
    <n v="5.4160000000000004"/>
    <n v="3.472"/>
    <n v="206.876"/>
    <n v="231.04599999999999"/>
    <n v="0.01"/>
    <n v="1E-3"/>
    <n v="100"/>
    <n v="2.7E-2"/>
    <n v="0.53600000000000003"/>
    <n v="0.41199999999999998"/>
    <n v="0.58199999999999996"/>
    <n v="0.25"/>
    <m/>
    <s v="马五41a"/>
    <x v="9"/>
    <n v="2"/>
    <m/>
    <n v="0.439"/>
    <n v="-0.50900000000000001"/>
  </r>
  <r>
    <s v="延1952"/>
    <n v="3919"/>
    <n v="27.866"/>
    <n v="22.004999999999999"/>
    <n v="1.37"/>
    <n v="166.81"/>
    <n v="2.7229999999999999"/>
    <n v="4.5380000000000003"/>
    <n v="3.5760000000000001"/>
    <n v="304.49900000000002"/>
    <n v="340.084"/>
    <n v="0.01"/>
    <n v="1E-3"/>
    <n v="100"/>
    <n v="5.5E-2"/>
    <n v="0.60599999999999998"/>
    <n v="0.4"/>
    <n v="0.57199999999999995"/>
    <n v="0.16800000000000001"/>
    <m/>
    <s v="马五41a"/>
    <x v="9"/>
    <n v="2"/>
    <m/>
    <n v="0.45500000000000002"/>
    <n v="-0.55099999999999993"/>
  </r>
  <r>
    <s v="延1952"/>
    <n v="3919.125"/>
    <n v="34.811999999999998"/>
    <n v="22.015000000000001"/>
    <n v="1.34"/>
    <n v="167.15700000000001"/>
    <n v="2.7210000000000001"/>
    <n v="3.855"/>
    <n v="3.6749999999999998"/>
    <n v="530.98500000000001"/>
    <n v="593.05700000000002"/>
    <n v="0.01"/>
    <n v="1E-3"/>
    <n v="100"/>
    <n v="0.113"/>
    <n v="0.67500000000000004"/>
    <n v="0.40699999999999997"/>
    <n v="0.56200000000000006"/>
    <n v="0.10199999999999999"/>
    <m/>
    <s v="马五41a"/>
    <x v="9"/>
    <n v="2"/>
    <m/>
    <n v="0.52"/>
    <n v="-0.56200000000000006"/>
  </r>
  <r>
    <s v="延1952"/>
    <n v="3919.25"/>
    <n v="41.69"/>
    <n v="22.036999999999999"/>
    <n v="1.3660000000000001"/>
    <n v="167.90700000000001"/>
    <n v="2.718"/>
    <n v="3.3319999999999999"/>
    <n v="3.7570000000000001"/>
    <n v="815.37800000000004"/>
    <n v="910.69600000000003"/>
    <n v="0.01"/>
    <n v="1E-3"/>
    <n v="100"/>
    <n v="0.17699999999999999"/>
    <n v="0.73299999999999998"/>
    <n v="0.42799999999999999"/>
    <n v="0.54800000000000004"/>
    <n v="5.0999999999999997E-2"/>
    <m/>
    <s v="马五41a"/>
    <x v="9"/>
    <n v="2"/>
    <m/>
    <n v="0.60499999999999998"/>
    <n v="-0.55600000000000005"/>
  </r>
  <r>
    <s v="延1952"/>
    <n v="3919.375"/>
    <n v="43.564999999999998"/>
    <n v="22.062999999999999"/>
    <n v="1.359"/>
    <n v="168.74799999999999"/>
    <n v="2.7170000000000001"/>
    <n v="2.9950000000000001"/>
    <n v="3.8079999999999998"/>
    <n v="831.07899999999995"/>
    <n v="928.14599999999996"/>
    <n v="0.01"/>
    <n v="1E-3"/>
    <n v="100"/>
    <n v="0.20300000000000001"/>
    <n v="0.77300000000000002"/>
    <n v="0.45400000000000001"/>
    <n v="0.54100000000000004"/>
    <n v="1.6E-2"/>
    <m/>
    <s v="马五41a"/>
    <x v="9"/>
    <n v="2"/>
    <m/>
    <n v="0.65700000000000003"/>
    <n v="-0.57000000000000006"/>
  </r>
  <r>
    <s v="延1952"/>
    <n v="3919.5"/>
    <n v="42.578000000000003"/>
    <n v="22.085999999999999"/>
    <n v="1.244"/>
    <n v="169.542"/>
    <n v="2.72"/>
    <n v="2.8849999999999998"/>
    <n v="3.8159999999999998"/>
    <n v="539.327"/>
    <n v="602.14"/>
    <n v="0.01"/>
    <n v="1E-3"/>
    <n v="100"/>
    <n v="0.2"/>
    <n v="0.78400000000000003"/>
    <n v="0.47899999999999998"/>
    <n v="0.55200000000000005"/>
    <n v="2E-3"/>
    <m/>
    <s v="马五41a"/>
    <x v="9"/>
    <n v="2"/>
    <m/>
    <n v="0.67900000000000005"/>
    <n v="-0.58400000000000007"/>
  </r>
  <r>
    <s v="延1952"/>
    <n v="3919.625"/>
    <n v="39.665999999999997"/>
    <n v="22.113"/>
    <n v="1.105"/>
    <n v="170.43100000000001"/>
    <n v="2.7229999999999999"/>
    <n v="3.0150000000000001"/>
    <n v="3.7839999999999998"/>
    <n v="283.524"/>
    <n v="316.44099999999997"/>
    <n v="0.01"/>
    <n v="1E-3"/>
    <n v="100"/>
    <n v="0.17599999999999999"/>
    <n v="0.76800000000000002"/>
    <n v="0.50700000000000001"/>
    <n v="0.56699999999999995"/>
    <n v="0.01"/>
    <m/>
    <s v="马五41a"/>
    <x v="9"/>
    <n v="2"/>
    <m/>
    <n v="0.68300000000000005"/>
    <n v="-0.59200000000000008"/>
  </r>
  <r>
    <s v="延1952"/>
    <n v="3919.75"/>
    <n v="36.061"/>
    <n v="22.152999999999999"/>
    <n v="1.0009999999999999"/>
    <n v="171.75899999999999"/>
    <n v="2.722"/>
    <n v="3.403"/>
    <n v="3.7160000000000002"/>
    <n v="166.23500000000001"/>
    <n v="185.57400000000001"/>
    <n v="0.01"/>
    <n v="1E-3"/>
    <n v="100"/>
    <n v="0.14399999999999999"/>
    <n v="0.72599999999999998"/>
    <n v="0.54600000000000004"/>
    <n v="0.56599999999999995"/>
    <n v="4.1000000000000002E-2"/>
    <m/>
    <s v="马五41a"/>
    <x v="9"/>
    <n v="2"/>
    <m/>
    <n v="0.69000000000000006"/>
    <n v="-0.58199999999999996"/>
  </r>
  <r>
    <s v="延990"/>
    <n v="3728.625"/>
    <n v="47.259"/>
    <n v="22.361999999999998"/>
    <n v="1.855"/>
    <n v="174.79"/>
    <n v="2.806"/>
    <n v="6.3529999999999998"/>
    <n v="3.6989999999999998"/>
    <n v="630.93799999999999"/>
    <n v="738.75099999999998"/>
    <n v="0.01"/>
    <n v="1E-3"/>
    <n v="100"/>
    <n v="0.316"/>
    <n v="0.63100000000000001"/>
    <n v="0.191"/>
    <n v="0.67800000000000005"/>
    <n v="0.22500000000000001"/>
    <m/>
    <s v="马五41b"/>
    <x v="9"/>
    <n v="4"/>
    <m/>
    <n v="0.50700000000000001"/>
    <n v="-0.315"/>
  </r>
  <r>
    <s v="延990"/>
    <n v="3728.75"/>
    <n v="55.802"/>
    <n v="22.465"/>
    <n v="1.85"/>
    <n v="178.435"/>
    <n v="2.8069999999999999"/>
    <n v="6.5679999999999996"/>
    <n v="3.8570000000000002"/>
    <n v="483.233"/>
    <n v="564.98099999999999"/>
    <n v="0.01"/>
    <n v="1E-3"/>
    <n v="100"/>
    <n v="0.40699999999999997"/>
    <n v="0.74399999999999999"/>
    <n v="0.247"/>
    <n v="0.68"/>
    <n v="0.246"/>
    <m/>
    <s v="马五41b"/>
    <x v="9"/>
    <n v="4"/>
    <m/>
    <n v="0.65399999999999991"/>
    <n v="-0.33700000000000002"/>
  </r>
  <r>
    <s v="延990"/>
    <n v="3728.875"/>
    <n v="60.536999999999999"/>
    <n v="22.538"/>
    <n v="1.9830000000000001"/>
    <n v="179.92400000000001"/>
    <n v="2.81"/>
    <n v="6.8479999999999999"/>
    <n v="3.9950000000000001"/>
    <n v="354.87299999999999"/>
    <n v="413.96800000000002"/>
    <n v="0.01"/>
    <n v="1E-3"/>
    <n v="100"/>
    <n v="0.47399999999999998"/>
    <n v="0.85499999999999998"/>
    <n v="0.28000000000000003"/>
    <n v="0.69799999999999995"/>
    <n v="0.28299999999999997"/>
    <m/>
    <s v="马五41b"/>
    <x v="9"/>
    <n v="4"/>
    <m/>
    <n v="0.754"/>
    <n v="-0.38100000000000001"/>
  </r>
  <r>
    <s v="延990"/>
    <n v="3729"/>
    <n v="59.701000000000001"/>
    <n v="22.585000000000001"/>
    <n v="2.3279999999999998"/>
    <n v="179.19"/>
    <n v="2.8140000000000001"/>
    <n v="7.1310000000000002"/>
    <n v="4.069"/>
    <n v="286.52999999999997"/>
    <n v="333.565"/>
    <n v="0.01"/>
    <n v="1E-3"/>
    <n v="100"/>
    <n v="0.48899999999999999"/>
    <n v="0.93100000000000005"/>
    <n v="0.28299999999999997"/>
    <n v="0.72799999999999998"/>
    <n v="0.32400000000000001"/>
    <m/>
    <s v="马五41b"/>
    <x v="9"/>
    <n v="4"/>
    <m/>
    <n v="0.77200000000000002"/>
    <n v="-0.44200000000000006"/>
  </r>
  <r>
    <s v="延990"/>
    <n v="3729.125"/>
    <n v="55.140999999999998"/>
    <n v="22.611999999999998"/>
    <n v="2.923"/>
    <n v="177.06"/>
    <n v="2.8170000000000002"/>
    <n v="7.4009999999999998"/>
    <n v="4.0609999999999999"/>
    <n v="273.61200000000002"/>
    <n v="318.36700000000002"/>
    <n v="0.01"/>
    <n v="1E-3"/>
    <n v="100"/>
    <n v="0.45700000000000002"/>
    <n v="0.95099999999999996"/>
    <n v="0.26100000000000001"/>
    <n v="0.75600000000000001"/>
    <n v="0.36399999999999999"/>
    <m/>
    <s v="马五41b"/>
    <x v="9"/>
    <n v="4"/>
    <m/>
    <n v="0.71799999999999997"/>
    <n v="-0.49399999999999994"/>
  </r>
  <r>
    <s v="延990"/>
    <n v="3729.25"/>
    <n v="51.38"/>
    <n v="22.608000000000001"/>
    <n v="3.5209999999999999"/>
    <n v="174.73599999999999"/>
    <n v="2.8180000000000001"/>
    <n v="7.6710000000000003"/>
    <n v="3.9769999999999999"/>
    <n v="297.63"/>
    <n v="346.62400000000002"/>
    <n v="0.01"/>
    <n v="1E-3"/>
    <n v="100"/>
    <n v="0.41399999999999998"/>
    <n v="0.91100000000000003"/>
    <n v="0.23"/>
    <n v="0.77200000000000002"/>
    <n v="0.40300000000000002"/>
    <m/>
    <s v="马五41b"/>
    <x v="9"/>
    <n v="4"/>
    <m/>
    <n v="0.64400000000000002"/>
    <n v="-0.49700000000000005"/>
  </r>
  <r>
    <s v="延990"/>
    <n v="3729.375"/>
    <n v="51.204999999999998"/>
    <n v="22.559000000000001"/>
    <n v="3.8740000000000001"/>
    <n v="173.13800000000001"/>
    <n v="2.8159999999999998"/>
    <n v="7.9370000000000003"/>
    <n v="3.8559999999999999"/>
    <n v="343.53800000000001"/>
    <n v="400.63200000000001"/>
    <n v="0.01"/>
    <n v="1E-3"/>
    <n v="100"/>
    <n v="0.39600000000000002"/>
    <n v="0.83099999999999996"/>
    <n v="0.20300000000000001"/>
    <n v="0.76500000000000001"/>
    <n v="0.442"/>
    <m/>
    <s v="马五41b"/>
    <x v="9"/>
    <n v="4"/>
    <m/>
    <n v="0.59899999999999998"/>
    <n v="-0.43499999999999994"/>
  </r>
  <r>
    <s v="延990"/>
    <n v="3729.5"/>
    <n v="53.7"/>
    <n v="22.462"/>
    <n v="4.0140000000000002"/>
    <n v="172.43199999999999"/>
    <n v="2.8119999999999998"/>
    <n v="8.1370000000000005"/>
    <n v="3.7589999999999999"/>
    <n v="394.50299999999999"/>
    <n v="460.59100000000001"/>
    <n v="0.01"/>
    <n v="1E-3"/>
    <n v="100"/>
    <n v="0.41099999999999998"/>
    <n v="0.75"/>
    <n v="0.188"/>
    <n v="0.73899999999999999"/>
    <n v="0.47499999999999998"/>
    <m/>
    <s v="马五41b"/>
    <x v="9"/>
    <n v="4"/>
    <m/>
    <n v="0.59899999999999998"/>
    <n v="-0.33900000000000002"/>
  </r>
  <r>
    <s v="延990"/>
    <n v="3729.625"/>
    <n v="56.232999999999997"/>
    <n v="22.344000000000001"/>
    <n v="4.03"/>
    <n v="172.596"/>
    <n v="2.8079999999999998"/>
    <n v="8.173"/>
    <n v="3.7269999999999999"/>
    <n v="427.22699999999998"/>
    <n v="499.09100000000001"/>
    <n v="0.01"/>
    <n v="1E-3"/>
    <n v="100"/>
    <n v="0.438"/>
    <n v="0.70599999999999996"/>
    <n v="0.185"/>
    <n v="0.70599999999999996"/>
    <n v="0.49"/>
    <m/>
    <s v="马五41b"/>
    <x v="9"/>
    <n v="4"/>
    <m/>
    <n v="0.623"/>
    <n v="-0.26799999999999996"/>
  </r>
  <r>
    <s v="延990"/>
    <n v="3729.75"/>
    <n v="57.207999999999998"/>
    <n v="22.262"/>
    <n v="3.9180000000000001"/>
    <n v="174.13300000000001"/>
    <n v="2.8069999999999999"/>
    <n v="7.9749999999999996"/>
    <n v="3.7509999999999999"/>
    <n v="434.38299999999998"/>
    <n v="507.50900000000001"/>
    <n v="0.01"/>
    <n v="1E-3"/>
    <n v="100"/>
    <n v="0.45500000000000002"/>
    <n v="0.70599999999999996"/>
    <n v="0.19900000000000001"/>
    <n v="0.68700000000000006"/>
    <n v="0.47599999999999998"/>
    <m/>
    <s v="马五41b"/>
    <x v="9"/>
    <n v="4"/>
    <m/>
    <n v="0.65400000000000003"/>
    <n v="-0.25099999999999995"/>
  </r>
  <r>
    <s v="延990"/>
    <n v="3729.875"/>
    <n v="56.302"/>
    <n v="22.277000000000001"/>
    <n v="3.65"/>
    <n v="177.43700000000001"/>
    <n v="2.81"/>
    <n v="7.5540000000000003"/>
    <n v="3.7709999999999999"/>
    <n v="428.048"/>
    <n v="500.05599999999998"/>
    <n v="0.01"/>
    <n v="1E-3"/>
    <n v="100"/>
    <n v="0.45400000000000001"/>
    <n v="0.72299999999999998"/>
    <n v="0.23499999999999999"/>
    <n v="0.69799999999999995"/>
    <n v="0.42799999999999999"/>
    <m/>
    <s v="马五41b"/>
    <x v="9"/>
    <n v="4"/>
    <m/>
    <n v="0.68900000000000006"/>
    <n v="-0.26899999999999996"/>
  </r>
  <r>
    <s v="延990"/>
    <n v="3730"/>
    <n v="53.731000000000002"/>
    <n v="22.411999999999999"/>
    <n v="3.2170000000000001"/>
    <n v="181.976"/>
    <n v="2.8149999999999999"/>
    <n v="7.0229999999999997"/>
    <n v="3.7170000000000001"/>
    <n v="413.81799999999998"/>
    <n v="483.315"/>
    <n v="0.01"/>
    <n v="1E-3"/>
    <n v="100"/>
    <n v="0.434"/>
    <n v="0.70499999999999996"/>
    <n v="0.29099999999999998"/>
    <n v="0.73299999999999998"/>
    <n v="0.35699999999999998"/>
    <m/>
    <s v="马五41b"/>
    <x v="9"/>
    <n v="4"/>
    <m/>
    <n v="0.72499999999999998"/>
    <n v="-0.27099999999999996"/>
  </r>
  <r>
    <s v="延990"/>
    <n v="3730.125"/>
    <n v="50.773000000000003"/>
    <n v="22.638000000000002"/>
    <n v="2.7250000000000001"/>
    <n v="186.43600000000001"/>
    <n v="2.82"/>
    <n v="6.5410000000000004"/>
    <n v="3.569"/>
    <n v="385.35599999999999"/>
    <n v="449.83100000000002"/>
    <n v="0.01"/>
    <n v="1E-3"/>
    <n v="100"/>
    <n v="0.40400000000000003"/>
    <n v="0.623"/>
    <n v="0.35399999999999998"/>
    <n v="0.77400000000000002"/>
    <n v="0.28399999999999997"/>
    <m/>
    <s v="马五41b"/>
    <x v="9"/>
    <n v="4"/>
    <m/>
    <n v="0.75800000000000001"/>
    <n v="-0.21899999999999997"/>
  </r>
  <r>
    <s v="延982"/>
    <n v="3382.375"/>
    <n v="28.326000000000001"/>
    <n v="23.553000000000001"/>
    <n v="2.0030000000000001"/>
    <n v="162.99199999999999"/>
    <n v="2.831"/>
    <n v="1.889"/>
    <n v="3.8109999999999999"/>
    <n v="728.577"/>
    <n v="755.13499999999999"/>
    <n v="0.01"/>
    <n v="1E-3"/>
    <n v="100"/>
    <n v="0.11600000000000001"/>
    <n v="0.65800000000000003"/>
    <n v="0.14399999999999999"/>
    <n v="0.69499999999999995"/>
    <n v="7.9000000000000001E-2"/>
    <m/>
    <s v="马五41b"/>
    <x v="9"/>
    <n v="7"/>
    <m/>
    <n v="0.26"/>
    <n v="-0.54200000000000004"/>
  </r>
  <r>
    <s v="延981"/>
    <n v="3441.25"/>
    <n v="15.08"/>
    <n v="23.050999999999998"/>
    <n v="1.3109999999999999"/>
    <n v="157.78700000000001"/>
    <n v="2.7570000000000001"/>
    <n v="5.0049999999999999"/>
    <n v="3.718"/>
    <n v="202.01400000000001"/>
    <n v="350.49299999999999"/>
    <n v="1.163"/>
    <n v="0.01"/>
    <n v="100"/>
    <n v="1.4999999999999999E-2"/>
    <n v="0.46600000000000003"/>
    <n v="8.7999999999999995E-2"/>
    <n v="0.55000000000000004"/>
    <n v="0.38800000000000001"/>
    <s v="含气层"/>
    <s v="马五41a"/>
    <x v="9"/>
    <n v="3"/>
    <m/>
    <n v="0.10299999999999999"/>
    <n v="-0.45100000000000001"/>
  </r>
  <r>
    <s v="延981"/>
    <n v="3441.375"/>
    <n v="15.162000000000001"/>
    <n v="23.074999999999999"/>
    <n v="1.3220000000000001"/>
    <n v="157.49100000000001"/>
    <n v="2.7570000000000001"/>
    <n v="4.8879999999999999"/>
    <n v="3.8519999999999999"/>
    <n v="187.977"/>
    <n v="324.85399999999998"/>
    <n v="1.177"/>
    <n v="0.01"/>
    <n v="100"/>
    <n v="1.4999999999999999E-2"/>
    <n v="0.52600000000000002"/>
    <n v="8.3000000000000004E-2"/>
    <n v="0.55000000000000004"/>
    <n v="0.377"/>
    <s v="含气层"/>
    <s v="马五41a"/>
    <x v="9"/>
    <n v="3"/>
    <m/>
    <n v="9.8000000000000004E-2"/>
    <n v="-0.51100000000000001"/>
  </r>
  <r>
    <s v="延981"/>
    <n v="3441.5"/>
    <n v="15.523"/>
    <n v="23.132999999999999"/>
    <n v="1.3420000000000001"/>
    <n v="157.22200000000001"/>
    <n v="2.7549999999999999"/>
    <n v="4.8369999999999997"/>
    <n v="3.9630000000000001"/>
    <n v="173.81200000000001"/>
    <n v="297.99400000000003"/>
    <n v="1.1759999999999999"/>
    <n v="0.01"/>
    <n v="100"/>
    <n v="1.7000000000000001E-2"/>
    <n v="0.57799999999999996"/>
    <n v="7.9000000000000001E-2"/>
    <n v="0.54600000000000004"/>
    <n v="0.372"/>
    <s v="含气层"/>
    <s v="马五41a"/>
    <x v="9"/>
    <n v="3"/>
    <m/>
    <n v="9.6000000000000002E-2"/>
    <n v="-0.56099999999999994"/>
  </r>
  <r>
    <s v="延981"/>
    <n v="3441.625"/>
    <n v="15.711"/>
    <n v="23.189"/>
    <n v="1.3640000000000001"/>
    <n v="157.245"/>
    <n v="2.7519999999999998"/>
    <n v="4.8419999999999996"/>
    <n v="3.9990000000000001"/>
    <n v="160.238"/>
    <n v="270.40300000000002"/>
    <n v="1.1739999999999999"/>
    <n v="0.01"/>
    <n v="100"/>
    <n v="1.9E-2"/>
    <n v="0.60099999999999998"/>
    <n v="7.9000000000000001E-2"/>
    <n v="0.53900000000000003"/>
    <n v="0.372"/>
    <s v="含气层"/>
    <s v="马五41a"/>
    <x v="9"/>
    <n v="3"/>
    <m/>
    <n v="9.8000000000000004E-2"/>
    <n v="-0.58199999999999996"/>
  </r>
  <r>
    <s v="延981"/>
    <n v="3441.75"/>
    <n v="15.763999999999999"/>
    <n v="23.216999999999999"/>
    <n v="1.3859999999999999"/>
    <n v="157.63499999999999"/>
    <n v="2.746"/>
    <n v="4.88"/>
    <n v="3.9350000000000001"/>
    <n v="148.12700000000001"/>
    <n v="243.809"/>
    <n v="1.1919999999999999"/>
    <n v="0.01"/>
    <n v="100"/>
    <n v="1.9E-2"/>
    <n v="0.58099999999999996"/>
    <n v="8.3000000000000004E-2"/>
    <n v="0.52500000000000002"/>
    <n v="0.374"/>
    <s v="含气层"/>
    <s v="马五41a"/>
    <x v="9"/>
    <n v="3"/>
    <m/>
    <n v="0.10200000000000001"/>
    <n v="-0.56199999999999994"/>
  </r>
  <r>
    <s v="延981"/>
    <n v="3441.875"/>
    <n v="15.917999999999999"/>
    <n v="23.268999999999998"/>
    <n v="1.4119999999999999"/>
    <n v="158.34200000000001"/>
    <n v="2.7410000000000001"/>
    <n v="4.97"/>
    <n v="3.7839999999999998"/>
    <n v="138.16"/>
    <n v="219.911"/>
    <n v="1.222"/>
    <n v="0.01"/>
    <n v="100"/>
    <n v="0.02"/>
    <n v="0.52"/>
    <n v="9.2999999999999999E-2"/>
    <n v="0.51100000000000001"/>
    <n v="0.38100000000000001"/>
    <s v="含气层"/>
    <s v="马五41a"/>
    <x v="9"/>
    <n v="3"/>
    <m/>
    <n v="0.113"/>
    <n v="-0.5"/>
  </r>
  <r>
    <s v="延981"/>
    <n v="3442"/>
    <n v="16.257999999999999"/>
    <n v="23.292000000000002"/>
    <n v="1.4370000000000001"/>
    <n v="159.18100000000001"/>
    <n v="2.738"/>
    <n v="5.14"/>
    <n v="3.5960000000000001"/>
    <n v="130.804"/>
    <n v="200.38499999999999"/>
    <n v="1.2490000000000001"/>
    <n v="0.01"/>
    <n v="100"/>
    <n v="2.3E-2"/>
    <n v="0.439"/>
    <n v="0.106"/>
    <n v="0.503"/>
    <n v="0.39300000000000002"/>
    <s v="含气层"/>
    <s v="马五41a"/>
    <x v="9"/>
    <n v="3"/>
    <m/>
    <n v="0.129"/>
    <n v="-0.41599999999999998"/>
  </r>
  <r>
    <s v="延981"/>
    <n v="3446.375"/>
    <n v="20.16"/>
    <n v="22.763000000000002"/>
    <n v="1.778"/>
    <n v="169.85"/>
    <n v="2.9089999999999998"/>
    <n v="2.3210000000000002"/>
    <n v="3.863"/>
    <n v="1007.01"/>
    <n v="4051.163"/>
    <n v="0.01"/>
    <n v="1E-3"/>
    <n v="100"/>
    <n v="6.6000000000000003E-2"/>
    <n v="0.53"/>
    <n v="0.27900000000000003"/>
    <n v="0.93100000000000005"/>
    <n v="0.19400000000000001"/>
    <m/>
    <s v="马五41b"/>
    <x v="9"/>
    <n v="6"/>
    <m/>
    <n v="0.34500000000000003"/>
    <n v="-0.46400000000000002"/>
  </r>
  <r>
    <s v="延981"/>
    <n v="3446.5"/>
    <n v="19.122"/>
    <n v="22.744"/>
    <n v="1.4950000000000001"/>
    <n v="168.48400000000001"/>
    <n v="2.91"/>
    <n v="1.1759999999999999"/>
    <n v="4"/>
    <n v="1126.1389999999999"/>
    <n v="4642.1639999999998"/>
    <n v="0.01"/>
    <n v="1E-3"/>
    <n v="100"/>
    <n v="4.4999999999999998E-2"/>
    <n v="0.59199999999999997"/>
    <n v="0.25600000000000001"/>
    <n v="0.94099999999999995"/>
    <n v="9.1999999999999998E-2"/>
    <m/>
    <s v="马五41b"/>
    <x v="9"/>
    <n v="6"/>
    <m/>
    <n v="0.30099999999999999"/>
    <n v="-0.54699999999999993"/>
  </r>
  <r>
    <s v="延981"/>
    <n v="3450"/>
    <n v="35.085000000000001"/>
    <n v="22.628"/>
    <n v="1.337"/>
    <n v="178.50200000000001"/>
    <n v="2.903"/>
    <n v="1.0680000000000001"/>
    <n v="4.3849999999999998"/>
    <n v="557.34900000000005"/>
    <n v="744.505"/>
    <n v="0.01"/>
    <n v="1E-3"/>
    <n v="100"/>
    <n v="0.14599999999999999"/>
    <n v="0.79600000000000004"/>
    <n v="0.40300000000000002"/>
    <n v="0.92400000000000004"/>
    <n v="6.3E-2"/>
    <m/>
    <s v="马五41b"/>
    <x v="9"/>
    <n v="6"/>
    <m/>
    <n v="0.54900000000000004"/>
    <n v="-0.65"/>
  </r>
  <r>
    <s v="延981"/>
    <n v="3450.125"/>
    <n v="41.744"/>
    <n v="22.634"/>
    <n v="1.407"/>
    <n v="178.386"/>
    <n v="2.9039999999999999"/>
    <n v="1.1679999999999999"/>
    <n v="4.2389999999999999"/>
    <n v="571.59"/>
    <n v="661.12099999999998"/>
    <n v="0.01"/>
    <n v="1E-3"/>
    <n v="100"/>
    <n v="0.19800000000000001"/>
    <n v="0.72599999999999998"/>
    <n v="0.40400000000000003"/>
    <n v="0.92500000000000004"/>
    <n v="7.0999999999999994E-2"/>
    <m/>
    <s v="马五41b"/>
    <x v="9"/>
    <n v="6"/>
    <m/>
    <n v="0.60200000000000009"/>
    <n v="-0.52800000000000002"/>
  </r>
  <r>
    <s v="延981"/>
    <n v="3450.25"/>
    <n v="41.902000000000001"/>
    <n v="22.646999999999998"/>
    <n v="1.532"/>
    <n v="177.624"/>
    <n v="2.9060000000000001"/>
    <n v="1.268"/>
    <n v="4.2309999999999999"/>
    <n v="614.86"/>
    <n v="693.346"/>
    <n v="0.01"/>
    <n v="1E-3"/>
    <n v="100"/>
    <n v="0.20799999999999999"/>
    <n v="0.71"/>
    <n v="0.39400000000000002"/>
    <n v="0.93"/>
    <n v="7.9000000000000001E-2"/>
    <m/>
    <s v="马五41b"/>
    <x v="9"/>
    <n v="6"/>
    <m/>
    <n v="0.60199999999999998"/>
    <n v="-0.502"/>
  </r>
  <r>
    <s v="延981"/>
    <n v="3450.375"/>
    <n v="36.988999999999997"/>
    <n v="22.648"/>
    <n v="1.8640000000000001"/>
    <n v="176.87100000000001"/>
    <n v="2.903"/>
    <n v="1.373"/>
    <n v="4.359"/>
    <n v="622.44500000000005"/>
    <n v="731.27499999999998"/>
    <n v="0.01"/>
    <n v="1E-3"/>
    <n v="100"/>
    <n v="0.18"/>
    <n v="0.75600000000000001"/>
    <n v="0.38300000000000001"/>
    <n v="0.92500000000000004"/>
    <n v="8.7999999999999995E-2"/>
    <m/>
    <s v="马五41b"/>
    <x v="9"/>
    <n v="6"/>
    <m/>
    <n v="0.56299999999999994"/>
    <n v="-0.57600000000000007"/>
  </r>
  <r>
    <s v="延981"/>
    <n v="3450.5"/>
    <n v="31.506"/>
    <n v="22.646000000000001"/>
    <n v="2.2309999999999999"/>
    <n v="176.45699999999999"/>
    <n v="2.89"/>
    <n v="1.4910000000000001"/>
    <n v="4.1970000000000001"/>
    <n v="568.00300000000004"/>
    <n v="710.90899999999999"/>
    <n v="0.01"/>
    <n v="1E-3"/>
    <n v="100"/>
    <n v="0.14099999999999999"/>
    <n v="0.70899999999999996"/>
    <n v="0.375"/>
    <n v="0.89700000000000002"/>
    <n v="9.7000000000000003E-2"/>
    <m/>
    <s v="马五41b"/>
    <x v="9"/>
    <n v="6"/>
    <m/>
    <n v="0.51600000000000001"/>
    <n v="-0.56799999999999995"/>
  </r>
  <r>
    <s v="延1087"/>
    <n v="3400.625"/>
    <n v="28.079000000000001"/>
    <n v="21.992999999999999"/>
    <n v="2.5419999999999998"/>
    <n v="185.20400000000001"/>
    <n v="2.911"/>
    <n v="3.36"/>
    <n v="4.0010000000000003"/>
    <n v="1724.7739999999999"/>
    <n v="2215.1509999999998"/>
    <n v="8.8999999999999996E-2"/>
    <n v="0.1"/>
    <n v="100"/>
    <n v="0.13500000000000001"/>
    <n v="0.39600000000000002"/>
    <n v="0.41"/>
    <n v="0.90100000000000002"/>
    <n v="0.11799999999999999"/>
    <m/>
    <s v="马五41b"/>
    <x v="9"/>
    <n v="10"/>
    <m/>
    <n v="0.54499999999999993"/>
    <n v="-0.26100000000000001"/>
  </r>
  <r>
    <s v="延1087"/>
    <n v="3400.75"/>
    <n v="34.301000000000002"/>
    <n v="22.03"/>
    <n v="2.581"/>
    <n v="191.429"/>
    <n v="2.9060000000000001"/>
    <n v="4.21"/>
    <n v="4.1859999999999999"/>
    <n v="635.99400000000003"/>
    <n v="636.18700000000001"/>
    <n v="8.6999999999999994E-2"/>
    <n v="0.1"/>
    <n v="100"/>
    <n v="0.184"/>
    <n v="0.45100000000000001"/>
    <n v="0.48099999999999998"/>
    <n v="0.88900000000000001"/>
    <n v="0.16600000000000001"/>
    <m/>
    <s v="马五41b"/>
    <x v="9"/>
    <n v="10"/>
    <m/>
    <n v="0.66500000000000004"/>
    <n v="-0.26700000000000002"/>
  </r>
  <r>
    <s v="延1087"/>
    <n v="3400.875"/>
    <n v="38.744999999999997"/>
    <n v="22.093"/>
    <n v="2.621"/>
    <n v="194.86099999999999"/>
    <n v="2.8969999999999998"/>
    <n v="5.26"/>
    <n v="4.2249999999999996"/>
    <n v="459.863"/>
    <n v="460.923"/>
    <n v="0.52100000000000002"/>
    <n v="0.1"/>
    <n v="100"/>
    <n v="0.219"/>
    <n v="0.46300000000000002"/>
    <n v="0.52"/>
    <n v="0.86699999999999999"/>
    <n v="0.224"/>
    <m/>
    <s v="马五41b"/>
    <x v="9"/>
    <n v="10"/>
    <m/>
    <n v="0.73899999999999999"/>
    <n v="-0.24400000000000002"/>
  </r>
  <r>
    <s v="延1087"/>
    <n v="3401"/>
    <n v="39.363"/>
    <n v="22.167999999999999"/>
    <n v="2.637"/>
    <n v="191.31899999999999"/>
    <n v="2.8889999999999998"/>
    <n v="6.0609999999999999"/>
    <n v="4.2229999999999999"/>
    <n v="466.67399999999998"/>
    <n v="481.26499999999999"/>
    <n v="0.65200000000000002"/>
    <n v="0.1"/>
    <n v="100"/>
    <n v="0.224"/>
    <n v="0.46200000000000002"/>
    <n v="0.47899999999999998"/>
    <n v="0.84699999999999998"/>
    <n v="0.26800000000000002"/>
    <m/>
    <s v="马五41b"/>
    <x v="9"/>
    <n v="10"/>
    <m/>
    <n v="0.70299999999999996"/>
    <n v="-0.23800000000000002"/>
  </r>
  <r>
    <s v="延1087"/>
    <n v="3401.125"/>
    <n v="35.828000000000003"/>
    <n v="22.218"/>
    <n v="2.6549999999999998"/>
    <n v="178.79300000000001"/>
    <n v="2.8839999999999999"/>
    <n v="6.14"/>
    <n v="4.266"/>
    <n v="556.03800000000001"/>
    <n v="584.03599999999994"/>
    <n v="0.73799999999999999"/>
    <n v="0.1"/>
    <n v="100"/>
    <n v="0.19600000000000001"/>
    <n v="0.47499999999999998"/>
    <n v="0.33700000000000002"/>
    <n v="0.83499999999999996"/>
    <n v="0.27300000000000002"/>
    <m/>
    <s v="马五41b"/>
    <x v="9"/>
    <n v="10"/>
    <m/>
    <n v="0.53300000000000003"/>
    <n v="-0.27899999999999997"/>
  </r>
  <r>
    <s v="延1087"/>
    <n v="3401.25"/>
    <n v="31.71"/>
    <n v="22.231000000000002"/>
    <n v="2.7509999999999999"/>
    <n v="169.06899999999999"/>
    <n v="2.88"/>
    <n v="5.83"/>
    <n v="4.2939999999999996"/>
    <n v="666.83199999999999"/>
    <n v="702.81100000000004"/>
    <n v="0.80900000000000005"/>
    <n v="0.1"/>
    <n v="100"/>
    <n v="0.16300000000000001"/>
    <n v="0.48399999999999999"/>
    <n v="0.22700000000000001"/>
    <n v="0.82499999999999996"/>
    <n v="0.25600000000000001"/>
    <m/>
    <s v="马五41b"/>
    <x v="9"/>
    <n v="10"/>
    <m/>
    <n v="0.39"/>
    <n v="-0.32099999999999995"/>
  </r>
  <r>
    <s v="延1087"/>
    <n v="3401.375"/>
    <n v="30.437999999999999"/>
    <n v="22.247"/>
    <n v="2.8690000000000002"/>
    <n v="167.249"/>
    <n v="2.8740000000000001"/>
    <n v="5.7409999999999997"/>
    <n v="4.2869999999999999"/>
    <n v="722.27"/>
    <n v="754.76499999999999"/>
    <n v="0.95799999999999996"/>
    <n v="0.1"/>
    <n v="100"/>
    <n v="0.153"/>
    <n v="0.48199999999999998"/>
    <n v="0.20599999999999999"/>
    <n v="0.81"/>
    <n v="0.251"/>
    <m/>
    <s v="马五41b"/>
    <x v="9"/>
    <n v="10"/>
    <m/>
    <n v="0.35899999999999999"/>
    <n v="-0.32899999999999996"/>
  </r>
  <r>
    <s v="延1087"/>
    <n v="3401.5"/>
    <n v="33.661000000000001"/>
    <n v="22.294"/>
    <n v="2.9350000000000001"/>
    <n v="171.876"/>
    <n v="2.8639999999999999"/>
    <n v="6.27"/>
    <n v="4.2919999999999998"/>
    <n v="668.476"/>
    <n v="687.76599999999996"/>
    <n v="1.248"/>
    <n v="0.1"/>
    <n v="100"/>
    <n v="0.17899999999999999"/>
    <n v="0.48299999999999998"/>
    <n v="0.25900000000000001"/>
    <n v="0.78600000000000003"/>
    <n v="0.28000000000000003"/>
    <m/>
    <s v="马五41b"/>
    <x v="9"/>
    <n v="10"/>
    <m/>
    <n v="0.438"/>
    <n v="-0.30399999999999999"/>
  </r>
  <r>
    <s v="延1087"/>
    <n v="3401.625"/>
    <n v="40.15"/>
    <n v="22.359000000000002"/>
    <n v="3.0310000000000001"/>
    <n v="174.852"/>
    <n v="2.8490000000000002"/>
    <n v="7.2519999999999998"/>
    <n v="4.3179999999999996"/>
    <n v="533.66800000000001"/>
    <n v="540.18399999999997"/>
    <n v="1.68"/>
    <n v="0.1"/>
    <n v="100"/>
    <n v="0.23"/>
    <n v="0.49099999999999999"/>
    <n v="0.29299999999999998"/>
    <n v="0.749"/>
    <n v="0.33500000000000002"/>
    <m/>
    <s v="马五41b"/>
    <x v="9"/>
    <n v="10"/>
    <m/>
    <n v="0.52300000000000002"/>
    <n v="-0.26100000000000001"/>
  </r>
  <r>
    <s v="延1087"/>
    <n v="3401.75"/>
    <n v="49.024000000000001"/>
    <n v="22.407"/>
    <n v="3.2730000000000001"/>
    <n v="179.96199999999999"/>
    <n v="2.835"/>
    <n v="8.2910000000000004"/>
    <n v="4.1609999999999996"/>
    <n v="390.32600000000002"/>
    <n v="391.54199999999997"/>
    <n v="2.14"/>
    <n v="0.1"/>
    <n v="100"/>
    <n v="0.3"/>
    <n v="0.44400000000000001"/>
    <n v="0.35099999999999998"/>
    <n v="0.71399999999999997"/>
    <n v="0.39300000000000002"/>
    <m/>
    <s v="马五41b"/>
    <x v="9"/>
    <n v="10"/>
    <m/>
    <n v="0.65100000000000002"/>
    <n v="-0.14400000000000002"/>
  </r>
  <r>
    <s v="延971"/>
    <n v="3482.125"/>
    <n v="14.759"/>
    <n v="22.478000000000002"/>
    <n v="0.379"/>
    <n v="171.642"/>
    <n v="2.9510000000000001"/>
    <n v="1.466"/>
    <n v="4.7039999999999997"/>
    <n v="3645.1350000000002"/>
    <n v="4536.8"/>
    <n v="0.01"/>
    <n v="1E-3"/>
    <n v="100"/>
    <n v="2.3E-2"/>
    <n v="0.78700000000000003"/>
    <n v="0.223"/>
    <n v="0.95399999999999996"/>
    <n v="0.01"/>
    <m/>
    <s v="马五41b"/>
    <x v="11"/>
    <n v="5"/>
    <m/>
    <n v="0.246"/>
    <n v="-0.76400000000000001"/>
  </r>
  <r>
    <s v="延971"/>
    <n v="3482.25"/>
    <n v="14.818"/>
    <n v="22.489000000000001"/>
    <n v="0.46500000000000002"/>
    <n v="170.767"/>
    <n v="2.9609999999999999"/>
    <n v="1.5329999999999999"/>
    <n v="4.42"/>
    <n v="4194.4350000000004"/>
    <n v="5249.0959999999995"/>
    <n v="0.01"/>
    <n v="1E-3"/>
    <n v="100"/>
    <n v="2.4E-2"/>
    <n v="0.66900000000000004"/>
    <n v="0.214"/>
    <n v="0.97699999999999998"/>
    <n v="1.4E-2"/>
    <m/>
    <s v="马五41b"/>
    <x v="11"/>
    <n v="5"/>
    <m/>
    <n v="0.23799999999999999"/>
    <n v="-0.64500000000000002"/>
  </r>
  <r>
    <s v="延971"/>
    <n v="3482.375"/>
    <n v="14.412000000000001"/>
    <n v="22.488"/>
    <n v="0.48899999999999999"/>
    <n v="169.28100000000001"/>
    <n v="2.9670000000000001"/>
    <n v="1.6359999999999999"/>
    <n v="4.1719999999999997"/>
    <n v="4753.8779999999997"/>
    <n v="5980.2110000000002"/>
    <n v="0.01"/>
    <n v="1E-3"/>
    <n v="100"/>
    <n v="2.1000000000000001E-2"/>
    <n v="0.56000000000000005"/>
    <n v="0.19600000000000001"/>
    <n v="0.99299999999999999"/>
    <n v="0.02"/>
    <m/>
    <s v="马五41b"/>
    <x v="11"/>
    <n v="5"/>
    <m/>
    <n v="0.217"/>
    <n v="-0.53900000000000003"/>
  </r>
  <r>
    <s v="延971"/>
    <n v="3482.5"/>
    <n v="13.539"/>
    <n v="22.472000000000001"/>
    <n v="0.44900000000000001"/>
    <n v="167.74"/>
    <n v="2.9689999999999999"/>
    <n v="1.8029999999999999"/>
    <n v="3.9929999999999999"/>
    <n v="5066.16"/>
    <n v="6384.0420000000004"/>
    <n v="0.01"/>
    <n v="1E-3"/>
    <n v="100"/>
    <n v="1.4999999999999999E-2"/>
    <n v="0.47699999999999998"/>
    <n v="0.17599999999999999"/>
    <n v="0.999"/>
    <n v="0.03"/>
    <m/>
    <s v="马五41b"/>
    <x v="11"/>
    <n v="5"/>
    <m/>
    <n v="0.191"/>
    <n v="-0.46199999999999997"/>
  </r>
  <r>
    <s v="延971"/>
    <n v="3482.625"/>
    <n v="13.095000000000001"/>
    <n v="22.443000000000001"/>
    <n v="0.42599999999999999"/>
    <n v="167.024"/>
    <n v="2.964"/>
    <n v="2.0499999999999998"/>
    <n v="3.8929999999999998"/>
    <n v="5294.2179999999998"/>
    <n v="6693.4449999999997"/>
    <n v="0.01"/>
    <n v="1E-3"/>
    <n v="100"/>
    <n v="1.0999999999999999E-2"/>
    <n v="0.42799999999999999"/>
    <n v="0.16500000000000001"/>
    <n v="0.99099999999999999"/>
    <n v="4.4999999999999998E-2"/>
    <m/>
    <s v="马五41b"/>
    <x v="11"/>
    <n v="5"/>
    <m/>
    <n v="0.17600000000000002"/>
    <n v="-0.41699999999999998"/>
  </r>
  <r>
    <s v="延971"/>
    <n v="3482.75"/>
    <n v="13.493"/>
    <n v="22.411000000000001"/>
    <n v="0.53500000000000003"/>
    <n v="167.90299999999999"/>
    <n v="2.9529999999999998"/>
    <n v="2.3559999999999999"/>
    <n v="3.8690000000000002"/>
    <n v="5171.5640000000003"/>
    <n v="6556.3329999999996"/>
    <n v="0.01"/>
    <n v="1E-3"/>
    <n v="100"/>
    <n v="1.2999999999999999E-2"/>
    <n v="0.41099999999999998"/>
    <n v="0.17199999999999999"/>
    <n v="0.96899999999999997"/>
    <n v="6.4000000000000001E-2"/>
    <m/>
    <s v="马五41b"/>
    <x v="11"/>
    <n v="5"/>
    <m/>
    <n v="0.185"/>
    <n v="-0.39799999999999996"/>
  </r>
  <r>
    <s v="延971"/>
    <n v="3482.875"/>
    <n v="15.2"/>
    <n v="22.393000000000001"/>
    <n v="0.71699999999999997"/>
    <n v="170.07900000000001"/>
    <n v="2.9409999999999998"/>
    <n v="2.6589999999999998"/>
    <n v="3.944"/>
    <n v="4063.6469999999999"/>
    <n v="5127.0839999999998"/>
    <n v="0.01"/>
    <n v="1E-3"/>
    <n v="100"/>
    <n v="2.4E-2"/>
    <n v="0.435"/>
    <n v="0.19700000000000001"/>
    <n v="0.94199999999999995"/>
    <n v="8.4000000000000005E-2"/>
    <m/>
    <s v="马五41b"/>
    <x v="11"/>
    <n v="5"/>
    <m/>
    <n v="0.221"/>
    <n v="-0.41099999999999998"/>
  </r>
  <r>
    <s v="延971"/>
    <n v="3483"/>
    <n v="19.768999999999998"/>
    <n v="22.401"/>
    <n v="0.86499999999999999"/>
    <n v="172.76499999999999"/>
    <n v="2.9329999999999998"/>
    <n v="2.8879999999999999"/>
    <n v="4.0129999999999999"/>
    <n v="2430.5740000000001"/>
    <n v="3024.4639999999999"/>
    <n v="0.01"/>
    <n v="1E-3"/>
    <n v="100"/>
    <n v="5.5E-2"/>
    <n v="0.46500000000000002"/>
    <n v="0.23"/>
    <n v="0.92200000000000004"/>
    <n v="0.1"/>
    <m/>
    <s v="马五41b"/>
    <x v="11"/>
    <n v="5"/>
    <m/>
    <n v="0.28500000000000003"/>
    <n v="-0.41000000000000003"/>
  </r>
  <r>
    <s v="延971"/>
    <n v="3483.125"/>
    <n v="27.414999999999999"/>
    <n v="22.44"/>
    <n v="0.92300000000000004"/>
    <n v="174.85599999999999"/>
    <n v="2.9329999999999998"/>
    <n v="3.0169999999999999"/>
    <n v="4.0540000000000003"/>
    <n v="1399.558"/>
    <n v="1706.89"/>
    <n v="0.01"/>
    <n v="1E-3"/>
    <n v="100"/>
    <n v="0.11"/>
    <n v="0.48499999999999999"/>
    <n v="0.25900000000000001"/>
    <n v="0.91800000000000004"/>
    <n v="0.109"/>
    <m/>
    <s v="马五41b"/>
    <x v="11"/>
    <n v="5"/>
    <m/>
    <n v="0.36899999999999999"/>
    <n v="-0.375"/>
  </r>
  <r>
    <s v="延971"/>
    <n v="3483.25"/>
    <n v="35.674999999999997"/>
    <n v="22.495999999999999"/>
    <n v="0.86099999999999999"/>
    <n v="175.43100000000001"/>
    <n v="2.9420000000000002"/>
    <n v="3.081"/>
    <n v="4.0830000000000002"/>
    <n v="1021.479"/>
    <n v="1225.627"/>
    <n v="0.01"/>
    <n v="1E-3"/>
    <n v="100"/>
    <n v="0.17299999999999999"/>
    <n v="0.498"/>
    <n v="0.27100000000000002"/>
    <n v="0.93500000000000005"/>
    <n v="0.114"/>
    <m/>
    <s v="马五41b"/>
    <x v="11"/>
    <n v="5"/>
    <m/>
    <n v="0.44400000000000001"/>
    <n v="-0.32500000000000001"/>
  </r>
  <r>
    <s v="延971"/>
    <n v="3483.375"/>
    <n v="38.957000000000001"/>
    <n v="22.55"/>
    <n v="0.74099999999999999"/>
    <n v="174.625"/>
    <n v="2.9529999999999998"/>
    <n v="3.1520000000000001"/>
    <n v="4.0570000000000004"/>
    <n v="991.18799999999999"/>
    <n v="1180.098"/>
    <n v="0.01"/>
    <n v="1E-3"/>
    <n v="100"/>
    <n v="0.20699999999999999"/>
    <n v="0.49199999999999999"/>
    <n v="0.26400000000000001"/>
    <n v="0.95899999999999996"/>
    <n v="0.11899999999999999"/>
    <m/>
    <s v="马五41b"/>
    <x v="11"/>
    <n v="5"/>
    <m/>
    <n v="0.47099999999999997"/>
    <n v="-0.28500000000000003"/>
  </r>
  <r>
    <s v="延971"/>
    <n v="3483.5"/>
    <n v="35.04"/>
    <n v="22.581"/>
    <n v="0.629"/>
    <n v="172.97300000000001"/>
    <n v="2.96"/>
    <n v="3.2869999999999999"/>
    <n v="3.9780000000000002"/>
    <n v="1166.204"/>
    <n v="1384.5260000000001"/>
    <n v="0.01"/>
    <n v="1E-3"/>
    <n v="100"/>
    <n v="0.187"/>
    <n v="0.46200000000000002"/>
    <n v="0.24399999999999999"/>
    <n v="0.97599999999999998"/>
    <n v="0.127"/>
    <m/>
    <s v="马五41b"/>
    <x v="11"/>
    <n v="5"/>
    <m/>
    <n v="0.43099999999999999"/>
    <n v="-0.27500000000000002"/>
  </r>
  <r>
    <s v="延971"/>
    <n v="3483.625"/>
    <n v="27.28"/>
    <n v="22.579000000000001"/>
    <n v="0.59699999999999998"/>
    <n v="171.101"/>
    <n v="2.9569999999999999"/>
    <n v="3.4969999999999999"/>
    <n v="3.8679999999999999"/>
    <n v="1544.047"/>
    <n v="1826.2090000000001"/>
    <n v="0.01"/>
    <n v="1E-3"/>
    <n v="100"/>
    <n v="0.13300000000000001"/>
    <n v="0.41799999999999998"/>
    <n v="0.221"/>
    <n v="0.97399999999999998"/>
    <n v="0.14000000000000001"/>
    <m/>
    <s v="马五41b"/>
    <x v="11"/>
    <n v="5"/>
    <m/>
    <n v="0.35399999999999998"/>
    <n v="-0.28499999999999998"/>
  </r>
  <r>
    <s v="延971"/>
    <n v="3483.75"/>
    <n v="22.68"/>
    <n v="22.55"/>
    <n v="0.65400000000000003"/>
    <n v="169.309"/>
    <n v="2.9430000000000001"/>
    <n v="3.762"/>
    <n v="3.7320000000000002"/>
    <n v="2049.5279999999998"/>
    <n v="2412.8510000000001"/>
    <n v="0.01"/>
    <n v="1E-3"/>
    <n v="100"/>
    <n v="9.1999999999999998E-2"/>
    <n v="0.36199999999999999"/>
    <n v="0.19700000000000001"/>
    <n v="0.94699999999999995"/>
    <n v="0.156"/>
    <m/>
    <s v="马五41b"/>
    <x v="11"/>
    <n v="5"/>
    <m/>
    <n v="0.28900000000000003"/>
    <n v="-0.27"/>
  </r>
  <r>
    <s v="延971"/>
    <n v="3483.875"/>
    <n v="23.013999999999999"/>
    <n v="22.504000000000001"/>
    <n v="0.72"/>
    <n v="167.57400000000001"/>
    <n v="2.9209999999999998"/>
    <n v="4.0549999999999997"/>
    <n v="3.62"/>
    <n v="2424.299"/>
    <n v="2856.4110000000001"/>
    <n v="0.01"/>
    <n v="1E-3"/>
    <n v="100"/>
    <n v="8.6999999999999994E-2"/>
    <n v="0.312"/>
    <n v="0.17499999999999999"/>
    <n v="0.90100000000000002"/>
    <n v="0.17499999999999999"/>
    <m/>
    <s v="马五41b"/>
    <x v="11"/>
    <n v="5"/>
    <m/>
    <n v="0.26200000000000001"/>
    <n v="-0.22500000000000001"/>
  </r>
  <r>
    <s v="延971"/>
    <n v="3484"/>
    <n v="24.873999999999999"/>
    <n v="22.452000000000002"/>
    <n v="0.79200000000000004"/>
    <n v="166.036"/>
    <n v="2.895"/>
    <n v="4.3559999999999999"/>
    <n v="3.5270000000000001"/>
    <n v="2202.8090000000002"/>
    <n v="2604.0189999999998"/>
    <n v="0.01"/>
    <n v="1E-3"/>
    <n v="100"/>
    <n v="9.9000000000000005E-2"/>
    <n v="0.27100000000000002"/>
    <n v="0.154"/>
    <n v="0.84399999999999997"/>
    <n v="0.19400000000000001"/>
    <m/>
    <s v="马五41b"/>
    <x v="11"/>
    <n v="5"/>
    <m/>
    <n v="0.253"/>
    <n v="-0.17200000000000001"/>
  </r>
  <r>
    <s v="延971"/>
    <n v="3484.125"/>
    <n v="26.437999999999999"/>
    <n v="22.402000000000001"/>
    <n v="0.97399999999999998"/>
    <n v="165.304"/>
    <n v="2.8690000000000002"/>
    <n v="4.6420000000000003"/>
    <n v="3.58"/>
    <n v="1711.8920000000001"/>
    <n v="2028.068"/>
    <n v="0.01"/>
    <n v="1E-3"/>
    <n v="100"/>
    <n v="0.112"/>
    <n v="0.28100000000000003"/>
    <n v="0.14199999999999999"/>
    <n v="0.78400000000000003"/>
    <n v="0.21299999999999999"/>
    <m/>
    <s v="马五41b"/>
    <x v="11"/>
    <n v="5"/>
    <m/>
    <n v="0.254"/>
    <n v="-0.16900000000000004"/>
  </r>
  <r>
    <s v="延971"/>
    <n v="3484.25"/>
    <n v="28.347000000000001"/>
    <n v="22.361999999999998"/>
    <n v="1.3640000000000001"/>
    <n v="166.33600000000001"/>
    <n v="2.847"/>
    <n v="4.8810000000000002"/>
    <n v="3.694"/>
    <n v="1252.0309999999999"/>
    <n v="1477.7639999999999"/>
    <n v="0.01"/>
    <n v="1E-3"/>
    <n v="100"/>
    <n v="0.126"/>
    <n v="0.32400000000000001"/>
    <n v="0.151"/>
    <n v="0.73299999999999998"/>
    <n v="0.22900000000000001"/>
    <m/>
    <s v="马五41b"/>
    <x v="11"/>
    <n v="5"/>
    <m/>
    <n v="0.27700000000000002"/>
    <n v="-0.19800000000000001"/>
  </r>
  <r>
    <s v="延971"/>
    <n v="3484.375"/>
    <n v="33.228000000000002"/>
    <n v="22.344000000000001"/>
    <n v="1.855"/>
    <n v="169.33699999999999"/>
    <n v="2.8319999999999999"/>
    <n v="5.0270000000000001"/>
    <n v="3.8679999999999999"/>
    <n v="912.53200000000004"/>
    <n v="1070.778"/>
    <n v="0.01"/>
    <n v="1E-3"/>
    <n v="100"/>
    <n v="0.16"/>
    <n v="0.39400000000000002"/>
    <n v="0.185"/>
    <n v="0.69499999999999995"/>
    <n v="0.24"/>
    <m/>
    <s v="马五41b"/>
    <x v="11"/>
    <n v="5"/>
    <m/>
    <n v="0.34499999999999997"/>
    <n v="-0.23400000000000001"/>
  </r>
  <r>
    <s v="延971"/>
    <n v="3485"/>
    <n v="67.123999999999995"/>
    <n v="22.712"/>
    <n v="2.2410000000000001"/>
    <n v="178.941"/>
    <n v="2.8490000000000002"/>
    <n v="4.8879999999999999"/>
    <n v="4.4359999999999999"/>
    <n v="473.51600000000002"/>
    <n v="545.93799999999999"/>
    <n v="0.01"/>
    <n v="1E-3"/>
    <n v="100"/>
    <n v="0.437"/>
    <n v="0.65900000000000003"/>
    <n v="0.32400000000000001"/>
    <n v="0.72799999999999998"/>
    <n v="0.23200000000000001"/>
    <m/>
    <s v="马五41b"/>
    <x v="11"/>
    <n v="7"/>
    <m/>
    <n v="0.76100000000000001"/>
    <n v="-0.22200000000000003"/>
  </r>
  <r>
    <s v="延971"/>
    <n v="3485.125"/>
    <n v="57.819000000000003"/>
    <n v="22.744"/>
    <n v="2.0950000000000002"/>
    <n v="175.61600000000001"/>
    <n v="2.839"/>
    <n v="4.9960000000000004"/>
    <n v="4.2190000000000003"/>
    <n v="530.52300000000002"/>
    <n v="612.78599999999994"/>
    <n v="0.01"/>
    <n v="1E-3"/>
    <n v="100"/>
    <n v="0.373"/>
    <n v="0.57699999999999996"/>
    <n v="0.28299999999999997"/>
    <n v="0.70899999999999996"/>
    <n v="0.23799999999999999"/>
    <m/>
    <s v="马五41b"/>
    <x v="11"/>
    <n v="7"/>
    <m/>
    <n v="0.65599999999999992"/>
    <n v="-0.20399999999999996"/>
  </r>
  <r>
    <s v="延971"/>
    <n v="3485.25"/>
    <n v="49.564999999999998"/>
    <n v="22.72"/>
    <n v="1.976"/>
    <n v="173.09800000000001"/>
    <n v="2.8279999999999998"/>
    <n v="5.0339999999999998"/>
    <n v="3.9609999999999999"/>
    <n v="572.60699999999997"/>
    <n v="663.65099999999995"/>
    <n v="0.01"/>
    <n v="1E-3"/>
    <n v="100"/>
    <n v="0.307"/>
    <n v="0.47"/>
    <n v="0.248"/>
    <n v="0.68500000000000005"/>
    <n v="0.24199999999999999"/>
    <m/>
    <s v="马五41b"/>
    <x v="11"/>
    <n v="7"/>
    <m/>
    <n v="0.55499999999999994"/>
    <n v="-0.16299999999999998"/>
  </r>
  <r>
    <s v="延971"/>
    <n v="3485.375"/>
    <n v="48.843000000000004"/>
    <n v="22.658999999999999"/>
    <n v="1.8879999999999999"/>
    <n v="172.23500000000001"/>
    <n v="2.8210000000000002"/>
    <n v="4.91"/>
    <n v="3.819"/>
    <n v="594.16300000000001"/>
    <n v="691.55200000000002"/>
    <n v="0.01"/>
    <n v="1E-3"/>
    <n v="100"/>
    <n v="0.28999999999999998"/>
    <n v="0.4"/>
    <n v="0.23300000000000001"/>
    <n v="0.66700000000000004"/>
    <n v="0.23599999999999999"/>
    <m/>
    <s v="马五41b"/>
    <x v="11"/>
    <n v="7"/>
    <m/>
    <n v="0.52300000000000002"/>
    <n v="-0.11000000000000004"/>
  </r>
  <r>
    <s v="延971"/>
    <n v="3485.5"/>
    <n v="55.677999999999997"/>
    <n v="22.594000000000001"/>
    <n v="1.8180000000000001"/>
    <n v="172.911"/>
    <n v="2.8250000000000002"/>
    <n v="4.3369999999999997"/>
    <n v="3.738"/>
    <n v="572.00900000000001"/>
    <n v="667.78700000000003"/>
    <n v="0.01"/>
    <n v="1E-3"/>
    <n v="100"/>
    <n v="0.33100000000000002"/>
    <n v="0.36"/>
    <n v="0.23799999999999999"/>
    <n v="0.67100000000000004"/>
    <n v="0.20399999999999999"/>
    <m/>
    <s v="马五41b"/>
    <x v="11"/>
    <n v="7"/>
    <m/>
    <n v="0.56899999999999995"/>
    <n v="-2.899999999999997E-2"/>
  </r>
  <r>
    <s v="延971"/>
    <n v="3485.75"/>
    <n v="65.317999999999998"/>
    <n v="22.548999999999999"/>
    <n v="1.6910000000000001"/>
    <n v="175.90100000000001"/>
    <n v="2.851"/>
    <n v="4.0960000000000001"/>
    <n v="3.9860000000000002"/>
    <n v="475.2"/>
    <n v="553.18600000000004"/>
    <n v="0.01"/>
    <n v="1E-3"/>
    <n v="100"/>
    <n v="0.41499999999999998"/>
    <n v="0.442"/>
    <n v="0.27400000000000002"/>
    <n v="0.72499999999999998"/>
    <n v="0.182"/>
    <m/>
    <s v="马五41b"/>
    <x v="11"/>
    <n v="7"/>
    <m/>
    <n v="0.68900000000000006"/>
    <n v="-2.7000000000000024E-2"/>
  </r>
  <r>
    <s v="延971"/>
    <n v="3485.875"/>
    <n v="58.768999999999998"/>
    <n v="22.571000000000002"/>
    <n v="1.637"/>
    <n v="176.76900000000001"/>
    <n v="2.86"/>
    <n v="4.0960000000000001"/>
    <n v="4.1589999999999998"/>
    <n v="469.68200000000002"/>
    <n v="545.89400000000001"/>
    <n v="0.01"/>
    <n v="1E-3"/>
    <n v="100"/>
    <n v="0.376"/>
    <n v="0.51800000000000002"/>
    <n v="0.28699999999999998"/>
    <n v="0.748"/>
    <n v="0.18099999999999999"/>
    <m/>
    <s v="马五41b"/>
    <x v="11"/>
    <n v="7"/>
    <m/>
    <n v="0.66300000000000003"/>
    <n v="-0.14200000000000002"/>
  </r>
  <r>
    <s v="延971"/>
    <n v="3486"/>
    <n v="50.314"/>
    <n v="22.603000000000002"/>
    <n v="1.5760000000000001"/>
    <n v="176.69200000000001"/>
    <n v="2.86"/>
    <n v="4.0960000000000001"/>
    <n v="4.2569999999999997"/>
    <n v="510.18099999999998"/>
    <n v="591.54499999999996"/>
    <n v="0.01"/>
    <n v="1E-3"/>
    <n v="100"/>
    <n v="0.313"/>
    <n v="0.56599999999999995"/>
    <n v="0.28899999999999998"/>
    <n v="0.752"/>
    <n v="0.18099999999999999"/>
    <m/>
    <s v="马五41b"/>
    <x v="11"/>
    <n v="7"/>
    <m/>
    <n v="0.60199999999999998"/>
    <n v="-0.25299999999999995"/>
  </r>
  <r>
    <s v="延971"/>
    <n v="3486.125"/>
    <n v="45.198"/>
    <n v="22.628"/>
    <n v="1.5"/>
    <n v="175.40299999999999"/>
    <n v="2.8530000000000002"/>
    <n v="4.1769999999999996"/>
    <n v="4.2629999999999999"/>
    <n v="574.447"/>
    <n v="666.46799999999996"/>
    <n v="0.01"/>
    <n v="1E-3"/>
    <n v="100"/>
    <n v="0.26800000000000002"/>
    <n v="0.57699999999999996"/>
    <n v="0.27500000000000002"/>
    <n v="0.74"/>
    <n v="0.185"/>
    <m/>
    <s v="马五41b"/>
    <x v="11"/>
    <n v="7"/>
    <m/>
    <n v="0.54300000000000004"/>
    <n v="-0.30899999999999994"/>
  </r>
  <r>
    <s v="延971"/>
    <n v="3486.25"/>
    <n v="44.637"/>
    <n v="22.631"/>
    <n v="1.4339999999999999"/>
    <n v="173.16399999999999"/>
    <n v="2.84"/>
    <n v="4.4180000000000001"/>
    <n v="4.1230000000000002"/>
    <n v="609.85"/>
    <n v="709.53099999999995"/>
    <n v="0.01"/>
    <n v="1E-3"/>
    <n v="100"/>
    <n v="0.25700000000000001"/>
    <n v="0.52900000000000003"/>
    <n v="0.248"/>
    <n v="0.71299999999999997"/>
    <n v="0.19900000000000001"/>
    <m/>
    <s v="马五41b"/>
    <x v="11"/>
    <n v="7"/>
    <m/>
    <n v="0.505"/>
    <n v="-0.27200000000000002"/>
  </r>
  <r>
    <s v="延971"/>
    <n v="3486.375"/>
    <n v="43.862000000000002"/>
    <n v="22.609000000000002"/>
    <n v="1.395"/>
    <n v="171.149"/>
    <n v="2.8180000000000001"/>
    <n v="4.9000000000000004"/>
    <n v="3.8530000000000002"/>
    <n v="599.33199999999999"/>
    <n v="699.11900000000003"/>
    <n v="0.01"/>
    <n v="1E-3"/>
    <n v="100"/>
    <n v="0.251"/>
    <n v="0.42499999999999999"/>
    <n v="0.222"/>
    <n v="0.66700000000000004"/>
    <n v="0.22700000000000001"/>
    <m/>
    <s v="马五41b"/>
    <x v="11"/>
    <n v="7"/>
    <m/>
    <n v="0.47299999999999998"/>
    <n v="-0.17399999999999999"/>
  </r>
  <r>
    <s v="横3"/>
    <n v="3241.625"/>
    <n v="91.307000000000002"/>
    <n v="24.016999999999999"/>
    <n v="3.625"/>
    <n v="173.715"/>
    <n v="2.7130000000000001"/>
    <n v="10.651999999999999"/>
    <n v="3.609"/>
    <n v="120.678"/>
    <n v="152.92699999999999"/>
    <n v="0"/>
    <n v="0"/>
    <n v="100"/>
    <n v="0.41599999999999998"/>
    <n v="0.72099999999999997"/>
    <n v="0.29699999999999999"/>
    <n v="0.67800000000000005"/>
    <n v="0.72199999999999998"/>
    <m/>
    <s v="马五41a"/>
    <x v="11"/>
    <n v="1"/>
    <m/>
    <n v="0.71299999999999997"/>
    <n v="-0.30499999999999999"/>
  </r>
  <r>
    <s v="横3"/>
    <n v="3241.75"/>
    <n v="55.015999999999998"/>
    <n v="23.712"/>
    <n v="2.8420000000000001"/>
    <n v="167.12100000000001"/>
    <n v="2.7120000000000002"/>
    <n v="10.492000000000001"/>
    <n v="3.58"/>
    <n v="204.71"/>
    <n v="251.768"/>
    <n v="0.98099999999999998"/>
    <n v="0.05"/>
    <n v="100"/>
    <n v="0.20799999999999999"/>
    <n v="0.68899999999999995"/>
    <n v="0.19700000000000001"/>
    <n v="0.67600000000000005"/>
    <n v="0.69899999999999995"/>
    <m/>
    <s v="马五41a"/>
    <x v="11"/>
    <n v="1"/>
    <m/>
    <n v="0.40500000000000003"/>
    <n v="-0.48099999999999998"/>
  </r>
  <r>
    <s v="横3"/>
    <n v="3241.875"/>
    <n v="36.372999999999998"/>
    <n v="23.376999999999999"/>
    <n v="2.12"/>
    <n v="162.77699999999999"/>
    <n v="2.7130000000000001"/>
    <n v="10.398999999999999"/>
    <n v="3.5390000000000001"/>
    <n v="246.68299999999999"/>
    <n v="295.94400000000002"/>
    <n v="2.3620000000000001"/>
    <n v="0.1"/>
    <n v="100"/>
    <n v="0.10199999999999999"/>
    <n v="0.64500000000000002"/>
    <n v="0.13300000000000001"/>
    <n v="0.68"/>
    <n v="0.68600000000000005"/>
    <s v="含气层"/>
    <s v="马五41a"/>
    <x v="11"/>
    <n v="1"/>
    <m/>
    <n v="0.23499999999999999"/>
    <n v="-0.54300000000000004"/>
  </r>
  <r>
    <s v="横3"/>
    <n v="3242"/>
    <n v="27.094999999999999"/>
    <n v="23.178999999999998"/>
    <n v="1.7210000000000001"/>
    <n v="160.495"/>
    <n v="2.7160000000000002"/>
    <n v="10.384"/>
    <n v="3.4929999999999999"/>
    <n v="254.684"/>
    <n v="303.63600000000002"/>
    <n v="2.7829999999999999"/>
    <n v="0.1"/>
    <n v="100"/>
    <n v="4.9000000000000002E-2"/>
    <n v="0.59799999999999998"/>
    <n v="0.10100000000000001"/>
    <n v="0.69"/>
    <n v="0.68500000000000005"/>
    <s v="含气层"/>
    <s v="马五41a"/>
    <x v="11"/>
    <n v="1"/>
    <m/>
    <n v="0.15000000000000002"/>
    <n v="-0.54899999999999993"/>
  </r>
  <r>
    <s v="横3"/>
    <n v="3242.125"/>
    <n v="22.623000000000001"/>
    <n v="23.122"/>
    <n v="1.3169999999999999"/>
    <n v="159.857"/>
    <n v="2.72"/>
    <n v="10.43"/>
    <n v="3.4470000000000001"/>
    <n v="247.96199999999999"/>
    <n v="292.33600000000001"/>
    <n v="2.923"/>
    <n v="0.1"/>
    <n v="100"/>
    <n v="2.1999999999999999E-2"/>
    <n v="0.55100000000000005"/>
    <n v="9.2999999999999999E-2"/>
    <n v="0.70299999999999996"/>
    <n v="0.69199999999999995"/>
    <s v="含气层"/>
    <s v="马五41a"/>
    <x v="11"/>
    <n v="1"/>
    <m/>
    <n v="0.11499999999999999"/>
    <n v="-0.52900000000000003"/>
  </r>
  <r>
    <s v="横3"/>
    <n v="3242.25"/>
    <n v="19.602"/>
    <n v="23.164000000000001"/>
    <n v="0.96899999999999997"/>
    <n v="160.01400000000001"/>
    <n v="2.726"/>
    <n v="10.442"/>
    <n v="3.411"/>
    <n v="226.87200000000001"/>
    <n v="263.71899999999999"/>
    <n v="2.956"/>
    <n v="0.1"/>
    <n v="100"/>
    <n v="6.0000000000000001E-3"/>
    <n v="0.51700000000000002"/>
    <n v="9.6000000000000002E-2"/>
    <n v="0.72"/>
    <n v="0.69199999999999995"/>
    <s v="含气层"/>
    <s v="马五41a"/>
    <x v="11"/>
    <n v="1"/>
    <m/>
    <n v="0.10200000000000001"/>
    <n v="-0.51100000000000001"/>
  </r>
  <r>
    <s v="横3"/>
    <n v="3242.375"/>
    <n v="18.631"/>
    <n v="23.306999999999999"/>
    <n v="0.93100000000000005"/>
    <n v="160.517"/>
    <n v="2.73"/>
    <n v="10.385"/>
    <n v="3.3940000000000001"/>
    <n v="200.18799999999999"/>
    <n v="230.01"/>
    <n v="2.8959999999999999"/>
    <n v="0.1"/>
    <n v="100"/>
    <n v="0"/>
    <n v="0.504"/>
    <n v="0.104"/>
    <n v="0.72899999999999998"/>
    <n v="0.68200000000000005"/>
    <s v="含气层"/>
    <s v="马五41a"/>
    <x v="11"/>
    <n v="1"/>
    <m/>
    <n v="0.104"/>
    <n v="-0.504"/>
  </r>
  <r>
    <s v="横3"/>
    <n v="3242.5"/>
    <n v="18.552"/>
    <n v="23.488"/>
    <n v="1.05"/>
    <n v="160.88800000000001"/>
    <n v="2.7269999999999999"/>
    <n v="10.291"/>
    <n v="3.4039999999999999"/>
    <n v="173.262"/>
    <n v="197.88900000000001"/>
    <n v="2.9180000000000001"/>
    <n v="0.1"/>
    <n v="100"/>
    <n v="2E-3"/>
    <n v="0.52"/>
    <n v="0.108"/>
    <n v="0.71299999999999997"/>
    <n v="0.66700000000000004"/>
    <s v="含气层"/>
    <s v="马五41a"/>
    <x v="11"/>
    <n v="1"/>
    <m/>
    <n v="0.11"/>
    <n v="-0.51800000000000002"/>
  </r>
  <r>
    <s v="横3"/>
    <n v="3242.625"/>
    <n v="20.585999999999999"/>
    <n v="23.533999999999999"/>
    <n v="1.1539999999999999"/>
    <n v="160.53899999999999"/>
    <n v="2.7109999999999999"/>
    <n v="10.199999999999999"/>
    <n v="3.4470000000000001"/>
    <n v="153.02199999999999"/>
    <n v="173.25800000000001"/>
    <n v="3.0920000000000001"/>
    <n v="0.1"/>
    <n v="100"/>
    <n v="1.4E-2"/>
    <n v="0.56799999999999995"/>
    <n v="0.10100000000000001"/>
    <n v="0.66300000000000003"/>
    <n v="0.65300000000000002"/>
    <s v="含气层"/>
    <s v="马五41a"/>
    <x v="11"/>
    <n v="1"/>
    <m/>
    <n v="0.115"/>
    <n v="-0.55399999999999994"/>
  </r>
  <r>
    <s v="横3"/>
    <n v="3242.75"/>
    <n v="22.379000000000001"/>
    <n v="23.425000000000001"/>
    <n v="1.2470000000000001"/>
    <n v="159.49299999999999"/>
    <n v="2.69"/>
    <n v="10.098000000000001"/>
    <n v="3.5129999999999999"/>
    <n v="139.78700000000001"/>
    <n v="157.36500000000001"/>
    <n v="3.3929999999999998"/>
    <n v="0.1"/>
    <n v="100"/>
    <n v="2.4E-2"/>
    <n v="0.63800000000000001"/>
    <n v="8.4000000000000005E-2"/>
    <n v="0.59899999999999998"/>
    <n v="0.63800000000000001"/>
    <s v="含气层"/>
    <s v="马五41a"/>
    <x v="11"/>
    <n v="1"/>
    <m/>
    <n v="0.10800000000000001"/>
    <n v="-0.61399999999999999"/>
  </r>
  <r>
    <s v="横3"/>
    <n v="3242.875"/>
    <n v="22.46"/>
    <n v="23.283000000000001"/>
    <n v="1.2969999999999999"/>
    <n v="158.25800000000001"/>
    <n v="2.669"/>
    <n v="10.047000000000001"/>
    <n v="3.5870000000000002"/>
    <n v="130.34399999999999"/>
    <n v="145.73699999999999"/>
    <n v="3.8170000000000002"/>
    <n v="0.1"/>
    <n v="100"/>
    <n v="2.5000000000000001E-2"/>
    <n v="0.71399999999999997"/>
    <n v="6.6000000000000003E-2"/>
    <n v="0.53700000000000003"/>
    <n v="0.63300000000000001"/>
    <s v="含气层"/>
    <s v="马五41a"/>
    <x v="11"/>
    <n v="1"/>
    <m/>
    <n v="9.0999999999999998E-2"/>
    <n v="-0.68899999999999995"/>
  </r>
  <r>
    <s v="横3"/>
    <n v="3243"/>
    <n v="22.698"/>
    <n v="23.206"/>
    <n v="1.24"/>
    <n v="157.75800000000001"/>
    <n v="2.6520000000000001"/>
    <n v="10.116"/>
    <n v="3.65"/>
    <n v="122.899"/>
    <n v="135.399"/>
    <n v="4.234"/>
    <n v="0.1"/>
    <n v="100"/>
    <n v="2.5999999999999999E-2"/>
    <n v="0.77500000000000002"/>
    <n v="6.2E-2"/>
    <n v="0.48899999999999999"/>
    <n v="0.64700000000000002"/>
    <s v="含气层"/>
    <s v="马五41a"/>
    <x v="11"/>
    <n v="1"/>
    <m/>
    <n v="8.7999999999999995E-2"/>
    <n v="-0.749"/>
  </r>
  <r>
    <s v="横3"/>
    <n v="3243.125"/>
    <n v="23.137"/>
    <n v="23.228999999999999"/>
    <n v="1.3280000000000001"/>
    <n v="159.047"/>
    <n v="2.641"/>
    <n v="10.302"/>
    <n v="3.6859999999999999"/>
    <n v="117.92700000000001"/>
    <n v="127.694"/>
    <n v="4.53"/>
    <n v="0.1"/>
    <n v="100"/>
    <n v="0.03"/>
    <n v="0.80700000000000005"/>
    <n v="8.5999999999999993E-2"/>
    <n v="0.46"/>
    <n v="0.67500000000000004"/>
    <s v="含气层"/>
    <s v="马五41a"/>
    <x v="11"/>
    <n v="1"/>
    <m/>
    <n v="0.11599999999999999"/>
    <n v="-0.77700000000000002"/>
  </r>
  <r>
    <s v="横3"/>
    <n v="3243.25"/>
    <n v="24.341999999999999"/>
    <n v="23.286000000000001"/>
    <n v="1.5229999999999999"/>
    <n v="161.625"/>
    <n v="2.6389999999999998"/>
    <n v="10.459"/>
    <n v="3.6920000000000002"/>
    <n v="113.693"/>
    <n v="121.614"/>
    <n v="4.6020000000000003"/>
    <n v="0.1"/>
    <n v="100"/>
    <n v="3.5999999999999997E-2"/>
    <n v="0.80900000000000005"/>
    <n v="0.128"/>
    <n v="0.45700000000000002"/>
    <n v="0.69799999999999995"/>
    <s v="含气层"/>
    <s v="马五41a"/>
    <x v="11"/>
    <n v="1"/>
    <m/>
    <n v="0.16400000000000001"/>
    <n v="-0.77300000000000002"/>
  </r>
  <r>
    <s v="横3"/>
    <n v="3243.375"/>
    <n v="24.024999999999999"/>
    <n v="23.335999999999999"/>
    <n v="1.645"/>
    <n v="164.36699999999999"/>
    <n v="2.6440000000000001"/>
    <n v="10.53"/>
    <n v="3.6720000000000002"/>
    <n v="110.437"/>
    <n v="117.012"/>
    <n v="4.5549999999999997"/>
    <n v="0.1"/>
    <n v="100"/>
    <n v="3.3000000000000002E-2"/>
    <n v="0.78500000000000003"/>
    <n v="0.16900000000000001"/>
    <n v="0.47299999999999998"/>
    <n v="0.70799999999999996"/>
    <s v="含气层"/>
    <s v="马五41a"/>
    <x v="11"/>
    <n v="1"/>
    <m/>
    <n v="0.20200000000000001"/>
    <n v="-0.752"/>
  </r>
  <r>
    <s v="横3"/>
    <n v="3243.5"/>
    <n v="22.913"/>
    <n v="23.341000000000001"/>
    <n v="1.6539999999999999"/>
    <n v="166.05500000000001"/>
    <n v="2.6509999999999998"/>
    <n v="10.582000000000001"/>
    <n v="3.6349999999999998"/>
    <n v="106.952"/>
    <n v="112.20399999999999"/>
    <n v="4.4930000000000003"/>
    <n v="0.1"/>
    <n v="100"/>
    <n v="2.5000000000000001E-2"/>
    <n v="0.746"/>
    <n v="0.191"/>
    <n v="0.49099999999999999"/>
    <n v="0.71699999999999997"/>
    <s v="含气层"/>
    <s v="马五41a"/>
    <x v="11"/>
    <n v="1"/>
    <m/>
    <n v="0.216"/>
    <n v="-0.72099999999999997"/>
  </r>
  <r>
    <s v="横3"/>
    <n v="3243.625"/>
    <n v="21.126999999999999"/>
    <n v="23.305"/>
    <n v="1.4890000000000001"/>
    <n v="165.99100000000001"/>
    <n v="2.6520000000000001"/>
    <n v="10.67"/>
    <n v="3.59"/>
    <n v="102.411"/>
    <n v="106.28400000000001"/>
    <n v="4.6040000000000001"/>
    <n v="0.1"/>
    <n v="100"/>
    <n v="1.7999999999999999E-2"/>
    <n v="0.7"/>
    <n v="0.188"/>
    <n v="0.49299999999999999"/>
    <n v="0.73199999999999998"/>
    <s v="含气层"/>
    <s v="马五41a"/>
    <x v="11"/>
    <n v="1"/>
    <m/>
    <n v="0.20599999999999999"/>
    <n v="-0.68199999999999994"/>
  </r>
  <r>
    <s v="横3"/>
    <n v="3243.75"/>
    <n v="22.817"/>
    <n v="23.292000000000002"/>
    <n v="1.405"/>
    <n v="164.97399999999999"/>
    <n v="2.65"/>
    <n v="10.786"/>
    <n v="3.55"/>
    <n v="97.653999999999996"/>
    <n v="100.405"/>
    <n v="4.6219999999999999"/>
    <n v="0.1"/>
    <n v="100"/>
    <n v="2.9000000000000001E-2"/>
    <n v="0.66"/>
    <n v="0.17100000000000001"/>
    <n v="0.48699999999999999"/>
    <n v="0.752"/>
    <s v="含气层"/>
    <s v="马五41a"/>
    <x v="11"/>
    <n v="1"/>
    <m/>
    <n v="0.2"/>
    <n v="-0.63100000000000001"/>
  </r>
  <r>
    <s v="横3"/>
    <n v="3243.875"/>
    <n v="24.97"/>
    <n v="23.306000000000001"/>
    <n v="1.4279999999999999"/>
    <n v="163.636"/>
    <n v="2.649"/>
    <n v="10.967000000000001"/>
    <n v="3.5230000000000001"/>
    <n v="93.613"/>
    <n v="95.468000000000004"/>
    <n v="4.6109999999999998"/>
    <n v="0.1"/>
    <n v="100"/>
    <n v="0.04"/>
    <n v="0.63500000000000001"/>
    <n v="0.14899999999999999"/>
    <n v="0.48599999999999999"/>
    <n v="0.78300000000000003"/>
    <s v="含气层"/>
    <s v="马五41a"/>
    <x v="11"/>
    <n v="1"/>
    <m/>
    <n v="0.189"/>
    <n v="-0.59499999999999997"/>
  </r>
  <r>
    <s v="横3"/>
    <n v="3244"/>
    <n v="25.198"/>
    <n v="23.315000000000001"/>
    <n v="1.5780000000000001"/>
    <n v="162.18799999999999"/>
    <n v="2.6520000000000001"/>
    <n v="11.282999999999999"/>
    <n v="3.512"/>
    <n v="88.129000000000005"/>
    <n v="90.13"/>
    <n v="4.7060000000000004"/>
    <n v="0.1"/>
    <n v="100"/>
    <n v="4.1000000000000002E-2"/>
    <n v="0.626"/>
    <n v="0.125"/>
    <n v="0.495"/>
    <n v="0.83499999999999996"/>
    <s v="含气层"/>
    <s v="马五41a"/>
    <x v="11"/>
    <n v="1"/>
    <m/>
    <n v="0.16600000000000001"/>
    <n v="-0.58499999999999996"/>
  </r>
  <r>
    <s v="横3"/>
    <n v="3244.125"/>
    <n v="24.443999999999999"/>
    <n v="23.280999999999999"/>
    <n v="1.593"/>
    <n v="160.46299999999999"/>
    <n v="2.6539999999999999"/>
    <n v="11.689"/>
    <n v="3.5190000000000001"/>
    <n v="82.938999999999993"/>
    <n v="84.096000000000004"/>
    <n v="4.9219999999999997"/>
    <n v="0.10100000000000001"/>
    <n v="100"/>
    <n v="3.9E-2"/>
    <n v="0.63500000000000001"/>
    <n v="9.7000000000000003E-2"/>
    <n v="0.499"/>
    <n v="0.89800000000000002"/>
    <s v="含气层"/>
    <s v="马五41a"/>
    <x v="11"/>
    <n v="1"/>
    <m/>
    <n v="0.13600000000000001"/>
    <n v="-0.59599999999999997"/>
  </r>
  <r>
    <s v="横3"/>
    <n v="3244.25"/>
    <n v="26.748000000000001"/>
    <n v="23.283999999999999"/>
    <n v="1.4810000000000001"/>
    <n v="158.601"/>
    <n v="2.6509999999999998"/>
    <n v="12.061999999999999"/>
    <n v="3.5379999999999998"/>
    <n v="78.918999999999997"/>
    <n v="79.781999999999996"/>
    <n v="5.069"/>
    <n v="0.107"/>
    <n v="100"/>
    <n v="5.5E-2"/>
    <n v="0.65600000000000003"/>
    <n v="6.9000000000000006E-2"/>
    <n v="0.48599999999999999"/>
    <n v="0.95399999999999996"/>
    <s v="含气层"/>
    <s v="马五41a"/>
    <x v="11"/>
    <n v="1"/>
    <m/>
    <n v="0.124"/>
    <n v="-0.60099999999999998"/>
  </r>
  <r>
    <s v="横3"/>
    <n v="3244.375"/>
    <n v="30.855"/>
    <n v="23.324999999999999"/>
    <n v="1.2889999999999999"/>
    <n v="157.101"/>
    <n v="2.64"/>
    <n v="12.319000000000001"/>
    <n v="3.5640000000000001"/>
    <n v="76.825999999999993"/>
    <n v="77.522000000000006"/>
    <n v="5.2130000000000001"/>
    <n v="0.122"/>
    <n v="100"/>
    <n v="7.9000000000000001E-2"/>
    <n v="0.68400000000000005"/>
    <n v="4.7E-2"/>
    <n v="0.45"/>
    <n v="0.98899999999999999"/>
    <s v="含气层"/>
    <s v="马五41a"/>
    <x v="11"/>
    <n v="1"/>
    <m/>
    <n v="0.126"/>
    <n v="-0.60500000000000009"/>
  </r>
  <r>
    <s v="横3"/>
    <n v="3244.5"/>
    <n v="33.026000000000003"/>
    <n v="23.341999999999999"/>
    <n v="1.1319999999999999"/>
    <n v="156.666"/>
    <n v="2.6240000000000001"/>
    <n v="12.398999999999999"/>
    <n v="3.5920000000000001"/>
    <n v="74.343000000000004"/>
    <n v="74.935000000000002"/>
    <n v="5.5069999999999997"/>
    <n v="0.155"/>
    <n v="100"/>
    <n v="8.6999999999999994E-2"/>
    <n v="0.71299999999999997"/>
    <n v="4.4999999999999998E-2"/>
    <n v="0.4"/>
    <n v="0.997"/>
    <s v="含气层"/>
    <s v="马五41a"/>
    <x v="11"/>
    <n v="1"/>
    <m/>
    <n v="0.13200000000000001"/>
    <n v="-0.626"/>
  </r>
  <r>
    <s v="横3"/>
    <n v="3244.625"/>
    <n v="29.873999999999999"/>
    <n v="23.312000000000001"/>
    <n v="1.1930000000000001"/>
    <n v="158.107"/>
    <n v="2.6059999999999999"/>
    <n v="12.287000000000001"/>
    <n v="3.62"/>
    <n v="73.433999999999997"/>
    <n v="74.072000000000003"/>
    <n v="6.077"/>
    <n v="0.24"/>
    <n v="100"/>
    <n v="6.9000000000000006E-2"/>
    <n v="0.74199999999999999"/>
    <n v="7.1999999999999995E-2"/>
    <n v="0.34499999999999997"/>
    <n v="0.97699999999999998"/>
    <s v="含气层"/>
    <s v="马五41a"/>
    <x v="11"/>
    <n v="1"/>
    <m/>
    <n v="0.14100000000000001"/>
    <n v="-0.67300000000000004"/>
  </r>
  <r>
    <s v="横3"/>
    <n v="3244.75"/>
    <n v="28.527000000000001"/>
    <n v="23.295999999999999"/>
    <n v="1.2569999999999999"/>
    <n v="160.94200000000001"/>
    <n v="2.5870000000000002"/>
    <n v="12.057"/>
    <n v="3.6459999999999999"/>
    <n v="75.87"/>
    <n v="76.668999999999997"/>
    <n v="6.4820000000000002"/>
    <n v="0.318"/>
    <n v="100"/>
    <n v="6.2E-2"/>
    <n v="0.76800000000000002"/>
    <n v="0.11799999999999999"/>
    <n v="0.29299999999999998"/>
    <n v="0.93799999999999994"/>
    <s v="含气层"/>
    <s v="马五41a"/>
    <x v="11"/>
    <n v="1"/>
    <m/>
    <n v="0.18"/>
    <n v="-0.70599999999999996"/>
  </r>
  <r>
    <s v="横3"/>
    <n v="3245"/>
    <n v="25.768000000000001"/>
    <n v="23.195"/>
    <n v="1.2629999999999999"/>
    <n v="166.24600000000001"/>
    <n v="2.5710000000000002"/>
    <n v="11.391999999999999"/>
    <n v="3.6890000000000001"/>
    <n v="83.923000000000002"/>
    <n v="84.715999999999994"/>
    <n v="6.6689999999999996"/>
    <n v="0.35899999999999999"/>
    <n v="100"/>
    <n v="4.3999999999999997E-2"/>
    <n v="0.81200000000000006"/>
    <n v="0.19400000000000001"/>
    <n v="0.246"/>
    <n v="0.83399999999999996"/>
    <s v="含气层"/>
    <s v="马五41a"/>
    <x v="11"/>
    <n v="1"/>
    <m/>
    <n v="0.23799999999999999"/>
    <n v="-0.76800000000000002"/>
  </r>
  <r>
    <s v="横3"/>
    <n v="3245.125"/>
    <n v="24.9"/>
    <n v="23.045999999999999"/>
    <n v="1.1579999999999999"/>
    <n v="166.00200000000001"/>
    <n v="2.5659999999999998"/>
    <n v="11.073"/>
    <n v="3.7050000000000001"/>
    <n v="89.34"/>
    <n v="90.218999999999994"/>
    <n v="6.6689999999999996"/>
    <n v="0.36"/>
    <n v="100"/>
    <n v="4.1000000000000002E-2"/>
    <n v="0.82799999999999996"/>
    <n v="0.187"/>
    <n v="0.23300000000000001"/>
    <n v="0.78"/>
    <s v="含气层"/>
    <s v="马五41a"/>
    <x v="11"/>
    <n v="1"/>
    <m/>
    <n v="0.22800000000000001"/>
    <n v="-0.78699999999999992"/>
  </r>
  <r>
    <s v="横3"/>
    <n v="3245.25"/>
    <n v="26.911000000000001"/>
    <n v="22.914999999999999"/>
    <n v="1.0740000000000001"/>
    <n v="164.58699999999999"/>
    <n v="2.5659999999999998"/>
    <n v="10.587"/>
    <n v="3.7160000000000002"/>
    <n v="97.775999999999996"/>
    <n v="98.998999999999995"/>
    <n v="6.274"/>
    <n v="0.27700000000000002"/>
    <n v="100"/>
    <n v="5.5E-2"/>
    <n v="0.84"/>
    <n v="0.16600000000000001"/>
    <n v="0.23300000000000001"/>
    <n v="0.69599999999999995"/>
    <s v="含气层"/>
    <s v="马五41a"/>
    <x v="11"/>
    <n v="1"/>
    <m/>
    <n v="0.221"/>
    <n v="-0.78499999999999992"/>
  </r>
  <r>
    <s v="横3"/>
    <n v="3245.375"/>
    <n v="29.468"/>
    <n v="22.957999999999998"/>
    <n v="1.3140000000000001"/>
    <n v="163.911"/>
    <n v="2.5649999999999999"/>
    <n v="9.7880000000000003"/>
    <n v="3.7280000000000002"/>
    <n v="107.002"/>
    <n v="108.90600000000001"/>
    <n v="5.72"/>
    <n v="0.184"/>
    <n v="100"/>
    <n v="7.0000000000000007E-2"/>
    <n v="0.85499999999999998"/>
    <n v="0.161"/>
    <n v="0.22600000000000001"/>
    <n v="0.56799999999999995"/>
    <s v="含气层"/>
    <s v="马五41a"/>
    <x v="11"/>
    <n v="1"/>
    <m/>
    <n v="0.23100000000000001"/>
    <n v="-0.78499999999999992"/>
  </r>
  <r>
    <s v="横3"/>
    <n v="3245.5"/>
    <n v="31.725999999999999"/>
    <n v="23.195"/>
    <n v="2.1389999999999998"/>
    <n v="165.505"/>
    <n v="2.5569999999999999"/>
    <n v="8.9039999999999999"/>
    <n v="3.7559999999999998"/>
    <n v="114.95699999999999"/>
    <n v="118.458"/>
    <n v="5.2690000000000001"/>
    <n v="0.127"/>
    <n v="100"/>
    <n v="9.4E-2"/>
    <n v="0.88400000000000001"/>
    <n v="0.192"/>
    <n v="0.19800000000000001"/>
    <n v="0.433"/>
    <s v="含气层"/>
    <s v="马五41a"/>
    <x v="11"/>
    <n v="1"/>
    <m/>
    <n v="0.28600000000000003"/>
    <n v="-0.79"/>
  </r>
  <r>
    <s v="横3"/>
    <n v="3246.375"/>
    <n v="62.017000000000003"/>
    <n v="22.096"/>
    <n v="5.1440000000000001"/>
    <n v="154.06100000000001"/>
    <n v="2.5979999999999999"/>
    <n v="6.0449999999999999"/>
    <n v="3.286"/>
    <n v="208.61600000000001"/>
    <n v="291.24599999999998"/>
    <n v="0"/>
    <n v="0"/>
    <n v="100"/>
    <n v="0.252"/>
    <n v="0.39500000000000002"/>
    <n v="5.0000000000000001E-3"/>
    <n v="0.36399999999999999"/>
    <n v="8.9999999999999993E-3"/>
    <m/>
    <s v="马五41b"/>
    <x v="11"/>
    <n v="3"/>
    <m/>
    <n v="0.25700000000000001"/>
    <n v="-0.14300000000000002"/>
  </r>
  <r>
    <s v="横3"/>
    <n v="3246.5"/>
    <n v="43.716000000000001"/>
    <n v="22.145"/>
    <n v="4.4710000000000001"/>
    <n v="155.88499999999999"/>
    <n v="2.6669999999999998"/>
    <n v="6.2549999999999999"/>
    <n v="3.3159999999999998"/>
    <n v="429.298"/>
    <n v="596.28300000000002"/>
    <n v="0"/>
    <n v="0"/>
    <n v="100"/>
    <n v="0.14899999999999999"/>
    <n v="0.435"/>
    <n v="3.9E-2"/>
    <n v="0.56899999999999995"/>
    <n v="4.7E-2"/>
    <m/>
    <s v="马五41b"/>
    <x v="11"/>
    <n v="3"/>
    <m/>
    <n v="0.188"/>
    <n v="-0.28600000000000003"/>
  </r>
  <r>
    <s v="横3"/>
    <n v="3246.625"/>
    <n v="35.770000000000003"/>
    <n v="22.199000000000002"/>
    <n v="3.5"/>
    <n v="159.64400000000001"/>
    <n v="2.7280000000000002"/>
    <n v="6.66"/>
    <n v="3.3980000000000001"/>
    <n v="870.101"/>
    <n v="1135.114"/>
    <n v="0"/>
    <n v="0"/>
    <n v="100"/>
    <n v="0.105"/>
    <n v="0.52100000000000002"/>
    <n v="9.9000000000000005E-2"/>
    <n v="0.745"/>
    <n v="0.115"/>
    <m/>
    <s v="马五41b"/>
    <x v="11"/>
    <n v="3"/>
    <m/>
    <n v="0.20400000000000001"/>
    <n v="-0.41600000000000004"/>
  </r>
  <r>
    <s v="横3"/>
    <n v="3246.75"/>
    <n v="34.003999999999998"/>
    <n v="22.212"/>
    <n v="2.9279999999999999"/>
    <n v="163.589"/>
    <n v="2.77"/>
    <n v="7.2329999999999997"/>
    <n v="3.4860000000000002"/>
    <n v="1065.595"/>
    <n v="1363.2760000000001"/>
    <n v="0"/>
    <n v="0"/>
    <n v="100"/>
    <n v="9.8000000000000004E-2"/>
    <n v="0.61"/>
    <n v="0.16200000000000001"/>
    <n v="0.86199999999999999"/>
    <n v="0.20699999999999999"/>
    <m/>
    <s v="马五41b"/>
    <x v="11"/>
    <n v="3"/>
    <m/>
    <n v="0.26"/>
    <n v="-0.51200000000000001"/>
  </r>
  <r>
    <s v="横3"/>
    <n v="3246.875"/>
    <n v="35.613999999999997"/>
    <n v="22.245000000000001"/>
    <n v="2.8170000000000002"/>
    <n v="167.483"/>
    <n v="2.7919999999999998"/>
    <n v="7.9260000000000002"/>
    <n v="3.5569999999999999"/>
    <n v="992.81299999999999"/>
    <n v="1300.345"/>
    <n v="0"/>
    <n v="0"/>
    <n v="100"/>
    <n v="0.11"/>
    <n v="0.68100000000000005"/>
    <n v="0.224"/>
    <n v="0.92200000000000004"/>
    <n v="0.317"/>
    <m/>
    <s v="马五41b"/>
    <x v="11"/>
    <n v="3"/>
    <m/>
    <n v="0.33400000000000002"/>
    <n v="-0.57100000000000006"/>
  </r>
  <r>
    <s v="横3"/>
    <n v="3247"/>
    <n v="39.747999999999998"/>
    <n v="22.251000000000001"/>
    <n v="2.738"/>
    <n v="171.21700000000001"/>
    <n v="2.7989999999999999"/>
    <n v="8.6379999999999999"/>
    <n v="3.6139999999999999"/>
    <n v="883.00699999999995"/>
    <n v="1176.548"/>
    <n v="0"/>
    <n v="0"/>
    <n v="100"/>
    <n v="0.13600000000000001"/>
    <n v="0.73799999999999999"/>
    <n v="0.28000000000000003"/>
    <n v="0.93899999999999995"/>
    <n v="0.42499999999999999"/>
    <m/>
    <s v="马五41b"/>
    <x v="11"/>
    <n v="3"/>
    <m/>
    <n v="0.41600000000000004"/>
    <n v="-0.60199999999999998"/>
  </r>
  <r>
    <s v="横3"/>
    <n v="3247.125"/>
    <n v="44.079000000000001"/>
    <n v="22.248999999999999"/>
    <n v="2.6110000000000002"/>
    <n v="173.46600000000001"/>
    <n v="2.798"/>
    <n v="9.2159999999999993"/>
    <n v="3.6520000000000001"/>
    <n v="844.827"/>
    <n v="1126.796"/>
    <n v="0"/>
    <n v="0"/>
    <n v="100"/>
    <n v="0.161"/>
    <n v="0.77300000000000002"/>
    <n v="0.308"/>
    <n v="0.93600000000000005"/>
    <n v="0.50900000000000001"/>
    <m/>
    <s v="马五41b"/>
    <x v="11"/>
    <n v="3"/>
    <m/>
    <n v="0.46899999999999997"/>
    <n v="-0.61199999999999999"/>
  </r>
  <r>
    <s v="横3"/>
    <n v="3247.25"/>
    <n v="46.212000000000003"/>
    <n v="22.225000000000001"/>
    <n v="2.5270000000000001"/>
    <n v="172.85300000000001"/>
    <n v="2.7970000000000002"/>
    <n v="9.5549999999999997"/>
    <n v="3.665"/>
    <n v="855.46799999999996"/>
    <n v="1126.7909999999999"/>
    <n v="0"/>
    <n v="0"/>
    <n v="100"/>
    <n v="0.17599999999999999"/>
    <n v="0.78200000000000003"/>
    <n v="0.28999999999999998"/>
    <n v="0.93400000000000005"/>
    <n v="0.55500000000000005"/>
    <m/>
    <s v="马五41b"/>
    <x v="11"/>
    <n v="3"/>
    <m/>
    <n v="0.46599999999999997"/>
    <n v="-0.60600000000000009"/>
  </r>
  <r>
    <s v="横3"/>
    <n v="3247.375"/>
    <n v="49.835000000000001"/>
    <n v="22.207999999999998"/>
    <n v="2.4129999999999998"/>
    <n v="169.09299999999999"/>
    <n v="2.7989999999999999"/>
    <n v="9.6080000000000005"/>
    <n v="3.649"/>
    <n v="705.73"/>
    <n v="887.76900000000001"/>
    <n v="0"/>
    <n v="0"/>
    <n v="100"/>
    <n v="0.20100000000000001"/>
    <n v="0.76"/>
    <n v="0.22600000000000001"/>
    <n v="0.94099999999999995"/>
    <n v="0.56000000000000005"/>
    <m/>
    <s v="马五41b"/>
    <x v="11"/>
    <n v="3"/>
    <m/>
    <n v="0.42700000000000005"/>
    <n v="-0.55899999999999994"/>
  </r>
  <r>
    <s v="横3"/>
    <n v="3247.5"/>
    <n v="55.786000000000001"/>
    <n v="21.977"/>
    <n v="2.3980000000000001"/>
    <n v="163.41800000000001"/>
    <n v="2.802"/>
    <n v="9.5169999999999995"/>
    <n v="3.6019999999999999"/>
    <n v="497.45299999999997"/>
    <n v="604.41700000000003"/>
    <n v="0"/>
    <n v="0"/>
    <n v="100"/>
    <n v="0.23300000000000001"/>
    <n v="0.70599999999999996"/>
    <n v="0.13600000000000001"/>
    <n v="0.94599999999999995"/>
    <n v="0.54400000000000004"/>
    <m/>
    <s v="马五41b"/>
    <x v="11"/>
    <n v="3"/>
    <m/>
    <n v="0.36899999999999999"/>
    <n v="-0.47299999999999998"/>
  </r>
  <r>
    <s v="横3"/>
    <n v="3247.625"/>
    <n v="57.616999999999997"/>
    <n v="21.922999999999998"/>
    <n v="2.3250000000000002"/>
    <n v="158.209"/>
    <n v="2.7959999999999998"/>
    <n v="9.3539999999999992"/>
    <n v="3.5259999999999998"/>
    <n v="500.55799999999999"/>
    <n v="580.13599999999997"/>
    <n v="0"/>
    <n v="0"/>
    <n v="100"/>
    <n v="0.23899999999999999"/>
    <n v="0.624"/>
    <n v="5.8999999999999997E-2"/>
    <n v="0.92"/>
    <n v="0.51700000000000002"/>
    <m/>
    <s v="马五41b"/>
    <x v="11"/>
    <n v="3"/>
    <m/>
    <n v="0.29799999999999999"/>
    <n v="-0.38500000000000001"/>
  </r>
  <r>
    <s v="横3"/>
    <n v="3247.75"/>
    <n v="53.686999999999998"/>
    <n v="21.814"/>
    <n v="2.1269999999999998"/>
    <n v="155.262"/>
    <n v="2.774"/>
    <n v="9.1259999999999994"/>
    <n v="3.4319999999999999"/>
    <n v="498.89699999999999"/>
    <n v="554.02300000000002"/>
    <n v="0"/>
    <n v="0"/>
    <n v="100"/>
    <n v="0.215"/>
    <n v="0.52500000000000002"/>
    <n v="2.1000000000000001E-2"/>
    <n v="0.84599999999999997"/>
    <n v="0.48299999999999998"/>
    <m/>
    <s v="马五41b"/>
    <x v="11"/>
    <n v="3"/>
    <m/>
    <n v="0.23599999999999999"/>
    <n v="-0.31000000000000005"/>
  </r>
  <r>
    <s v="横3"/>
    <n v="3247.875"/>
    <n v="50.408999999999999"/>
    <n v="21.692"/>
    <n v="2.0310000000000001"/>
    <n v="155.78399999999999"/>
    <n v="2.738"/>
    <n v="8.9870000000000001"/>
    <n v="3.331"/>
    <n v="460.17700000000002"/>
    <n v="497.38900000000001"/>
    <n v="0"/>
    <n v="0"/>
    <n v="100"/>
    <n v="0.2"/>
    <n v="0.42"/>
    <n v="4.1000000000000002E-2"/>
    <n v="0.73499999999999999"/>
    <n v="0.46800000000000003"/>
    <m/>
    <s v="马五41b"/>
    <x v="11"/>
    <n v="3"/>
    <m/>
    <n v="0.24100000000000002"/>
    <n v="-0.21999999999999997"/>
  </r>
  <r>
    <s v="横3"/>
    <n v="3248"/>
    <n v="51.86"/>
    <n v="21.634"/>
    <n v="2.101"/>
    <n v="160.96100000000001"/>
    <n v="2.698"/>
    <n v="9.1029999999999998"/>
    <n v="3.2309999999999999"/>
    <n v="426.95699999999999"/>
    <n v="449.63200000000001"/>
    <n v="0"/>
    <n v="0"/>
    <n v="100"/>
    <n v="0.222"/>
    <n v="0.317"/>
    <n v="0.13800000000000001"/>
    <n v="0.622"/>
    <n v="0.49299999999999999"/>
    <m/>
    <s v="马五41b"/>
    <x v="11"/>
    <n v="3"/>
    <m/>
    <n v="0.36"/>
    <n v="-9.5000000000000001E-2"/>
  </r>
  <r>
    <s v="延1956"/>
    <n v="3929.25"/>
    <n v="41.921999999999997"/>
    <n v="22.36"/>
    <n v="4.3380000000000001"/>
    <n v="178.67400000000001"/>
    <n v="2.738"/>
    <n v="6.0650000000000004"/>
    <n v="3.5059999999999998"/>
    <n v="588.42399999999998"/>
    <n v="640.99"/>
    <n v="0.01"/>
    <n v="1E-3"/>
    <n v="100"/>
    <n v="0.20699999999999999"/>
    <n v="0.80200000000000005"/>
    <n v="0.47699999999999998"/>
    <n v="0.51500000000000001"/>
    <n v="0.27700000000000002"/>
    <m/>
    <s v="马五41a"/>
    <x v="11"/>
    <n v="2"/>
    <m/>
    <n v="0.68399999999999994"/>
    <n v="-0.59500000000000008"/>
  </r>
  <r>
    <s v="延1956"/>
    <n v="3930.375"/>
    <n v="68.192999999999998"/>
    <n v="21.803000000000001"/>
    <n v="1.839"/>
    <n v="160.09800000000001"/>
    <n v="2.774"/>
    <n v="4.8369999999999997"/>
    <n v="3.2349999999999999"/>
    <n v="1230.1099999999999"/>
    <n v="1345.383"/>
    <n v="0.01"/>
    <n v="1E-3"/>
    <n v="100"/>
    <n v="0.48"/>
    <n v="0.52400000000000002"/>
    <n v="0.13900000000000001"/>
    <n v="0.66"/>
    <n v="0.17399999999999999"/>
    <m/>
    <s v="马五41b"/>
    <x v="11"/>
    <n v="3"/>
    <m/>
    <n v="0.61899999999999999"/>
    <n v="-4.4000000000000039E-2"/>
  </r>
  <r>
    <s v="延1956"/>
    <n v="3932.125"/>
    <n v="34.637"/>
    <n v="21.855"/>
    <n v="2.1030000000000002"/>
    <n v="161.81800000000001"/>
    <n v="2.8039999999999998"/>
    <n v="6.3079999999999998"/>
    <n v="3.1739999999999999"/>
    <n v="537.82799999999997"/>
    <n v="585.31600000000003"/>
    <n v="0.01"/>
    <n v="1E-3"/>
    <n v="100"/>
    <n v="0.157"/>
    <n v="0.45600000000000002"/>
    <n v="0.14799999999999999"/>
    <n v="0.76300000000000001"/>
    <n v="0.31"/>
    <m/>
    <s v="马五41b"/>
    <x v="11"/>
    <n v="6"/>
    <m/>
    <n v="0.30499999999999999"/>
    <n v="-0.29900000000000004"/>
  </r>
  <r>
    <s v="延1956"/>
    <n v="3932.25"/>
    <n v="42.652000000000001"/>
    <n v="21.91"/>
    <n v="2.1749999999999998"/>
    <n v="163.65100000000001"/>
    <n v="2.8079999999999998"/>
    <n v="6.3330000000000002"/>
    <n v="3.1850000000000001"/>
    <n v="451.327"/>
    <n v="491.02100000000002"/>
    <n v="0.01"/>
    <n v="1E-3"/>
    <n v="100"/>
    <n v="0.20399999999999999"/>
    <n v="0.47"/>
    <n v="0.186"/>
    <n v="0.77600000000000002"/>
    <n v="0.312"/>
    <m/>
    <s v="马五41b"/>
    <x v="11"/>
    <n v="6"/>
    <m/>
    <n v="0.39"/>
    <n v="-0.26600000000000001"/>
  </r>
  <r>
    <s v="延1956"/>
    <n v="3932.375"/>
    <n v="60.094000000000001"/>
    <n v="21.934000000000001"/>
    <n v="2.0459999999999998"/>
    <n v="164.45500000000001"/>
    <n v="2.8119999999999998"/>
    <n v="6.3650000000000002"/>
    <n v="3.1850000000000001"/>
    <n v="392.40600000000001"/>
    <n v="426.82799999999997"/>
    <n v="0.01"/>
    <n v="1E-3"/>
    <n v="100"/>
    <n v="0.33600000000000002"/>
    <n v="0.47299999999999998"/>
    <n v="0.20699999999999999"/>
    <n v="0.79100000000000004"/>
    <n v="0.315"/>
    <m/>
    <s v="马五41b"/>
    <x v="11"/>
    <n v="6"/>
    <m/>
    <n v="0.54300000000000004"/>
    <n v="-0.13699999999999996"/>
  </r>
  <r>
    <s v="延958"/>
    <n v="3800.25"/>
    <n v="53.250999999999998"/>
    <n v="22.738"/>
    <n v="4.0259999999999998"/>
    <n v="169.61699999999999"/>
    <n v="2.7490000000000001"/>
    <n v="8.8670000000000009"/>
    <n v="4.2990000000000004"/>
    <n v="190.155"/>
    <n v="201.334"/>
    <n v="3.4729999999999999"/>
    <n v="4.5629999999999997"/>
    <n v="26.891999999999999"/>
    <n v="0.255"/>
    <n v="0.73599999999999999"/>
    <n v="0.11"/>
    <n v="0.56000000000000005"/>
    <n v="0.34"/>
    <m/>
    <s v="马五41a"/>
    <x v="11"/>
    <n v="2"/>
    <s v="薄片"/>
    <n v="0.36499999999999999"/>
    <n v="-0.48099999999999998"/>
  </r>
  <r>
    <s v="延958"/>
    <n v="3800.375"/>
    <n v="36.49"/>
    <n v="22.698"/>
    <n v="2.794"/>
    <n v="166.11500000000001"/>
    <n v="2.7450000000000001"/>
    <n v="8.4480000000000004"/>
    <n v="4.3209999999999997"/>
    <n v="164.57900000000001"/>
    <n v="173.49600000000001"/>
    <n v="3.657"/>
    <n v="5.9630000000000001"/>
    <n v="26.885999999999999"/>
    <n v="0.13700000000000001"/>
    <n v="0.74299999999999999"/>
    <n v="0.08"/>
    <n v="0.54800000000000004"/>
    <n v="0.314"/>
    <s v="含气层"/>
    <s v="马五41a"/>
    <x v="11"/>
    <n v="2"/>
    <s v="薄片"/>
    <n v="0.21700000000000003"/>
    <n v="-0.60599999999999998"/>
  </r>
  <r>
    <s v="延958"/>
    <n v="3800.5"/>
    <n v="24.994"/>
    <n v="22.658999999999999"/>
    <n v="2.194"/>
    <n v="165.316"/>
    <n v="2.7330000000000001"/>
    <n v="8.1389999999999993"/>
    <n v="4.3259999999999996"/>
    <n v="132.291"/>
    <n v="137.072"/>
    <n v="3.8210000000000002"/>
    <n v="7.4850000000000003"/>
    <n v="26.474"/>
    <n v="0.06"/>
    <n v="0.72499999999999998"/>
    <n v="7.5999999999999998E-2"/>
    <n v="0.52"/>
    <n v="0.29899999999999999"/>
    <s v="含气层"/>
    <s v="马五41a"/>
    <x v="11"/>
    <n v="2"/>
    <s v="薄片"/>
    <n v="0.13600000000000001"/>
    <n v="-0.66500000000000004"/>
  </r>
  <r>
    <s v="延958"/>
    <n v="3800.625"/>
    <n v="19.866"/>
    <n v="22.619"/>
    <n v="2.0910000000000002"/>
    <n v="166.422"/>
    <n v="2.7160000000000002"/>
    <n v="8.2989999999999995"/>
    <n v="4.0449999999999999"/>
    <n v="106.18300000000001"/>
    <n v="106.858"/>
    <n v="4.26"/>
    <n v="13.157999999999999"/>
    <n v="25.262"/>
    <n v="2.7E-2"/>
    <n v="0.6"/>
    <n v="8.6999999999999994E-2"/>
    <n v="0.48399999999999999"/>
    <n v="0.316"/>
    <s v="含气层"/>
    <s v="马五41a"/>
    <x v="11"/>
    <n v="2"/>
    <s v="薄片"/>
    <n v="0.11399999999999999"/>
    <n v="-0.57299999999999995"/>
  </r>
  <r>
    <s v="延958"/>
    <n v="3800.75"/>
    <n v="18.227"/>
    <n v="22.577000000000002"/>
    <n v="2.1280000000000001"/>
    <n v="167.29499999999999"/>
    <n v="2.7029999999999998"/>
    <n v="8.9610000000000003"/>
    <n v="3.5630000000000002"/>
    <n v="89.600999999999999"/>
    <n v="87.134"/>
    <n v="5.3090000000000002"/>
    <n v="41.171999999999997"/>
    <n v="21.66"/>
    <n v="1.7000000000000001E-2"/>
    <n v="0.41499999999999998"/>
    <n v="9.4E-2"/>
    <n v="0.45800000000000002"/>
    <n v="0.36099999999999999"/>
    <s v="含气层"/>
    <s v="马五41a"/>
    <x v="11"/>
    <n v="2"/>
    <s v="薄片"/>
    <n v="0.111"/>
    <n v="-0.39799999999999996"/>
  </r>
  <r>
    <s v="延958"/>
    <n v="3800.875"/>
    <n v="17.873000000000001"/>
    <n v="22.542999999999999"/>
    <n v="2.105"/>
    <n v="167.352"/>
    <n v="2.698"/>
    <n v="9.7330000000000005"/>
    <n v="3.1339999999999999"/>
    <n v="81.61"/>
    <n v="76.784000000000006"/>
    <n v="6.0709999999999997"/>
    <n v="82.474999999999994"/>
    <n v="19.536000000000001"/>
    <n v="1.4999999999999999E-2"/>
    <n v="0.26400000000000001"/>
    <n v="9.2999999999999999E-2"/>
    <n v="0.44900000000000001"/>
    <n v="0.40699999999999997"/>
    <s v="含气层"/>
    <s v="马五41a"/>
    <x v="11"/>
    <n v="2"/>
    <s v="薄片"/>
    <n v="0.108"/>
    <n v="-0.249"/>
  </r>
  <r>
    <s v="延958"/>
    <n v="3801"/>
    <n v="17.861999999999998"/>
    <n v="22.524999999999999"/>
    <n v="2.0390000000000001"/>
    <n v="166.59299999999999"/>
    <n v="2.698"/>
    <n v="10.002000000000001"/>
    <n v="2.948"/>
    <n v="81.358000000000004"/>
    <n v="74.519000000000005"/>
    <n v="6.1340000000000003"/>
    <n v="86.972999999999999"/>
    <n v="20.265999999999998"/>
    <n v="1.4999999999999999E-2"/>
    <n v="0.20799999999999999"/>
    <n v="8.4000000000000005E-2"/>
    <n v="0.45100000000000001"/>
    <n v="0.42"/>
    <s v="含气层"/>
    <s v="马五41a"/>
    <x v="11"/>
    <n v="2"/>
    <s v="薄片"/>
    <n v="9.9000000000000005E-2"/>
    <n v="-0.193"/>
  </r>
  <r>
    <s v="延958"/>
    <n v="3801.125"/>
    <n v="18.143000000000001"/>
    <n v="22.52"/>
    <n v="1.952"/>
    <n v="165.26400000000001"/>
    <n v="2.7029999999999998"/>
    <n v="9.8369999999999997"/>
    <n v="3"/>
    <n v="84.710999999999999"/>
    <n v="75.911000000000001"/>
    <n v="6.04"/>
    <n v="80.337999999999994"/>
    <n v="21.323"/>
    <n v="1.7000000000000001E-2"/>
    <n v="0.24199999999999999"/>
    <n v="7.0000000000000007E-2"/>
    <n v="0.46600000000000003"/>
    <n v="0.40799999999999997"/>
    <s v="含气层"/>
    <s v="马五41a"/>
    <x v="11"/>
    <n v="2"/>
    <s v="薄片"/>
    <n v="8.7000000000000008E-2"/>
    <n v="-0.22499999999999998"/>
  </r>
  <r>
    <s v="延958"/>
    <n v="3801.25"/>
    <n v="18.626000000000001"/>
    <n v="22.521000000000001"/>
    <n v="1.847"/>
    <n v="163.59800000000001"/>
    <n v="2.7170000000000001"/>
    <n v="9.5660000000000007"/>
    <n v="3.238"/>
    <n v="88.805000000000007"/>
    <n v="78.183000000000007"/>
    <n v="5.9039999999999999"/>
    <n v="71.378"/>
    <n v="22.126000000000001"/>
    <n v="0.02"/>
    <n v="0.33300000000000002"/>
    <n v="5.3999999999999999E-2"/>
    <n v="0.5"/>
    <n v="0.39100000000000001"/>
    <s v="含气层"/>
    <s v="马五41a"/>
    <x v="11"/>
    <n v="2"/>
    <s v="薄片"/>
    <n v="7.3999999999999996E-2"/>
    <n v="-0.313"/>
  </r>
  <r>
    <s v="延958"/>
    <n v="3802.25"/>
    <n v="16.998000000000001"/>
    <n v="22.536999999999999"/>
    <n v="1.4419999999999999"/>
    <n v="164.298"/>
    <n v="2.7349999999999999"/>
    <n v="10.170999999999999"/>
    <n v="3.5390000000000001"/>
    <n v="91.715999999999994"/>
    <n v="86.495000000000005"/>
    <n v="6.0940000000000003"/>
    <n v="84.11"/>
    <n v="18.417000000000002"/>
    <n v="8.0000000000000002E-3"/>
    <n v="0.438"/>
    <n v="6.2E-2"/>
    <n v="0.53400000000000003"/>
    <n v="0.43"/>
    <s v="含气层"/>
    <s v="马五41a"/>
    <x v="11"/>
    <n v="4"/>
    <s v="薄片"/>
    <n v="7.0000000000000007E-2"/>
    <n v="-0.43"/>
  </r>
  <r>
    <s v="延958"/>
    <n v="3802.375"/>
    <n v="17.048999999999999"/>
    <n v="22.54"/>
    <n v="1.516"/>
    <n v="163.24600000000001"/>
    <n v="2.7429999999999999"/>
    <n v="9.9209999999999994"/>
    <n v="3.5579999999999998"/>
    <n v="100.191"/>
    <n v="98.006"/>
    <n v="5.2370000000000001"/>
    <n v="38.359000000000002"/>
    <n v="19.559999999999999"/>
    <n v="8.9999999999999993E-3"/>
    <n v="0.44600000000000001"/>
    <n v="5.0999999999999997E-2"/>
    <n v="0.55300000000000005"/>
    <n v="0.41299999999999998"/>
    <s v="含气层"/>
    <s v="马五41a"/>
    <x v="11"/>
    <n v="4"/>
    <s v="薄片"/>
    <n v="0.06"/>
    <n v="-0.437"/>
  </r>
  <r>
    <s v="延958"/>
    <n v="3802.5"/>
    <n v="17.832000000000001"/>
    <n v="22.547999999999998"/>
    <n v="1.6459999999999999"/>
    <n v="162.16900000000001"/>
    <n v="2.7530000000000001"/>
    <n v="9.6059999999999999"/>
    <n v="3.5859999999999999"/>
    <n v="114.102"/>
    <n v="115.98399999999999"/>
    <n v="4.992"/>
    <n v="29.9"/>
    <n v="18.376000000000001"/>
    <n v="1.6E-2"/>
    <n v="0.45700000000000002"/>
    <n v="0.04"/>
    <n v="0.57599999999999996"/>
    <n v="0.39200000000000002"/>
    <s v="含气层"/>
    <s v="马五41a"/>
    <x v="11"/>
    <n v="4"/>
    <s v="薄片"/>
    <n v="5.6000000000000001E-2"/>
    <n v="-0.441"/>
  </r>
  <r>
    <s v="延958"/>
    <n v="3802.625"/>
    <n v="18.838000000000001"/>
    <n v="22.56"/>
    <n v="1.8340000000000001"/>
    <n v="160.80699999999999"/>
    <n v="2.766"/>
    <n v="9.3149999999999995"/>
    <n v="3.6120000000000001"/>
    <n v="133.16200000000001"/>
    <n v="140.416"/>
    <n v="4.8289999999999997"/>
    <n v="25.173999999999999"/>
    <n v="17.876999999999999"/>
    <n v="2.3E-2"/>
    <n v="0.46100000000000002"/>
    <n v="2.7E-2"/>
    <n v="0.60399999999999998"/>
    <n v="0.374"/>
    <s v="含气层"/>
    <s v="马五41a"/>
    <x v="11"/>
    <n v="4"/>
    <s v="薄片"/>
    <n v="0.05"/>
    <n v="-0.438"/>
  </r>
  <r>
    <s v="延958"/>
    <n v="3802.75"/>
    <n v="19.782"/>
    <n v="22.574000000000002"/>
    <n v="2.0409999999999999"/>
    <n v="159.547"/>
    <n v="2.7770000000000001"/>
    <n v="9.1999999999999993"/>
    <n v="3.5630000000000002"/>
    <n v="154.90700000000001"/>
    <n v="168.83600000000001"/>
    <n v="3.8450000000000002"/>
    <n v="7.7350000000000003"/>
    <n v="19.716000000000001"/>
    <n v="0.03"/>
    <n v="0.438"/>
    <n v="1.4E-2"/>
    <n v="0.626"/>
    <n v="0.36799999999999999"/>
    <s v="含气层"/>
    <s v="马五41a"/>
    <x v="11"/>
    <n v="4"/>
    <s v="薄片"/>
    <n v="4.3999999999999997E-2"/>
    <n v="-0.40800000000000003"/>
  </r>
  <r>
    <s v="延958"/>
    <n v="3802.875"/>
    <n v="20.675000000000001"/>
    <n v="22.58"/>
    <n v="2.1859999999999999"/>
    <n v="158.483"/>
    <n v="2.7829999999999999"/>
    <n v="9.2379999999999995"/>
    <n v="3.452"/>
    <n v="175.31200000000001"/>
    <n v="196.42099999999999"/>
    <n v="3.7280000000000002"/>
    <n v="6.5880000000000001"/>
    <n v="19.079000000000001"/>
    <n v="3.5999999999999997E-2"/>
    <n v="0.39600000000000002"/>
    <n v="5.0000000000000001E-3"/>
    <n v="0.63800000000000001"/>
    <n v="0.371"/>
    <s v="含气层"/>
    <s v="马五41a"/>
    <x v="11"/>
    <n v="4"/>
    <s v="薄片"/>
    <n v="4.0999999999999995E-2"/>
    <n v="-0.36000000000000004"/>
  </r>
  <r>
    <s v="延958"/>
    <n v="3805.25"/>
    <n v="18.998000000000001"/>
    <n v="22.898"/>
    <n v="2.8090000000000002"/>
    <n v="161.221"/>
    <n v="2.7269999999999999"/>
    <n v="6.117"/>
    <n v="3.7290000000000001"/>
    <n v="303.91899999999998"/>
    <n v="305.29300000000001"/>
    <n v="0.01"/>
    <n v="1E-3"/>
    <n v="100"/>
    <n v="1.9E-2"/>
    <n v="0.51400000000000001"/>
    <n v="2.9000000000000001E-2"/>
    <n v="0.51900000000000002"/>
    <n v="0.16200000000000001"/>
    <m/>
    <s v="马五41b"/>
    <x v="11"/>
    <n v="8"/>
    <s v="薄片"/>
    <n v="4.8000000000000001E-2"/>
    <n v="-0.495"/>
  </r>
  <r>
    <s v="延958"/>
    <n v="3805.375"/>
    <n v="16.201000000000001"/>
    <n v="22.952999999999999"/>
    <n v="2.2040000000000002"/>
    <n v="158.91999999999999"/>
    <n v="2.7410000000000001"/>
    <n v="6.234"/>
    <n v="3.7669999999999999"/>
    <n v="270.07400000000001"/>
    <n v="262.32299999999998"/>
    <n v="0.01"/>
    <n v="1E-3"/>
    <n v="100"/>
    <n v="2E-3"/>
    <n v="0.53200000000000003"/>
    <n v="1.4999999999999999E-2"/>
    <n v="0.53900000000000003"/>
    <n v="0.17199999999999999"/>
    <m/>
    <s v="马五41b"/>
    <x v="11"/>
    <n v="8"/>
    <s v="薄片"/>
    <n v="1.7000000000000001E-2"/>
    <n v="-0.53"/>
  </r>
  <r>
    <s v="延958"/>
    <n v="3805.5"/>
    <n v="15.919"/>
    <n v="22.98"/>
    <n v="2.0630000000000002"/>
    <n v="161.458"/>
    <n v="2.7290000000000001"/>
    <n v="6.5220000000000002"/>
    <n v="3.8479999999999999"/>
    <n v="246.352"/>
    <n v="233.39099999999999"/>
    <n v="0.01"/>
    <n v="1E-3"/>
    <n v="100"/>
    <n v="3.0000000000000001E-3"/>
    <n v="0.56799999999999995"/>
    <n v="4.3999999999999997E-2"/>
    <n v="0.51300000000000001"/>
    <n v="0.192"/>
    <m/>
    <s v="马五41b"/>
    <x v="11"/>
    <n v="8"/>
    <s v="薄片"/>
    <n v="4.7E-2"/>
    <n v="-0.56499999999999995"/>
  </r>
  <r>
    <s v="延958"/>
    <n v="3805.625"/>
    <n v="17.992999999999999"/>
    <n v="23.004000000000001"/>
    <n v="1.8819999999999999"/>
    <n v="166.12"/>
    <n v="2.718"/>
    <n v="6.8339999999999996"/>
    <n v="3.996"/>
    <n v="238.14599999999999"/>
    <n v="222.875"/>
    <n v="0.01"/>
    <n v="1E-3"/>
    <n v="100"/>
    <n v="2.1999999999999999E-2"/>
    <n v="0.625"/>
    <n v="0.09"/>
    <n v="0.499"/>
    <n v="0.21"/>
    <m/>
    <s v="马五41b"/>
    <x v="11"/>
    <n v="8"/>
    <s v="薄片"/>
    <n v="0.11199999999999999"/>
    <n v="-0.60299999999999998"/>
  </r>
  <r>
    <s v="延958"/>
    <n v="3807.25"/>
    <n v="42.308999999999997"/>
    <n v="23.91"/>
    <n v="2.8820000000000001"/>
    <n v="159.06899999999999"/>
    <n v="2.8730000000000002"/>
    <n v="9.452"/>
    <n v="3.2280000000000002"/>
    <n v="460.81"/>
    <n v="397.01100000000002"/>
    <n v="0.01"/>
    <n v="1E-3"/>
    <n v="100"/>
    <n v="0.188"/>
    <n v="0.312"/>
    <n v="1.2E-2"/>
    <n v="0.83499999999999996"/>
    <n v="0.38100000000000001"/>
    <m/>
    <s v="马五41b"/>
    <x v="11"/>
    <n v="11"/>
    <s v="薄片"/>
    <n v="0.2"/>
    <n v="-0.124"/>
  </r>
  <r>
    <s v="延958"/>
    <n v="3807.375"/>
    <n v="36.1"/>
    <n v="23.876999999999999"/>
    <n v="2.355"/>
    <n v="159.53299999999999"/>
    <n v="2.8740000000000001"/>
    <n v="9.1140000000000008"/>
    <n v="3.2"/>
    <n v="500.95699999999999"/>
    <n v="420.637"/>
    <n v="0.01"/>
    <n v="1E-3"/>
    <n v="100"/>
    <n v="0.14599999999999999"/>
    <n v="0.30099999999999999"/>
    <n v="2.8000000000000001E-2"/>
    <n v="0.83499999999999996"/>
    <n v="0.35199999999999998"/>
    <m/>
    <s v="马五41b"/>
    <x v="11"/>
    <n v="11"/>
    <s v="薄片"/>
    <n v="0.17399999999999999"/>
    <n v="-0.155"/>
  </r>
  <r>
    <s v="延958"/>
    <n v="3807.5"/>
    <n v="33.438000000000002"/>
    <n v="23.86"/>
    <n v="2.08"/>
    <n v="166.124"/>
    <n v="2.8690000000000002"/>
    <n v="8.2449999999999992"/>
    <n v="3.1680000000000001"/>
    <n v="469.61900000000003"/>
    <n v="385.23599999999999"/>
    <n v="0.01"/>
    <n v="1E-3"/>
    <n v="100"/>
    <n v="0.13500000000000001"/>
    <n v="0.29099999999999998"/>
    <n v="0.112"/>
    <n v="0.81899999999999995"/>
    <n v="0.29699999999999999"/>
    <m/>
    <s v="马五41b"/>
    <x v="11"/>
    <n v="11"/>
    <s v="薄片"/>
    <n v="0.247"/>
    <n v="-0.15599999999999997"/>
  </r>
  <r>
    <s v="延958"/>
    <n v="3807.625"/>
    <n v="36.718000000000004"/>
    <n v="23.826000000000001"/>
    <n v="2.0459999999999998"/>
    <n v="182.71"/>
    <n v="2.851"/>
    <n v="7.72"/>
    <n v="3.1760000000000002"/>
    <n v="361.23099999999999"/>
    <n v="290.26499999999999"/>
    <n v="0.01"/>
    <n v="1E-3"/>
    <n v="100"/>
    <n v="0.16700000000000001"/>
    <n v="0.30499999999999999"/>
    <n v="0.28599999999999998"/>
    <n v="0.77400000000000002"/>
    <n v="0.27100000000000002"/>
    <m/>
    <s v="马五41b"/>
    <x v="11"/>
    <n v="11"/>
    <s v="薄片"/>
    <n v="0.45299999999999996"/>
    <n v="-0.13799999999999998"/>
  </r>
  <r>
    <s v="延959"/>
    <n v="3877"/>
    <n v="40.325000000000003"/>
    <n v="21.433"/>
    <n v="1.8440000000000001"/>
    <n v="159.40100000000001"/>
    <n v="2.7970000000000002"/>
    <n v="7.2380000000000004"/>
    <n v="3.351"/>
    <n v="300.53199999999998"/>
    <n v="333.92399999999998"/>
    <n v="0"/>
    <n v="0"/>
    <n v="100"/>
    <n v="0.22"/>
    <n v="0.32600000000000001"/>
    <n v="5.7000000000000002E-2"/>
    <n v="0.83599999999999997"/>
    <n v="0.16200000000000001"/>
    <m/>
    <s v="马五41b"/>
    <x v="11"/>
    <n v="11"/>
    <s v="薄片"/>
    <n v="0.27700000000000002"/>
    <n v="-0.10600000000000001"/>
  </r>
  <r>
    <s v="延959"/>
    <n v="3877.125"/>
    <n v="31.186"/>
    <n v="21.395"/>
    <n v="2.0259999999999998"/>
    <n v="155.55600000000001"/>
    <n v="2.7989999999999999"/>
    <n v="6.407"/>
    <n v="3.3679999999999999"/>
    <n v="400.78500000000003"/>
    <n v="445.31599999999997"/>
    <n v="0"/>
    <n v="0"/>
    <n v="100"/>
    <n v="0.154"/>
    <n v="0.33500000000000002"/>
    <n v="1.2E-2"/>
    <n v="0.84699999999999998"/>
    <n v="9.4E-2"/>
    <m/>
    <s v="马五41b"/>
    <x v="11"/>
    <n v="11"/>
    <s v="薄片"/>
    <n v="0.16600000000000001"/>
    <n v="-0.18100000000000002"/>
  </r>
  <r>
    <s v="延959"/>
    <n v="3877.25"/>
    <n v="30.463000000000001"/>
    <n v="21.388000000000002"/>
    <n v="2.202"/>
    <n v="155.553"/>
    <n v="2.8010000000000002"/>
    <n v="6.1360000000000001"/>
    <n v="3.3849999999999998"/>
    <n v="456.42700000000002"/>
    <n v="507.142"/>
    <n v="0"/>
    <n v="0"/>
    <n v="100"/>
    <n v="0.16800000000000001"/>
    <n v="0.34499999999999997"/>
    <n v="3.6999999999999998E-2"/>
    <n v="0.85099999999999998"/>
    <n v="8.8999999999999996E-2"/>
    <m/>
    <s v="马五41b"/>
    <x v="11"/>
    <n v="11"/>
    <s v="薄片"/>
    <n v="0.20500000000000002"/>
    <n v="-0.17699999999999996"/>
  </r>
  <r>
    <s v="延959"/>
    <n v="3877.375"/>
    <n v="37.238"/>
    <n v="21.404"/>
    <n v="2.7389999999999999"/>
    <n v="160.96"/>
    <n v="2.798"/>
    <n v="6.6449999999999996"/>
    <n v="3.403"/>
    <n v="422.30900000000003"/>
    <n v="469.23200000000003"/>
    <n v="0"/>
    <n v="0"/>
    <n v="100"/>
    <n v="0.254"/>
    <n v="0.35899999999999999"/>
    <n v="0.14199999999999999"/>
    <n v="0.82499999999999996"/>
    <n v="0.155"/>
    <m/>
    <s v="马五41b"/>
    <x v="11"/>
    <n v="11"/>
    <s v="薄片"/>
    <n v="0.39600000000000002"/>
    <n v="-0.10499999999999998"/>
  </r>
  <r>
    <s v="延959"/>
    <n v="3877.5"/>
    <n v="50.991999999999997"/>
    <n v="21.446999999999999"/>
    <n v="3.6019999999999999"/>
    <n v="170.041"/>
    <n v="2.79"/>
    <n v="7.6420000000000003"/>
    <n v="3.4420000000000002"/>
    <n v="322.053"/>
    <n v="357.83699999999999"/>
    <n v="0"/>
    <n v="0"/>
    <n v="100"/>
    <n v="0.4"/>
    <n v="0.38400000000000001"/>
    <n v="0.28599999999999998"/>
    <n v="0.77"/>
    <n v="0.26800000000000002"/>
    <m/>
    <s v="马五41b"/>
    <x v="11"/>
    <n v="11"/>
    <s v="薄片"/>
    <n v="0.68599999999999994"/>
    <n v="1.6000000000000014E-2"/>
  </r>
  <r>
    <s v="延959"/>
    <n v="3877.875"/>
    <n v="84.287999999999997"/>
    <n v="21.658000000000001"/>
    <n v="4.7370000000000001"/>
    <n v="185.11799999999999"/>
    <n v="2.7589999999999999"/>
    <n v="10.282999999999999"/>
    <n v="3.669"/>
    <n v="134.54900000000001"/>
    <n v="149.499"/>
    <n v="0"/>
    <n v="0"/>
    <n v="100"/>
    <n v="0.65600000000000003"/>
    <n v="0.51800000000000002"/>
    <n v="0.47699999999999998"/>
    <n v="0.61799999999999999"/>
    <n v="0.47699999999999998"/>
    <m/>
    <s v="马五41b"/>
    <x v="11"/>
    <n v="14"/>
    <s v="薄片"/>
    <n v="1.133"/>
    <n v="0.13800000000000001"/>
  </r>
  <r>
    <s v="延959"/>
    <n v="3878"/>
    <n v="76.903000000000006"/>
    <n v="21.675000000000001"/>
    <n v="4.59"/>
    <n v="181.821"/>
    <n v="2.762"/>
    <n v="9.6999999999999993"/>
    <n v="3.7810000000000001"/>
    <n v="128.49799999999999"/>
    <n v="142.77600000000001"/>
    <n v="0"/>
    <n v="0"/>
    <n v="100"/>
    <n v="0.57899999999999996"/>
    <n v="0.57699999999999996"/>
    <n v="0.41"/>
    <n v="0.64"/>
    <n v="0.42599999999999999"/>
    <m/>
    <s v="马五41b"/>
    <x v="11"/>
    <n v="14"/>
    <s v="薄片"/>
    <n v="0.98899999999999988"/>
    <n v="2.0000000000000018E-3"/>
  </r>
  <r>
    <s v="延959"/>
    <n v="3878.625"/>
    <n v="71.289000000000001"/>
    <n v="21.606999999999999"/>
    <n v="5.3159999999999998"/>
    <n v="173.98"/>
    <n v="2.7519999999999998"/>
    <n v="10.227"/>
    <n v="4.3479999999999999"/>
    <n v="177.709"/>
    <n v="197.45400000000001"/>
    <n v="0"/>
    <n v="0"/>
    <n v="100"/>
    <n v="0.55700000000000005"/>
    <n v="0.91400000000000003"/>
    <n v="0.32800000000000001"/>
    <n v="0.54400000000000004"/>
    <n v="0.47399999999999998"/>
    <m/>
    <s v="马五41b"/>
    <x v="12"/>
    <n v="16"/>
    <s v="薄片"/>
    <n v="0.88500000000000001"/>
    <n v="-0.35699999999999998"/>
  </r>
  <r>
    <s v="延959"/>
    <n v="3878.75"/>
    <n v="74.168000000000006"/>
    <n v="21.684000000000001"/>
    <n v="5.5919999999999996"/>
    <n v="177.37299999999999"/>
    <n v="2.7349999999999999"/>
    <n v="9.7349999999999994"/>
    <n v="4.5650000000000004"/>
    <n v="171.084"/>
    <n v="190.09399999999999"/>
    <n v="0"/>
    <n v="0"/>
    <n v="100"/>
    <n v="0.57399999999999995"/>
    <n v="0.98699999999999999"/>
    <n v="0.36799999999999999"/>
    <n v="0.45900000000000002"/>
    <n v="0.40799999999999997"/>
    <m/>
    <s v="马五41b"/>
    <x v="12"/>
    <n v="16"/>
    <s v="薄片"/>
    <n v="0.94199999999999995"/>
    <n v="-0.41300000000000003"/>
  </r>
  <r>
    <s v="延959"/>
    <n v="3878.875"/>
    <n v="73.099000000000004"/>
    <n v="21.777000000000001"/>
    <n v="5.5720000000000001"/>
    <n v="177.61699999999999"/>
    <n v="2.726"/>
    <n v="8.673"/>
    <n v="4.4829999999999997"/>
    <n v="172.81700000000001"/>
    <n v="192.02"/>
    <n v="0"/>
    <n v="0"/>
    <n v="100"/>
    <n v="0.54500000000000004"/>
    <n v="0.90700000000000003"/>
    <n v="0.36"/>
    <n v="0.432"/>
    <n v="0.309"/>
    <m/>
    <s v="马五41b"/>
    <x v="12"/>
    <n v="16"/>
    <s v="薄片"/>
    <n v="0.90500000000000003"/>
    <n v="-0.36199999999999999"/>
  </r>
  <r>
    <s v="延959"/>
    <n v="3879.375"/>
    <n v="36.061"/>
    <n v="21.879000000000001"/>
    <n v="2.1280000000000001"/>
    <n v="165.05799999999999"/>
    <n v="2.7869999999999999"/>
    <n v="11.680999999999999"/>
    <n v="3.4929999999999999"/>
    <n v="237.64500000000001"/>
    <n v="264.04899999999998"/>
    <n v="0"/>
    <n v="0"/>
    <n v="100"/>
    <n v="0.216"/>
    <n v="0.379"/>
    <n v="0.18099999999999999"/>
    <n v="0.79800000000000004"/>
    <n v="0.66600000000000004"/>
    <m/>
    <s v="马五41b"/>
    <x v="11"/>
    <n v="19"/>
    <s v="薄片"/>
    <n v="0.39700000000000002"/>
    <n v="-0.16300000000000001"/>
  </r>
  <r>
    <s v="延959"/>
    <n v="3879.5"/>
    <n v="40.365000000000002"/>
    <n v="21.805"/>
    <n v="2.2040000000000002"/>
    <n v="168.21"/>
    <n v="2.8010000000000002"/>
    <n v="12.736000000000001"/>
    <n v="3.347"/>
    <n v="243.25299999999999"/>
    <n v="270.28100000000001"/>
    <n v="0"/>
    <n v="0"/>
    <n v="100"/>
    <n v="0.27700000000000002"/>
    <n v="0.30499999999999999"/>
    <n v="0.25"/>
    <n v="0.86"/>
    <n v="0.747"/>
    <m/>
    <s v="马五41b"/>
    <x v="11"/>
    <n v="19"/>
    <s v="薄片"/>
    <n v="0.52700000000000002"/>
    <n v="-2.7999999999999969E-2"/>
  </r>
  <r>
    <s v="延959"/>
    <n v="3879.625"/>
    <n v="51.338000000000001"/>
    <n v="21.733000000000001"/>
    <n v="2.63"/>
    <n v="175.16399999999999"/>
    <n v="2.8039999999999998"/>
    <n v="12.891"/>
    <n v="3.2469999999999999"/>
    <n v="227.25700000000001"/>
    <n v="252.50700000000001"/>
    <n v="0"/>
    <n v="0"/>
    <n v="100"/>
    <n v="0.38600000000000001"/>
    <n v="0.25"/>
    <n v="0.378"/>
    <n v="0.85499999999999998"/>
    <n v="0.76900000000000002"/>
    <m/>
    <s v="马五41b"/>
    <x v="11"/>
    <n v="19"/>
    <s v="薄片"/>
    <n v="0.76400000000000001"/>
    <n v="0.13600000000000001"/>
  </r>
  <r>
    <s v="延959"/>
    <n v="3879.75"/>
    <n v="62.695999999999998"/>
    <n v="21.695"/>
    <n v="3.2320000000000002"/>
    <n v="185.23099999999999"/>
    <n v="2.7930000000000001"/>
    <n v="13.243"/>
    <n v="3.15"/>
    <n v="190.82900000000001"/>
    <n v="212.03299999999999"/>
    <n v="0"/>
    <n v="0"/>
    <n v="100"/>
    <n v="0.48899999999999999"/>
    <n v="0.19500000000000001"/>
    <n v="0.55900000000000005"/>
    <n v="0.77300000000000002"/>
    <n v="0.80800000000000005"/>
    <m/>
    <s v="马五41b"/>
    <x v="11"/>
    <n v="19"/>
    <s v="薄片"/>
    <n v="1.048"/>
    <n v="0.29399999999999998"/>
  </r>
  <r>
    <s v="延959"/>
    <n v="3879.875"/>
    <n v="71.203999999999994"/>
    <n v="21.706"/>
    <n v="3.7829999999999999"/>
    <n v="198.93600000000001"/>
    <n v="2.7709999999999999"/>
    <n v="13.731"/>
    <n v="3.0470000000000002"/>
    <n v="147.767"/>
    <n v="164.185"/>
    <n v="0"/>
    <n v="0"/>
    <n v="100"/>
    <n v="0.56599999999999995"/>
    <n v="0.14399999999999999"/>
    <n v="0.77"/>
    <n v="0.64400000000000002"/>
    <n v="0.85099999999999998"/>
    <m/>
    <s v="马五41b"/>
    <x v="11"/>
    <n v="19"/>
    <s v="薄片"/>
    <n v="1.3359999999999999"/>
    <n v="0.42199999999999993"/>
  </r>
  <r>
    <s v="延959"/>
    <n v="3880"/>
    <n v="77.676000000000002"/>
    <n v="21.768000000000001"/>
    <n v="4.1870000000000003"/>
    <n v="210.173"/>
    <n v="2.7480000000000002"/>
    <n v="14.007"/>
    <n v="2.9830000000000001"/>
    <n v="112.83499999999999"/>
    <n v="125.371"/>
    <n v="0"/>
    <n v="0"/>
    <n v="100"/>
    <n v="0.63200000000000001"/>
    <n v="0.11799999999999999"/>
    <n v="0.92100000000000004"/>
    <n v="0.52800000000000002"/>
    <n v="0.88400000000000001"/>
    <m/>
    <s v="马五41b"/>
    <x v="11"/>
    <n v="19"/>
    <s v="薄片"/>
    <n v="1.5529999999999999"/>
    <n v="0.51400000000000001"/>
  </r>
  <r>
    <s v="延1956"/>
    <n v="3928.625"/>
    <n v="27.137"/>
    <n v="21.829000000000001"/>
    <n v="1.327"/>
    <n v="160.96700000000001"/>
    <n v="2.742"/>
    <n v="5.0679999999999996"/>
    <n v="3.0840000000000001"/>
    <n v="283.69900000000001"/>
    <n v="310.78899999999999"/>
    <n v="0.01"/>
    <n v="1E-3"/>
    <n v="100"/>
    <n v="8.2000000000000003E-2"/>
    <n v="0.34499999999999997"/>
    <n v="0.14299999999999999"/>
    <n v="0.53300000000000003"/>
    <n v="0.193"/>
    <m/>
    <s v="马五41a"/>
    <x v="13"/>
    <n v="1"/>
    <s v="岩心观察"/>
    <n v="0.22499999999999998"/>
    <n v="-0.26299999999999996"/>
  </r>
  <r>
    <s v="延1956"/>
    <n v="3928.75"/>
    <n v="28.702999999999999"/>
    <n v="21.885000000000002"/>
    <n v="2.06"/>
    <n v="162.82300000000001"/>
    <n v="2.7410000000000001"/>
    <n v="5.0510000000000002"/>
    <n v="3.1859999999999999"/>
    <n v="401.31900000000002"/>
    <n v="439.30700000000002"/>
    <n v="0.01"/>
    <n v="1E-3"/>
    <n v="100"/>
    <n v="9.6000000000000002E-2"/>
    <n v="0.44900000000000001"/>
    <n v="0.17"/>
    <n v="0.52600000000000002"/>
    <n v="0.187"/>
    <m/>
    <s v="马五41a"/>
    <x v="13"/>
    <n v="1"/>
    <s v="岩心观察"/>
    <n v="0.26600000000000001"/>
    <n v="-0.35299999999999998"/>
  </r>
  <r>
    <s v="延1956"/>
    <n v="3928.875"/>
    <n v="32.143000000000001"/>
    <n v="21.988"/>
    <n v="2.9249999999999998"/>
    <n v="166.262"/>
    <n v="2.7410000000000001"/>
    <n v="5.157"/>
    <n v="3.2930000000000001"/>
    <n v="493.53899999999999"/>
    <n v="539.03200000000004"/>
    <n v="0.01"/>
    <n v="1E-3"/>
    <n v="100"/>
    <n v="0.122"/>
    <n v="0.56100000000000005"/>
    <n v="0.23100000000000001"/>
    <n v="0.52500000000000002"/>
    <n v="0.19500000000000001"/>
    <m/>
    <s v="马五41a"/>
    <x v="13"/>
    <n v="1"/>
    <s v="岩心观察"/>
    <n v="0.35299999999999998"/>
    <n v="-0.43900000000000006"/>
  </r>
  <r>
    <s v="延1956"/>
    <n v="3929"/>
    <n v="33.07"/>
    <n v="22.113"/>
    <n v="3.0920000000000001"/>
    <n v="170.428"/>
    <n v="2.7410000000000001"/>
    <n v="5.3630000000000004"/>
    <n v="3.391"/>
    <n v="524.904"/>
    <n v="572.48199999999997"/>
    <n v="0.01"/>
    <n v="1E-3"/>
    <n v="100"/>
    <n v="0.13500000000000001"/>
    <n v="0.66700000000000004"/>
    <n v="0.311"/>
    <n v="0.52500000000000002"/>
    <n v="0.21299999999999999"/>
    <m/>
    <s v="马五41a"/>
    <x v="13"/>
    <n v="1"/>
    <s v="岩心观察"/>
    <n v="0.44600000000000001"/>
    <n v="-0.53200000000000003"/>
  </r>
  <r>
    <s v="延1956"/>
    <n v="3929.125"/>
    <n v="38.344000000000001"/>
    <n v="22.239000000000001"/>
    <n v="3.8159999999999998"/>
    <n v="174.642"/>
    <n v="2.74"/>
    <n v="5.6589999999999998"/>
    <n v="3.4649999999999999"/>
    <n v="580.96500000000003"/>
    <n v="633.29200000000003"/>
    <n v="0.01"/>
    <n v="1E-3"/>
    <n v="100"/>
    <n v="0.17199999999999999"/>
    <n v="0.751"/>
    <n v="0.39500000000000002"/>
    <n v="0.52200000000000002"/>
    <n v="0.24"/>
    <m/>
    <s v="马五41a"/>
    <x v="13"/>
    <n v="1"/>
    <s v="岩心观察"/>
    <n v="0.56699999999999995"/>
    <n v="-0.57899999999999996"/>
  </r>
  <r>
    <s v="延1956"/>
    <n v="3929.25"/>
    <n v="41.921999999999997"/>
    <n v="22.36"/>
    <n v="4.3380000000000001"/>
    <n v="178.67400000000001"/>
    <n v="2.738"/>
    <n v="6.0650000000000004"/>
    <n v="3.5059999999999998"/>
    <n v="588.42399999999998"/>
    <n v="640.99"/>
    <n v="0.01"/>
    <n v="1E-3"/>
    <n v="100"/>
    <n v="0.20699999999999999"/>
    <n v="0.80200000000000005"/>
    <n v="0.47699999999999998"/>
    <n v="0.51500000000000001"/>
    <n v="0.27700000000000002"/>
    <m/>
    <s v="马五41a"/>
    <x v="13"/>
    <n v="1"/>
    <s v="岩心观察"/>
    <n v="0.68399999999999994"/>
    <n v="-0.59500000000000008"/>
  </r>
  <r>
    <s v="延1956"/>
    <n v="3930.5"/>
    <n v="50.125999999999998"/>
    <n v="21.776"/>
    <n v="1.728"/>
    <n v="159.19200000000001"/>
    <n v="2.762"/>
    <n v="4.7359999999999998"/>
    <n v="3.238"/>
    <n v="1755.2280000000001"/>
    <n v="1909.6659999999999"/>
    <n v="0.01"/>
    <n v="1E-3"/>
    <n v="100"/>
    <n v="0.32200000000000001"/>
    <n v="0.52800000000000002"/>
    <n v="0.11"/>
    <n v="0.61499999999999999"/>
    <n v="0.158"/>
    <m/>
    <s v="马五41b"/>
    <x v="13"/>
    <n v="4"/>
    <s v="岩心观察"/>
    <n v="0.432"/>
    <n v="-0.20600000000000002"/>
  </r>
  <r>
    <s v="延1956"/>
    <n v="3930.625"/>
    <n v="36.558999999999997"/>
    <n v="21.797999999999998"/>
    <n v="1.5469999999999999"/>
    <n v="159.93100000000001"/>
    <n v="2.7610000000000001"/>
    <n v="4.8090000000000002"/>
    <n v="3.2240000000000002"/>
    <n v="1637.961"/>
    <n v="1775.5160000000001"/>
    <n v="0.01"/>
    <n v="1E-3"/>
    <n v="100"/>
    <n v="0.19500000000000001"/>
    <n v="0.51800000000000002"/>
    <n v="0.11700000000000001"/>
    <n v="0.60199999999999998"/>
    <n v="0.16200000000000001"/>
    <m/>
    <s v="马五41b"/>
    <x v="13"/>
    <n v="4"/>
    <s v="岩心观察"/>
    <n v="0.312"/>
    <n v="-0.32300000000000001"/>
  </r>
  <r>
    <s v="延1956"/>
    <n v="3930.75"/>
    <n v="31.175000000000001"/>
    <n v="21.832999999999998"/>
    <n v="1.431"/>
    <n v="161.11000000000001"/>
    <n v="2.7719999999999998"/>
    <n v="4.97"/>
    <n v="3.1859999999999999"/>
    <n v="1282.049"/>
    <n v="1387.9749999999999"/>
    <n v="0.01"/>
    <n v="1E-3"/>
    <n v="100"/>
    <n v="0.13100000000000001"/>
    <n v="0.48299999999999998"/>
    <n v="0.13900000000000001"/>
    <n v="0.63300000000000001"/>
    <n v="0.17499999999999999"/>
    <m/>
    <s v="马五41b"/>
    <x v="13"/>
    <n v="4"/>
    <s v="岩心观察"/>
    <n v="0.27"/>
    <n v="-0.35199999999999998"/>
  </r>
  <r>
    <s v="延1956"/>
    <n v="3930.875"/>
    <n v="35.521000000000001"/>
    <n v="21.866"/>
    <n v="1.391"/>
    <n v="162.184"/>
    <n v="2.79"/>
    <n v="5.1989999999999998"/>
    <n v="3.129"/>
    <n v="988.149"/>
    <n v="1069.7650000000001"/>
    <n v="0.01"/>
    <n v="1E-3"/>
    <n v="100"/>
    <n v="0.15"/>
    <n v="0.42799999999999999"/>
    <n v="0.161"/>
    <n v="0.69499999999999995"/>
    <n v="0.19600000000000001"/>
    <m/>
    <s v="马五41b"/>
    <x v="13"/>
    <n v="4"/>
    <s v="岩心观察"/>
    <n v="0.311"/>
    <n v="-0.27800000000000002"/>
  </r>
  <r>
    <s v="延1956"/>
    <n v="3931"/>
    <n v="42.893999999999998"/>
    <n v="21.888000000000002"/>
    <n v="1.3640000000000001"/>
    <n v="162.94300000000001"/>
    <n v="2.806"/>
    <n v="5.4619999999999997"/>
    <n v="3.0640000000000001"/>
    <n v="791.98699999999997"/>
    <n v="858.29"/>
    <n v="0.01"/>
    <n v="1E-3"/>
    <n v="100"/>
    <n v="0.20699999999999999"/>
    <n v="0.36099999999999999"/>
    <n v="0.17699999999999999"/>
    <n v="0.75800000000000001"/>
    <n v="0.221"/>
    <m/>
    <s v="马五41b"/>
    <x v="13"/>
    <n v="4"/>
    <s v="岩心观察"/>
    <n v="0.38400000000000001"/>
    <n v="-0.154"/>
  </r>
  <r>
    <s v="延1956"/>
    <n v="3931.125"/>
    <n v="47.837000000000003"/>
    <n v="21.898"/>
    <n v="1.292"/>
    <n v="163.268"/>
    <n v="2.8140000000000001"/>
    <n v="5.6379999999999999"/>
    <n v="3.0089999999999999"/>
    <n v="661.05499999999995"/>
    <n v="717.01199999999994"/>
    <n v="0.01"/>
    <n v="1E-3"/>
    <n v="100"/>
    <n v="0.255"/>
    <n v="0.30099999999999999"/>
    <n v="0.186"/>
    <n v="0.79500000000000004"/>
    <n v="0.24099999999999999"/>
    <m/>
    <s v="马五41b"/>
    <x v="13"/>
    <n v="4"/>
    <s v="岩心观察"/>
    <n v="0.441"/>
    <n v="-4.5999999999999985E-2"/>
  </r>
  <r>
    <s v="延1956"/>
    <n v="3931.25"/>
    <n v="50.095999999999997"/>
    <n v="21.893999999999998"/>
    <n v="1.452"/>
    <n v="163.12100000000001"/>
    <n v="2.8140000000000001"/>
    <n v="5.6559999999999997"/>
    <n v="2.9740000000000002"/>
    <n v="601.05799999999999"/>
    <n v="652.19200000000001"/>
    <n v="0.01"/>
    <n v="1E-3"/>
    <n v="100"/>
    <n v="0.28000000000000003"/>
    <n v="0.25900000000000001"/>
    <n v="0.185"/>
    <n v="0.80200000000000005"/>
    <n v="0.246"/>
    <m/>
    <s v="马五41b"/>
    <x v="13"/>
    <n v="4"/>
    <s v="岩心观察"/>
    <n v="0.46500000000000002"/>
    <n v="2.1000000000000019E-2"/>
  </r>
  <r>
    <s v="延1956"/>
    <n v="3931.375"/>
    <n v="47.539000000000001"/>
    <n v="21.870999999999999"/>
    <n v="1.7729999999999999"/>
    <n v="162.358"/>
    <n v="2.8109999999999999"/>
    <n v="5.5359999999999996"/>
    <n v="2.9660000000000002"/>
    <n v="605.21600000000001"/>
    <n v="656.90899999999999"/>
    <n v="0.01"/>
    <n v="1E-3"/>
    <n v="100"/>
    <n v="0.26800000000000002"/>
    <n v="0.24399999999999999"/>
    <n v="0.17299999999999999"/>
    <n v="0.79400000000000004"/>
    <n v="0.23699999999999999"/>
    <m/>
    <s v="马五41b"/>
    <x v="13"/>
    <n v="4"/>
    <s v="岩心观察"/>
    <n v="0.441"/>
    <n v="2.4000000000000021E-2"/>
  </r>
  <r>
    <s v="延1956"/>
    <n v="3935.375"/>
    <n v="41.098999999999997"/>
    <n v="21.617000000000001"/>
    <n v="2.4209999999999998"/>
    <n v="153.90899999999999"/>
    <n v="2.7810000000000001"/>
    <n v="4.9219999999999997"/>
    <n v="3.19"/>
    <n v="711.91"/>
    <n v="776.92499999999995"/>
    <n v="0.01"/>
    <n v="1E-3"/>
    <n v="100"/>
    <n v="0.23799999999999999"/>
    <n v="0.51500000000000001"/>
    <n v="0.01"/>
    <n v="0.67200000000000004"/>
    <n v="0.17799999999999999"/>
    <m/>
    <s v="马五41b"/>
    <x v="13"/>
    <n v="11"/>
    <s v="岩心观察"/>
    <n v="0.248"/>
    <n v="-0.27700000000000002"/>
  </r>
  <r>
    <s v="延1956"/>
    <n v="3935.5"/>
    <n v="36.639000000000003"/>
    <n v="21.634"/>
    <n v="2.4049999999999998"/>
    <n v="154.477"/>
    <n v="2.77"/>
    <n v="5.2510000000000003"/>
    <n v="3.0339999999999998"/>
    <n v="883.45100000000002"/>
    <n v="957.58100000000002"/>
    <n v="0.01"/>
    <n v="1E-3"/>
    <n v="100"/>
    <n v="0.17699999999999999"/>
    <n v="0.35199999999999998"/>
    <n v="8.9999999999999993E-3"/>
    <n v="0.64500000000000002"/>
    <n v="0.19900000000000001"/>
    <m/>
    <s v="马五41b"/>
    <x v="13"/>
    <n v="11"/>
    <s v="岩心观察"/>
    <n v="0.186"/>
    <n v="-0.17499999999999999"/>
  </r>
  <r>
    <s v="延1956"/>
    <n v="3935.625"/>
    <n v="39.326999999999998"/>
    <n v="21.728000000000002"/>
    <n v="2.371"/>
    <n v="157.58799999999999"/>
    <n v="2.742"/>
    <n v="6.0510000000000002"/>
    <n v="2.8969999999999998"/>
    <n v="704.00300000000004"/>
    <n v="762.23800000000006"/>
    <n v="0.01"/>
    <n v="1E-3"/>
    <n v="100"/>
    <n v="0.186"/>
    <n v="0.20300000000000001"/>
    <n v="5.8999999999999997E-2"/>
    <n v="0.55300000000000005"/>
    <n v="0.26700000000000002"/>
    <m/>
    <s v="马五41b"/>
    <x v="13"/>
    <n v="11"/>
    <s v="岩心观察"/>
    <n v="0.245"/>
    <n v="-1.7000000000000015E-2"/>
  </r>
  <r>
    <s v="延1956"/>
    <n v="3935.75"/>
    <n v="39.334000000000003"/>
    <n v="21.878"/>
    <n v="2.4260000000000002"/>
    <n v="162.608"/>
    <n v="2.7029999999999998"/>
    <n v="7.26"/>
    <n v="2.7970000000000002"/>
    <n v="603.33799999999997"/>
    <n v="652.25199999999995"/>
    <n v="0.01"/>
    <n v="1E-3"/>
    <n v="100"/>
    <n v="0.191"/>
    <n v="8.7999999999999995E-2"/>
    <n v="0.151"/>
    <n v="0.41499999999999998"/>
    <n v="0.376"/>
    <m/>
    <s v="马五41b"/>
    <x v="13"/>
    <n v="11"/>
    <s v="岩心观察"/>
    <n v="0.34199999999999997"/>
    <n v="0.10300000000000001"/>
  </r>
  <r>
    <s v="延1956"/>
    <n v="3935.875"/>
    <n v="43.423999999999999"/>
    <n v="22.09"/>
    <n v="2.423"/>
    <n v="169.65299999999999"/>
    <n v="2.6619999999999999"/>
    <n v="8.6539999999999999"/>
    <n v="2.74"/>
    <n v="549.22400000000005"/>
    <n v="593.17499999999995"/>
    <n v="0.01"/>
    <n v="1E-3"/>
    <n v="100"/>
    <n v="0.219"/>
    <n v="1.7000000000000001E-2"/>
    <n v="0.28199999999999997"/>
    <n v="0.26100000000000001"/>
    <n v="0.50900000000000001"/>
    <m/>
    <s v="马五41b"/>
    <x v="13"/>
    <n v="11"/>
    <s v="岩心观察"/>
    <n v="0.501"/>
    <n v="0.20200000000000001"/>
  </r>
  <r>
    <s v="延976-3"/>
    <n v="3780.75"/>
    <n v="30.352"/>
    <n v="158.33799999999999"/>
    <n v="22.751999999999999"/>
    <n v="158.33799999999999"/>
    <n v="2.7320000000000002"/>
    <n v="3.4740000000000002"/>
    <n v="4.3310000000000004"/>
    <n v="453.25099999999998"/>
    <n v="464.12"/>
    <n v="0"/>
    <n v="0"/>
    <n v="100"/>
    <n v="4.8000000000000001E-2"/>
    <n v="0.82"/>
    <n v="8.6999999999999994E-2"/>
    <n v="0.56100000000000005"/>
    <m/>
    <m/>
    <s v="马五41b"/>
    <x v="13"/>
    <m/>
    <s v="录井"/>
    <n v="0.13500000000000001"/>
    <n v="-0.77199999999999991"/>
  </r>
  <r>
    <s v="延976-3"/>
    <n v="3780.875"/>
    <n v="31.518999999999998"/>
    <n v="158.53700000000001"/>
    <n v="22.710999999999999"/>
    <n v="158.53700000000001"/>
    <n v="2.74"/>
    <n v="3.625"/>
    <n v="4.4119999999999999"/>
    <n v="578.68799999999999"/>
    <n v="596.18100000000004"/>
    <n v="0"/>
    <n v="0"/>
    <n v="100"/>
    <n v="5.5E-2"/>
    <n v="0.88300000000000001"/>
    <n v="9.0999999999999998E-2"/>
    <n v="0.57799999999999996"/>
    <m/>
    <m/>
    <s v="马五41b"/>
    <x v="13"/>
    <m/>
    <s v="录井"/>
    <n v="0.14599999999999999"/>
    <n v="-0.82799999999999996"/>
  </r>
  <r>
    <s v="延976-3"/>
    <n v="3781"/>
    <n v="35.283000000000001"/>
    <n v="159.33799999999999"/>
    <n v="22.635999999999999"/>
    <n v="159.33799999999999"/>
    <n v="2.7440000000000002"/>
    <n v="3.9289999999999998"/>
    <n v="4.4870000000000001"/>
    <n v="698.64400000000001"/>
    <n v="727.303"/>
    <n v="0"/>
    <n v="0"/>
    <n v="100"/>
    <n v="7.9000000000000001E-2"/>
    <n v="0.94199999999999995"/>
    <n v="0.105"/>
    <n v="0.58699999999999997"/>
    <m/>
    <m/>
    <s v="马五41b"/>
    <x v="13"/>
    <m/>
    <s v="录井"/>
    <n v="0.184"/>
    <n v="-0.86299999999999999"/>
  </r>
  <r>
    <s v="延976-3"/>
    <n v="3781.125"/>
    <n v="39.392000000000003"/>
    <n v="160.94300000000001"/>
    <n v="22.553000000000001"/>
    <n v="160.94300000000001"/>
    <n v="2.7429999999999999"/>
    <n v="4.3659999999999997"/>
    <n v="4.5359999999999996"/>
    <n v="795.029"/>
    <n v="826.47299999999996"/>
    <n v="0"/>
    <n v="0"/>
    <n v="100"/>
    <n v="0.105"/>
    <n v="0.98"/>
    <n v="0.13400000000000001"/>
    <n v="0.58499999999999996"/>
    <m/>
    <m/>
    <s v="马五41b"/>
    <x v="13"/>
    <m/>
    <s v="录井"/>
    <n v="0.23899999999999999"/>
    <n v="-0.875"/>
  </r>
  <r>
    <s v="延976-3"/>
    <n v="3781.25"/>
    <n v="43.027999999999999"/>
    <n v="163.08699999999999"/>
    <n v="22.491"/>
    <n v="163.08699999999999"/>
    <n v="2.7450000000000001"/>
    <n v="4.8499999999999996"/>
    <n v="4.5490000000000004"/>
    <n v="821.226"/>
    <n v="833.93700000000001"/>
    <n v="0"/>
    <n v="0"/>
    <n v="100"/>
    <n v="0.128"/>
    <n v="0.99"/>
    <n v="0.17199999999999999"/>
    <n v="0.59"/>
    <m/>
    <m/>
    <s v="马五41b"/>
    <x v="13"/>
    <m/>
    <s v="录井"/>
    <n v="0.3"/>
    <n v="-0.86199999999999999"/>
  </r>
  <r>
    <s v="延976-3"/>
    <n v="3781.375"/>
    <n v="48.207000000000001"/>
    <n v="165.30799999999999"/>
    <n v="22.451000000000001"/>
    <n v="165.30799999999999"/>
    <n v="2.7549999999999999"/>
    <n v="5.3040000000000003"/>
    <n v="4.5289999999999999"/>
    <n v="754.76700000000005"/>
    <n v="733.60500000000002"/>
    <n v="0"/>
    <n v="0"/>
    <n v="100"/>
    <n v="0.161"/>
    <n v="0.97399999999999998"/>
    <n v="0.21099999999999999"/>
    <n v="0.61199999999999999"/>
    <m/>
    <m/>
    <s v="马五41b"/>
    <x v="13"/>
    <m/>
    <s v="录井"/>
    <n v="0.372"/>
    <n v="-0.81299999999999994"/>
  </r>
  <r>
    <s v="延976-3"/>
    <n v="3781.5"/>
    <n v="53.139000000000003"/>
    <n v="166.89"/>
    <n v="22.434000000000001"/>
    <n v="166.89"/>
    <n v="2.778"/>
    <n v="5.6630000000000003"/>
    <n v="4.4870000000000001"/>
    <n v="627.68200000000002"/>
    <n v="577.29700000000003"/>
    <n v="0"/>
    <n v="0"/>
    <n v="100"/>
    <n v="0.192"/>
    <n v="0.94199999999999995"/>
    <n v="0.23899999999999999"/>
    <n v="0.66400000000000003"/>
    <m/>
    <m/>
    <s v="马五41b"/>
    <x v="13"/>
    <m/>
    <s v="录井"/>
    <n v="0.43099999999999999"/>
    <n v="-0.75"/>
  </r>
  <r>
    <s v="延976-3"/>
    <n v="3781.625"/>
    <n v="54.134999999999998"/>
    <n v="166.77199999999999"/>
    <n v="22.446000000000002"/>
    <n v="166.77199999999999"/>
    <n v="2.8140000000000001"/>
    <n v="5.8650000000000002"/>
    <n v="4.4459999999999997"/>
    <n v="507.37799999999999"/>
    <n v="446.83600000000001"/>
    <n v="0"/>
    <n v="0"/>
    <n v="100"/>
    <n v="0.19800000000000001"/>
    <n v="0.91"/>
    <n v="0.23699999999999999"/>
    <n v="0.74399999999999999"/>
    <m/>
    <m/>
    <s v="马五41b"/>
    <x v="13"/>
    <m/>
    <s v="录井"/>
    <n v="0.435"/>
    <n v="-0.71199999999999997"/>
  </r>
  <r>
    <s v="延976-3"/>
    <n v="3781.75"/>
    <n v="48.71"/>
    <n v="164.898"/>
    <n v="22.475000000000001"/>
    <n v="164.898"/>
    <n v="2.8530000000000002"/>
    <n v="5.9530000000000003"/>
    <n v="4.4279999999999999"/>
    <n v="427.62599999999998"/>
    <n v="371.90199999999999"/>
    <n v="0"/>
    <n v="0"/>
    <n v="100"/>
    <n v="0.16400000000000001"/>
    <n v="0.89600000000000002"/>
    <n v="0.20399999999999999"/>
    <n v="0.83199999999999996"/>
    <m/>
    <m/>
    <s v="马五41b"/>
    <x v="13"/>
    <m/>
    <s v="录井"/>
    <n v="0.36799999999999999"/>
    <n v="-0.73199999999999998"/>
  </r>
  <r>
    <s v="延976-3"/>
    <n v="3781.875"/>
    <n v="39.390999999999998"/>
    <n v="161.78299999999999"/>
    <n v="22.509"/>
    <n v="161.78299999999999"/>
    <n v="2.8839999999999999"/>
    <n v="5.984"/>
    <n v="4.4409999999999998"/>
    <n v="425.14100000000002"/>
    <n v="383.84100000000001"/>
    <n v="0"/>
    <n v="0"/>
    <n v="100"/>
    <n v="0.105"/>
    <n v="0.90600000000000003"/>
    <n v="0.14799999999999999"/>
    <n v="0.90100000000000002"/>
    <m/>
    <m/>
    <s v="马五41b"/>
    <x v="13"/>
    <m/>
    <s v="录井"/>
    <n v="0.253"/>
    <n v="-0.80100000000000005"/>
  </r>
  <r>
    <s v="延976-3"/>
    <n v="3782"/>
    <n v="32.124000000000002"/>
    <n v="158.62899999999999"/>
    <n v="22.542000000000002"/>
    <n v="158.62899999999999"/>
    <n v="2.903"/>
    <n v="6.0380000000000003"/>
    <n v="4.4809999999999999"/>
    <n v="706.39300000000003"/>
    <n v="675.85699999999997"/>
    <n v="0"/>
    <n v="0"/>
    <n v="100"/>
    <n v="5.8999999999999997E-2"/>
    <n v="0.93700000000000006"/>
    <n v="9.2999999999999999E-2"/>
    <n v="0.94399999999999995"/>
    <m/>
    <m/>
    <s v="马五41b"/>
    <x v="13"/>
    <m/>
    <s v="录井"/>
    <n v="0.152"/>
    <n v="-0.87800000000000011"/>
  </r>
  <r>
    <s v="延976-3"/>
    <n v="3782.375"/>
    <n v="36.124000000000002"/>
    <n v="163.51499999999999"/>
    <n v="22.552"/>
    <n v="157.41999999999999"/>
    <n v="2.8929999999999998"/>
    <n v="6.806"/>
    <n v="4.5599999999999996"/>
    <n v="3148.143"/>
    <n v="3155.9009999999998"/>
    <n v="0"/>
    <n v="0"/>
    <n v="100"/>
    <n v="8.4000000000000005E-2"/>
    <n v="0.998"/>
    <n v="0.17899999999999999"/>
    <n v="0.92200000000000004"/>
    <m/>
    <m/>
    <s v="马五41b"/>
    <x v="13"/>
    <m/>
    <s v="录井"/>
    <n v="0.26300000000000001"/>
    <n v="-0.91400000000000003"/>
  </r>
  <r>
    <s v="延976-3"/>
    <n v="3782.5"/>
    <n v="46.56"/>
    <n v="169.36600000000001"/>
    <n v="22.529"/>
    <n v="159.08199999999999"/>
    <n v="2.8929999999999998"/>
    <n v="7.101"/>
    <n v="4.5149999999999997"/>
    <n v="1994.6110000000001"/>
    <n v="2051.1640000000002"/>
    <n v="0"/>
    <n v="0"/>
    <n v="100"/>
    <n v="0.15"/>
    <n v="0.96299999999999997"/>
    <n v="0.28299999999999997"/>
    <n v="0.92200000000000004"/>
    <m/>
    <m/>
    <s v="马五41b"/>
    <x v="13"/>
    <m/>
    <s v="录井"/>
    <n v="0.43299999999999994"/>
    <n v="-0.81299999999999994"/>
  </r>
  <r>
    <s v="延976-3"/>
    <n v="3782.625"/>
    <n v="53.654000000000003"/>
    <n v="173.87100000000001"/>
    <n v="22.521000000000001"/>
    <n v="163.51499999999999"/>
    <n v="2.903"/>
    <n v="7.2210000000000001"/>
    <n v="4.42"/>
    <n v="913.43799999999999"/>
    <n v="974.14200000000005"/>
    <n v="0"/>
    <n v="0"/>
    <n v="100"/>
    <n v="0.19500000000000001"/>
    <n v="0.89"/>
    <n v="0.36299999999999999"/>
    <n v="0.94399999999999995"/>
    <m/>
    <m/>
    <s v="马五41b"/>
    <x v="13"/>
    <m/>
    <s v="录井"/>
    <n v="0.55800000000000005"/>
    <n v="-0.69500000000000006"/>
  </r>
  <r>
    <s v="延976-3"/>
    <n v="3782.75"/>
    <n v="59.594000000000001"/>
    <n v="174.98699999999999"/>
    <n v="22.526"/>
    <n v="169.36600000000001"/>
    <n v="2.9169999999999998"/>
    <n v="7.1230000000000002"/>
    <n v="4.2949999999999999"/>
    <n v="549.95000000000005"/>
    <n v="592.99900000000002"/>
    <n v="0"/>
    <n v="0"/>
    <n v="100"/>
    <n v="0.23200000000000001"/>
    <n v="0.79200000000000004"/>
    <n v="0.38300000000000001"/>
    <n v="0.97499999999999998"/>
    <m/>
    <m/>
    <s v="马五41b"/>
    <x v="13"/>
    <m/>
    <s v="录井"/>
    <n v="0.61499999999999999"/>
    <n v="-0.56000000000000005"/>
  </r>
  <r>
    <s v="靖12-1"/>
    <n v="3731.375"/>
    <n v="22.216999999999999"/>
    <n v="161.91200000000001"/>
    <n v="22.442"/>
    <n v="161.91200000000001"/>
    <n v="2.7629999999999999"/>
    <n v="2.6509999999999998"/>
    <n v="4.1909999999999998"/>
    <n v="972.36"/>
    <n v="922.10199999999998"/>
    <n v="0.01"/>
    <n v="0.01"/>
    <n v="100"/>
    <n v="5.2999999999999999E-2"/>
    <n v="0.71399999999999997"/>
    <n v="0.14899999999999999"/>
    <n v="0.64800000000000002"/>
    <m/>
    <m/>
    <s v="马五41b"/>
    <x v="13"/>
    <m/>
    <s v="录井"/>
    <n v="0.20199999999999999"/>
    <n v="-0.66099999999999992"/>
  </r>
  <r>
    <s v="靖12-1"/>
    <n v="3731.5"/>
    <n v="27.707000000000001"/>
    <n v="164.33099999999999"/>
    <n v="22.331"/>
    <n v="164.33099999999999"/>
    <n v="2.78"/>
    <n v="2.4660000000000002"/>
    <n v="4.5069999999999997"/>
    <n v="895.40599999999995"/>
    <n v="849.18700000000001"/>
    <n v="0.01"/>
    <n v="0.01"/>
    <n v="100"/>
    <n v="9.4E-2"/>
    <n v="0.84399999999999997"/>
    <n v="0.20300000000000001"/>
    <n v="0.68799999999999994"/>
    <m/>
    <m/>
    <s v="马五41b"/>
    <x v="13"/>
    <m/>
    <s v="录井"/>
    <n v="0.29700000000000004"/>
    <n v="-0.75"/>
  </r>
  <r>
    <s v="靖12-1"/>
    <n v="3731.625"/>
    <n v="35.851999999999997"/>
    <n v="165.71799999999999"/>
    <n v="22.202000000000002"/>
    <n v="165.71799999999999"/>
    <n v="2.8"/>
    <n v="2.4289999999999998"/>
    <n v="4.76"/>
    <n v="849.36699999999996"/>
    <n v="803.63900000000001"/>
    <n v="0.01"/>
    <n v="0.01"/>
    <n v="100"/>
    <n v="0.154"/>
    <n v="0.94699999999999995"/>
    <n v="0.23300000000000001"/>
    <n v="0.73399999999999999"/>
    <m/>
    <m/>
    <s v="马五41b"/>
    <x v="13"/>
    <m/>
    <s v="录井"/>
    <n v="0.38700000000000001"/>
    <n v="-0.79299999999999993"/>
  </r>
  <r>
    <s v="靖12-1"/>
    <n v="3731.75"/>
    <n v="42.262999999999998"/>
    <n v="166.87799999999999"/>
    <n v="22.077999999999999"/>
    <n v="166.87799999999999"/>
    <n v="2.8220000000000001"/>
    <n v="2.4390000000000001"/>
    <n v="4.8879999999999999"/>
    <n v="831.96600000000001"/>
    <n v="782.93600000000004"/>
    <n v="0.01"/>
    <n v="0.01"/>
    <n v="100"/>
    <n v="0.20100000000000001"/>
    <n v="1"/>
    <n v="0.25900000000000001"/>
    <n v="0.78600000000000003"/>
    <m/>
    <m/>
    <s v="马五41b"/>
    <x v="13"/>
    <m/>
    <s v="录井"/>
    <n v="0.46"/>
    <n v="-0.79899999999999993"/>
  </r>
  <r>
    <s v="靖12-1"/>
    <n v="3731.875"/>
    <n v="43.369"/>
    <n v="168.495"/>
    <n v="22.001999999999999"/>
    <n v="168.495"/>
    <n v="2.843"/>
    <n v="2.3580000000000001"/>
    <n v="4.8849999999999998"/>
    <n v="874.83399999999995"/>
    <n v="818.96600000000001"/>
    <n v="0.01"/>
    <n v="0.01"/>
    <n v="100"/>
    <n v="0.21"/>
    <n v="0.999"/>
    <n v="0.29499999999999998"/>
    <n v="0.83399999999999996"/>
    <m/>
    <m/>
    <s v="马五41b"/>
    <x v="13"/>
    <m/>
    <s v="录井"/>
    <n v="0.505"/>
    <n v="-0.78900000000000003"/>
  </r>
  <r>
    <s v="靖12-1"/>
    <n v="3732"/>
    <n v="40.345999999999997"/>
    <n v="169.61799999999999"/>
    <n v="21.983000000000001"/>
    <n v="169.61799999999999"/>
    <n v="2.8639999999999999"/>
    <n v="2.0819999999999999"/>
    <n v="4.7320000000000002"/>
    <n v="1009.953"/>
    <n v="949.84799999999996"/>
    <n v="0.01"/>
    <n v="0.01"/>
    <n v="100"/>
    <n v="0.187"/>
    <n v="0.93600000000000005"/>
    <n v="0.31900000000000001"/>
    <n v="0.88300000000000001"/>
    <m/>
    <m/>
    <s v="马五41b"/>
    <x v="13"/>
    <m/>
    <s v="录井"/>
    <n v="0.50600000000000001"/>
    <n v="-0.74900000000000011"/>
  </r>
  <r>
    <s v="靖12-1"/>
    <n v="3732.125"/>
    <n v="36.631"/>
    <n v="168.53700000000001"/>
    <n v="22.006"/>
    <n v="168.53700000000001"/>
    <n v="2.8809999999999998"/>
    <n v="1.643"/>
    <n v="4.4059999999999997"/>
    <n v="1182.48"/>
    <n v="1145.3589999999999"/>
    <n v="0.01"/>
    <n v="0.01"/>
    <n v="100"/>
    <n v="0.16"/>
    <n v="0.80200000000000005"/>
    <n v="0.29599999999999999"/>
    <n v="0.92300000000000004"/>
    <m/>
    <m/>
    <s v="马五41b"/>
    <x v="13"/>
    <m/>
    <s v="录井"/>
    <n v="0.45599999999999996"/>
    <n v="-0.64200000000000002"/>
  </r>
  <r>
    <s v="靖3"/>
    <n v="3612.5"/>
    <n v="75.447999999999993"/>
    <n v="171.91800000000001"/>
    <n v="21.995999999999999"/>
    <n v="171.91800000000001"/>
    <n v="2.8"/>
    <n v="3.879"/>
    <n v="4.3239999999999998"/>
    <n v="214.19499999999999"/>
    <n v="222.166"/>
    <n v="0"/>
    <n v="0"/>
    <n v="100"/>
    <n v="0.39400000000000002"/>
    <n v="0.81599999999999995"/>
    <n v="0.16"/>
    <n v="0.90500000000000003"/>
    <m/>
    <m/>
    <s v="马五41b"/>
    <x v="13"/>
    <m/>
    <s v="录井"/>
    <n v="0.55400000000000005"/>
    <n v="-0.42199999999999993"/>
  </r>
  <r>
    <s v="靖3"/>
    <n v="3612.625"/>
    <n v="72.594999999999999"/>
    <n v="173.08799999999999"/>
    <n v="22.015999999999998"/>
    <n v="173.08799999999999"/>
    <n v="2.8140000000000001"/>
    <n v="3.335"/>
    <n v="4.4640000000000004"/>
    <n v="218.876"/>
    <n v="226.857"/>
    <n v="0"/>
    <n v="0"/>
    <n v="100"/>
    <n v="0.375"/>
    <n v="0.92200000000000004"/>
    <n v="0.17599999999999999"/>
    <n v="0.96799999999999997"/>
    <m/>
    <m/>
    <s v="马五41b"/>
    <x v="13"/>
    <m/>
    <s v="录井"/>
    <n v="0.55099999999999993"/>
    <n v="-0.54700000000000004"/>
  </r>
  <r>
    <s v="靖3"/>
    <n v="3612.875"/>
    <n v="50.162999999999997"/>
    <n v="175.012"/>
    <n v="22.035"/>
    <n v="174.31200000000001"/>
    <n v="2.8210000000000002"/>
    <n v="3.2879999999999998"/>
    <n v="4.5659999999999998"/>
    <n v="256.44600000000003"/>
    <n v="266.13299999999998"/>
    <n v="0"/>
    <n v="0"/>
    <n v="100"/>
    <n v="0.223"/>
    <n v="1"/>
    <n v="0.20300000000000001"/>
    <n v="1"/>
    <m/>
    <m/>
    <s v="马五41b"/>
    <x v="13"/>
    <m/>
    <s v="录井"/>
    <n v="0.42600000000000005"/>
    <n v="-0.77700000000000002"/>
  </r>
  <r>
    <s v="靖3"/>
    <n v="3613"/>
    <n v="43.792999999999999"/>
    <n v="174.75800000000001"/>
    <n v="22.039000000000001"/>
    <n v="175.012"/>
    <n v="2.8119999999999998"/>
    <n v="3.6789999999999998"/>
    <n v="4.5220000000000002"/>
    <n v="286.899"/>
    <n v="297.91699999999997"/>
    <n v="0"/>
    <n v="0"/>
    <n v="100"/>
    <n v="0.17899999999999999"/>
    <n v="0.96599999999999997"/>
    <n v="0.19900000000000001"/>
    <n v="0.95899999999999996"/>
    <m/>
    <m/>
    <s v="马五41b"/>
    <x v="13"/>
    <m/>
    <s v="录井"/>
    <n v="0.378"/>
    <n v="-0.78699999999999992"/>
  </r>
  <r>
    <s v="靖3"/>
    <n v="3613.125"/>
    <n v="43.37"/>
    <n v="173.56"/>
    <n v="22.042000000000002"/>
    <n v="174.75800000000001"/>
    <n v="2.8"/>
    <n v="4.2889999999999997"/>
    <n v="4.4260000000000002"/>
    <n v="303.51799999999997"/>
    <n v="315.01499999999999"/>
    <n v="0"/>
    <n v="0"/>
    <n v="100"/>
    <n v="0.17599999999999999"/>
    <n v="0.89300000000000002"/>
    <n v="0.183"/>
    <n v="0.90500000000000003"/>
    <m/>
    <m/>
    <s v="马五41b"/>
    <x v="13"/>
    <m/>
    <s v="录井"/>
    <n v="0.35899999999999999"/>
    <n v="-0.71700000000000008"/>
  </r>
  <r>
    <s v="延1952"/>
    <n v="3924.875"/>
    <n v="32.368000000000002"/>
    <n v="21.776"/>
    <n v="1.671"/>
    <n v="159.191"/>
    <n v="2.79"/>
    <n v="6.7939999999999996"/>
    <n v="2.8359999999999999"/>
    <n v="1353.33"/>
    <n v="1498.7470000000001"/>
    <n v="0.01"/>
    <n v="1E-3"/>
    <n v="100"/>
    <n v="9.5000000000000001E-2"/>
    <n v="0.12"/>
    <n v="0.16"/>
    <n v="0.89200000000000002"/>
    <n v="0.36499999999999999"/>
    <m/>
    <s v="马五41b"/>
    <x v="13"/>
    <n v="8"/>
    <s v="薄片"/>
    <n v="0.255"/>
    <n v="-2.4999999999999994E-2"/>
  </r>
  <r>
    <s v="延1952"/>
    <n v="3925"/>
    <n v="38.076000000000001"/>
    <n v="21.79"/>
    <n v="1.931"/>
    <n v="159.67400000000001"/>
    <n v="2.8010000000000002"/>
    <n v="6.6449999999999996"/>
    <n v="2.774"/>
    <n v="1229.22"/>
    <n v="1367.3389999999999"/>
    <n v="0.01"/>
    <n v="1E-3"/>
    <n v="100"/>
    <n v="0.14599999999999999"/>
    <n v="7.6999999999999999E-2"/>
    <n v="0.16900000000000001"/>
    <n v="0.94899999999999995"/>
    <n v="0.34799999999999998"/>
    <m/>
    <s v="马五41b"/>
    <x v="13"/>
    <n v="8"/>
    <s v="薄片"/>
    <n v="0.315"/>
    <n v="6.8999999999999992E-2"/>
  </r>
  <r>
    <s v="延1952"/>
    <n v="3925.125"/>
    <n v="42.402999999999999"/>
    <n v="21.824000000000002"/>
    <n v="2.1720000000000002"/>
    <n v="160.79300000000001"/>
    <n v="2.8069999999999999"/>
    <n v="6.6909999999999998"/>
    <n v="2.7229999999999999"/>
    <n v="1089.4780000000001"/>
    <n v="1215.894"/>
    <n v="0.01"/>
    <n v="1E-3"/>
    <n v="100"/>
    <n v="0.188"/>
    <n v="0.04"/>
    <n v="0.20100000000000001"/>
    <n v="0.98399999999999999"/>
    <n v="0.34899999999999998"/>
    <m/>
    <s v="马五41b"/>
    <x v="13"/>
    <n v="8"/>
    <s v="薄片"/>
    <n v="0.38900000000000001"/>
    <n v="0.14799999999999999"/>
  </r>
  <r>
    <s v="延982"/>
    <n v="3379.875"/>
    <n v="15.016"/>
    <n v="23.620999999999999"/>
    <n v="1.214"/>
    <n v="161.29400000000001"/>
    <n v="2.9159999999999999"/>
    <n v="0.89100000000000001"/>
    <n v="4.4340000000000002"/>
    <n v="1687.7149999999999"/>
    <n v="1922.931"/>
    <n v="0.01"/>
    <n v="1E-3"/>
    <n v="100"/>
    <n v="2.1000000000000001E-2"/>
    <n v="0.96699999999999997"/>
    <n v="0.13"/>
    <n v="0.92700000000000005"/>
    <n v="6.0000000000000001E-3"/>
    <m/>
    <s v="马五41b"/>
    <x v="13"/>
    <n v="6"/>
    <m/>
    <n v="0.151"/>
    <n v="-0.94599999999999995"/>
  </r>
  <r>
    <s v="延982"/>
    <n v="3380"/>
    <n v="14.058999999999999"/>
    <n v="23.683"/>
    <n v="1.1639999999999999"/>
    <n v="162.81200000000001"/>
    <n v="2.9129999999999998"/>
    <n v="0.79500000000000004"/>
    <n v="4.5069999999999997"/>
    <n v="1590.2170000000001"/>
    <n v="1765.3789999999999"/>
    <n v="0.01"/>
    <n v="1E-3"/>
    <n v="100"/>
    <n v="1.4999999999999999E-2"/>
    <n v="0.999"/>
    <n v="0.14499999999999999"/>
    <n v="0.91900000000000004"/>
    <n v="0"/>
    <m/>
    <s v="马五41b"/>
    <x v="13"/>
    <n v="6"/>
    <m/>
    <n v="0.15999999999999998"/>
    <n v="-0.98399999999999999"/>
  </r>
  <r>
    <s v="延982"/>
    <n v="3380.125"/>
    <n v="13.457000000000001"/>
    <n v="23.74"/>
    <n v="1.123"/>
    <n v="163.29400000000001"/>
    <n v="2.911"/>
    <n v="0.79500000000000004"/>
    <n v="4.4829999999999997"/>
    <n v="1577.4649999999999"/>
    <n v="1717.4090000000001"/>
    <n v="0.01"/>
    <n v="1E-3"/>
    <n v="100"/>
    <n v="1.0999999999999999E-2"/>
    <n v="0.98499999999999999"/>
    <n v="0.14899999999999999"/>
    <n v="0.91400000000000003"/>
    <n v="0"/>
    <m/>
    <s v="马五41b"/>
    <x v="13"/>
    <n v="6"/>
    <m/>
    <n v="0.16"/>
    <n v="-0.97399999999999998"/>
  </r>
  <r>
    <s v="延982"/>
    <n v="3380.25"/>
    <n v="14.118"/>
    <n v="23.774999999999999"/>
    <n v="1.083"/>
    <n v="162.65700000000001"/>
    <n v="2.91"/>
    <n v="0.83599999999999997"/>
    <n v="4.3959999999999999"/>
    <n v="1572.847"/>
    <n v="1682.5039999999999"/>
    <n v="0.01"/>
    <n v="1E-3"/>
    <n v="100"/>
    <n v="1.6E-2"/>
    <n v="0.94299999999999995"/>
    <n v="0.14199999999999999"/>
    <n v="0.91200000000000003"/>
    <n v="3.0000000000000001E-3"/>
    <m/>
    <s v="马五41b"/>
    <x v="13"/>
    <n v="6"/>
    <m/>
    <n v="0.15799999999999997"/>
    <n v="-0.92699999999999994"/>
  </r>
  <r>
    <s v="延982"/>
    <n v="3380.375"/>
    <n v="16.068000000000001"/>
    <n v="23.76"/>
    <n v="1.05"/>
    <n v="161.637"/>
    <n v="2.9140000000000001"/>
    <n v="0.86799999999999999"/>
    <n v="4.298"/>
    <n v="1525.72"/>
    <n v="1602.943"/>
    <n v="0.01"/>
    <n v="1E-3"/>
    <n v="100"/>
    <n v="3.1E-2"/>
    <n v="0.89700000000000002"/>
    <n v="0.13200000000000001"/>
    <n v="0.92200000000000004"/>
    <n v="5.0000000000000001E-3"/>
    <m/>
    <s v="马五41b"/>
    <x v="13"/>
    <n v="6"/>
    <m/>
    <n v="0.16300000000000001"/>
    <n v="-0.86599999999999999"/>
  </r>
  <r>
    <s v="延982"/>
    <n v="3380.5"/>
    <n v="18.387"/>
    <n v="23.713999999999999"/>
    <n v="1.042"/>
    <n v="161.185"/>
    <n v="2.915"/>
    <n v="0.88500000000000001"/>
    <n v="4.2309999999999999"/>
    <n v="1424.425"/>
    <n v="1472.1389999999999"/>
    <n v="0.01"/>
    <n v="1E-3"/>
    <n v="100"/>
    <n v="4.7E-2"/>
    <n v="0.86699999999999999"/>
    <n v="0.129"/>
    <n v="0.92100000000000004"/>
    <n v="7.0000000000000001E-3"/>
    <m/>
    <s v="马五41b"/>
    <x v="13"/>
    <n v="6"/>
    <m/>
    <n v="0.17599999999999999"/>
    <n v="-0.82"/>
  </r>
  <r>
    <s v="延982"/>
    <n v="3380.625"/>
    <n v="19.853999999999999"/>
    <n v="23.690999999999999"/>
    <n v="1.0620000000000001"/>
    <n v="161.643"/>
    <n v="2.899"/>
    <n v="0.90900000000000003"/>
    <n v="4.2229999999999999"/>
    <n v="1351.5719999999999"/>
    <n v="1399.848"/>
    <n v="0.01"/>
    <n v="1E-3"/>
    <n v="100"/>
    <n v="5.7000000000000002E-2"/>
    <n v="0.86399999999999999"/>
    <n v="0.13300000000000001"/>
    <n v="0.875"/>
    <n v="8.0000000000000002E-3"/>
    <m/>
    <s v="马五41b"/>
    <x v="13"/>
    <n v="6"/>
    <m/>
    <n v="0.19"/>
    <n v="-0.80699999999999994"/>
  </r>
  <r>
    <s v="延982"/>
    <n v="3380.75"/>
    <n v="20.09"/>
    <n v="23.704999999999998"/>
    <n v="1.0900000000000001"/>
    <n v="162.268"/>
    <n v="2.867"/>
    <n v="0.93300000000000005"/>
    <n v="4.25"/>
    <n v="1421.711"/>
    <n v="1512.5350000000001"/>
    <n v="0.01"/>
    <n v="1E-3"/>
    <n v="100"/>
    <n v="5.8000000000000003E-2"/>
    <n v="0.878"/>
    <n v="0.13900000000000001"/>
    <n v="0.79100000000000004"/>
    <n v="0.01"/>
    <m/>
    <s v="马五41b"/>
    <x v="13"/>
    <n v="6"/>
    <m/>
    <n v="0.19700000000000001"/>
    <n v="-0.82"/>
  </r>
  <r>
    <s v="延982"/>
    <n v="3380.875"/>
    <n v="19.443000000000001"/>
    <n v="23.734000000000002"/>
    <n v="1.1279999999999999"/>
    <n v="162.49299999999999"/>
    <n v="2.8439999999999999"/>
    <n v="0.93700000000000006"/>
    <n v="4.298"/>
    <n v="1732.9110000000001"/>
    <n v="1950.165"/>
    <n v="0.01"/>
    <n v="1E-3"/>
    <n v="100"/>
    <n v="5.2999999999999999E-2"/>
    <n v="0.90100000000000002"/>
    <n v="0.14099999999999999"/>
    <n v="0.73399999999999999"/>
    <n v="0.01"/>
    <m/>
    <s v="马五41b"/>
    <x v="13"/>
    <n v="6"/>
    <m/>
    <n v="0.19399999999999998"/>
    <n v="-0.84799999999999998"/>
  </r>
  <r>
    <s v="延982"/>
    <n v="3381"/>
    <n v="18.302"/>
    <n v="23.73"/>
    <n v="1.1890000000000001"/>
    <n v="162.137"/>
    <n v="2.8460000000000001"/>
    <n v="0.92600000000000005"/>
    <n v="4.3579999999999997"/>
    <n v="3100.2139999999999"/>
    <n v="4366.5990000000002"/>
    <n v="0.01"/>
    <n v="1E-3"/>
    <n v="100"/>
    <n v="4.4999999999999998E-2"/>
    <n v="0.92900000000000005"/>
    <n v="0.13700000000000001"/>
    <n v="0.74199999999999999"/>
    <n v="8.9999999999999993E-3"/>
    <m/>
    <s v="马五41b"/>
    <x v="13"/>
    <n v="6"/>
    <m/>
    <n v="0.182"/>
    <n v="-0.88400000000000001"/>
  </r>
  <r>
    <s v="延982"/>
    <n v="3381.125"/>
    <n v="16.675000000000001"/>
    <n v="23.652999999999999"/>
    <n v="1.2709999999999999"/>
    <n v="160.88999999999999"/>
    <n v="2.863"/>
    <n v="0.93600000000000005"/>
    <n v="4.3710000000000004"/>
    <n v="6751.9470000000001"/>
    <n v="11288.259"/>
    <n v="0.01"/>
    <n v="1E-3"/>
    <n v="100"/>
    <n v="3.3000000000000002E-2"/>
    <n v="0.93100000000000005"/>
    <n v="0.124"/>
    <n v="0.78800000000000003"/>
    <n v="0.01"/>
    <m/>
    <s v="马五41b"/>
    <x v="13"/>
    <n v="6"/>
    <m/>
    <n v="0.157"/>
    <n v="-0.89800000000000002"/>
  </r>
  <r>
    <s v="延982"/>
    <n v="3381.25"/>
    <n v="14.638"/>
    <n v="23.545999999999999"/>
    <n v="1.3560000000000001"/>
    <n v="158.98099999999999"/>
    <n v="2.8820000000000001"/>
    <n v="0.97699999999999998"/>
    <n v="4.2590000000000003"/>
    <n v="12086.832"/>
    <n v="21583.33"/>
    <n v="0.01"/>
    <n v="1E-3"/>
    <n v="100"/>
    <n v="1.7999999999999999E-2"/>
    <n v="0.876"/>
    <n v="0.106"/>
    <n v="0.83899999999999997"/>
    <n v="1.2999999999999999E-2"/>
    <m/>
    <s v="马五41b"/>
    <x v="13"/>
    <n v="6"/>
    <m/>
    <n v="0.124"/>
    <n v="-0.85799999999999998"/>
  </r>
  <r>
    <s v="延982"/>
    <n v="3381.375"/>
    <n v="12.813000000000001"/>
    <n v="23.507000000000001"/>
    <n v="1.417"/>
    <n v="157.649"/>
    <n v="2.899"/>
    <n v="1.018"/>
    <n v="4.1420000000000003"/>
    <n v="15392.498"/>
    <n v="27929.842000000001"/>
    <n v="0.01"/>
    <n v="1E-3"/>
    <n v="100"/>
    <n v="6.0000000000000001E-3"/>
    <n v="0.82499999999999996"/>
    <n v="9.2999999999999999E-2"/>
    <n v="0.88600000000000001"/>
    <n v="1.6E-2"/>
    <m/>
    <s v="马五41b"/>
    <x v="13"/>
    <n v="6"/>
    <m/>
    <n v="9.9000000000000005E-2"/>
    <n v="-0.81899999999999995"/>
  </r>
  <r>
    <s v="延982"/>
    <n v="3382"/>
    <n v="30.038"/>
    <n v="23.597999999999999"/>
    <n v="2.0950000000000002"/>
    <n v="163.82300000000001"/>
    <n v="2.9009999999999998"/>
    <n v="1.1930000000000001"/>
    <n v="4.3449999999999998"/>
    <n v="763.44200000000001"/>
    <n v="836.64"/>
    <n v="0.01"/>
    <n v="1E-3"/>
    <n v="100"/>
    <n v="0.13200000000000001"/>
    <n v="0.91800000000000004"/>
    <n v="0.155"/>
    <n v="0.88300000000000001"/>
    <n v="2.9000000000000001E-2"/>
    <m/>
    <s v="马五41b"/>
    <x v="13"/>
    <n v="6"/>
    <m/>
    <n v="0.28700000000000003"/>
    <n v="-0.78600000000000003"/>
  </r>
  <r>
    <s v="靖21-1"/>
    <n v="3823.25"/>
    <n v="51.354999999999997"/>
    <n v="168.608"/>
    <n v="23.138999999999999"/>
    <n v="168.608"/>
    <n v="2.6989999999999998"/>
    <n v="6.7560000000000002"/>
    <n v="4.024"/>
    <n v="1942.1389999999999"/>
    <n v="1918.6289999999999"/>
    <n v="0.01"/>
    <n v="1E-3"/>
    <n v="100"/>
    <n v="0.185"/>
    <n v="0.73199999999999998"/>
    <n v="0.14899999999999999"/>
    <n v="0.46500000000000002"/>
    <m/>
    <m/>
    <s v="马五41b"/>
    <x v="14"/>
    <m/>
    <s v="录井"/>
    <n v="0.33399999999999996"/>
    <n v="-0.54699999999999993"/>
  </r>
  <r>
    <s v="靖21-1"/>
    <n v="3823.375"/>
    <n v="60.633000000000003"/>
    <n v="181.15199999999999"/>
    <n v="22.827000000000002"/>
    <n v="181.15199999999999"/>
    <n v="2.7109999999999999"/>
    <n v="6.6970000000000001"/>
    <n v="4.2880000000000003"/>
    <n v="1237.402"/>
    <n v="1184.759"/>
    <n v="0.01"/>
    <n v="1E-3"/>
    <n v="100"/>
    <n v="0.246"/>
    <n v="0.83299999999999996"/>
    <n v="0.23100000000000001"/>
    <n v="0.502"/>
    <m/>
    <m/>
    <s v="马五41b"/>
    <x v="14"/>
    <m/>
    <s v="录井"/>
    <n v="0.47699999999999998"/>
    <n v="-0.58699999999999997"/>
  </r>
  <r>
    <s v="靖21-1"/>
    <n v="3823.5"/>
    <n v="62.143000000000001"/>
    <n v="185.56100000000001"/>
    <n v="22.914000000000001"/>
    <n v="185.56100000000001"/>
    <n v="2.71"/>
    <n v="6.7409999999999997"/>
    <n v="4.4989999999999997"/>
    <n v="853.66600000000005"/>
    <n v="807.24300000000005"/>
    <n v="0.01"/>
    <n v="1E-3"/>
    <n v="100"/>
    <n v="0.25600000000000001"/>
    <n v="0.91400000000000003"/>
    <n v="0.26"/>
    <n v="0.498"/>
    <m/>
    <m/>
    <s v="马五41b"/>
    <x v="14"/>
    <m/>
    <s v="录井"/>
    <n v="0.51600000000000001"/>
    <n v="-0.65800000000000003"/>
  </r>
  <r>
    <s v="靖21-1"/>
    <n v="3823.625"/>
    <n v="55.249000000000002"/>
    <n v="186.67400000000001"/>
    <n v="23.475999999999999"/>
    <n v="186.67400000000001"/>
    <n v="2.6859999999999999"/>
    <n v="6.9660000000000002"/>
    <n v="4.649"/>
    <n v="616.88400000000001"/>
    <n v="586.78099999999995"/>
    <n v="0.01"/>
    <n v="1E-3"/>
    <n v="100"/>
    <n v="0.21099999999999999"/>
    <n v="0.97199999999999998"/>
    <n v="0.26700000000000002"/>
    <n v="0.42499999999999999"/>
    <m/>
    <m/>
    <s v="马五41b"/>
    <x v="14"/>
    <m/>
    <s v="录井"/>
    <n v="0.47799999999999998"/>
    <n v="-0.76100000000000001"/>
  </r>
  <r>
    <s v="靖21-1"/>
    <n v="3823.75"/>
    <n v="49.146999999999998"/>
    <n v="186.26599999999999"/>
    <n v="23.872"/>
    <n v="186.26599999999999"/>
    <n v="2.6669999999999998"/>
    <n v="7.1760000000000002"/>
    <n v="4.7089999999999996"/>
    <n v="499.35599999999999"/>
    <n v="477.11399999999998"/>
    <n v="0.01"/>
    <n v="1E-3"/>
    <n v="100"/>
    <n v="0.17100000000000001"/>
    <n v="0.995"/>
    <n v="0.26400000000000001"/>
    <n v="0.36699999999999999"/>
    <m/>
    <m/>
    <s v="马五41b"/>
    <x v="14"/>
    <m/>
    <s v="录井"/>
    <n v="0.43500000000000005"/>
    <n v="-0.82399999999999995"/>
  </r>
  <r>
    <s v="靖21-1"/>
    <n v="3823.875"/>
    <n v="48.542999999999999"/>
    <n v="184.20599999999999"/>
    <n v="23.763000000000002"/>
    <n v="184.20599999999999"/>
    <n v="2.6749999999999998"/>
    <n v="7.61"/>
    <n v="4.7229999999999999"/>
    <n v="422.31900000000002"/>
    <n v="403.92700000000002"/>
    <n v="0.01"/>
    <n v="1E-3"/>
    <n v="100"/>
    <n v="0.16700000000000001"/>
    <n v="1"/>
    <n v="0.251"/>
    <n v="0.39100000000000001"/>
    <m/>
    <m/>
    <s v="马五41b"/>
    <x v="14"/>
    <m/>
    <s v="录井"/>
    <n v="0.41800000000000004"/>
    <n v="-0.83299999999999996"/>
  </r>
  <r>
    <s v="靖21-1"/>
    <n v="3824"/>
    <n v="57.896000000000001"/>
    <n v="184.21899999999999"/>
    <n v="23.033000000000001"/>
    <n v="184.21899999999999"/>
    <n v="2.7080000000000002"/>
    <n v="7.952"/>
    <n v="4.6580000000000004"/>
    <n v="354.69099999999997"/>
    <n v="340.23200000000003"/>
    <n v="0.01"/>
    <n v="1E-3"/>
    <n v="100"/>
    <n v="0.22800000000000001"/>
    <n v="0.97499999999999998"/>
    <n v="0.251"/>
    <n v="0.49199999999999999"/>
    <m/>
    <m/>
    <s v="马五41b"/>
    <x v="14"/>
    <m/>
    <s v="录井"/>
    <n v="0.47899999999999998"/>
    <n v="-0.747"/>
  </r>
  <r>
    <s v="靖21-1"/>
    <n v="3824.125"/>
    <n v="67.016999999999996"/>
    <n v="184.172"/>
    <n v="22.43"/>
    <n v="184.172"/>
    <n v="2.7320000000000002"/>
    <n v="7.94"/>
    <n v="4.5010000000000003"/>
    <n v="327.34399999999999"/>
    <n v="314.19900000000001"/>
    <n v="0.01"/>
    <n v="1E-3"/>
    <n v="100"/>
    <n v="0.28799999999999998"/>
    <n v="0.91500000000000004"/>
    <n v="0.25"/>
    <n v="0.56599999999999995"/>
    <m/>
    <m/>
    <s v="马五41b"/>
    <x v="14"/>
    <m/>
    <s v="录井"/>
    <n v="0.53800000000000003"/>
    <n v="-0.627"/>
  </r>
  <r>
    <s v="靖21-1"/>
    <n v="3824.25"/>
    <n v="73.843000000000004"/>
    <n v="179.90100000000001"/>
    <n v="21.948"/>
    <n v="179.90100000000001"/>
    <n v="2.76"/>
    <n v="7.7329999999999997"/>
    <n v="4.0659999999999998"/>
    <n v="331.1"/>
    <n v="315.80799999999999"/>
    <n v="0.01"/>
    <n v="1E-3"/>
    <n v="100"/>
    <n v="0.33200000000000002"/>
    <n v="0.748"/>
    <n v="0.223"/>
    <n v="0.65100000000000002"/>
    <m/>
    <m/>
    <s v="马五41b"/>
    <x v="14"/>
    <m/>
    <s v="录井"/>
    <n v="0.55500000000000005"/>
    <n v="-0.41599999999999998"/>
  </r>
  <r>
    <s v="靖21-1"/>
    <n v="3824.375"/>
    <n v="71.997"/>
    <n v="170.798"/>
    <n v="21.672999999999998"/>
    <n v="170.798"/>
    <n v="2.798"/>
    <n v="7.8460000000000001"/>
    <n v="3.5779999999999998"/>
    <n v="382.096"/>
    <n v="360.74900000000002"/>
    <n v="0.01"/>
    <n v="1E-3"/>
    <n v="100"/>
    <n v="0.32"/>
    <n v="0.56100000000000005"/>
    <n v="0.16300000000000001"/>
    <n v="0.76800000000000002"/>
    <m/>
    <m/>
    <s v="马五41b"/>
    <x v="14"/>
    <m/>
    <s v="录井"/>
    <n v="0.48299999999999998"/>
    <n v="-0.24100000000000005"/>
  </r>
  <r>
    <s v="靖3-1"/>
    <n v="3881.625"/>
    <n v="47.735999999999997"/>
    <n v="177.327"/>
    <n v="21.827000000000002"/>
    <n v="177.327"/>
    <n v="2.819"/>
    <n v="4.923"/>
    <n v="4.3310000000000004"/>
    <n v="767.95"/>
    <n v="713.70699999999999"/>
    <n v="0"/>
    <n v="0"/>
    <n v="100"/>
    <n v="0.17799999999999999"/>
    <n v="0.872"/>
    <n v="0.27100000000000002"/>
    <n v="0.71499999999999997"/>
    <m/>
    <m/>
    <s v="马五41b"/>
    <x v="14"/>
    <m/>
    <s v="录井"/>
    <n v="0.44900000000000001"/>
    <n v="-0.69399999999999995"/>
  </r>
  <r>
    <s v="靖3-1"/>
    <n v="3881.75"/>
    <n v="59.482999999999997"/>
    <n v="172.108"/>
    <n v="21.806000000000001"/>
    <n v="172.108"/>
    <n v="2.8159999999999998"/>
    <n v="4.6219999999999999"/>
    <n v="4.3890000000000002"/>
    <n v="701.43600000000004"/>
    <n v="641.697"/>
    <n v="0"/>
    <n v="0"/>
    <n v="100"/>
    <n v="0.251"/>
    <n v="0.90500000000000003"/>
    <n v="0.21099999999999999"/>
    <n v="0.70199999999999996"/>
    <m/>
    <m/>
    <s v="马五41b"/>
    <x v="14"/>
    <m/>
    <s v="录井"/>
    <n v="0.46199999999999997"/>
    <n v="-0.65400000000000003"/>
  </r>
  <r>
    <s v="靖3-1"/>
    <n v="3881.875"/>
    <n v="61.771000000000001"/>
    <n v="168.77500000000001"/>
    <n v="21.815000000000001"/>
    <n v="168.77500000000001"/>
    <n v="2.8090000000000002"/>
    <n v="4.2510000000000003"/>
    <n v="4.4580000000000002"/>
    <n v="595.71799999999996"/>
    <n v="553.77499999999998"/>
    <n v="0"/>
    <n v="0"/>
    <n v="100"/>
    <n v="0.26500000000000001"/>
    <n v="0.94399999999999995"/>
    <n v="0.17299999999999999"/>
    <n v="0.67200000000000004"/>
    <m/>
    <m/>
    <s v="马五41b"/>
    <x v="14"/>
    <m/>
    <s v="录井"/>
    <n v="0.438"/>
    <n v="-0.67899999999999994"/>
  </r>
  <r>
    <s v="靖3-1"/>
    <n v="3882"/>
    <n v="52.88"/>
    <n v="168.565"/>
    <n v="21.870999999999999"/>
    <n v="168.565"/>
    <n v="2.8010000000000002"/>
    <n v="3.8140000000000001"/>
    <n v="4.5220000000000002"/>
    <n v="511.52300000000002"/>
    <n v="486.71100000000001"/>
    <n v="0"/>
    <n v="0"/>
    <n v="100"/>
    <n v="0.21"/>
    <n v="0.98"/>
    <n v="0.17"/>
    <n v="0.63800000000000001"/>
    <m/>
    <m/>
    <s v="马五41b"/>
    <x v="14"/>
    <m/>
    <s v="录井"/>
    <n v="0.38"/>
    <n v="-0.77"/>
  </r>
  <r>
    <s v="靖3-1"/>
    <n v="3882.125"/>
    <n v="44.713000000000001"/>
    <n v="171.32"/>
    <n v="21.922000000000001"/>
    <n v="171.32"/>
    <n v="2.8010000000000002"/>
    <n v="3.395"/>
    <n v="4.5579999999999998"/>
    <n v="529.63699999999994"/>
    <n v="501.71499999999997"/>
    <n v="0"/>
    <n v="0"/>
    <n v="100"/>
    <n v="0.159"/>
    <n v="1"/>
    <n v="0.20200000000000001"/>
    <n v="0.63800000000000001"/>
    <m/>
    <m/>
    <s v="马五41b"/>
    <x v="14"/>
    <m/>
    <s v="录井"/>
    <n v="0.36099999999999999"/>
    <n v="-0.84099999999999997"/>
  </r>
  <r>
    <s v="靖3-1"/>
    <n v="3882.25"/>
    <n v="41.655999999999999"/>
    <n v="175.036"/>
    <n v="21.956"/>
    <n v="175.036"/>
    <n v="2.81"/>
    <n v="3.0920000000000001"/>
    <n v="4.5430000000000001"/>
    <n v="608.36099999999999"/>
    <n v="566.91999999999996"/>
    <n v="0"/>
    <n v="0"/>
    <n v="100"/>
    <n v="0.14000000000000001"/>
    <n v="0.99199999999999999"/>
    <n v="0.24399999999999999"/>
    <n v="0.67700000000000005"/>
    <m/>
    <m/>
    <s v="马五41b"/>
    <x v="14"/>
    <m/>
    <s v="录井"/>
    <n v="0.38400000000000001"/>
    <n v="-0.85199999999999998"/>
  </r>
  <r>
    <s v="靖3-1"/>
    <n v="3882.375"/>
    <n v="38.454000000000001"/>
    <n v="178.803"/>
    <n v="21.945"/>
    <n v="178.803"/>
    <n v="2.8260000000000001"/>
    <n v="2.915"/>
    <n v="4.4649999999999999"/>
    <n v="658.91700000000003"/>
    <n v="603.62099999999998"/>
    <n v="0"/>
    <n v="0"/>
    <n v="100"/>
    <n v="0.12"/>
    <n v="0.94799999999999995"/>
    <n v="0.28699999999999998"/>
    <n v="0.745"/>
    <m/>
    <m/>
    <s v="马五41b"/>
    <x v="14"/>
    <m/>
    <s v="录井"/>
    <n v="0.40699999999999997"/>
    <n v="-0.82799999999999996"/>
  </r>
  <r>
    <s v="延905-3"/>
    <n v="3832"/>
    <n v="19.081"/>
    <n v="164.613"/>
    <n v="22.129000000000001"/>
    <n v="1.357"/>
    <n v="2.6120000000000001"/>
    <n v="9.9570000000000007"/>
    <n v="4.3090000000000002"/>
    <n v="235.01499999999999"/>
    <n v="236.59700000000001"/>
    <n v="4.6950000000000003"/>
    <n v="0.1"/>
    <n v="33.021000000000001"/>
    <n v="6.0000000000000001E-3"/>
    <n v="0.77500000000000002"/>
    <n v="0.17799999999999999"/>
    <n v="0.63200000000000001"/>
    <m/>
    <m/>
    <s v="马五41a"/>
    <x v="14"/>
    <m/>
    <s v="录井"/>
    <n v="0.184"/>
    <n v="-0.76900000000000002"/>
  </r>
  <r>
    <s v="延905-3"/>
    <n v="3832.125"/>
    <n v="18.896000000000001"/>
    <n v="166.38"/>
    <n v="22.129000000000001"/>
    <n v="1.2709999999999999"/>
    <n v="2.6059999999999999"/>
    <n v="9.9589999999999996"/>
    <n v="4.59"/>
    <n v="221.92500000000001"/>
    <n v="219.767"/>
    <n v="5.0519999999999996"/>
    <n v="0.105"/>
    <n v="32.283999999999999"/>
    <n v="4.0000000000000001E-3"/>
    <n v="0.84399999999999997"/>
    <n v="0.19400000000000001"/>
    <n v="0.623"/>
    <m/>
    <m/>
    <s v="马五41a"/>
    <x v="14"/>
    <m/>
    <s v="录井"/>
    <n v="0.19800000000000001"/>
    <n v="-0.84"/>
  </r>
  <r>
    <s v="延905-3"/>
    <n v="3832.25"/>
    <n v="18.542999999999999"/>
    <n v="167.87799999999999"/>
    <n v="22.123999999999999"/>
    <n v="1.1719999999999999"/>
    <n v="2.605"/>
    <n v="9.9710000000000001"/>
    <n v="4.9050000000000002"/>
    <n v="214.5"/>
    <n v="209.32400000000001"/>
    <n v="5.3049999999999997"/>
    <n v="0.111"/>
    <n v="32.6"/>
    <n v="2E-3"/>
    <n v="0.92200000000000004"/>
    <n v="0.20699999999999999"/>
    <n v="0.621"/>
    <m/>
    <m/>
    <s v="马五41a"/>
    <x v="14"/>
    <m/>
    <s v="录井"/>
    <n v="0.20899999999999999"/>
    <n v="-0.92"/>
  </r>
  <r>
    <s v="延905-3"/>
    <n v="3832.375"/>
    <n v="18.277000000000001"/>
    <n v="168.76499999999999"/>
    <n v="22.119"/>
    <n v="1.075"/>
    <n v="2.6080000000000001"/>
    <n v="9.9420000000000002"/>
    <n v="5.14"/>
    <n v="212.23599999999999"/>
    <n v="204.55699999999999"/>
    <n v="5.4020000000000001"/>
    <n v="0.114"/>
    <n v="33.968000000000004"/>
    <n v="0"/>
    <n v="0.98"/>
    <n v="0.215"/>
    <n v="0.626"/>
    <m/>
    <m/>
    <s v="马五41a"/>
    <x v="14"/>
    <m/>
    <s v="录井"/>
    <n v="0.215"/>
    <n v="-0.98"/>
  </r>
  <r>
    <s v="延905-3"/>
    <n v="3832.5"/>
    <n v="18.405999999999999"/>
    <n v="168.62899999999999"/>
    <n v="22.114999999999998"/>
    <n v="0.99199999999999999"/>
    <n v="2.6139999999999999"/>
    <n v="9.7910000000000004"/>
    <n v="5.2229999999999999"/>
    <n v="214.47399999999999"/>
    <n v="204.643"/>
    <n v="5.3120000000000003"/>
    <n v="0.112"/>
    <n v="36.268999999999998"/>
    <n v="1E-3"/>
    <n v="1"/>
    <n v="0.214"/>
    <n v="0.63500000000000001"/>
    <m/>
    <m/>
    <s v="马五41a"/>
    <x v="14"/>
    <m/>
    <s v="录井"/>
    <n v="0.215"/>
    <n v="-0.999"/>
  </r>
  <r>
    <s v="延905-3"/>
    <n v="3832.625"/>
    <n v="19.094000000000001"/>
    <n v="167.34100000000001"/>
    <n v="22.120999999999999"/>
    <n v="0.92600000000000005"/>
    <n v="2.621"/>
    <n v="9.5239999999999991"/>
    <n v="5.1539999999999999"/>
    <n v="220.65899999999999"/>
    <n v="208.94800000000001"/>
    <n v="5.0419999999999998"/>
    <n v="0.105"/>
    <n v="39.012"/>
    <n v="6.0000000000000001E-3"/>
    <n v="0.98299999999999998"/>
    <n v="0.20200000000000001"/>
    <n v="0.64600000000000002"/>
    <m/>
    <m/>
    <s v="马五41a"/>
    <x v="14"/>
    <m/>
    <s v="录井"/>
    <n v="0.20800000000000002"/>
    <n v="-0.97699999999999998"/>
  </r>
  <r>
    <s v="延905-3"/>
    <n v="3832.75"/>
    <n v="19.916"/>
    <n v="165.66"/>
    <n v="22.135999999999999"/>
    <n v="0.88900000000000001"/>
    <n v="2.63"/>
    <n v="9.2080000000000002"/>
    <n v="5.032"/>
    <n v="229.59"/>
    <n v="216.18700000000001"/>
    <n v="4.6959999999999997"/>
    <n v="0.10100000000000001"/>
    <n v="41.52"/>
    <n v="1.0999999999999999E-2"/>
    <n v="0.95299999999999996"/>
    <n v="0.187"/>
    <n v="0.66100000000000003"/>
    <m/>
    <m/>
    <s v="马五41a"/>
    <x v="14"/>
    <m/>
    <s v="录井"/>
    <n v="0.19800000000000001"/>
    <n v="-0.94199999999999995"/>
  </r>
  <r>
    <s v="延905-3"/>
    <n v="3832.875"/>
    <n v="20.687000000000001"/>
    <n v="164.05799999999999"/>
    <n v="22.15"/>
    <n v="0.90100000000000002"/>
    <n v="2.64"/>
    <n v="8.9120000000000008"/>
    <n v="4.91"/>
    <n v="240.79599999999999"/>
    <n v="225.815"/>
    <n v="4.3380000000000001"/>
    <n v="0.1"/>
    <n v="43.557000000000002"/>
    <n v="1.7000000000000001E-2"/>
    <n v="0.92300000000000004"/>
    <n v="0.17299999999999999"/>
    <n v="0.67700000000000005"/>
    <m/>
    <m/>
    <s v="马五41a"/>
    <x v="14"/>
    <m/>
    <s v="录井"/>
    <n v="0.19"/>
    <n v="-0.90600000000000003"/>
  </r>
  <r>
    <s v="延905-3"/>
    <n v="3833"/>
    <n v="21.385000000000002"/>
    <n v="162.63399999999999"/>
    <n v="22.143999999999998"/>
    <n v="0.96799999999999997"/>
    <n v="2.649"/>
    <n v="8.69"/>
    <n v="4.806"/>
    <n v="252.68899999999999"/>
    <n v="236.351"/>
    <n v="4.0010000000000003"/>
    <n v="0.1"/>
    <n v="45.122"/>
    <n v="2.1999999999999999E-2"/>
    <n v="0.89700000000000002"/>
    <n v="0.16"/>
    <n v="0.69099999999999995"/>
    <m/>
    <m/>
    <s v="马五41a"/>
    <x v="14"/>
    <m/>
    <s v="录井"/>
    <n v="0.182"/>
    <n v="-0.875"/>
  </r>
  <r>
    <s v="延905-1"/>
    <n v="3832.625"/>
    <n v="68.713999999999999"/>
    <n v="177.62100000000001"/>
    <n v="23.521000000000001"/>
    <n v="2.6589999999999998"/>
    <n v="2.778"/>
    <n v="6.67"/>
    <n v="4.8360000000000003"/>
    <n v="249.565"/>
    <n v="284.39699999999999"/>
    <n v="1E-3"/>
    <n v="0.01"/>
    <n v="100"/>
    <n v="0.4"/>
    <n v="0.81"/>
    <n v="0.309"/>
    <n v="0.59599999999999997"/>
    <m/>
    <m/>
    <s v="马五41b"/>
    <x v="14"/>
    <m/>
    <s v="录井"/>
    <n v="0.70900000000000007"/>
    <n v="-0.41000000000000003"/>
  </r>
  <r>
    <s v="延905-1"/>
    <n v="3832.75"/>
    <n v="57.819000000000003"/>
    <n v="171.453"/>
    <n v="23.486999999999998"/>
    <n v="2.7330000000000001"/>
    <n v="2.7650000000000001"/>
    <n v="6.375"/>
    <n v="4.8620000000000001"/>
    <n v="335.89100000000002"/>
    <n v="382.77300000000002"/>
    <n v="1E-3"/>
    <n v="0.01"/>
    <n v="100"/>
    <n v="0.31900000000000001"/>
    <n v="0.82099999999999995"/>
    <n v="0.23899999999999999"/>
    <n v="0.57099999999999995"/>
    <m/>
    <m/>
    <s v="马五41b"/>
    <x v="14"/>
    <m/>
    <s v="录井"/>
    <n v="0.55800000000000005"/>
    <n v="-0.502"/>
  </r>
  <r>
    <s v="延905-1"/>
    <n v="3832.875"/>
    <n v="53.067"/>
    <n v="165.47300000000001"/>
    <n v="23.431000000000001"/>
    <n v="2.7650000000000001"/>
    <n v="2.7559999999999998"/>
    <n v="6.3570000000000002"/>
    <n v="4.867"/>
    <n v="357.65600000000001"/>
    <n v="407.57499999999999"/>
    <n v="1E-3"/>
    <n v="0.01"/>
    <n v="100"/>
    <n v="0.28299999999999997"/>
    <n v="0.82299999999999995"/>
    <n v="0.17"/>
    <n v="0.55300000000000005"/>
    <m/>
    <m/>
    <s v="马五41b"/>
    <x v="14"/>
    <m/>
    <s v="录井"/>
    <n v="0.45299999999999996"/>
    <n v="-0.54"/>
  </r>
  <r>
    <s v="延905-1"/>
    <n v="3833"/>
    <n v="55.695999999999998"/>
    <n v="162.22"/>
    <n v="23.407"/>
    <n v="2.8319999999999999"/>
    <n v="2.76"/>
    <n v="5.9459999999999997"/>
    <n v="4.8860000000000001"/>
    <n v="319.74900000000002"/>
    <n v="364.37799999999999"/>
    <n v="1E-3"/>
    <n v="0.01"/>
    <n v="100"/>
    <n v="0.30299999999999999"/>
    <n v="0.83199999999999996"/>
    <n v="0.13300000000000001"/>
    <n v="0.56100000000000005"/>
    <m/>
    <m/>
    <s v="马五41b"/>
    <x v="14"/>
    <m/>
    <s v="录井"/>
    <n v="0.436"/>
    <n v="-0.52899999999999991"/>
  </r>
  <r>
    <s v="延905-1"/>
    <n v="3833.125"/>
    <n v="60.594999999999999"/>
    <n v="162.35900000000001"/>
    <n v="23.422000000000001"/>
    <n v="2.94"/>
    <n v="2.786"/>
    <n v="4.6420000000000003"/>
    <n v="4.9420000000000002"/>
    <n v="271.31200000000001"/>
    <n v="309.18"/>
    <n v="1E-3"/>
    <n v="0.01"/>
    <n v="100"/>
    <n v="0.34"/>
    <n v="0.85699999999999998"/>
    <n v="0.13400000000000001"/>
    <n v="0.61199999999999999"/>
    <m/>
    <m/>
    <s v="马五41b"/>
    <x v="14"/>
    <m/>
    <s v="录井"/>
    <n v="0.47400000000000003"/>
    <n v="-0.5169999999999999"/>
  </r>
  <r>
    <s v="延905-1"/>
    <n v="3833.25"/>
    <n v="61.037999999999997"/>
    <n v="164.238"/>
    <n v="23.47"/>
    <n v="2.9340000000000002"/>
    <n v="2.819"/>
    <n v="2.91"/>
    <n v="5.05"/>
    <n v="274.12200000000001"/>
    <n v="312.38200000000001"/>
    <n v="1E-3"/>
    <n v="0.01"/>
    <n v="100"/>
    <n v="0.34300000000000003"/>
    <n v="0.90500000000000003"/>
    <n v="0.156"/>
    <n v="0.67600000000000005"/>
    <m/>
    <m/>
    <s v="马五41b"/>
    <x v="14"/>
    <m/>
    <s v="录井"/>
    <n v="0.499"/>
    <n v="-0.56200000000000006"/>
  </r>
  <r>
    <s v="延905-1"/>
    <n v="3833.375"/>
    <n v="55.238"/>
    <n v="166.59899999999999"/>
    <n v="23.553999999999998"/>
    <n v="2.7839999999999998"/>
    <n v="2.8420000000000001"/>
    <n v="1.7150000000000001"/>
    <n v="5.1859999999999999"/>
    <n v="393.935"/>
    <n v="448.91800000000001"/>
    <n v="1E-3"/>
    <n v="0.01"/>
    <n v="100"/>
    <n v="0.3"/>
    <n v="0.96599999999999997"/>
    <n v="0.183"/>
    <n v="0.72"/>
    <m/>
    <m/>
    <s v="马五41b"/>
    <x v="14"/>
    <m/>
    <s v="录井"/>
    <n v="0.48299999999999998"/>
    <n v="-0.66599999999999993"/>
  </r>
  <r>
    <s v="延905-1"/>
    <n v="3833.5"/>
    <n v="46.277000000000001"/>
    <n v="169.14099999999999"/>
    <n v="23.709"/>
    <n v="2.645"/>
    <n v="2.851"/>
    <n v="1.7589999999999999"/>
    <n v="5.2629999999999999"/>
    <n v="619.00300000000004"/>
    <n v="705.4"/>
    <n v="1E-3"/>
    <n v="0.01"/>
    <n v="100"/>
    <n v="0.23200000000000001"/>
    <n v="1"/>
    <n v="0.21199999999999999"/>
    <n v="0.73799999999999999"/>
    <m/>
    <m/>
    <s v="马五41b"/>
    <x v="14"/>
    <m/>
    <s v="录井"/>
    <n v="0.44400000000000001"/>
    <n v="-0.76800000000000002"/>
  </r>
  <r>
    <s v="延905-1"/>
    <n v="3833.625"/>
    <n v="39.692"/>
    <n v="172.07599999999999"/>
    <n v="23.797999999999998"/>
    <n v="2.6230000000000002"/>
    <n v="2.8479999999999999"/>
    <n v="2.9220000000000002"/>
    <n v="5.1870000000000003"/>
    <n v="772.99300000000005"/>
    <n v="880.88300000000004"/>
    <n v="1E-3"/>
    <n v="0.01"/>
    <n v="100"/>
    <n v="0.183"/>
    <n v="0.96599999999999997"/>
    <n v="0.246"/>
    <n v="0.73199999999999998"/>
    <m/>
    <m/>
    <s v="马五41b"/>
    <x v="14"/>
    <m/>
    <s v="录井"/>
    <n v="0.42899999999999999"/>
    <n v="-0.78299999999999992"/>
  </r>
  <r>
    <s v="延905-1"/>
    <n v="3833.75"/>
    <n v="38.267000000000003"/>
    <n v="174.65199999999999"/>
    <n v="23.777000000000001"/>
    <n v="2.6110000000000002"/>
    <n v="2.8410000000000002"/>
    <n v="4.1150000000000002"/>
    <n v="5.0259999999999998"/>
    <n v="690.88099999999997"/>
    <n v="787.30899999999997"/>
    <n v="1E-3"/>
    <n v="0.01"/>
    <n v="100"/>
    <n v="0.17199999999999999"/>
    <n v="0.89400000000000002"/>
    <n v="0.27500000000000002"/>
    <n v="0.71799999999999997"/>
    <m/>
    <m/>
    <s v="马五41b"/>
    <x v="14"/>
    <m/>
    <s v="录井"/>
    <n v="0.44700000000000001"/>
    <n v="-0.72199999999999998"/>
  </r>
  <r>
    <s v="延905-1"/>
    <n v="3833.875"/>
    <n v="40.015000000000001"/>
    <n v="175.14400000000001"/>
    <n v="23.707999999999998"/>
    <n v="2.5750000000000002"/>
    <n v="2.83"/>
    <n v="4.7240000000000002"/>
    <n v="4.9039999999999999"/>
    <n v="498.642"/>
    <n v="568.23900000000003"/>
    <n v="1E-3"/>
    <n v="0.01"/>
    <n v="100"/>
    <n v="0.186"/>
    <n v="0.84"/>
    <n v="0.28100000000000003"/>
    <n v="0.69699999999999995"/>
    <m/>
    <m/>
    <s v="马五41b"/>
    <x v="14"/>
    <m/>
    <s v="录井"/>
    <n v="0.46700000000000003"/>
    <n v="-0.65399999999999991"/>
  </r>
  <r>
    <s v="延905-1"/>
    <n v="3834"/>
    <n v="41.189"/>
    <n v="171.95500000000001"/>
    <n v="23.687000000000001"/>
    <n v="2.605"/>
    <n v="2.819"/>
    <n v="4.8310000000000004"/>
    <n v="4.8659999999999997"/>
    <n v="377.09800000000001"/>
    <n v="429.73099999999999"/>
    <n v="1E-3"/>
    <n v="0.01"/>
    <n v="100"/>
    <n v="0.19400000000000001"/>
    <n v="0.82299999999999995"/>
    <n v="0.24399999999999999"/>
    <n v="0.67600000000000005"/>
    <m/>
    <m/>
    <s v="马五41b"/>
    <x v="14"/>
    <m/>
    <s v="录井"/>
    <n v="0.438"/>
    <n v="-0.629"/>
  </r>
  <r>
    <s v="延905-1"/>
    <n v="3834.125"/>
    <n v="39.761000000000003"/>
    <n v="165.584"/>
    <n v="23.739000000000001"/>
    <n v="2.7650000000000001"/>
    <n v="2.8079999999999998"/>
    <n v="4.8559999999999999"/>
    <n v="4.8760000000000003"/>
    <n v="373.02199999999999"/>
    <n v="425.08600000000001"/>
    <n v="1E-3"/>
    <n v="0.01"/>
    <n v="100"/>
    <n v="0.184"/>
    <n v="0.82699999999999996"/>
    <n v="0.17100000000000001"/>
    <n v="0.65400000000000003"/>
    <m/>
    <m/>
    <s v="马五41b"/>
    <x v="14"/>
    <m/>
    <s v="录井"/>
    <n v="0.35499999999999998"/>
    <n v="-0.64300000000000002"/>
  </r>
  <r>
    <s v="延905-1"/>
    <n v="3834.25"/>
    <n v="37.597000000000001"/>
    <n v="159.001"/>
    <n v="23.759"/>
    <n v="2.9590000000000001"/>
    <n v="2.7930000000000001"/>
    <n v="5.0650000000000004"/>
    <n v="4.8860000000000001"/>
    <n v="397.40800000000002"/>
    <n v="452.87599999999998"/>
    <n v="1E-3"/>
    <n v="0.01"/>
    <n v="100"/>
    <n v="0.16700000000000001"/>
    <n v="0.83199999999999996"/>
    <n v="9.6000000000000002E-2"/>
    <n v="0.625"/>
    <m/>
    <m/>
    <s v="马五41b"/>
    <x v="14"/>
    <m/>
    <s v="录井"/>
    <n v="0.26300000000000001"/>
    <n v="-0.66499999999999992"/>
  </r>
  <r>
    <s v="延905-1"/>
    <n v="3834.375"/>
    <n v="37.036999999999999"/>
    <n v="154.73099999999999"/>
    <n v="23.712"/>
    <n v="3.0710000000000002"/>
    <n v="2.7749999999999999"/>
    <n v="5.3680000000000003"/>
    <n v="4.867"/>
    <n v="418.71600000000001"/>
    <n v="477.15800000000002"/>
    <n v="1E-3"/>
    <n v="0.01"/>
    <n v="100"/>
    <n v="0.16300000000000001"/>
    <n v="0.82299999999999995"/>
    <n v="4.7E-2"/>
    <n v="0.59"/>
    <m/>
    <m/>
    <s v="马五41b"/>
    <x v="14"/>
    <m/>
    <s v="录井"/>
    <n v="0.21000000000000002"/>
    <n v="-0.65999999999999992"/>
  </r>
  <r>
    <s v="延905-1"/>
    <n v="3830.25"/>
    <n v="58.722000000000001"/>
    <n v="161.339"/>
    <n v="23.44"/>
    <n v="3.903"/>
    <n v="2.7410000000000001"/>
    <n v="6.8959999999999999"/>
    <n v="4.7869999999999999"/>
    <n v="179.18600000000001"/>
    <n v="204.19499999999999"/>
    <n v="1E-3"/>
    <n v="0.01"/>
    <n v="100"/>
    <n v="0.32600000000000001"/>
    <n v="0.78800000000000003"/>
    <n v="0.123"/>
    <n v="0.52400000000000002"/>
    <m/>
    <m/>
    <s v="马五41b"/>
    <x v="14"/>
    <m/>
    <s v="录井"/>
    <n v="0.44900000000000001"/>
    <n v="-0.46200000000000002"/>
  </r>
  <r>
    <s v="延905-1"/>
    <n v="3830.375"/>
    <n v="60.362000000000002"/>
    <n v="162.55099999999999"/>
    <n v="23.696000000000002"/>
    <n v="3.976"/>
    <n v="2.7469999999999999"/>
    <n v="6.266"/>
    <n v="4.8959999999999999"/>
    <n v="212.38300000000001"/>
    <n v="242.02600000000001"/>
    <n v="1E-3"/>
    <n v="0.01"/>
    <n v="100"/>
    <n v="0.33800000000000002"/>
    <n v="0.83599999999999997"/>
    <n v="0.13700000000000001"/>
    <n v="0.53600000000000003"/>
    <m/>
    <m/>
    <s v="马五41b"/>
    <x v="14"/>
    <m/>
    <s v="录井"/>
    <n v="0.47500000000000003"/>
    <n v="-0.49799999999999994"/>
  </r>
  <r>
    <s v="延905-1"/>
    <n v="3830.5"/>
    <n v="52.750999999999998"/>
    <n v="162.339"/>
    <n v="23.856000000000002"/>
    <n v="3.7290000000000001"/>
    <n v="2.754"/>
    <n v="6.4610000000000003"/>
    <n v="4.9930000000000003"/>
    <n v="383.73200000000003"/>
    <n v="437.291"/>
    <n v="1E-3"/>
    <n v="0.01"/>
    <n v="100"/>
    <n v="0.28100000000000003"/>
    <n v="0.88"/>
    <n v="0.13400000000000001"/>
    <n v="0.55000000000000004"/>
    <m/>
    <m/>
    <s v="马五41b"/>
    <x v="14"/>
    <m/>
    <s v="录井"/>
    <n v="0.41500000000000004"/>
    <n v="-0.59899999999999998"/>
  </r>
  <r>
    <s v="延905-1"/>
    <n v="3830.625"/>
    <n v="40.209000000000003"/>
    <n v="161.08500000000001"/>
    <n v="23.917999999999999"/>
    <n v="3.2069999999999999"/>
    <n v="2.7589999999999999"/>
    <n v="6.7919999999999998"/>
    <n v="5.0510000000000002"/>
    <n v="653.49199999999996"/>
    <n v="744.702"/>
    <n v="1E-3"/>
    <n v="0.01"/>
    <n v="100"/>
    <n v="0.187"/>
    <n v="0.90500000000000003"/>
    <n v="0.12"/>
    <n v="0.55900000000000005"/>
    <m/>
    <m/>
    <s v="马五41b"/>
    <x v="14"/>
    <m/>
    <s v="录井"/>
    <n v="0.307"/>
    <n v="-0.71799999999999997"/>
  </r>
  <r>
    <s v="延905-1"/>
    <n v="3830.75"/>
    <n v="30.878"/>
    <n v="159.78100000000001"/>
    <n v="23.911999999999999"/>
    <n v="2.7229999999999999"/>
    <n v="2.762"/>
    <n v="6.5730000000000004"/>
    <n v="5.0570000000000004"/>
    <n v="814.24699999999996"/>
    <n v="927.89400000000001"/>
    <n v="1E-3"/>
    <n v="0.01"/>
    <n v="100"/>
    <n v="0.11700000000000001"/>
    <n v="0.90800000000000003"/>
    <n v="0.105"/>
    <n v="0.56499999999999995"/>
    <m/>
    <m/>
    <s v="马五41b"/>
    <x v="14"/>
    <m/>
    <s v="录井"/>
    <n v="0.222"/>
    <n v="-0.79100000000000004"/>
  </r>
  <r>
    <s v="延905-1"/>
    <n v="3830.875"/>
    <n v="30.606999999999999"/>
    <n v="159.41200000000001"/>
    <n v="23.873000000000001"/>
    <n v="2.5369999999999999"/>
    <n v="2.7650000000000001"/>
    <n v="6.0810000000000004"/>
    <n v="5.0149999999999997"/>
    <n v="723.93499999999995"/>
    <n v="824.97799999999995"/>
    <n v="1E-3"/>
    <n v="0.01"/>
    <n v="100"/>
    <n v="0.115"/>
    <n v="0.88900000000000001"/>
    <n v="0.10100000000000001"/>
    <n v="0.57099999999999995"/>
    <m/>
    <m/>
    <s v="马五41b"/>
    <x v="14"/>
    <m/>
    <s v="录井"/>
    <n v="0.21600000000000003"/>
    <n v="-0.77400000000000002"/>
  </r>
  <r>
    <s v="延905-1"/>
    <n v="3831"/>
    <n v="38.71"/>
    <n v="160.62"/>
    <n v="23.852"/>
    <n v="2.5270000000000001"/>
    <n v="2.7730000000000001"/>
    <n v="5.6310000000000002"/>
    <n v="4.9269999999999996"/>
    <n v="478.358"/>
    <n v="545.12400000000002"/>
    <n v="1E-3"/>
    <n v="0.01"/>
    <n v="100"/>
    <n v="0.17599999999999999"/>
    <n v="0.85"/>
    <n v="0.115"/>
    <n v="0.58599999999999997"/>
    <m/>
    <m/>
    <s v="马五41b"/>
    <x v="14"/>
    <m/>
    <s v="录井"/>
    <n v="0.29099999999999998"/>
    <n v="-0.67399999999999993"/>
  </r>
  <r>
    <s v="延905-1"/>
    <n v="3831.125"/>
    <n v="47.033000000000001"/>
    <n v="162.596"/>
    <n v="23.895"/>
    <n v="2.508"/>
    <n v="2.79"/>
    <n v="5.1950000000000003"/>
    <n v="4.8"/>
    <n v="384.53300000000002"/>
    <n v="438.20299999999997"/>
    <n v="1E-3"/>
    <n v="0.01"/>
    <n v="100"/>
    <n v="0.23799999999999999"/>
    <n v="0.79300000000000004"/>
    <n v="0.13700000000000001"/>
    <n v="0.61899999999999999"/>
    <m/>
    <m/>
    <s v="马五41b"/>
    <x v="14"/>
    <m/>
    <s v="录井"/>
    <n v="0.375"/>
    <n v="-0.55500000000000005"/>
  </r>
  <r>
    <s v="延905-1"/>
    <n v="3831.25"/>
    <n v="47.676000000000002"/>
    <n v="163.374"/>
    <n v="23.981999999999999"/>
    <n v="2.5110000000000001"/>
    <n v="2.8130000000000002"/>
    <n v="4.6829999999999998"/>
    <n v="4.6630000000000003"/>
    <n v="710.178"/>
    <n v="809.3"/>
    <n v="1E-3"/>
    <n v="0.01"/>
    <n v="100"/>
    <n v="0.24299999999999999"/>
    <n v="0.73199999999999998"/>
    <n v="0.14599999999999999"/>
    <n v="0.66400000000000003"/>
    <m/>
    <m/>
    <s v="马五41b"/>
    <x v="14"/>
    <m/>
    <s v="录井"/>
    <n v="0.38900000000000001"/>
    <n v="-0.48899999999999999"/>
  </r>
  <r>
    <s v="延903-2"/>
    <n v="4014.875"/>
    <n v="25.376999999999999"/>
    <n v="159.779"/>
    <n v="23.47"/>
    <n v="2.1920000000000002"/>
    <n v="2.8159999999999998"/>
    <n v="4.0910000000000002"/>
    <n v="3.88"/>
    <n v="6339.7849999999999"/>
    <n v="7127.2910000000002"/>
    <n v="8.8999999999999996E-2"/>
    <n v="0.1"/>
    <n v="100"/>
    <n v="9.0999999999999998E-2"/>
    <n v="0.62"/>
    <n v="0.128"/>
    <n v="0.54600000000000004"/>
    <m/>
    <m/>
    <s v="马五41b"/>
    <x v="14"/>
    <m/>
    <s v="录井"/>
    <n v="0.219"/>
    <n v="-0.52900000000000003"/>
  </r>
  <r>
    <s v="延903-2"/>
    <n v="4015"/>
    <n v="19.050999999999998"/>
    <n v="156.40100000000001"/>
    <n v="23.472000000000001"/>
    <n v="2.0659999999999998"/>
    <n v="2.8180000000000001"/>
    <n v="3.2040000000000002"/>
    <n v="4.0780000000000003"/>
    <n v="9747.4709999999995"/>
    <n v="11000.081"/>
    <n v="9.0999999999999998E-2"/>
    <n v="0.1"/>
    <n v="100"/>
    <n v="4.7E-2"/>
    <n v="0.70899999999999996"/>
    <n v="4.8000000000000001E-2"/>
    <n v="0.55400000000000005"/>
    <m/>
    <m/>
    <s v="马五41b"/>
    <x v="14"/>
    <m/>
    <s v="录井"/>
    <n v="9.5000000000000001E-2"/>
    <n v="-0.66199999999999992"/>
  </r>
  <r>
    <s v="延903-2"/>
    <n v="4015.125"/>
    <n v="15.925000000000001"/>
    <n v="154.93100000000001"/>
    <n v="23.498999999999999"/>
    <n v="2.02"/>
    <n v="2.8250000000000002"/>
    <n v="2.6629999999999998"/>
    <n v="4.2089999999999996"/>
    <n v="13658.603999999999"/>
    <n v="16021.421"/>
    <n v="9.1999999999999998E-2"/>
    <n v="0.1"/>
    <n v="100"/>
    <n v="2.5000000000000001E-2"/>
    <n v="0.76800000000000002"/>
    <n v="1.2999999999999999E-2"/>
    <n v="0.58099999999999996"/>
    <m/>
    <m/>
    <s v="马五41b"/>
    <x v="14"/>
    <m/>
    <s v="录井"/>
    <n v="3.7999999999999999E-2"/>
    <n v="-0.74299999999999999"/>
  </r>
  <r>
    <s v="延903-2"/>
    <n v="4015.25"/>
    <n v="14.305999999999999"/>
    <n v="155.38900000000001"/>
    <n v="23.486999999999998"/>
    <n v="1.9870000000000001"/>
    <n v="2.8380000000000001"/>
    <n v="2.238"/>
    <n v="4.2240000000000002"/>
    <n v="18855.559000000001"/>
    <n v="23055.226999999999"/>
    <n v="9.2999999999999999E-2"/>
    <n v="0.1"/>
    <n v="100"/>
    <n v="1.4E-2"/>
    <n v="0.77500000000000002"/>
    <n v="2.4E-2"/>
    <n v="0.63100000000000001"/>
    <m/>
    <m/>
    <s v="马五41b"/>
    <x v="14"/>
    <m/>
    <s v="录井"/>
    <n v="3.7999999999999999E-2"/>
    <n v="-0.76100000000000001"/>
  </r>
  <r>
    <s v="延903-2"/>
    <n v="4015.375"/>
    <n v="13.302"/>
    <n v="159.071"/>
    <n v="23.513000000000002"/>
    <n v="1.956"/>
    <n v="2.86"/>
    <n v="1.8959999999999999"/>
    <n v="4.109"/>
    <n v="30013.15"/>
    <n v="33933.925999999999"/>
    <n v="9.2999999999999999E-2"/>
    <n v="0.1"/>
    <n v="100"/>
    <n v="7.0000000000000001E-3"/>
    <n v="0.72299999999999998"/>
    <n v="0.111"/>
    <n v="0.71499999999999997"/>
    <m/>
    <m/>
    <s v="马五41b"/>
    <x v="14"/>
    <m/>
    <s v="录井"/>
    <n v="0.11800000000000001"/>
    <n v="-0.71599999999999997"/>
  </r>
  <r>
    <s v="延903-2"/>
    <n v="4015.5"/>
    <n v="12.577999999999999"/>
    <n v="163.70500000000001"/>
    <n v="23.555"/>
    <n v="1.9219999999999999"/>
    <n v="2.8889999999999998"/>
    <n v="1.655"/>
    <n v="3.9489999999999998"/>
    <n v="39472.601999999999"/>
    <n v="41125.550999999999"/>
    <n v="9.4E-2"/>
    <n v="0.1"/>
    <n v="100"/>
    <n v="2E-3"/>
    <n v="0.65100000000000002"/>
    <n v="0.22"/>
    <n v="0.82699999999999996"/>
    <m/>
    <m/>
    <s v="马五41b"/>
    <x v="14"/>
    <m/>
    <s v="录井"/>
    <n v="0.222"/>
    <n v="-0.64900000000000002"/>
  </r>
  <r>
    <s v="延903-2"/>
    <n v="4015.625"/>
    <n v="12.339"/>
    <n v="165.941"/>
    <n v="23.573"/>
    <n v="1.891"/>
    <n v="2.9159999999999999"/>
    <n v="1.585"/>
    <n v="3.9089999999999998"/>
    <n v="41481.555"/>
    <n v="41754.129000000001"/>
    <n v="9.5000000000000001E-2"/>
    <n v="0.1"/>
    <n v="100"/>
    <n v="0"/>
    <n v="0.63300000000000001"/>
    <n v="0.27300000000000002"/>
    <n v="0.93100000000000005"/>
    <m/>
    <m/>
    <s v="马五41b"/>
    <x v="14"/>
    <m/>
    <s v="录井"/>
    <n v="0.27300000000000002"/>
    <n v="-0.63300000000000001"/>
  </r>
  <r>
    <s v="延903-2"/>
    <n v="4015.75"/>
    <n v="12.85"/>
    <n v="166.613"/>
    <n v="23.581"/>
    <n v="1.871"/>
    <n v="2.9340000000000002"/>
    <n v="1.7709999999999999"/>
    <n v="4.0119999999999996"/>
    <n v="39890.144999999997"/>
    <n v="39616.809000000001"/>
    <n v="9.4E-2"/>
    <n v="0.1"/>
    <n v="100"/>
    <n v="4.0000000000000001E-3"/>
    <n v="0.68"/>
    <n v="0.28899999999999998"/>
    <n v="1"/>
    <m/>
    <m/>
    <s v="马五41b"/>
    <x v="14"/>
    <m/>
    <s v="录井"/>
    <n v="0.29299999999999998"/>
    <n v="-0.67600000000000005"/>
  </r>
  <r>
    <s v="延903-2"/>
    <n v="4015.875"/>
    <n v="14.553000000000001"/>
    <n v="166.16200000000001"/>
    <n v="23.577000000000002"/>
    <n v="1.8640000000000001"/>
    <n v="2.9209999999999998"/>
    <n v="2.173"/>
    <n v="4.1829999999999998"/>
    <n v="33133.18"/>
    <n v="32275.884999999998"/>
    <n v="9.0999999999999998E-2"/>
    <n v="0.1"/>
    <n v="100"/>
    <n v="1.6E-2"/>
    <n v="0.75600000000000001"/>
    <n v="0.27800000000000002"/>
    <n v="0.95"/>
    <m/>
    <m/>
    <s v="马五41b"/>
    <x v="14"/>
    <m/>
    <s v="录井"/>
    <n v="0.29400000000000004"/>
    <n v="-0.74"/>
  </r>
  <r>
    <s v="延903-2"/>
    <n v="4016"/>
    <n v="18.047999999999998"/>
    <n v="165.17699999999999"/>
    <n v="23.555"/>
    <n v="1.9059999999999999"/>
    <n v="2.891"/>
    <n v="2.8610000000000002"/>
    <n v="4.2629999999999999"/>
    <n v="20615.445"/>
    <n v="19388.088"/>
    <n v="8.7999999999999995E-2"/>
    <n v="0.1"/>
    <n v="100"/>
    <n v="0.04"/>
    <n v="0.79200000000000004"/>
    <n v="0.255"/>
    <n v="0.83499999999999996"/>
    <m/>
    <m/>
    <s v="马五41b"/>
    <x v="14"/>
    <m/>
    <s v="录井"/>
    <n v="0.29499999999999998"/>
    <n v="-0.752"/>
  </r>
  <r>
    <s v="延903-2"/>
    <n v="4016.125"/>
    <n v="23.405000000000001"/>
    <n v="164.00399999999999"/>
    <n v="23.515999999999998"/>
    <n v="2.032"/>
    <n v="2.859"/>
    <n v="3.8370000000000002"/>
    <n v="4.0389999999999997"/>
    <n v="9298.8860000000004"/>
    <n v="8204.2070000000003"/>
    <n v="8.4000000000000005E-2"/>
    <n v="0.1"/>
    <n v="100"/>
    <n v="7.8E-2"/>
    <n v="0.69199999999999995"/>
    <n v="0.22700000000000001"/>
    <n v="0.71199999999999997"/>
    <m/>
    <m/>
    <s v="马五41b"/>
    <x v="14"/>
    <m/>
    <s v="录井"/>
    <n v="0.30499999999999999"/>
    <n v="-0.61399999999999999"/>
  </r>
  <r>
    <s v="延911-3"/>
    <n v="3680.75"/>
    <n v="35.423000000000002"/>
    <n v="166.55799999999999"/>
    <n v="21.95"/>
    <n v="4.0679999999999996"/>
    <n v="2.84"/>
    <n v="6.4089999999999998"/>
    <n v="4.0449999999999999"/>
    <n v="408.71199999999999"/>
    <n v="478.48500000000001"/>
    <n v="0"/>
    <n v="0.1"/>
    <n v="100"/>
    <n v="0.14799999999999999"/>
    <n v="0.89700000000000002"/>
    <n v="0.17"/>
    <n v="0.84799999999999998"/>
    <m/>
    <m/>
    <s v="马五41b"/>
    <x v="15"/>
    <m/>
    <s v="录井"/>
    <n v="0.318"/>
    <n v="-0.749"/>
  </r>
  <r>
    <s v="延911-3"/>
    <n v="3680.875"/>
    <n v="40.595999999999997"/>
    <n v="168.00200000000001"/>
    <n v="21.946000000000002"/>
    <n v="4.1479999999999997"/>
    <n v="2.8340000000000001"/>
    <n v="6.266"/>
    <n v="4.1959999999999997"/>
    <n v="448.798"/>
    <n v="525.64400000000001"/>
    <n v="0"/>
    <n v="0.1"/>
    <n v="100"/>
    <n v="0.184"/>
    <n v="0.94599999999999995"/>
    <n v="0.187"/>
    <n v="0.81799999999999995"/>
    <m/>
    <m/>
    <s v="马五41b"/>
    <x v="15"/>
    <m/>
    <s v="录井"/>
    <n v="0.371"/>
    <n v="-0.76200000000000001"/>
  </r>
  <r>
    <s v="延911-3"/>
    <n v="3681"/>
    <n v="43.098999999999997"/>
    <n v="169.36600000000001"/>
    <n v="21.972999999999999"/>
    <n v="4.0679999999999996"/>
    <n v="2.8239999999999998"/>
    <n v="6.2309999999999999"/>
    <n v="4.2889999999999997"/>
    <n v="513.94299999999998"/>
    <n v="602.28599999999994"/>
    <n v="0"/>
    <n v="0.1"/>
    <n v="100"/>
    <n v="0.20100000000000001"/>
    <n v="0.97599999999999998"/>
    <n v="0.20300000000000001"/>
    <n v="0.76800000000000002"/>
    <m/>
    <m/>
    <s v="马五41b"/>
    <x v="15"/>
    <m/>
    <s v="录井"/>
    <n v="0.40400000000000003"/>
    <n v="-0.77499999999999991"/>
  </r>
  <r>
    <s v="延911-3"/>
    <n v="3681.125"/>
    <n v="43.725999999999999"/>
    <n v="170.13900000000001"/>
    <n v="22.009"/>
    <n v="4.0140000000000002"/>
    <n v="2.8159999999999998"/>
    <n v="6.2279999999999998"/>
    <n v="4.3460000000000001"/>
    <n v="591.11900000000003"/>
    <n v="693.08100000000002"/>
    <n v="0"/>
    <n v="0.1"/>
    <n v="100"/>
    <n v="0.20599999999999999"/>
    <n v="0.99399999999999999"/>
    <n v="0.21199999999999999"/>
    <n v="0.72699999999999998"/>
    <m/>
    <m/>
    <s v="马五41b"/>
    <x v="15"/>
    <m/>
    <s v="录井"/>
    <n v="0.41799999999999998"/>
    <n v="-0.78800000000000003"/>
  </r>
  <r>
    <s v="延911-3"/>
    <n v="3681.25"/>
    <n v="44.402999999999999"/>
    <n v="170.00399999999999"/>
    <n v="22.047000000000001"/>
    <n v="3.907"/>
    <n v="2.8119999999999998"/>
    <n v="6.3419999999999996"/>
    <n v="4.3639999999999999"/>
    <n v="662.63400000000001"/>
    <n v="777.21699999999998"/>
    <n v="0"/>
    <n v="0.1"/>
    <n v="100"/>
    <n v="0.21"/>
    <n v="1"/>
    <n v="0.21"/>
    <n v="0.70699999999999996"/>
    <m/>
    <m/>
    <s v="马五41b"/>
    <x v="15"/>
    <m/>
    <s v="录井"/>
    <n v="0.42"/>
    <n v="-0.79"/>
  </r>
  <r>
    <s v="延911-3"/>
    <n v="3681.375"/>
    <n v="46.404000000000003"/>
    <n v="169.095"/>
    <n v="22.08"/>
    <n v="3.6179999999999999"/>
    <n v="2.8140000000000001"/>
    <n v="6.67"/>
    <n v="4.2290000000000001"/>
    <n v="708.00800000000004"/>
    <n v="830.59699999999998"/>
    <n v="0"/>
    <n v="0.1"/>
    <n v="100"/>
    <n v="0.224"/>
    <n v="0.95599999999999996"/>
    <n v="0.2"/>
    <n v="0.71699999999999997"/>
    <m/>
    <m/>
    <s v="马五41b"/>
    <x v="15"/>
    <m/>
    <s v="录井"/>
    <n v="0.42400000000000004"/>
    <n v="-0.73199999999999998"/>
  </r>
  <r>
    <s v="延908"/>
    <n v="3516.875"/>
    <n v="23.856999999999999"/>
    <n v="161.32499999999999"/>
    <n v="25.155000000000001"/>
    <n v="3.5720000000000001"/>
    <n v="2.7850000000000001"/>
    <n v="9.0069999999999997"/>
    <n v="3.3290000000000002"/>
    <n v="52.777000000000001"/>
    <n v="55.338999999999999"/>
    <n v="1.014"/>
    <n v="0.1"/>
    <n v="100"/>
    <n v="7.3999999999999996E-2"/>
    <n v="0.38800000000000001"/>
    <n v="7.3999999999999996E-2"/>
    <n v="0.82699999999999996"/>
    <m/>
    <m/>
    <s v="马五41a"/>
    <x v="15"/>
    <m/>
    <s v="录井"/>
    <n v="0.14799999999999999"/>
    <n v="-0.314"/>
  </r>
  <r>
    <s v="延908"/>
    <n v="3517"/>
    <n v="23.071000000000002"/>
    <n v="165.84399999999999"/>
    <n v="25.084"/>
    <n v="3.5880000000000001"/>
    <n v="2.758"/>
    <n v="8.8680000000000003"/>
    <n v="3.702"/>
    <n v="52.424999999999997"/>
    <n v="55.280999999999999"/>
    <n v="1.3560000000000001"/>
    <n v="0.1"/>
    <n v="100"/>
    <n v="6.8000000000000005E-2"/>
    <n v="0.505"/>
    <n v="0.128"/>
    <n v="0.746"/>
    <m/>
    <m/>
    <s v="马五41a"/>
    <x v="15"/>
    <m/>
    <s v="录井"/>
    <n v="0.19600000000000001"/>
    <n v="-0.437"/>
  </r>
  <r>
    <s v="延908"/>
    <n v="3517.125"/>
    <n v="21.818000000000001"/>
    <n v="168.76499999999999"/>
    <n v="25.030999999999999"/>
    <n v="3.5640000000000001"/>
    <n v="2.7440000000000002"/>
    <n v="8.4260000000000002"/>
    <n v="4.3209999999999997"/>
    <n v="54.667999999999999"/>
    <n v="58.072000000000003"/>
    <n v="1.403"/>
    <n v="0.1"/>
    <n v="100"/>
    <n v="5.8999999999999997E-2"/>
    <n v="0.69799999999999995"/>
    <n v="0.16300000000000001"/>
    <n v="0.70399999999999996"/>
    <m/>
    <m/>
    <s v="马五41a"/>
    <x v="15"/>
    <m/>
    <s v="录井"/>
    <n v="0.222"/>
    <n v="-0.63900000000000001"/>
  </r>
  <r>
    <s v="延908"/>
    <n v="3517.25"/>
    <n v="22.614000000000001"/>
    <n v="169.142"/>
    <n v="24.981000000000002"/>
    <n v="3.5449999999999999"/>
    <n v="2.7450000000000001"/>
    <n v="7.7190000000000003"/>
    <n v="4.92"/>
    <n v="61.354999999999997"/>
    <n v="65.682000000000002"/>
    <n v="1.097"/>
    <n v="0.1"/>
    <n v="100"/>
    <n v="6.5000000000000002E-2"/>
    <n v="0.88600000000000001"/>
    <n v="0.16700000000000001"/>
    <n v="0.70699999999999996"/>
    <m/>
    <m/>
    <s v="马五41a"/>
    <x v="15"/>
    <m/>
    <s v="录井"/>
    <n v="0.23200000000000001"/>
    <n v="-0.82099999999999995"/>
  </r>
  <r>
    <s v="延908"/>
    <n v="3517.375"/>
    <n v="28.408000000000001"/>
    <n v="167.94900000000001"/>
    <n v="24.933"/>
    <n v="3.649"/>
    <n v="2.7519999999999998"/>
    <n v="7.04"/>
    <n v="5.069"/>
    <n v="76.123000000000005"/>
    <n v="82.013000000000005"/>
    <n v="0.58699999999999997"/>
    <n v="0.1"/>
    <n v="100"/>
    <n v="0.106"/>
    <n v="0.93200000000000005"/>
    <n v="0.153"/>
    <n v="0.72799999999999998"/>
    <m/>
    <m/>
    <s v="马五41a"/>
    <x v="15"/>
    <m/>
    <s v="录井"/>
    <n v="0.25900000000000001"/>
    <n v="-0.82600000000000007"/>
  </r>
  <r>
    <s v="延908"/>
    <n v="3517.5"/>
    <n v="39.835000000000001"/>
    <n v="166.23500000000001"/>
    <n v="24.905000000000001"/>
    <n v="4.0599999999999996"/>
    <n v="2.754"/>
    <n v="6.7270000000000003"/>
    <n v="4.7320000000000002"/>
    <n v="103.119"/>
    <n v="111.367"/>
    <n v="0.224"/>
    <n v="0.1"/>
    <n v="100"/>
    <n v="0.188"/>
    <n v="0.82699999999999996"/>
    <n v="0.13300000000000001"/>
    <n v="0.73399999999999999"/>
    <m/>
    <m/>
    <s v="马五41a"/>
    <x v="15"/>
    <m/>
    <s v="录井"/>
    <n v="0.32100000000000001"/>
    <n v="-0.63900000000000001"/>
  </r>
  <r>
    <s v="延908"/>
    <n v="3518.625"/>
    <n v="66.173000000000002"/>
    <n v="173.18700000000001"/>
    <n v="24.291"/>
    <n v="4.9619999999999997"/>
    <n v="2.758"/>
    <n v="10.356999999999999"/>
    <n v="4.2210000000000001"/>
    <n v="176.953"/>
    <n v="187.43299999999999"/>
    <n v="0.51600000000000001"/>
    <n v="0.1"/>
    <n v="100"/>
    <n v="0.377"/>
    <n v="0.66700000000000004"/>
    <n v="0.215"/>
    <n v="0.746"/>
    <m/>
    <m/>
    <s v="马五41b"/>
    <x v="15"/>
    <m/>
    <s v="录井"/>
    <n v="0.59199999999999997"/>
    <n v="-0.29000000000000004"/>
  </r>
  <r>
    <s v="延908"/>
    <n v="3518.75"/>
    <n v="46.792999999999999"/>
    <n v="169.851"/>
    <n v="24.152999999999999"/>
    <n v="4.5679999999999996"/>
    <n v="2.7589999999999999"/>
    <n v="8.4429999999999996"/>
    <n v="4.6440000000000001"/>
    <n v="200.44399999999999"/>
    <n v="213.69"/>
    <n v="0.67500000000000004"/>
    <n v="0.1"/>
    <n v="100"/>
    <n v="0.23799999999999999"/>
    <n v="0.79900000000000004"/>
    <n v="0.17499999999999999"/>
    <n v="0.749"/>
    <m/>
    <m/>
    <s v="马五41b"/>
    <x v="15"/>
    <m/>
    <s v="录井"/>
    <n v="0.41299999999999998"/>
    <n v="-0.56100000000000005"/>
  </r>
  <r>
    <s v="延908"/>
    <n v="3512.125"/>
    <n v="51.046999999999997"/>
    <n v="162.798"/>
    <n v="25.577999999999999"/>
    <n v="5.1139999999999999"/>
    <n v="2.734"/>
    <n v="4.1420000000000003"/>
    <n v="5.0170000000000003"/>
    <n v="366.11500000000001"/>
    <n v="401.13200000000001"/>
    <n v="8.5999999999999993E-2"/>
    <n v="0.1"/>
    <n v="100"/>
    <n v="0.26900000000000002"/>
    <n v="0.91600000000000004"/>
    <n v="9.1999999999999998E-2"/>
    <n v="0.67500000000000004"/>
    <m/>
    <m/>
    <s v="马五41a"/>
    <x v="15"/>
    <m/>
    <s v="录井"/>
    <n v="0.36099999999999999"/>
    <n v="-0.64700000000000002"/>
  </r>
  <r>
    <s v="延908"/>
    <n v="3512.25"/>
    <n v="33.156999999999996"/>
    <n v="160.512"/>
    <n v="25.686"/>
    <n v="4.5750000000000002"/>
    <n v="2.7250000000000001"/>
    <n v="3.0049999999999999"/>
    <n v="5.1319999999999997"/>
    <n v="666.61199999999997"/>
    <n v="729.02700000000004"/>
    <n v="9.0999999999999998E-2"/>
    <n v="0.1"/>
    <n v="100"/>
    <n v="0.14000000000000001"/>
    <n v="0.95199999999999996"/>
    <n v="6.5000000000000002E-2"/>
    <n v="0.64800000000000002"/>
    <m/>
    <m/>
    <s v="马五41a"/>
    <x v="15"/>
    <m/>
    <s v="录井"/>
    <n v="0.20500000000000002"/>
    <n v="-0.81199999999999994"/>
  </r>
  <r>
    <s v="延908"/>
    <n v="3512.375"/>
    <n v="22.962"/>
    <n v="160.13999999999999"/>
    <n v="25.774999999999999"/>
    <n v="4.2030000000000003"/>
    <n v="2.72"/>
    <n v="2.359"/>
    <n v="5.2859999999999996"/>
    <n v="992.779"/>
    <n v="1077.2629999999999"/>
    <n v="9.1999999999999998E-2"/>
    <n v="0.1"/>
    <n v="100"/>
    <n v="6.7000000000000004E-2"/>
    <n v="1"/>
    <n v="0.06"/>
    <n v="0.63300000000000001"/>
    <m/>
    <m/>
    <s v="马五41a"/>
    <x v="15"/>
    <m/>
    <s v="录井"/>
    <n v="0.127"/>
    <n v="-0.93300000000000005"/>
  </r>
  <r>
    <s v="延908"/>
    <n v="3512.5"/>
    <n v="19.103000000000002"/>
    <n v="160.53399999999999"/>
    <n v="25.888999999999999"/>
    <n v="4.1619999999999999"/>
    <n v="2.7250000000000001"/>
    <n v="2.141"/>
    <n v="5.0419999999999998"/>
    <n v="1167.9570000000001"/>
    <n v="1253.7439999999999"/>
    <n v="9.2999999999999999E-2"/>
    <n v="0.1"/>
    <n v="100"/>
    <n v="0.04"/>
    <n v="0.92400000000000004"/>
    <n v="6.5000000000000002E-2"/>
    <n v="0.64800000000000002"/>
    <m/>
    <m/>
    <s v="马五41a"/>
    <x v="15"/>
    <m/>
    <s v="录井"/>
    <n v="0.10500000000000001"/>
    <n v="-0.88400000000000001"/>
  </r>
  <r>
    <s v="延910-2"/>
    <n v="3635"/>
    <n v="30.032"/>
    <n v="159.905"/>
    <n v="21.998999999999999"/>
    <n v="2.0859999999999999"/>
    <n v="2.8570000000000002"/>
    <n v="6.8410000000000002"/>
    <n v="4.4189999999999996"/>
    <n v="19197.398000000001"/>
    <n v="15759.146000000001"/>
    <n v="0"/>
    <n v="0"/>
    <n v="100"/>
    <n v="9.9000000000000005E-2"/>
    <n v="0.9"/>
    <n v="0.19900000000000001"/>
    <n v="0.86199999999999999"/>
    <m/>
    <m/>
    <s v="马五41b"/>
    <x v="15"/>
    <m/>
    <s v="录井"/>
    <n v="0.29800000000000004"/>
    <n v="-0.80100000000000005"/>
  </r>
  <r>
    <s v="延910-2"/>
    <n v="3635.125"/>
    <n v="29.027000000000001"/>
    <n v="160.85400000000001"/>
    <n v="21.951000000000001"/>
    <n v="1.829"/>
    <n v="2.87"/>
    <n v="5.6639999999999997"/>
    <n v="4.6020000000000003"/>
    <n v="20646.226999999999"/>
    <n v="17291.312999999998"/>
    <n v="0"/>
    <n v="0"/>
    <n v="100"/>
    <n v="9.0999999999999998E-2"/>
    <n v="0.95599999999999996"/>
    <n v="0.219"/>
    <n v="0.89200000000000002"/>
    <m/>
    <m/>
    <s v="马五41b"/>
    <x v="15"/>
    <m/>
    <s v="录井"/>
    <n v="0.31"/>
    <n v="-0.86499999999999999"/>
  </r>
  <r>
    <s v="延910-2"/>
    <n v="3635.25"/>
    <n v="27.818000000000001"/>
    <n v="164.185"/>
    <n v="21.957000000000001"/>
    <n v="1.5269999999999999"/>
    <n v="2.8860000000000001"/>
    <n v="4.6429999999999998"/>
    <n v="4.7050000000000001"/>
    <n v="14440.235000000001"/>
    <n v="12747.412"/>
    <n v="0"/>
    <n v="0"/>
    <n v="100"/>
    <n v="8.1000000000000003E-2"/>
    <n v="0.98799999999999999"/>
    <n v="0.29299999999999998"/>
    <n v="0.92900000000000005"/>
    <m/>
    <m/>
    <s v="马五41b"/>
    <x v="15"/>
    <m/>
    <s v="录井"/>
    <n v="0.374"/>
    <n v="-0.90700000000000003"/>
  </r>
  <r>
    <s v="延910-2"/>
    <n v="3635.375"/>
    <n v="26.161000000000001"/>
    <n v="166.809"/>
    <n v="22.016999999999999"/>
    <n v="1.4219999999999999"/>
    <n v="2.9039999999999999"/>
    <n v="3.8380000000000001"/>
    <n v="4.7450000000000001"/>
    <n v="7673.076"/>
    <n v="7449.6509999999998"/>
    <n v="0"/>
    <n v="0"/>
    <n v="100"/>
    <n v="6.7000000000000004E-2"/>
    <n v="1"/>
    <n v="0.35"/>
    <n v="0.97"/>
    <m/>
    <m/>
    <s v="马五41b"/>
    <x v="15"/>
    <m/>
    <s v="录井"/>
    <n v="0.41699999999999998"/>
    <n v="-0.93300000000000005"/>
  </r>
  <r>
    <s v="延910-2"/>
    <n v="3635.5"/>
    <n v="22.774999999999999"/>
    <n v="167.042"/>
    <n v="22.038"/>
    <n v="1.649"/>
    <n v="2.9169999999999998"/>
    <n v="3.1579999999999999"/>
    <n v="4.7450000000000001"/>
    <n v="4701.4409999999998"/>
    <n v="4885.0010000000002"/>
    <n v="0"/>
    <n v="0"/>
    <n v="100"/>
    <n v="0.04"/>
    <n v="1"/>
    <n v="0.35499999999999998"/>
    <n v="1"/>
    <m/>
    <m/>
    <s v="马五41b"/>
    <x v="15"/>
    <m/>
    <s v="录井"/>
    <n v="0.39499999999999996"/>
    <n v="-0.96"/>
  </r>
  <r>
    <s v="延910-2"/>
    <n v="3635.625"/>
    <n v="21.385000000000002"/>
    <n v="165.886"/>
    <n v="22.006"/>
    <n v="2.0659999999999998"/>
    <n v="2.915"/>
    <n v="2.6030000000000002"/>
    <n v="4.7279999999999998"/>
    <n v="4332.1710000000003"/>
    <n v="4400.76"/>
    <n v="0"/>
    <n v="0"/>
    <n v="100"/>
    <n v="2.8000000000000001E-2"/>
    <n v="0.995"/>
    <n v="0.33"/>
    <n v="0.995"/>
    <m/>
    <m/>
    <s v="马五41b"/>
    <x v="15"/>
    <m/>
    <s v="录井"/>
    <n v="0.35800000000000004"/>
    <n v="-0.96699999999999997"/>
  </r>
  <r>
    <s v="延910-2"/>
    <n v="3635.75"/>
    <n v="20.568999999999999"/>
    <n v="165.49799999999999"/>
    <n v="22.033000000000001"/>
    <n v="2.383"/>
    <n v="2.9049999999999998"/>
    <n v="2.1960000000000002"/>
    <n v="4.7069999999999999"/>
    <n v="4448.7749999999996"/>
    <n v="4294.2610000000004"/>
    <n v="0"/>
    <n v="0"/>
    <n v="100"/>
    <n v="2.1000000000000001E-2"/>
    <n v="0.98799999999999999"/>
    <n v="0.32100000000000001"/>
    <n v="0.97199999999999998"/>
    <m/>
    <m/>
    <s v="马五41b"/>
    <x v="15"/>
    <m/>
    <s v="录井"/>
    <n v="0.34200000000000003"/>
    <n v="-0.96699999999999997"/>
  </r>
  <r>
    <s v="延910-2"/>
    <n v="3635.875"/>
    <n v="20.254999999999999"/>
    <n v="166.565"/>
    <n v="22.117999999999999"/>
    <n v="2.5289999999999999"/>
    <n v="2.8959999999999999"/>
    <n v="1.954"/>
    <n v="4.6749999999999998"/>
    <n v="4555.75"/>
    <n v="4086.2809999999999"/>
    <n v="0"/>
    <n v="0"/>
    <n v="100"/>
    <n v="1.9E-2"/>
    <n v="0.97899999999999998"/>
    <n v="0.34499999999999997"/>
    <n v="0.95199999999999996"/>
    <m/>
    <m/>
    <s v="马五41b"/>
    <x v="15"/>
    <m/>
    <s v="录井"/>
    <n v="0.36399999999999999"/>
    <n v="-0.96"/>
  </r>
  <r>
    <s v="延910-2"/>
    <n v="3636"/>
    <n v="21.050999999999998"/>
    <n v="168.32599999999999"/>
    <n v="22.363"/>
    <n v="2.42"/>
    <n v="2.89"/>
    <n v="1.8260000000000001"/>
    <n v="4.6150000000000002"/>
    <n v="4452.6379999999999"/>
    <n v="3637.192"/>
    <n v="0"/>
    <n v="0"/>
    <n v="100"/>
    <n v="2.5000000000000001E-2"/>
    <n v="0.96"/>
    <n v="0.38300000000000001"/>
    <n v="0.93799999999999994"/>
    <m/>
    <m/>
    <s v="马五41b"/>
    <x v="15"/>
    <m/>
    <s v="录井"/>
    <n v="0.40800000000000003"/>
    <n v="-0.93499999999999994"/>
  </r>
  <r>
    <s v="延910-2"/>
    <n v="3636.125"/>
    <n v="22.571000000000002"/>
    <n v="168.928"/>
    <n v="22.661000000000001"/>
    <n v="2.2130000000000001"/>
    <n v="2.879"/>
    <n v="1.8"/>
    <n v="4.5019999999999998"/>
    <n v="4183.83"/>
    <n v="3276.4740000000002"/>
    <n v="0"/>
    <n v="0"/>
    <n v="100"/>
    <n v="3.7999999999999999E-2"/>
    <n v="0.92600000000000005"/>
    <n v="0.39700000000000002"/>
    <n v="0.91200000000000003"/>
    <m/>
    <m/>
    <s v="马五41b"/>
    <x v="15"/>
    <m/>
    <s v="录井"/>
    <n v="0.435"/>
    <n v="-0.88800000000000001"/>
  </r>
  <r>
    <s v="延910-2"/>
    <n v="3636.25"/>
    <n v="24.082000000000001"/>
    <n v="167.893"/>
    <n v="22.637"/>
    <n v="2.1800000000000002"/>
    <n v="2.8759999999999999"/>
    <n v="1.84"/>
    <n v="4.3419999999999996"/>
    <n v="4573.3620000000001"/>
    <n v="4015.4140000000002"/>
    <n v="0"/>
    <n v="0"/>
    <n v="100"/>
    <n v="0.05"/>
    <n v="0.877"/>
    <n v="0.374"/>
    <n v="0.90600000000000003"/>
    <m/>
    <m/>
    <s v="马五41b"/>
    <x v="15"/>
    <m/>
    <s v="录井"/>
    <n v="0.42399999999999999"/>
    <n v="-0.82699999999999996"/>
  </r>
  <r>
    <s v="延495-2"/>
    <n v="3712.75"/>
    <n v="26.271000000000001"/>
    <n v="156.02600000000001"/>
    <n v="22.504999999999999"/>
    <n v="1.331"/>
    <n v="2.8519999999999999"/>
    <n v="1.9950000000000001"/>
    <n v="4.1349999999999998"/>
    <n v="978.93499999999995"/>
    <n v="1053.1769999999999"/>
    <n v="0"/>
    <n v="0"/>
    <n v="100"/>
    <n v="9.6000000000000002E-2"/>
    <n v="0.71199999999999997"/>
    <n v="0.109"/>
    <n v="0.83599999999999997"/>
    <m/>
    <m/>
    <s v="马五41b"/>
    <x v="15"/>
    <m/>
    <s v="录井"/>
    <n v="0.20500000000000002"/>
    <n v="-0.61599999999999999"/>
  </r>
  <r>
    <s v="延495-2"/>
    <n v="3712.875"/>
    <n v="23.178000000000001"/>
    <n v="158.422"/>
    <n v="22.552"/>
    <n v="1.2310000000000001"/>
    <n v="2.879"/>
    <n v="1.6990000000000001"/>
    <n v="4.2460000000000004"/>
    <n v="1032.559"/>
    <n v="1091.2270000000001"/>
    <n v="0"/>
    <n v="0"/>
    <n v="100"/>
    <n v="7.0000000000000007E-2"/>
    <n v="0.77300000000000002"/>
    <n v="0.14199999999999999"/>
    <n v="0.90300000000000002"/>
    <m/>
    <m/>
    <s v="马五41b"/>
    <x v="15"/>
    <m/>
    <s v="录井"/>
    <n v="0.21199999999999999"/>
    <n v="-0.70300000000000007"/>
  </r>
  <r>
    <s v="延495-2"/>
    <n v="3713"/>
    <n v="19.219000000000001"/>
    <n v="160.38999999999999"/>
    <n v="22.545999999999999"/>
    <n v="1.1679999999999999"/>
    <n v="2.9039999999999999"/>
    <n v="1.5549999999999999"/>
    <n v="4.3520000000000003"/>
    <n v="1153.2180000000001"/>
    <n v="1132.2070000000001"/>
    <n v="0"/>
    <n v="0"/>
    <n v="100"/>
    <n v="3.5999999999999997E-2"/>
    <n v="0.83"/>
    <n v="0.16900000000000001"/>
    <n v="0.96499999999999997"/>
    <m/>
    <m/>
    <s v="马五41b"/>
    <x v="15"/>
    <m/>
    <s v="录井"/>
    <n v="0.20500000000000002"/>
    <n v="-0.79399999999999993"/>
  </r>
  <r>
    <s v="延495-2"/>
    <n v="3713.125"/>
    <n v="20.303000000000001"/>
    <n v="161.86199999999999"/>
    <n v="22.446999999999999"/>
    <n v="1.2829999999999999"/>
    <n v="2.9159999999999999"/>
    <n v="1.5640000000000001"/>
    <n v="4.3970000000000002"/>
    <n v="978.49699999999996"/>
    <n v="927.81"/>
    <n v="0"/>
    <n v="0"/>
    <n v="100"/>
    <n v="4.4999999999999998E-2"/>
    <n v="0.85499999999999998"/>
    <n v="0.19"/>
    <n v="0.995"/>
    <m/>
    <m/>
    <s v="马五41b"/>
    <x v="15"/>
    <m/>
    <s v="录井"/>
    <n v="0.23499999999999999"/>
    <n v="-0.80999999999999994"/>
  </r>
  <r>
    <s v="延495-2"/>
    <n v="3713.25"/>
    <n v="25.193999999999999"/>
    <n v="162.73699999999999"/>
    <n v="22.33"/>
    <n v="1.339"/>
    <n v="2.9180000000000001"/>
    <n v="1.6579999999999999"/>
    <n v="4.3630000000000004"/>
    <n v="904.10599999999999"/>
    <n v="856.03899999999999"/>
    <n v="0"/>
    <n v="0"/>
    <n v="100"/>
    <n v="8.6999999999999994E-2"/>
    <n v="0.83599999999999997"/>
    <n v="0.20200000000000001"/>
    <n v="1"/>
    <m/>
    <m/>
    <s v="马五41b"/>
    <x v="15"/>
    <m/>
    <s v="录井"/>
    <n v="0.28900000000000003"/>
    <n v="-0.749"/>
  </r>
  <r>
    <s v="延495-2"/>
    <n v="3713.375"/>
    <n v="30.585000000000001"/>
    <n v="162.83699999999999"/>
    <n v="22.279"/>
    <n v="1.1990000000000001"/>
    <n v="2.9129999999999998"/>
    <n v="1.716"/>
    <n v="4.274"/>
    <n v="868.89800000000002"/>
    <n v="817.173"/>
    <n v="0"/>
    <n v="0"/>
    <n v="100"/>
    <n v="0.13200000000000001"/>
    <n v="0.78800000000000003"/>
    <n v="0.20300000000000001"/>
    <n v="0.98799999999999999"/>
    <m/>
    <m/>
    <s v="马五41b"/>
    <x v="15"/>
    <m/>
    <s v="录井"/>
    <n v="0.33500000000000002"/>
    <n v="-0.65600000000000003"/>
  </r>
  <r>
    <s v="延495-2"/>
    <n v="3713.5"/>
    <n v="33.877000000000002"/>
    <n v="162.136"/>
    <n v="22.300999999999998"/>
    <n v="1.0529999999999999"/>
    <n v="2.9079999999999999"/>
    <n v="1.6950000000000001"/>
    <n v="4.2030000000000003"/>
    <n v="793.15099999999995"/>
    <n v="741.11500000000001"/>
    <n v="0"/>
    <n v="0"/>
    <n v="100"/>
    <n v="0.16"/>
    <n v="0.749"/>
    <n v="0.19400000000000001"/>
    <n v="0.97499999999999998"/>
    <m/>
    <m/>
    <s v="马五41b"/>
    <x v="15"/>
    <m/>
    <s v="录井"/>
    <n v="0.35399999999999998"/>
    <n v="-0.58899999999999997"/>
  </r>
  <r>
    <s v="延495-2"/>
    <n v="3713.625"/>
    <n v="31.81"/>
    <n v="160.92099999999999"/>
    <n v="22.466000000000001"/>
    <n v="1.0569999999999999"/>
    <n v="2.9039999999999999"/>
    <n v="1.6919999999999999"/>
    <n v="4.1970000000000001"/>
    <n v="811.28700000000003"/>
    <n v="769.197"/>
    <n v="0"/>
    <n v="0"/>
    <n v="100"/>
    <n v="0.14199999999999999"/>
    <n v="0.746"/>
    <n v="0.17699999999999999"/>
    <n v="0.96499999999999997"/>
    <m/>
    <m/>
    <s v="马五41b"/>
    <x v="15"/>
    <m/>
    <s v="录井"/>
    <n v="0.31899999999999995"/>
    <n v="-0.60399999999999998"/>
  </r>
  <r>
    <s v="延495-2"/>
    <n v="3713.75"/>
    <n v="26.352"/>
    <n v="159.87899999999999"/>
    <n v="22.488"/>
    <n v="1.08"/>
    <n v="2.8959999999999999"/>
    <n v="1.7110000000000001"/>
    <n v="4.2539999999999996"/>
    <n v="1094.279"/>
    <n v="1088.7529999999999"/>
    <n v="0"/>
    <n v="0"/>
    <n v="100"/>
    <n v="9.6000000000000002E-2"/>
    <n v="0.77700000000000002"/>
    <n v="0.16200000000000001"/>
    <n v="0.94499999999999995"/>
    <m/>
    <m/>
    <s v="马五41b"/>
    <x v="15"/>
    <m/>
    <s v="录井"/>
    <n v="0.25800000000000001"/>
    <n v="-0.68100000000000005"/>
  </r>
  <r>
    <s v="延495-2"/>
    <n v="3713.875"/>
    <n v="21.106999999999999"/>
    <n v="159.44800000000001"/>
    <n v="22.486000000000001"/>
    <n v="1.242"/>
    <n v="2.8849999999999998"/>
    <n v="1.8149999999999999"/>
    <n v="4.3620000000000001"/>
    <n v="1598.7570000000001"/>
    <n v="1642.6759999999999"/>
    <n v="0"/>
    <n v="0"/>
    <n v="100"/>
    <n v="5.1999999999999998E-2"/>
    <n v="0.83599999999999997"/>
    <n v="0.156"/>
    <n v="0.91800000000000004"/>
    <m/>
    <m/>
    <s v="马五41b"/>
    <x v="15"/>
    <m/>
    <s v="录井"/>
    <n v="0.20799999999999999"/>
    <n v="-0.78399999999999992"/>
  </r>
  <r>
    <s v="延495-2"/>
    <n v="3714"/>
    <n v="17.928000000000001"/>
    <n v="159.715"/>
    <n v="22.510999999999999"/>
    <n v="1.508"/>
    <n v="2.8759999999999999"/>
    <n v="2.0249999999999999"/>
    <n v="4.4630000000000001"/>
    <n v="1379.3389999999999"/>
    <n v="1544.6790000000001"/>
    <n v="0"/>
    <n v="0"/>
    <n v="100"/>
    <n v="2.5000000000000001E-2"/>
    <n v="0.89100000000000001"/>
    <n v="0.16"/>
    <n v="0.89600000000000002"/>
    <m/>
    <m/>
    <s v="马五41b"/>
    <x v="15"/>
    <m/>
    <s v="录井"/>
    <n v="0.185"/>
    <n v="-0.86599999999999999"/>
  </r>
  <r>
    <s v="延495-2"/>
    <n v="3714.125"/>
    <n v="16.66"/>
    <n v="160.37899999999999"/>
    <n v="22.484999999999999"/>
    <n v="1.6839999999999999"/>
    <n v="2.8740000000000001"/>
    <n v="2.37"/>
    <n v="4.4889999999999999"/>
    <n v="356.77699999999999"/>
    <n v="388.40600000000001"/>
    <n v="0"/>
    <n v="0"/>
    <n v="100"/>
    <n v="1.4999999999999999E-2"/>
    <n v="0.90500000000000003"/>
    <n v="0.16900000000000001"/>
    <n v="0.89100000000000001"/>
    <m/>
    <m/>
    <s v="马五41b"/>
    <x v="15"/>
    <m/>
    <s v="录井"/>
    <n v="0.184"/>
    <n v="-0.89"/>
  </r>
  <r>
    <s v="延495-2"/>
    <n v="3714.25"/>
    <n v="21.972000000000001"/>
    <n v="160.84299999999999"/>
    <n v="22.518000000000001"/>
    <n v="1.7569999999999999"/>
    <n v="2.8730000000000002"/>
    <n v="2.9769999999999999"/>
    <n v="4.4290000000000003"/>
    <n v="286.52199999999999"/>
    <n v="306.36399999999998"/>
    <n v="0"/>
    <n v="0"/>
    <n v="100"/>
    <n v="5.8999999999999997E-2"/>
    <n v="0.872"/>
    <n v="0.17599999999999999"/>
    <n v="0.88800000000000001"/>
    <m/>
    <m/>
    <s v="马五41b"/>
    <x v="15"/>
    <m/>
    <s v="录井"/>
    <n v="0.23499999999999999"/>
    <n v="-0.81299999999999994"/>
  </r>
  <r>
    <s v="延495-2"/>
    <n v="3714.375"/>
    <n v="37.026000000000003"/>
    <n v="160.81899999999999"/>
    <n v="22.53"/>
    <n v="1.78"/>
    <n v="2.8660000000000001"/>
    <n v="4.0119999999999996"/>
    <n v="4.29"/>
    <n v="269.98200000000003"/>
    <n v="282.53399999999999"/>
    <n v="0"/>
    <n v="0"/>
    <n v="100"/>
    <n v="0.186"/>
    <n v="0.79700000000000004"/>
    <n v="0.17499999999999999"/>
    <n v="0.871"/>
    <m/>
    <m/>
    <s v="马五41b"/>
    <x v="15"/>
    <m/>
    <s v="录井"/>
    <n v="0.36099999999999999"/>
    <n v="-0.61099999999999999"/>
  </r>
  <r>
    <s v="延908"/>
    <n v="3518.875"/>
    <n v="30.425999999999998"/>
    <n v="165.822"/>
    <n v="24.106000000000002"/>
    <n v="4.2359999999999998"/>
    <n v="2.7530000000000001"/>
    <n v="6.6269999999999998"/>
    <n v="4.6740000000000004"/>
    <n v="239.80500000000001"/>
    <n v="257.51299999999998"/>
    <n v="0.68799999999999994"/>
    <n v="0.1"/>
    <n v="100"/>
    <n v="0.121"/>
    <n v="0.80900000000000005"/>
    <n v="0.128"/>
    <n v="0.73099999999999998"/>
    <m/>
    <m/>
    <s v="马五41b"/>
    <x v="15"/>
    <m/>
    <s v="录井"/>
    <n v="0.249"/>
    <n v="-0.68800000000000006"/>
  </r>
  <r>
    <s v="延907-2"/>
    <n v="3737.375"/>
    <n v="43.991"/>
    <n v="162.43199999999999"/>
    <n v="22.007000000000001"/>
    <n v="1.9910000000000001"/>
    <n v="2.7759999999999998"/>
    <n v="6.0010000000000003"/>
    <n v="4.1660000000000004"/>
    <n v="719.88900000000001"/>
    <n v="698.29300000000001"/>
    <n v="0"/>
    <n v="0"/>
    <n v="100"/>
    <n v="0.219"/>
    <n v="0.80700000000000005"/>
    <n v="0.11899999999999999"/>
    <n v="0.80100000000000005"/>
    <m/>
    <m/>
    <s v="马五41b"/>
    <x v="15"/>
    <m/>
    <s v="录井"/>
    <n v="0.33799999999999997"/>
    <n v="-0.58800000000000008"/>
  </r>
  <r>
    <s v="延907-2"/>
    <n v="3737.5"/>
    <n v="51.417000000000002"/>
    <n v="167.51"/>
    <n v="22.044"/>
    <n v="1.974"/>
    <n v="2.7829999999999999"/>
    <n v="4.9950000000000001"/>
    <n v="4.4089999999999998"/>
    <n v="609.01199999999994"/>
    <n v="590.74199999999996"/>
    <n v="0"/>
    <n v="0"/>
    <n v="100"/>
    <n v="0.27500000000000002"/>
    <n v="0.91700000000000004"/>
    <n v="0.16500000000000001"/>
    <n v="0.82399999999999995"/>
    <m/>
    <m/>
    <s v="马五41b"/>
    <x v="15"/>
    <m/>
    <s v="录井"/>
    <n v="0.44000000000000006"/>
    <n v="-0.64200000000000002"/>
  </r>
  <r>
    <s v="延907-2"/>
    <n v="3737.625"/>
    <n v="51.683"/>
    <n v="171.94"/>
    <n v="22.068999999999999"/>
    <n v="2.0299999999999998"/>
    <n v="2.7909999999999999"/>
    <n v="4.492"/>
    <n v="4.5919999999999996"/>
    <n v="571.08900000000006"/>
    <n v="553.95600000000002"/>
    <n v="0"/>
    <n v="0"/>
    <n v="100"/>
    <n v="0.27700000000000002"/>
    <n v="1"/>
    <n v="0.20599999999999999"/>
    <n v="0.85"/>
    <m/>
    <m/>
    <s v="马五41b"/>
    <x v="15"/>
    <m/>
    <s v="录井"/>
    <n v="0.48299999999999998"/>
    <n v="-0.72299999999999998"/>
  </r>
  <r>
    <s v="延907-2"/>
    <n v="3737.75"/>
    <n v="47.594000000000001"/>
    <n v="174.60900000000001"/>
    <n v="22.077000000000002"/>
    <n v="2.1469999999999998"/>
    <n v="2.8039999999999998"/>
    <n v="4.601"/>
    <n v="4.5119999999999996"/>
    <n v="629.35"/>
    <n v="610.46900000000005"/>
    <n v="0"/>
    <n v="0"/>
    <n v="100"/>
    <n v="0.246"/>
    <n v="0.96399999999999997"/>
    <n v="0.23"/>
    <n v="0.89300000000000002"/>
    <m/>
    <m/>
    <s v="马五41b"/>
    <x v="15"/>
    <m/>
    <s v="录井"/>
    <n v="0.47599999999999998"/>
    <n v="-0.71799999999999997"/>
  </r>
  <r>
    <s v="延903-2"/>
    <n v="4019.875"/>
    <n v="61.905000000000001"/>
    <n v="162.34800000000001"/>
    <n v="23.117999999999999"/>
    <n v="2.29"/>
    <n v="2.79"/>
    <n v="7.2210000000000001"/>
    <n v="4.117"/>
    <n v="660.68700000000001"/>
    <n v="471.82900000000001"/>
    <n v="6.6000000000000003E-2"/>
    <n v="0.1"/>
    <n v="100"/>
    <n v="0.34799999999999998"/>
    <n v="0.72699999999999998"/>
    <n v="0.188"/>
    <n v="0.44600000000000001"/>
    <m/>
    <m/>
    <s v="马五41b"/>
    <x v="15"/>
    <m/>
    <s v="录井"/>
    <n v="0.53600000000000003"/>
    <n v="-0.379"/>
  </r>
  <r>
    <s v="延903-2"/>
    <n v="4020"/>
    <n v="64.626000000000005"/>
    <n v="162.56200000000001"/>
    <n v="23.102"/>
    <n v="2.4169999999999998"/>
    <n v="2.798"/>
    <n v="6.1289999999999996"/>
    <n v="4.226"/>
    <n v="720.82600000000002"/>
    <n v="539.27200000000005"/>
    <n v="6.5000000000000002E-2"/>
    <n v="0.1"/>
    <n v="100"/>
    <n v="0.36699999999999999"/>
    <n v="0.77600000000000002"/>
    <n v="0.193"/>
    <n v="0.47699999999999998"/>
    <m/>
    <m/>
    <s v="马五41b"/>
    <x v="15"/>
    <m/>
    <s v="录井"/>
    <n v="0.56000000000000005"/>
    <n v="-0.40900000000000003"/>
  </r>
  <r>
    <s v="延903-2"/>
    <n v="4020.125"/>
    <n v="60.21"/>
    <n v="161.55000000000001"/>
    <n v="23.091999999999999"/>
    <n v="2.4630000000000001"/>
    <n v="2.8039999999999998"/>
    <n v="5.0570000000000004"/>
    <n v="4.343"/>
    <n v="1167.8240000000001"/>
    <n v="852.11500000000001"/>
    <n v="7.0999999999999994E-2"/>
    <n v="0.1"/>
    <n v="100"/>
    <n v="0.33600000000000002"/>
    <n v="0.82799999999999996"/>
    <n v="0.16900000000000001"/>
    <n v="0.5"/>
    <m/>
    <m/>
    <s v="马五41b"/>
    <x v="15"/>
    <m/>
    <s v="录井"/>
    <n v="0.505"/>
    <n v="-0.49199999999999994"/>
  </r>
  <r>
    <s v="延903-2"/>
    <n v="4020.25"/>
    <n v="53.093000000000004"/>
    <n v="159.95099999999999"/>
    <n v="23.135999999999999"/>
    <n v="2.4929999999999999"/>
    <n v="2.806"/>
    <n v="4.532"/>
    <n v="4.5229999999999997"/>
    <n v="1614.396"/>
    <n v="1126.79"/>
    <n v="7.6999999999999999E-2"/>
    <n v="0.1"/>
    <n v="100"/>
    <n v="0.28599999999999998"/>
    <n v="0.90900000000000003"/>
    <n v="0.13200000000000001"/>
    <n v="0.50800000000000001"/>
    <m/>
    <m/>
    <s v="马五41b"/>
    <x v="15"/>
    <m/>
    <s v="录井"/>
    <n v="0.41799999999999998"/>
    <n v="-0.623"/>
  </r>
  <r>
    <s v="延903-2"/>
    <n v="4020.375"/>
    <n v="48.039000000000001"/>
    <n v="159.08799999999999"/>
    <n v="23.28"/>
    <n v="2.5150000000000001"/>
    <n v="2.802"/>
    <n v="4.7290000000000001"/>
    <n v="4.6559999999999997"/>
    <n v="1602.8209999999999"/>
    <n v="1078.242"/>
    <n v="7.6999999999999999E-2"/>
    <n v="0.1"/>
    <n v="100"/>
    <n v="0.25"/>
    <n v="0.96899999999999997"/>
    <n v="0.111"/>
    <n v="0.49199999999999999"/>
    <m/>
    <m/>
    <s v="马五41b"/>
    <x v="15"/>
    <m/>
    <s v="录井"/>
    <n v="0.36099999999999999"/>
    <n v="-0.71899999999999997"/>
  </r>
  <r>
    <s v="延903-2"/>
    <n v="4020.5"/>
    <n v="46.929000000000002"/>
    <n v="159.46600000000001"/>
    <n v="23.507999999999999"/>
    <n v="2.4990000000000001"/>
    <n v="2.7949999999999999"/>
    <n v="5.407"/>
    <n v="4.726"/>
    <n v="1165.5360000000001"/>
    <n v="774.38599999999997"/>
    <n v="7.3999999999999996E-2"/>
    <n v="0.1"/>
    <n v="100"/>
    <n v="0.24299999999999999"/>
    <n v="1"/>
    <n v="0.12"/>
    <n v="0.46500000000000002"/>
    <m/>
    <m/>
    <s v="马五41b"/>
    <x v="15"/>
    <m/>
    <s v="录井"/>
    <n v="0.36299999999999999"/>
    <n v="-0.75700000000000001"/>
  </r>
  <r>
    <s v="延903-2"/>
    <n v="4020.625"/>
    <n v="47.448999999999998"/>
    <n v="160.28"/>
    <n v="23.65"/>
    <n v="2.4510000000000001"/>
    <n v="2.7919999999999998"/>
    <n v="6.173"/>
    <n v="4.6680000000000001"/>
    <n v="778.56799999999998"/>
    <n v="531.67399999999998"/>
    <n v="7.4999999999999997E-2"/>
    <n v="0.1"/>
    <n v="100"/>
    <n v="0.246"/>
    <n v="0.97399999999999998"/>
    <n v="0.13900000000000001"/>
    <n v="0.45400000000000001"/>
    <m/>
    <m/>
    <s v="马五41b"/>
    <x v="15"/>
    <m/>
    <s v="录井"/>
    <n v="0.38500000000000001"/>
    <n v="-0.72799999999999998"/>
  </r>
  <r>
    <s v="延903-2"/>
    <n v="4020.75"/>
    <n v="47.25"/>
    <n v="160.44999999999999"/>
    <n v="23.661000000000001"/>
    <n v="2.3959999999999999"/>
    <n v="2.7970000000000002"/>
    <n v="6.8520000000000003"/>
    <n v="4.3769999999999998"/>
    <n v="663.29399999999998"/>
    <n v="457.48"/>
    <n v="7.6999999999999999E-2"/>
    <n v="0.1"/>
    <n v="100"/>
    <n v="0.245"/>
    <n v="0.84299999999999997"/>
    <n v="0.14299999999999999"/>
    <n v="0.47299999999999998"/>
    <m/>
    <m/>
    <s v="马五41b"/>
    <x v="15"/>
    <m/>
    <s v="录井"/>
    <n v="0.38800000000000001"/>
    <n v="-0.59799999999999998"/>
  </r>
  <r>
    <s v="延903-2"/>
    <n v="4020.875"/>
    <n v="46.619"/>
    <n v="159.83699999999999"/>
    <n v="23.597999999999999"/>
    <n v="2.379"/>
    <n v="2.8079999999999998"/>
    <n v="7.452"/>
    <n v="3.8330000000000002"/>
    <n v="687.55499999999995"/>
    <n v="468.084"/>
    <n v="7.6999999999999999E-2"/>
    <n v="0.1"/>
    <n v="100"/>
    <n v="0.24"/>
    <n v="0.59899999999999998"/>
    <n v="0.129"/>
    <n v="0.51500000000000001"/>
    <m/>
    <m/>
    <s v="马五41b"/>
    <x v="15"/>
    <m/>
    <s v="录井"/>
    <n v="0.36899999999999999"/>
    <n v="-0.35899999999999999"/>
  </r>
  <r>
    <s v="延917"/>
    <n v="3449.375"/>
    <n v="29.204000000000001"/>
    <n v="168.82300000000001"/>
    <n v="22.241"/>
    <n v="1.724"/>
    <n v="2.9119999999999999"/>
    <n v="2.9420000000000002"/>
    <n v="4.0270000000000001"/>
    <n v="6891.7330000000002"/>
    <n v="6793.683"/>
    <n v="0.01"/>
    <n v="1E-3"/>
    <n v="100"/>
    <n v="4.9000000000000002E-2"/>
    <n v="0.436"/>
    <n v="0.126"/>
    <n v="0.92900000000000005"/>
    <m/>
    <m/>
    <s v="马五41b"/>
    <x v="15"/>
    <m/>
    <s v="录井"/>
    <n v="0.17499999999999999"/>
    <n v="-0.38700000000000001"/>
  </r>
  <r>
    <s v="延917"/>
    <n v="3449.5"/>
    <n v="30.324000000000002"/>
    <n v="171.08099999999999"/>
    <n v="22.268000000000001"/>
    <n v="1.794"/>
    <n v="2.9220000000000002"/>
    <n v="2.3809999999999998"/>
    <n v="4.8079999999999998"/>
    <n v="3278.2469999999998"/>
    <n v="3181.67"/>
    <n v="0.01"/>
    <n v="1E-3"/>
    <n v="100"/>
    <n v="5.5E-2"/>
    <n v="0.65500000000000003"/>
    <n v="0.153"/>
    <n v="0.96"/>
    <m/>
    <m/>
    <s v="马五41b"/>
    <x v="15"/>
    <m/>
    <s v="录井"/>
    <n v="0.20799999999999999"/>
    <n v="-0.6"/>
  </r>
  <r>
    <s v="延917"/>
    <n v="3449.625"/>
    <n v="30.696000000000002"/>
    <n v="172.584"/>
    <n v="22.295999999999999"/>
    <n v="1.85"/>
    <n v="2.9260000000000002"/>
    <n v="2.359"/>
    <n v="5.5519999999999996"/>
    <n v="2290.79"/>
    <n v="2274.3310000000001"/>
    <n v="0.01"/>
    <n v="1E-3"/>
    <n v="100"/>
    <n v="5.8000000000000003E-2"/>
    <n v="0.86299999999999999"/>
    <n v="0.17199999999999999"/>
    <n v="0.97199999999999998"/>
    <m/>
    <m/>
    <s v="马五41b"/>
    <x v="15"/>
    <m/>
    <s v="录井"/>
    <n v="0.22999999999999998"/>
    <n v="-0.80499999999999994"/>
  </r>
  <r>
    <s v="延917"/>
    <n v="3449.75"/>
    <n v="29.585000000000001"/>
    <n v="173.07300000000001"/>
    <n v="22.308"/>
    <n v="1.8919999999999999"/>
    <n v="2.9279999999999999"/>
    <n v="1.706"/>
    <n v="6.0380000000000003"/>
    <n v="2385.15"/>
    <n v="2397.3649999999998"/>
    <n v="0.01"/>
    <n v="1E-3"/>
    <n v="100"/>
    <n v="5.0999999999999997E-2"/>
    <n v="0.999"/>
    <n v="0.17799999999999999"/>
    <n v="0.97799999999999998"/>
    <m/>
    <m/>
    <s v="马五41b"/>
    <x v="15"/>
    <m/>
    <s v="录井"/>
    <n v="0.22899999999999998"/>
    <n v="-0.94799999999999995"/>
  </r>
  <r>
    <s v="延917"/>
    <n v="3449.875"/>
    <n v="25.454999999999998"/>
    <n v="172.964"/>
    <n v="22.308"/>
    <n v="1.67"/>
    <n v="2.9319999999999999"/>
    <n v="1.3740000000000001"/>
    <n v="6.04"/>
    <n v="3080.4859999999999"/>
    <n v="3123.3470000000002"/>
    <n v="0.01"/>
    <n v="1E-3"/>
    <n v="100"/>
    <n v="2.7E-2"/>
    <n v="1"/>
    <n v="0.17599999999999999"/>
    <n v="0.99099999999999999"/>
    <m/>
    <m/>
    <s v="马五41b"/>
    <x v="15"/>
    <m/>
    <s v="录井"/>
    <n v="0.20299999999999999"/>
    <n v="-0.97299999999999998"/>
  </r>
  <r>
    <s v="靖20-2"/>
    <n v="3643.875"/>
    <n v="40.564999999999998"/>
    <n v="154.86000000000001"/>
    <n v="22.093"/>
    <n v="4.0949999999999998"/>
    <n v="2.8050000000000002"/>
    <n v="1.577"/>
    <n v="4.415"/>
    <n v="204.41300000000001"/>
    <n v="223.09"/>
    <n v="8.4000000000000005E-2"/>
    <n v="1E-3"/>
    <n v="100"/>
    <n v="0.13900000000000001"/>
    <n v="0.86599999999999999"/>
    <n v="3.4000000000000002E-2"/>
    <n v="0.83799999999999997"/>
    <m/>
    <m/>
    <s v="马五41a"/>
    <x v="15"/>
    <m/>
    <s v="录井"/>
    <n v="0.17300000000000001"/>
    <n v="-0.72699999999999998"/>
  </r>
  <r>
    <s v="靖20-2"/>
    <n v="3644"/>
    <n v="32.527000000000001"/>
    <n v="155.91900000000001"/>
    <n v="22.108000000000001"/>
    <n v="3.6859999999999999"/>
    <n v="2.802"/>
    <n v="2.0939999999999999"/>
    <n v="4.4969999999999999"/>
    <n v="226.35499999999999"/>
    <n v="254.16800000000001"/>
    <n v="8.7999999999999995E-2"/>
    <n v="1E-3"/>
    <n v="100"/>
    <n v="8.8999999999999996E-2"/>
    <n v="0.91400000000000003"/>
    <n v="4.7E-2"/>
    <n v="0.82899999999999996"/>
    <m/>
    <m/>
    <s v="马五41a"/>
    <x v="15"/>
    <m/>
    <s v="录井"/>
    <n v="0.13600000000000001"/>
    <n v="-0.82500000000000007"/>
  </r>
  <r>
    <s v="靖20-2"/>
    <n v="3644.125"/>
    <n v="30.93"/>
    <n v="157.45599999999999"/>
    <n v="22.088000000000001"/>
    <n v="3.6230000000000002"/>
    <n v="2.7959999999999998"/>
    <n v="3.1080000000000001"/>
    <n v="4.5590000000000002"/>
    <n v="235.69900000000001"/>
    <n v="259.31900000000002"/>
    <n v="8.8999999999999996E-2"/>
    <n v="1E-3"/>
    <n v="100"/>
    <n v="7.9000000000000001E-2"/>
    <n v="0.95"/>
    <n v="6.5000000000000002E-2"/>
    <n v="0.81100000000000005"/>
    <m/>
    <m/>
    <s v="马五41a"/>
    <x v="15"/>
    <m/>
    <s v="录井"/>
    <n v="0.14400000000000002"/>
    <n v="-0.871"/>
  </r>
  <r>
    <s v="靖20-2"/>
    <n v="3644.25"/>
    <n v="30.585000000000001"/>
    <n v="159.18600000000001"/>
    <n v="21.995999999999999"/>
    <n v="3.5259999999999998"/>
    <n v="2.7879999999999998"/>
    <n v="4.6660000000000004"/>
    <n v="4.6230000000000002"/>
    <n v="209.452"/>
    <n v="230.06899999999999"/>
    <n v="0.49"/>
    <n v="1E-3"/>
    <n v="100"/>
    <n v="7.6999999999999999E-2"/>
    <n v="0.98799999999999999"/>
    <n v="8.5000000000000006E-2"/>
    <n v="0.78700000000000003"/>
    <m/>
    <m/>
    <s v="马五41a"/>
    <x v="15"/>
    <m/>
    <s v="录井"/>
    <n v="0.16200000000000001"/>
    <n v="-0.91100000000000003"/>
  </r>
  <r>
    <s v="靖20-2"/>
    <n v="3644.375"/>
    <n v="29.361999999999998"/>
    <n v="160.92599999999999"/>
    <n v="21.896999999999998"/>
    <n v="3.2010000000000001"/>
    <n v="2.7770000000000001"/>
    <n v="6.9390000000000001"/>
    <n v="4.6440000000000001"/>
    <n v="157.953"/>
    <n v="173.501"/>
    <n v="2.2970000000000002"/>
    <n v="1E-3"/>
    <n v="44.042999999999999"/>
    <n v="7.0000000000000007E-2"/>
    <n v="1"/>
    <n v="0.106"/>
    <n v="0.753"/>
    <m/>
    <m/>
    <s v="马五41a"/>
    <x v="15"/>
    <m/>
    <s v="录井"/>
    <n v="0.17599999999999999"/>
    <n v="-0.92999999999999994"/>
  </r>
  <r>
    <s v="靖20-2"/>
    <n v="3644.5"/>
    <n v="27.128"/>
    <n v="162.50899999999999"/>
    <n v="21.864000000000001"/>
    <n v="2.6440000000000001"/>
    <n v="2.7650000000000001"/>
    <n v="9.8010000000000002"/>
    <n v="4.5030000000000001"/>
    <n v="102.66500000000001"/>
    <n v="112.771"/>
    <n v="4.5519999999999996"/>
    <n v="2.5000000000000001E-2"/>
    <n v="24.917000000000002"/>
    <n v="5.6000000000000001E-2"/>
    <n v="0.91700000000000004"/>
    <n v="0.125"/>
    <n v="0.71599999999999997"/>
    <m/>
    <m/>
    <s v="马五41a"/>
    <x v="15"/>
    <m/>
    <s v="录井"/>
    <n v="0.18099999999999999"/>
    <n v="-0.86099999999999999"/>
  </r>
  <r>
    <s v="延917"/>
    <n v="3450"/>
    <n v="22.986000000000001"/>
    <n v="172.98599999999999"/>
    <n v="22.292000000000002"/>
    <n v="1.528"/>
    <n v="2.9350000000000001"/>
    <n v="1.464"/>
    <n v="5.4020000000000001"/>
    <n v="4094.4470000000001"/>
    <n v="4068.33"/>
    <n v="0.01"/>
    <n v="1E-3"/>
    <n v="100"/>
    <n v="1.2999999999999999E-2"/>
    <n v="0.82099999999999995"/>
    <n v="0.17699999999999999"/>
    <n v="1"/>
    <m/>
    <m/>
    <s v="马五41b"/>
    <x v="15"/>
    <m/>
    <s v="录井"/>
    <n v="0.19"/>
    <n v="-0.80799999999999994"/>
  </r>
  <r>
    <s v="延1087"/>
    <n v="3398.625"/>
    <n v="18.074000000000002"/>
    <n v="21.861999999999998"/>
    <n v="1.659"/>
    <n v="168.60300000000001"/>
    <n v="2.9289999999999998"/>
    <n v="2.94"/>
    <n v="5.0209999999999999"/>
    <n v="1353.954"/>
    <n v="1313.373"/>
    <n v="8.6999999999999994E-2"/>
    <n v="0.1"/>
    <n v="100"/>
    <n v="5.6000000000000001E-2"/>
    <n v="0.70199999999999996"/>
    <n v="0.222"/>
    <n v="0.94599999999999995"/>
    <n v="9.5000000000000001E-2"/>
    <m/>
    <s v="马五41b"/>
    <x v="15"/>
    <n v="8"/>
    <m/>
    <n v="0.27800000000000002"/>
    <n v="-0.64599999999999991"/>
  </r>
  <r>
    <s v="延1087"/>
    <n v="3398.75"/>
    <n v="21.292000000000002"/>
    <n v="21.83"/>
    <n v="1.724"/>
    <n v="169.03"/>
    <n v="2.9249999999999998"/>
    <n v="3"/>
    <n v="5.0220000000000002"/>
    <n v="1123.4269999999999"/>
    <n v="1077.7139999999999"/>
    <n v="8.5999999999999993E-2"/>
    <n v="0.1"/>
    <n v="100"/>
    <n v="8.1000000000000003E-2"/>
    <n v="0.70299999999999996"/>
    <n v="0.22700000000000001"/>
    <n v="0.93600000000000005"/>
    <n v="9.8000000000000004E-2"/>
    <m/>
    <s v="马五41b"/>
    <x v="15"/>
    <n v="8"/>
    <m/>
    <n v="0.308"/>
    <n v="-0.622"/>
  </r>
  <r>
    <s v="延1087"/>
    <n v="3398.875"/>
    <n v="23.472000000000001"/>
    <n v="21.812999999999999"/>
    <n v="1.861"/>
    <n v="169.21199999999999"/>
    <n v="2.923"/>
    <n v="3.1160000000000001"/>
    <n v="4.9729999999999999"/>
    <n v="1166.059"/>
    <n v="1157.5909999999999"/>
    <n v="8.6999999999999994E-2"/>
    <n v="0.1"/>
    <n v="100"/>
    <n v="9.8000000000000004E-2"/>
    <n v="0.68799999999999994"/>
    <n v="0.22900000000000001"/>
    <n v="0.93100000000000005"/>
    <n v="0.105"/>
    <m/>
    <s v="马五41b"/>
    <x v="15"/>
    <n v="8"/>
    <m/>
    <n v="0.32700000000000001"/>
    <n v="-0.59"/>
  </r>
  <r>
    <s v="延1087"/>
    <n v="3399"/>
    <n v="22.914999999999999"/>
    <n v="21.812000000000001"/>
    <n v="1.976"/>
    <n v="169.25299999999999"/>
    <n v="2.9220000000000002"/>
    <n v="2.7229999999999999"/>
    <n v="4.9859999999999998"/>
    <n v="1595.3030000000001"/>
    <n v="1699.98"/>
    <n v="8.6999999999999994E-2"/>
    <n v="0.1"/>
    <n v="100"/>
    <n v="9.4E-2"/>
    <n v="0.69199999999999995"/>
    <n v="0.22900000000000001"/>
    <n v="0.92900000000000005"/>
    <n v="8.3000000000000004E-2"/>
    <m/>
    <s v="马五41b"/>
    <x v="15"/>
    <n v="8"/>
    <m/>
    <n v="0.32300000000000001"/>
    <n v="-0.59799999999999998"/>
  </r>
  <r>
    <s v="延1087"/>
    <n v="3399.125"/>
    <n v="19.815999999999999"/>
    <n v="21.82"/>
    <n v="2.0550000000000002"/>
    <n v="169.327"/>
    <n v="2.923"/>
    <n v="2.0489999999999999"/>
    <n v="5.0049999999999999"/>
    <n v="2474.2240000000002"/>
    <n v="2793.1080000000002"/>
    <n v="8.7999999999999995E-2"/>
    <n v="0.1"/>
    <n v="100"/>
    <n v="7.0000000000000007E-2"/>
    <n v="0.69799999999999995"/>
    <n v="0.23"/>
    <n v="0.93100000000000005"/>
    <n v="4.4999999999999998E-2"/>
    <m/>
    <s v="马五41b"/>
    <x v="15"/>
    <n v="8"/>
    <m/>
    <n v="0.30000000000000004"/>
    <n v="-0.62799999999999989"/>
  </r>
  <r>
    <s v="延1087"/>
    <n v="3399.25"/>
    <n v="16.216999999999999"/>
    <n v="21.83"/>
    <n v="2.1970000000000001"/>
    <n v="169.46100000000001"/>
    <n v="2.927"/>
    <n v="1.5329999999999999"/>
    <n v="4.9779999999999998"/>
    <n v="3518.3"/>
    <n v="4079.873"/>
    <n v="8.8999999999999996E-2"/>
    <n v="0.1"/>
    <n v="100"/>
    <n v="4.1000000000000002E-2"/>
    <n v="0.68899999999999995"/>
    <n v="0.23100000000000001"/>
    <n v="0.94099999999999995"/>
    <n v="1.7000000000000001E-2"/>
    <m/>
    <s v="马五41b"/>
    <x v="15"/>
    <n v="8"/>
    <m/>
    <n v="0.27200000000000002"/>
    <n v="-0.64799999999999991"/>
  </r>
  <r>
    <s v="延1087"/>
    <n v="3399.375"/>
    <n v="14.718999999999999"/>
    <n v="21.835999999999999"/>
    <n v="2.339"/>
    <n v="169.596"/>
    <n v="2.9329999999999998"/>
    <n v="1.429"/>
    <n v="4.9800000000000004"/>
    <n v="4243.07"/>
    <n v="4984.643"/>
    <n v="0.09"/>
    <n v="0.1"/>
    <n v="100"/>
    <n v="2.9000000000000001E-2"/>
    <n v="0.69"/>
    <n v="0.23300000000000001"/>
    <n v="0.95599999999999996"/>
    <n v="1.0999999999999999E-2"/>
    <m/>
    <s v="马五41b"/>
    <x v="15"/>
    <n v="8"/>
    <m/>
    <n v="0.26200000000000001"/>
    <n v="-0.66099999999999992"/>
  </r>
  <r>
    <s v="延1087"/>
    <n v="3399.5"/>
    <n v="16.239999999999998"/>
    <n v="21.838000000000001"/>
    <n v="2.419"/>
    <n v="169.86"/>
    <n v="2.9369999999999998"/>
    <n v="1.7310000000000001"/>
    <n v="5.0650000000000004"/>
    <n v="4426.9399999999996"/>
    <n v="5259.6850000000004"/>
    <n v="9.0999999999999998E-2"/>
    <n v="0.1"/>
    <n v="100"/>
    <n v="4.1000000000000002E-2"/>
    <n v="0.71599999999999997"/>
    <n v="0.23599999999999999"/>
    <n v="0.96599999999999997"/>
    <n v="2.8000000000000001E-2"/>
    <m/>
    <s v="马五41b"/>
    <x v="15"/>
    <n v="8"/>
    <m/>
    <n v="0.27699999999999997"/>
    <n v="-0.67499999999999993"/>
  </r>
  <r>
    <s v="延1087"/>
    <n v="3399.625"/>
    <n v="19.79"/>
    <n v="21.853000000000002"/>
    <n v="2.4159999999999999"/>
    <n v="170.24799999999999"/>
    <n v="2.9359999999999999"/>
    <n v="2.331"/>
    <n v="5.2130000000000001"/>
    <n v="4322.7849999999999"/>
    <n v="5231.1549999999997"/>
    <n v="9.1999999999999998E-2"/>
    <n v="0.1"/>
    <n v="100"/>
    <n v="6.9000000000000006E-2"/>
    <n v="0.76"/>
    <n v="0.24"/>
    <n v="0.96299999999999997"/>
    <n v="6.0999999999999999E-2"/>
    <m/>
    <s v="马五41b"/>
    <x v="15"/>
    <n v="8"/>
    <m/>
    <n v="0.309"/>
    <n v="-0.69100000000000006"/>
  </r>
  <r>
    <s v="延1087"/>
    <n v="3399.75"/>
    <n v="22.29"/>
    <n v="21.879000000000001"/>
    <n v="2.403"/>
    <n v="170.43899999999999"/>
    <n v="2.9289999999999998"/>
    <n v="2.9449999999999998"/>
    <n v="5.266"/>
    <n v="4607.0360000000001"/>
    <n v="5854.3509999999997"/>
    <n v="9.0999999999999998E-2"/>
    <n v="0.1"/>
    <n v="100"/>
    <n v="8.8999999999999996E-2"/>
    <n v="0.77600000000000002"/>
    <n v="0.24299999999999999"/>
    <n v="0.94599999999999995"/>
    <n v="9.5000000000000001E-2"/>
    <m/>
    <s v="马五41b"/>
    <x v="15"/>
    <n v="8"/>
    <m/>
    <n v="0.33199999999999996"/>
    <n v="-0.68700000000000006"/>
  </r>
  <r>
    <s v="延1087"/>
    <n v="3399.875"/>
    <n v="21.808"/>
    <n v="21.905000000000001"/>
    <n v="2.415"/>
    <n v="170.06100000000001"/>
    <n v="2.919"/>
    <n v="3.2080000000000002"/>
    <n v="5.0640000000000001"/>
    <n v="6696.7730000000001"/>
    <n v="9596.7860000000001"/>
    <n v="9.0999999999999998E-2"/>
    <n v="0.1"/>
    <n v="100"/>
    <n v="8.5000000000000006E-2"/>
    <n v="0.71499999999999997"/>
    <n v="0.23799999999999999"/>
    <n v="0.92100000000000004"/>
    <n v="0.11"/>
    <m/>
    <s v="马五41b"/>
    <x v="15"/>
    <n v="8"/>
    <m/>
    <n v="0.32300000000000001"/>
    <n v="-0.63"/>
  </r>
  <r>
    <s v="延1087"/>
    <n v="3400"/>
    <n v="19.161999999999999"/>
    <n v="21.925000000000001"/>
    <n v="2.431"/>
    <n v="168.53299999999999"/>
    <n v="2.9089999999999998"/>
    <n v="3.0409999999999999"/>
    <n v="4.617"/>
    <n v="11813.111999999999"/>
    <n v="18867.562999999998"/>
    <n v="0.371"/>
    <n v="0.1"/>
    <n v="100"/>
    <n v="6.4000000000000001E-2"/>
    <n v="0.58099999999999996"/>
    <n v="0.221"/>
    <n v="0.89700000000000002"/>
    <n v="0.1"/>
    <m/>
    <s v="马五41b"/>
    <x v="15"/>
    <n v="8"/>
    <m/>
    <n v="0.28500000000000003"/>
    <n v="-0.5169999999999999"/>
  </r>
  <r>
    <s v="延959"/>
    <n v="3876.375"/>
    <n v="45.1"/>
    <n v="22.994"/>
    <n v="3.4769999999999999"/>
    <n v="181.01499999999999"/>
    <n v="2.78"/>
    <n v="8.8800000000000008"/>
    <n v="3.3149999999999999"/>
    <n v="266.31200000000001"/>
    <n v="295.90199999999999"/>
    <n v="0"/>
    <n v="0"/>
    <n v="100"/>
    <n v="0.32800000000000001"/>
    <n v="0.30499999999999999"/>
    <n v="0.41299999999999998"/>
    <n v="0.73399999999999999"/>
    <n v="0.376"/>
    <m/>
    <s v="马五41b"/>
    <x v="15"/>
    <n v="8"/>
    <s v="薄片"/>
    <n v="0.74099999999999999"/>
    <n v="2.300000000000002E-2"/>
  </r>
  <r>
    <s v="延959"/>
    <n v="3876.5"/>
    <n v="57.707999999999998"/>
    <n v="22.716000000000001"/>
    <n v="2.347"/>
    <n v="178.24"/>
    <n v="2.78"/>
    <n v="9.6940000000000008"/>
    <n v="3.3260000000000001"/>
    <n v="240.208"/>
    <n v="266.89800000000002"/>
    <n v="0"/>
    <n v="0"/>
    <n v="100"/>
    <n v="0.44400000000000001"/>
    <n v="0.31"/>
    <n v="0.36499999999999999"/>
    <n v="0.73899999999999999"/>
    <n v="0.45400000000000001"/>
    <m/>
    <s v="马五41b"/>
    <x v="15"/>
    <n v="8"/>
    <s v="薄片"/>
    <n v="0.80899999999999994"/>
    <n v="0.13400000000000001"/>
  </r>
  <r>
    <s v="延959"/>
    <n v="3877.5"/>
    <n v="50.991999999999997"/>
    <n v="21.446999999999999"/>
    <n v="3.6019999999999999"/>
    <n v="170.041"/>
    <n v="2.79"/>
    <n v="7.6420000000000003"/>
    <n v="3.4420000000000002"/>
    <n v="322.053"/>
    <n v="357.83699999999999"/>
    <n v="0"/>
    <n v="0"/>
    <n v="100"/>
    <n v="0.4"/>
    <n v="0.38400000000000001"/>
    <n v="0.28599999999999998"/>
    <n v="0.77"/>
    <n v="0.26800000000000002"/>
    <m/>
    <s v="马五41b"/>
    <x v="16"/>
    <n v="12"/>
    <s v="薄片"/>
    <n v="0.68599999999999994"/>
    <n v="1.6000000000000014E-2"/>
  </r>
  <r>
    <s v="延959"/>
    <n v="3877.625"/>
    <n v="68.524000000000001"/>
    <n v="21.536000000000001"/>
    <n v="4.3689999999999998"/>
    <n v="178.15899999999999"/>
    <n v="2.7770000000000001"/>
    <n v="9.077"/>
    <n v="3.5070000000000001"/>
    <n v="223.386"/>
    <n v="248.20699999999999"/>
    <n v="0"/>
    <n v="0"/>
    <n v="100"/>
    <n v="0.55900000000000005"/>
    <n v="0.42199999999999999"/>
    <n v="0.40400000000000003"/>
    <n v="0.69499999999999995"/>
    <n v="0.41299999999999998"/>
    <m/>
    <s v="马五41b"/>
    <x v="16"/>
    <n v="12"/>
    <s v="薄片"/>
    <n v="0.96300000000000008"/>
    <n v="0.13700000000000007"/>
  </r>
  <r>
    <s v="延949"/>
    <n v="3855.5"/>
    <n v="36.996000000000002"/>
    <n v="22.071999999999999"/>
    <n v="2.4420000000000002"/>
    <n v="172.86199999999999"/>
    <n v="2.7109999999999999"/>
    <n v="4.798"/>
    <n v="3.0350000000000001"/>
    <n v="169.73"/>
    <n v="249.03"/>
    <n v="0"/>
    <n v="0"/>
    <n v="100"/>
    <n v="0.161"/>
    <n v="0.54600000000000004"/>
    <n v="0.25"/>
    <n v="0.30599999999999999"/>
    <n v="9.9000000000000005E-2"/>
    <m/>
    <s v="马五41a"/>
    <x v="15"/>
    <n v="4"/>
    <s v="薄片"/>
    <n v="0.41100000000000003"/>
    <n v="-0.38500000000000001"/>
  </r>
  <r>
    <s v="延949"/>
    <n v="3855.625"/>
    <n v="32.198"/>
    <n v="22.073"/>
    <n v="1.9390000000000001"/>
    <n v="171.309"/>
    <n v="2.7120000000000002"/>
    <n v="4.6120000000000001"/>
    <n v="3.0619999999999998"/>
    <n v="145.345"/>
    <n v="208.274"/>
    <n v="0"/>
    <n v="0"/>
    <n v="100"/>
    <n v="0.121"/>
    <n v="0.59299999999999997"/>
    <n v="0.22800000000000001"/>
    <n v="0.312"/>
    <n v="7.5999999999999998E-2"/>
    <m/>
    <s v="马五41a"/>
    <x v="15"/>
    <n v="4"/>
    <s v="薄片"/>
    <n v="0.34899999999999998"/>
    <n v="-0.47199999999999998"/>
  </r>
  <r>
    <s v="延949"/>
    <n v="3855.75"/>
    <n v="30.065000000000001"/>
    <n v="22.088999999999999"/>
    <n v="1.6830000000000001"/>
    <n v="171.37899999999999"/>
    <n v="2.7090000000000001"/>
    <n v="4.43"/>
    <n v="3.0920000000000001"/>
    <n v="114.181"/>
    <n v="160.316"/>
    <n v="0"/>
    <n v="0"/>
    <n v="100"/>
    <n v="0.10199999999999999"/>
    <n v="0.64800000000000002"/>
    <n v="0.22600000000000001"/>
    <n v="0.29899999999999999"/>
    <n v="5.1999999999999998E-2"/>
    <m/>
    <s v="马五41a"/>
    <x v="15"/>
    <n v="4"/>
    <s v="薄片"/>
    <n v="0.32800000000000001"/>
    <n v="-0.54600000000000004"/>
  </r>
  <r>
    <s v="延1952"/>
    <n v="3922.75"/>
    <n v="34.521000000000001"/>
    <n v="21.81"/>
    <n v="2.8809999999999998"/>
    <n v="160.32599999999999"/>
    <n v="2.762"/>
    <n v="6.0529999999999999"/>
    <n v="3.2360000000000002"/>
    <n v="484.48"/>
    <n v="541.07799999999997"/>
    <n v="1.5680000000000001"/>
    <n v="0.01"/>
    <n v="65.272000000000006"/>
    <n v="0.124"/>
    <n v="0.39"/>
    <n v="0.2"/>
    <n v="0.76500000000000001"/>
    <n v="0.29099999999999998"/>
    <s v="含气层"/>
    <s v="马五41a"/>
    <x v="15"/>
    <n v="5"/>
    <s v="薄片"/>
    <n v="0.32400000000000001"/>
    <n v="-0.26600000000000001"/>
  </r>
  <r>
    <s v="延1952"/>
    <n v="3922.875"/>
    <n v="35.783999999999999"/>
    <n v="21.774999999999999"/>
    <n v="3.0550000000000002"/>
    <n v="159.15799999999999"/>
    <n v="2.7629999999999999"/>
    <n v="6.0960000000000001"/>
    <n v="3.2309999999999999"/>
    <n v="544.02"/>
    <n v="607.55700000000002"/>
    <n v="1.538"/>
    <n v="0.01"/>
    <n v="63.582999999999998"/>
    <n v="0.13300000000000001"/>
    <n v="0.38300000000000001"/>
    <n v="0.16300000000000001"/>
    <n v="0.76900000000000002"/>
    <n v="0.29399999999999998"/>
    <s v="含气层"/>
    <s v="马五41a"/>
    <x v="15"/>
    <n v="5"/>
    <s v="薄片"/>
    <n v="0.29600000000000004"/>
    <n v="-0.25"/>
  </r>
  <r>
    <s v="延1952"/>
    <n v="3923"/>
    <n v="38.223999999999997"/>
    <n v="21.751999999999999"/>
    <n v="3.0270000000000001"/>
    <n v="158.399"/>
    <n v="2.7639999999999998"/>
    <n v="6.16"/>
    <n v="3.254"/>
    <n v="656.19200000000001"/>
    <n v="732.83399999999995"/>
    <n v="1.4470000000000001"/>
    <n v="0.01"/>
    <n v="63.786000000000001"/>
    <n v="0.153"/>
    <n v="0.39500000000000002"/>
    <n v="0.13700000000000001"/>
    <n v="0.77400000000000002"/>
    <n v="0.3"/>
    <s v="含气层"/>
    <s v="马五41a"/>
    <x v="15"/>
    <n v="5"/>
    <s v="薄片"/>
    <n v="0.29000000000000004"/>
    <n v="-0.24200000000000002"/>
  </r>
  <r>
    <s v="延1952"/>
    <n v="3923.125"/>
    <n v="40.451000000000001"/>
    <n v="21.754000000000001"/>
    <n v="2.968"/>
    <n v="158.447"/>
    <n v="2.762"/>
    <n v="6.2210000000000001"/>
    <n v="3.2989999999999999"/>
    <n v="864.226"/>
    <n v="965.178"/>
    <n v="1.3540000000000001"/>
    <n v="0.01"/>
    <n v="64.102000000000004"/>
    <n v="0.17399999999999999"/>
    <n v="0.42299999999999999"/>
    <n v="0.13300000000000001"/>
    <n v="0.76700000000000002"/>
    <n v="0.30599999999999999"/>
    <s v="含气层"/>
    <s v="马五41a"/>
    <x v="15"/>
    <n v="5"/>
    <s v="薄片"/>
    <n v="0.307"/>
    <n v="-0.249"/>
  </r>
  <r>
    <s v="延1952"/>
    <n v="3923.25"/>
    <n v="44.222000000000001"/>
    <n v="21.783999999999999"/>
    <n v="2.9319999999999999"/>
    <n v="159.44900000000001"/>
    <n v="2.7589999999999999"/>
    <n v="6.2809999999999997"/>
    <n v="3.3519999999999999"/>
    <n v="1153.9580000000001"/>
    <n v="1288.7809999999999"/>
    <n v="1.258"/>
    <n v="0.01"/>
    <n v="66.912999999999997"/>
    <n v="0.20599999999999999"/>
    <n v="0.45900000000000002"/>
    <n v="0.159"/>
    <n v="0.753"/>
    <n v="0.311"/>
    <s v="含气层"/>
    <s v="马五41a"/>
    <x v="15"/>
    <n v="5"/>
    <s v="薄片"/>
    <n v="0.36499999999999999"/>
    <n v="-0.253"/>
  </r>
  <r>
    <s v="延1087"/>
    <n v="3390.125"/>
    <n v="30.530999999999999"/>
    <n v="22.988"/>
    <n v="4.516"/>
    <n v="155.99299999999999"/>
    <n v="2.7029999999999998"/>
    <n v="7.6070000000000002"/>
    <n v="3.3730000000000002"/>
    <n v="455.54399999999998"/>
    <n v="530.40899999999999"/>
    <n v="2.3919999999999999"/>
    <n v="0.1"/>
    <n v="100"/>
    <n v="0.154"/>
    <n v="0.20699999999999999"/>
    <n v="7.9000000000000001E-2"/>
    <n v="0.38900000000000001"/>
    <n v="0.35399999999999998"/>
    <m/>
    <s v="马五41a"/>
    <x v="17"/>
    <n v="2"/>
    <s v="薄片"/>
    <n v="0.23299999999999998"/>
    <n v="-5.2999999999999992E-2"/>
  </r>
  <r>
    <s v="延1087"/>
    <n v="3390.25"/>
    <n v="21.151"/>
    <n v="22.858000000000001"/>
    <n v="4.0730000000000004"/>
    <n v="156.34200000000001"/>
    <n v="2.7010000000000001"/>
    <n v="6.8040000000000003"/>
    <n v="3.4279999999999999"/>
    <n v="468.30399999999997"/>
    <n v="547.37900000000002"/>
    <n v="2.524"/>
    <n v="0.1"/>
    <n v="93.915999999999997"/>
    <n v="0.08"/>
    <n v="0.223"/>
    <n v="8.3000000000000004E-2"/>
    <n v="0.38400000000000001"/>
    <n v="0.31"/>
    <m/>
    <s v="马五41a"/>
    <x v="17"/>
    <n v="2"/>
    <s v="薄片"/>
    <n v="0.16300000000000001"/>
    <n v="-0.14300000000000002"/>
  </r>
  <r>
    <s v="延1087"/>
    <n v="3390.375"/>
    <n v="18"/>
    <n v="22.754999999999999"/>
    <n v="3.665"/>
    <n v="157.285"/>
    <n v="2.726"/>
    <n v="6.3979999999999997"/>
    <n v="3.4329999999999998"/>
    <n v="425.98399999999998"/>
    <n v="496.45600000000002"/>
    <n v="1.988"/>
    <n v="0.1"/>
    <n v="100"/>
    <n v="5.5E-2"/>
    <n v="0.22500000000000001"/>
    <n v="9.2999999999999999E-2"/>
    <n v="0.44600000000000001"/>
    <n v="0.28699999999999998"/>
    <m/>
    <s v="马五41a"/>
    <x v="17"/>
    <n v="2"/>
    <s v="薄片"/>
    <n v="0.14799999999999999"/>
    <n v="-0.17"/>
  </r>
  <r>
    <s v="延1087"/>
    <n v="3390.5"/>
    <n v="18.181000000000001"/>
    <n v="22.754999999999999"/>
    <n v="3.45"/>
    <n v="157.93299999999999"/>
    <n v="2.7679999999999998"/>
    <n v="6.2690000000000001"/>
    <n v="3.3660000000000001"/>
    <n v="364.27300000000002"/>
    <n v="421.512"/>
    <n v="1.3009999999999999"/>
    <n v="0.1"/>
    <n v="100"/>
    <n v="5.7000000000000002E-2"/>
    <n v="0.20499999999999999"/>
    <n v="0.10100000000000001"/>
    <n v="0.54900000000000004"/>
    <n v="0.28000000000000003"/>
    <m/>
    <s v="马五41a"/>
    <x v="17"/>
    <n v="2"/>
    <s v="薄片"/>
    <n v="0.158"/>
    <n v="-0.14799999999999999"/>
  </r>
  <r>
    <s v="延1087"/>
    <n v="3390.625"/>
    <n v="20.507000000000001"/>
    <n v="22.808"/>
    <n v="3.3730000000000002"/>
    <n v="158.25899999999999"/>
    <n v="2.8090000000000002"/>
    <n v="6.24"/>
    <n v="3.4710000000000001"/>
    <n v="316.23599999999999"/>
    <n v="362.017"/>
    <n v="0.83699999999999997"/>
    <n v="0.1"/>
    <n v="100"/>
    <n v="7.4999999999999997E-2"/>
    <n v="0.23599999999999999"/>
    <n v="0.104"/>
    <n v="0.65"/>
    <n v="0.27800000000000002"/>
    <m/>
    <s v="马五41a"/>
    <x v="17"/>
    <n v="2"/>
    <s v="薄片"/>
    <n v="0.17899999999999999"/>
    <n v="-0.16099999999999998"/>
  </r>
  <r>
    <s v="延1087"/>
    <n v="3390.75"/>
    <n v="24.506"/>
    <n v="22.835000000000001"/>
    <n v="3.347"/>
    <n v="158.70599999999999"/>
    <n v="2.8370000000000002"/>
    <n v="6.1879999999999997"/>
    <n v="3.722"/>
    <n v="285.96899999999999"/>
    <n v="322.83499999999998"/>
    <n v="0.59"/>
    <n v="0.1"/>
    <n v="100"/>
    <n v="0.107"/>
    <n v="0.312"/>
    <n v="0.109"/>
    <n v="0.71899999999999997"/>
    <n v="0.27600000000000002"/>
    <m/>
    <s v="马五41a"/>
    <x v="17"/>
    <n v="2"/>
    <s v="薄片"/>
    <n v="0.216"/>
    <n v="-0.20500000000000002"/>
  </r>
  <r>
    <s v="延1087"/>
    <n v="3390.875"/>
    <n v="28.559000000000001"/>
    <n v="22.803999999999998"/>
    <n v="3.2679999999999998"/>
    <n v="159.21"/>
    <n v="2.8530000000000002"/>
    <n v="6.16"/>
    <n v="3.7930000000000001"/>
    <n v="266.19400000000002"/>
    <n v="295.767"/>
    <n v="0.439"/>
    <n v="0.1"/>
    <n v="100"/>
    <n v="0.13900000000000001"/>
    <n v="0.33300000000000002"/>
    <n v="0.115"/>
    <n v="0.75900000000000001"/>
    <n v="0.27400000000000002"/>
    <m/>
    <s v="马五41a"/>
    <x v="17"/>
    <n v="2"/>
    <s v="薄片"/>
    <n v="0.254"/>
    <n v="-0.19400000000000001"/>
  </r>
  <r>
    <s v="延1087"/>
    <n v="3391"/>
    <n v="29.978000000000002"/>
    <n v="22.742999999999999"/>
    <n v="3.177"/>
    <n v="159.61000000000001"/>
    <n v="2.8620000000000001"/>
    <n v="6.3479999999999999"/>
    <n v="3.7320000000000002"/>
    <n v="248.02500000000001"/>
    <n v="270.68"/>
    <n v="0.377"/>
    <n v="0.1"/>
    <n v="100"/>
    <n v="0.15"/>
    <n v="0.315"/>
    <n v="0.12"/>
    <n v="0.78100000000000003"/>
    <n v="0.28399999999999997"/>
    <m/>
    <s v="马五41a"/>
    <x v="17"/>
    <n v="2"/>
    <s v="薄片"/>
    <n v="0.27"/>
    <n v="-0.16500000000000001"/>
  </r>
  <r>
    <s v="延1087"/>
    <n v="3391.125"/>
    <n v="27.728000000000002"/>
    <n v="22.709"/>
    <n v="3.125"/>
    <n v="160.25"/>
    <n v="2.8690000000000002"/>
    <n v="6.88"/>
    <n v="3.7050000000000001"/>
    <n v="226.05099999999999"/>
    <n v="241.93199999999999"/>
    <n v="0.39200000000000002"/>
    <n v="0.1"/>
    <n v="100"/>
    <n v="0.13200000000000001"/>
    <n v="0.307"/>
    <n v="0.127"/>
    <n v="0.79800000000000004"/>
    <n v="0.314"/>
    <m/>
    <s v="马五41a"/>
    <x v="17"/>
    <n v="2"/>
    <s v="薄片"/>
    <n v="0.25900000000000001"/>
    <n v="-0.17499999999999999"/>
  </r>
  <r>
    <s v="延1087"/>
    <n v="3391.25"/>
    <n v="23.452999999999999"/>
    <n v="22.739000000000001"/>
    <n v="2.988"/>
    <n v="161.613"/>
    <n v="2.8740000000000001"/>
    <n v="7.73"/>
    <n v="3.7149999999999999"/>
    <n v="199.68899999999999"/>
    <n v="209.68899999999999"/>
    <n v="0.46600000000000003"/>
    <n v="0.1"/>
    <n v="100"/>
    <n v="9.8000000000000004E-2"/>
    <n v="0.31"/>
    <n v="0.14199999999999999"/>
    <n v="0.81"/>
    <n v="0.36099999999999999"/>
    <m/>
    <s v="马五41a"/>
    <x v="17"/>
    <n v="2"/>
    <s v="薄片"/>
    <n v="0.24"/>
    <n v="-0.21199999999999999"/>
  </r>
  <r>
    <s v="延1087"/>
    <n v="3391.375"/>
    <n v="19.661999999999999"/>
    <n v="22.8"/>
    <n v="2.8130000000000002"/>
    <n v="163.28800000000001"/>
    <n v="2.87"/>
    <n v="8.7279999999999998"/>
    <n v="3.7309999999999999"/>
    <n v="172.518"/>
    <n v="178.12799999999999"/>
    <n v="0.61"/>
    <n v="0.1"/>
    <n v="100"/>
    <n v="6.8000000000000005E-2"/>
    <n v="0.314"/>
    <n v="0.161"/>
    <n v="0.8"/>
    <n v="0.41699999999999998"/>
    <m/>
    <s v="马五41a"/>
    <x v="17"/>
    <n v="2"/>
    <s v="薄片"/>
    <n v="0.22900000000000001"/>
    <n v="-0.246"/>
  </r>
  <r>
    <s v="延1087"/>
    <n v="3391.5"/>
    <n v="17.536999999999999"/>
    <n v="22.838999999999999"/>
    <n v="2.72"/>
    <n v="164.84299999999999"/>
    <n v="2.8580000000000001"/>
    <n v="9.6720000000000006"/>
    <n v="3.673"/>
    <n v="148.10499999999999"/>
    <n v="150.858"/>
    <n v="0.83699999999999997"/>
    <n v="0.1"/>
    <n v="100"/>
    <n v="5.1999999999999998E-2"/>
    <n v="0.29699999999999999"/>
    <n v="0.17899999999999999"/>
    <n v="0.77100000000000002"/>
    <n v="0.46899999999999997"/>
    <m/>
    <s v="马五41a"/>
    <x v="17"/>
    <n v="2"/>
    <s v="薄片"/>
    <n v="0.23099999999999998"/>
    <n v="-0.245"/>
  </r>
  <r>
    <s v="延1087"/>
    <n v="3391.625"/>
    <n v="16.789000000000001"/>
    <n v="22.861000000000001"/>
    <n v="2.7040000000000002"/>
    <n v="166.92599999999999"/>
    <n v="2.839"/>
    <n v="10.438000000000001"/>
    <n v="3.569"/>
    <n v="128.34399999999999"/>
    <n v="129.45599999999999"/>
    <n v="1.149"/>
    <n v="0.1"/>
    <n v="100"/>
    <n v="4.5999999999999999E-2"/>
    <n v="0.26600000000000001"/>
    <n v="0.20300000000000001"/>
    <n v="0.72399999999999998"/>
    <n v="0.51200000000000001"/>
    <m/>
    <s v="马五41a"/>
    <x v="17"/>
    <n v="2"/>
    <s v="薄片"/>
    <n v="0.249"/>
    <n v="-0.22000000000000003"/>
  </r>
  <r>
    <s v="延1087"/>
    <n v="3391.75"/>
    <n v="16.829999999999998"/>
    <n v="22.931999999999999"/>
    <n v="2.6829999999999998"/>
    <n v="169.678"/>
    <n v="2.8140000000000001"/>
    <n v="11.11"/>
    <n v="3.5569999999999999"/>
    <n v="113.613"/>
    <n v="113.84"/>
    <n v="1.603"/>
    <n v="0.1"/>
    <n v="100"/>
    <n v="4.5999999999999999E-2"/>
    <n v="0.26200000000000001"/>
    <n v="0.23400000000000001"/>
    <n v="0.66300000000000003"/>
    <n v="0.54900000000000004"/>
    <m/>
    <s v="马五41a"/>
    <x v="17"/>
    <n v="2"/>
    <s v="薄片"/>
    <n v="0.28000000000000003"/>
    <n v="-0.21600000000000003"/>
  </r>
  <r>
    <s v="延1087"/>
    <n v="3391.875"/>
    <n v="17.216000000000001"/>
    <n v="23.082000000000001"/>
    <n v="2.657"/>
    <n v="171.98599999999999"/>
    <n v="2.78"/>
    <n v="11.866"/>
    <n v="3.56"/>
    <n v="103.70699999999999"/>
    <n v="103.49299999999999"/>
    <n v="2.294"/>
    <m/>
    <n v="100"/>
    <n v="4.9000000000000002E-2"/>
    <n v="0.26300000000000001"/>
    <n v="0.26"/>
    <n v="0.57899999999999996"/>
    <n v="0.59099999999999997"/>
    <m/>
    <s v="马五41a"/>
    <x v="17"/>
    <n v="2"/>
    <s v="薄片"/>
    <n v="0.309"/>
    <n v="-0.21400000000000002"/>
  </r>
  <r>
    <s v="延1087"/>
    <n v="3392"/>
    <n v="17.585000000000001"/>
    <n v="23.263999999999999"/>
    <n v="2.6240000000000001"/>
    <n v="172.773"/>
    <n v="2.7450000000000001"/>
    <n v="12.699"/>
    <n v="3.53"/>
    <n v="98.33"/>
    <n v="97.94"/>
    <n v="2.9769999999999999"/>
    <n v="0.1"/>
    <n v="100"/>
    <n v="5.1999999999999998E-2"/>
    <n v="0.254"/>
    <n v="0.26900000000000002"/>
    <n v="0.49299999999999999"/>
    <n v="0.63800000000000001"/>
    <m/>
    <s v="马五41a"/>
    <x v="17"/>
    <n v="2"/>
    <s v="薄片"/>
    <n v="0.32100000000000001"/>
    <n v="-0.20200000000000001"/>
  </r>
  <r>
    <s v="延1087"/>
    <n v="3392.125"/>
    <n v="17.727"/>
    <n v="23.422000000000001"/>
    <n v="2.5720000000000001"/>
    <n v="172.01400000000001"/>
    <n v="2.7160000000000002"/>
    <n v="13.234999999999999"/>
    <n v="3.5009999999999999"/>
    <n v="96.847999999999999"/>
    <n v="96.379000000000005"/>
    <n v="3.5550000000000002"/>
    <n v="0.161"/>
    <n v="66.063999999999993"/>
    <n v="5.2999999999999999E-2"/>
    <n v="0.245"/>
    <n v="0.26"/>
    <n v="0.42099999999999999"/>
    <n v="0.66800000000000004"/>
    <m/>
    <s v="马五41a"/>
    <x v="17"/>
    <n v="2"/>
    <s v="薄片"/>
    <n v="0.313"/>
    <n v="-0.192"/>
  </r>
  <r>
    <s v="延1087"/>
    <n v="3392.25"/>
    <n v="17.805"/>
    <n v="23.538"/>
    <n v="2.4969999999999999"/>
    <n v="170.17099999999999"/>
    <n v="2.6989999999999998"/>
    <n v="13.061999999999999"/>
    <n v="3.492"/>
    <n v="98.367999999999995"/>
    <n v="97.751000000000005"/>
    <n v="3.93"/>
    <n v="0.249"/>
    <n v="52.475000000000001"/>
    <n v="5.3999999999999999E-2"/>
    <n v="0.24299999999999999"/>
    <n v="0.23899999999999999"/>
    <n v="0.379"/>
    <n v="0.65800000000000003"/>
    <m/>
    <s v="马五41a"/>
    <x v="17"/>
    <n v="2"/>
    <s v="薄片"/>
    <n v="0.29299999999999998"/>
    <n v="-0.189"/>
  </r>
  <r>
    <s v="延1087"/>
    <n v="3392.375"/>
    <n v="18.146000000000001"/>
    <n v="23.626999999999999"/>
    <n v="2.4119999999999999"/>
    <n v="167.57300000000001"/>
    <n v="2.6930000000000001"/>
    <n v="12.367000000000001"/>
    <n v="3.508"/>
    <n v="101.607"/>
    <n v="100.673"/>
    <n v="4.0510000000000002"/>
    <n v="0.28499999999999998"/>
    <n v="54.593000000000004"/>
    <n v="5.6000000000000001E-2"/>
    <n v="0.247"/>
    <n v="0.21"/>
    <n v="0.36499999999999999"/>
    <n v="0.61899999999999999"/>
    <m/>
    <s v="马五41a"/>
    <x v="17"/>
    <n v="2"/>
    <s v="薄片"/>
    <n v="0.26600000000000001"/>
    <n v="-0.191"/>
  </r>
  <r>
    <s v="延1087"/>
    <n v="3392.5"/>
    <n v="18.876999999999999"/>
    <n v="23.687000000000001"/>
    <n v="2.3199999999999998"/>
    <n v="165.595"/>
    <n v="2.698"/>
    <n v="11.79"/>
    <n v="3.5270000000000001"/>
    <n v="104.864"/>
    <n v="103.52800000000001"/>
    <n v="3.8"/>
    <n v="0.215"/>
    <n v="74.980999999999995"/>
    <n v="6.2E-2"/>
    <n v="0.253"/>
    <n v="0.188"/>
    <n v="0.377"/>
    <n v="0.58699999999999997"/>
    <m/>
    <s v="马五41a"/>
    <x v="17"/>
    <n v="2"/>
    <s v="薄片"/>
    <n v="0.25"/>
    <n v="-0.191"/>
  </r>
  <r>
    <s v="延1087"/>
    <n v="3392.625"/>
    <n v="19.75"/>
    <n v="23.681000000000001"/>
    <n v="2.2440000000000002"/>
    <n v="165.066"/>
    <n v="2.7090000000000001"/>
    <n v="11.747"/>
    <n v="3.516"/>
    <n v="106.76600000000001"/>
    <n v="105.24299999999999"/>
    <n v="3.4820000000000002"/>
    <n v="0.14599999999999999"/>
    <n v="100"/>
    <n v="6.9000000000000006E-2"/>
    <n v="0.25"/>
    <n v="0.182"/>
    <n v="0.40400000000000003"/>
    <n v="0.58499999999999996"/>
    <m/>
    <s v="马五41a"/>
    <x v="17"/>
    <n v="2"/>
    <s v="薄片"/>
    <n v="0.251"/>
    <n v="-0.18099999999999999"/>
  </r>
  <r>
    <s v="延1087"/>
    <n v="3392.75"/>
    <n v="20.5"/>
    <n v="23.597999999999999"/>
    <n v="2.194"/>
    <n v="164.928"/>
    <n v="2.7160000000000002"/>
    <n v="12.143000000000001"/>
    <n v="3.4910000000000001"/>
    <n v="107.474"/>
    <n v="106.256"/>
    <n v="3.407"/>
    <n v="0.13300000000000001"/>
    <n v="100"/>
    <n v="7.4999999999999997E-2"/>
    <n v="0.24199999999999999"/>
    <n v="0.18"/>
    <n v="0.42099999999999999"/>
    <n v="0.60699999999999998"/>
    <m/>
    <s v="马五41a"/>
    <x v="17"/>
    <n v="2"/>
    <s v="薄片"/>
    <n v="0.255"/>
    <n v="-0.16699999999999998"/>
  </r>
  <r>
    <s v="延1087"/>
    <n v="3392.875"/>
    <n v="20.838999999999999"/>
    <n v="23.436"/>
    <n v="2.161"/>
    <n v="164.57599999999999"/>
    <n v="2.7120000000000002"/>
    <n v="12.667"/>
    <n v="3.4870000000000001"/>
    <n v="108.46599999999999"/>
    <n v="108.16500000000001"/>
    <n v="3.5369999999999999"/>
    <n v="0.157"/>
    <n v="100"/>
    <n v="7.8E-2"/>
    <n v="0.24099999999999999"/>
    <n v="0.17599999999999999"/>
    <n v="0.41099999999999998"/>
    <n v="0.63600000000000001"/>
    <m/>
    <s v="马五41a"/>
    <x v="17"/>
    <n v="2"/>
    <s v="薄片"/>
    <n v="0.254"/>
    <n v="-0.16299999999999998"/>
  </r>
  <r>
    <s v="延1087"/>
    <n v="3393"/>
    <n v="20.628"/>
    <n v="23.210999999999999"/>
    <n v="2.153"/>
    <n v="164.10499999999999"/>
    <n v="2.7080000000000002"/>
    <n v="12.949"/>
    <n v="3.512"/>
    <n v="111.956"/>
    <n v="113.21899999999999"/>
    <n v="3.6230000000000002"/>
    <n v="0.17399999999999999"/>
    <n v="100"/>
    <n v="7.5999999999999998E-2"/>
    <n v="0.249"/>
    <n v="0.17100000000000001"/>
    <n v="0.40100000000000002"/>
    <n v="0.65200000000000002"/>
    <m/>
    <s v="马五41a"/>
    <x v="17"/>
    <n v="2"/>
    <s v="薄片"/>
    <n v="0.247"/>
    <n v="-0.17299999999999999"/>
  </r>
  <r>
    <s v="延1087"/>
    <n v="3393.125"/>
    <n v="20.451000000000001"/>
    <n v="22.968"/>
    <n v="2.1800000000000002"/>
    <n v="163.07599999999999"/>
    <n v="2.706"/>
    <n v="12.788"/>
    <n v="3.536"/>
    <n v="120.297"/>
    <n v="123.78400000000001"/>
    <n v="3.6560000000000001"/>
    <n v="0.18099999999999999"/>
    <n v="100"/>
    <n v="7.4999999999999997E-2"/>
    <n v="0.25600000000000001"/>
    <n v="0.159"/>
    <n v="0.39700000000000002"/>
    <n v="0.64300000000000002"/>
    <m/>
    <s v="马五41a"/>
    <x v="17"/>
    <n v="2"/>
    <s v="薄片"/>
    <n v="0.23399999999999999"/>
    <n v="-0.18099999999999999"/>
  </r>
  <r>
    <s v="延1087"/>
    <n v="3393.25"/>
    <n v="21.061"/>
    <n v="22.754000000000001"/>
    <n v="2.2109999999999999"/>
    <n v="161.60400000000001"/>
    <n v="2.71"/>
    <n v="12.159000000000001"/>
    <n v="3.5419999999999998"/>
    <n v="135.00200000000001"/>
    <n v="141.32499999999999"/>
    <n v="3.4020000000000001"/>
    <n v="0.13300000000000001"/>
    <n v="100"/>
    <n v="7.9000000000000001E-2"/>
    <n v="0.25800000000000001"/>
    <n v="0.14199999999999999"/>
    <n v="0.40600000000000003"/>
    <n v="0.60799999999999998"/>
    <m/>
    <s v="马五41a"/>
    <x v="17"/>
    <n v="2"/>
    <s v="薄片"/>
    <n v="0.22099999999999997"/>
    <n v="-0.17899999999999999"/>
  </r>
  <r>
    <s v="延1087"/>
    <n v="3393.375"/>
    <n v="22.593"/>
    <n v="22.623000000000001"/>
    <n v="2.2189999999999999"/>
    <n v="160.077"/>
    <n v="2.726"/>
    <n v="11.131"/>
    <n v="3.5760000000000001"/>
    <n v="156.26499999999999"/>
    <n v="165.946"/>
    <n v="2.7639999999999998"/>
    <n v="0.1"/>
    <n v="100"/>
    <n v="9.1999999999999998E-2"/>
    <n v="0.26800000000000002"/>
    <n v="0.125"/>
    <n v="0.44600000000000001"/>
    <n v="0.55100000000000005"/>
    <m/>
    <s v="马五41a"/>
    <x v="17"/>
    <n v="2"/>
    <s v="薄片"/>
    <n v="0.217"/>
    <n v="-0.17600000000000002"/>
  </r>
  <r>
    <s v="延1087"/>
    <n v="3393.5"/>
    <n v="24.687000000000001"/>
    <n v="22.635999999999999"/>
    <n v="2.2240000000000002"/>
    <n v="158.35"/>
    <n v="2.7450000000000001"/>
    <n v="9.9109999999999996"/>
    <n v="3.6539999999999999"/>
    <n v="182.85300000000001"/>
    <n v="196.21799999999999"/>
    <n v="2.0579999999999998"/>
    <n v="0.1"/>
    <n v="100"/>
    <n v="0.108"/>
    <n v="0.29099999999999998"/>
    <n v="0.105"/>
    <n v="0.49299999999999999"/>
    <n v="0.48299999999999998"/>
    <m/>
    <s v="马五41a"/>
    <x v="17"/>
    <n v="2"/>
    <s v="薄片"/>
    <n v="0.21299999999999999"/>
    <n v="-0.183"/>
  </r>
  <r>
    <s v="延1087"/>
    <n v="3393.625"/>
    <n v="26.779"/>
    <n v="22.762"/>
    <n v="2.25"/>
    <n v="156.505"/>
    <n v="2.7559999999999998"/>
    <n v="8.8109999999999999"/>
    <n v="3.6840000000000002"/>
    <n v="210.93700000000001"/>
    <n v="227.82"/>
    <n v="1.61"/>
    <n v="0.1"/>
    <n v="100"/>
    <n v="0.125"/>
    <n v="0.3"/>
    <n v="8.4000000000000005E-2"/>
    <n v="0.52"/>
    <n v="0.42099999999999999"/>
    <m/>
    <s v="马五41a"/>
    <x v="17"/>
    <n v="2"/>
    <s v="薄片"/>
    <n v="0.20900000000000002"/>
    <n v="-0.17499999999999999"/>
  </r>
  <r>
    <s v="延1087"/>
    <n v="3393.75"/>
    <n v="28.242999999999999"/>
    <n v="22.832999999999998"/>
    <n v="2.3079999999999998"/>
    <n v="154.65600000000001"/>
    <n v="2.7559999999999998"/>
    <n v="8.0359999999999996"/>
    <n v="3.69"/>
    <n v="235.31800000000001"/>
    <n v="255.143"/>
    <n v="1.452"/>
    <n v="0.1"/>
    <n v="100"/>
    <n v="0.13600000000000001"/>
    <n v="0.30199999999999999"/>
    <n v="6.3E-2"/>
    <n v="0.52"/>
    <n v="0.378"/>
    <m/>
    <s v="马五41a"/>
    <x v="17"/>
    <n v="2"/>
    <s v="薄片"/>
    <n v="0.19900000000000001"/>
    <n v="-0.16599999999999998"/>
  </r>
  <r>
    <s v="延1087"/>
    <n v="3393.875"/>
    <n v="28.39"/>
    <n v="22.719000000000001"/>
    <n v="2.383"/>
    <n v="153.196"/>
    <n v="2.754"/>
    <n v="7.5949999999999998"/>
    <n v="3.6549999999999998"/>
    <n v="252.55199999999999"/>
    <n v="274.88200000000001"/>
    <n v="1.4159999999999999"/>
    <n v="0.1"/>
    <n v="100"/>
    <n v="0.13700000000000001"/>
    <n v="0.29199999999999998"/>
    <n v="4.7E-2"/>
    <n v="0.51500000000000001"/>
    <n v="0.35399999999999998"/>
    <m/>
    <s v="马五41a"/>
    <x v="17"/>
    <n v="2"/>
    <s v="薄片"/>
    <n v="0.184"/>
    <n v="-0.15499999999999997"/>
  </r>
  <r>
    <s v="延1087"/>
    <n v="3394"/>
    <n v="27.350999999999999"/>
    <n v="22.48"/>
    <n v="2.5310000000000001"/>
    <n v="152.45500000000001"/>
    <n v="2.76"/>
    <n v="7.3890000000000002"/>
    <n v="3.61"/>
    <n v="264.45499999999998"/>
    <n v="289.57299999999998"/>
    <n v="1.3460000000000001"/>
    <n v="0.1"/>
    <n v="100"/>
    <n v="0.129"/>
    <n v="0.27800000000000002"/>
    <n v="3.9E-2"/>
    <n v="0.53"/>
    <n v="0.34200000000000003"/>
    <m/>
    <s v="马五41a"/>
    <x v="17"/>
    <n v="2"/>
    <s v="薄片"/>
    <n v="0.16800000000000001"/>
    <n v="-0.14900000000000002"/>
  </r>
  <r>
    <s v="延1087"/>
    <n v="3394.125"/>
    <n v="25.556000000000001"/>
    <n v="22.280999999999999"/>
    <n v="2.7410000000000001"/>
    <n v="152"/>
    <n v="2.7730000000000001"/>
    <n v="7.2830000000000004"/>
    <n v="3.5870000000000002"/>
    <n v="278.23599999999999"/>
    <n v="307.67599999999999"/>
    <n v="1.22"/>
    <n v="0.1"/>
    <n v="100"/>
    <n v="0.115"/>
    <n v="0.27100000000000002"/>
    <n v="3.3000000000000002E-2"/>
    <n v="0.56200000000000006"/>
    <n v="0.33600000000000002"/>
    <m/>
    <s v="马五41a"/>
    <x v="17"/>
    <n v="2"/>
    <s v="薄片"/>
    <n v="0.14800000000000002"/>
    <n v="-0.15600000000000003"/>
  </r>
  <r>
    <s v="延1087"/>
    <n v="3394.25"/>
    <n v="24.09"/>
    <n v="22.172000000000001"/>
    <n v="2.9350000000000001"/>
    <n v="151.315"/>
    <n v="2.7879999999999998"/>
    <n v="7.1239999999999997"/>
    <n v="3.5510000000000002"/>
    <n v="303.74400000000003"/>
    <n v="340.86099999999999"/>
    <n v="1.0669999999999999"/>
    <n v="0.1"/>
    <n v="100"/>
    <n v="0.10299999999999999"/>
    <n v="0.26"/>
    <n v="2.5999999999999999E-2"/>
    <n v="0.59899999999999998"/>
    <n v="0.32800000000000001"/>
    <m/>
    <s v="马五41a"/>
    <x v="17"/>
    <n v="2"/>
    <s v="薄片"/>
    <n v="0.129"/>
    <n v="-0.15700000000000003"/>
  </r>
  <r>
    <s v="延1087"/>
    <n v="3396.25"/>
    <n v="11.535"/>
    <n v="21.898"/>
    <n v="2.1960000000000002"/>
    <n v="169.85"/>
    <n v="2.9209999999999998"/>
    <n v="2.1179999999999999"/>
    <n v="4.4340000000000002"/>
    <n v="45009.508000000002"/>
    <n v="85285.648000000001"/>
    <n v="8.7999999999999995E-2"/>
    <n v="0.1"/>
    <n v="100"/>
    <n v="4.0000000000000001E-3"/>
    <n v="0.52600000000000002"/>
    <n v="0.23599999999999999"/>
    <n v="0.92600000000000005"/>
    <n v="4.9000000000000002E-2"/>
    <m/>
    <s v="马五41b"/>
    <x v="17"/>
    <n v="5"/>
    <s v="薄片"/>
    <n v="0.24"/>
    <n v="-0.52200000000000002"/>
  </r>
  <r>
    <s v="延1087"/>
    <n v="3396.375"/>
    <n v="10.996"/>
    <n v="21.945"/>
    <n v="2.0840000000000001"/>
    <n v="169.517"/>
    <n v="2.9390000000000001"/>
    <n v="2.032"/>
    <n v="4.9980000000000002"/>
    <n v="51018.086000000003"/>
    <n v="96683.077999999994"/>
    <n v="0.09"/>
    <n v="0.1"/>
    <n v="100"/>
    <n v="0"/>
    <n v="0.69499999999999995"/>
    <n v="0.23200000000000001"/>
    <n v="0.97"/>
    <n v="4.3999999999999997E-2"/>
    <m/>
    <s v="马五41b"/>
    <x v="17"/>
    <n v="5"/>
    <s v="薄片"/>
    <n v="0.23200000000000001"/>
    <n v="-0.69499999999999995"/>
  </r>
  <r>
    <s v="延1087"/>
    <n v="3396.5"/>
    <n v="11.067"/>
    <n v="22.015000000000001"/>
    <n v="2.0670000000000002"/>
    <n v="169.05799999999999"/>
    <n v="2.9460000000000002"/>
    <n v="2.2930000000000001"/>
    <n v="5.5880000000000001"/>
    <n v="51655.59"/>
    <n v="97939.672000000006"/>
    <n v="0.09"/>
    <n v="0.1"/>
    <n v="100"/>
    <n v="1E-3"/>
    <n v="0.873"/>
    <n v="0.22700000000000001"/>
    <n v="0.98799999999999999"/>
    <n v="5.8999999999999997E-2"/>
    <m/>
    <s v="马五41b"/>
    <x v="17"/>
    <n v="5"/>
    <s v="薄片"/>
    <n v="0.22800000000000001"/>
    <n v="-0.872"/>
  </r>
  <r>
    <s v="延1087"/>
    <n v="3396.625"/>
    <n v="11.978"/>
    <n v="22.077999999999999"/>
    <n v="2.093"/>
    <n v="168.64699999999999"/>
    <n v="2.9409999999999998"/>
    <n v="2.6379999999999999"/>
    <n v="6.0110000000000001"/>
    <n v="50463.050999999999"/>
    <n v="95847.82"/>
    <n v="9.0999999999999998E-2"/>
    <n v="0.1"/>
    <n v="100"/>
    <n v="8.0000000000000002E-3"/>
    <n v="1"/>
    <n v="0.222"/>
    <n v="0.97499999999999998"/>
    <n v="7.8E-2"/>
    <m/>
    <s v="马五41b"/>
    <x v="17"/>
    <n v="5"/>
    <s v="薄片"/>
    <n v="0.23"/>
    <n v="-0.99199999999999999"/>
  </r>
  <r>
    <s v="延1087"/>
    <n v="3396.75"/>
    <n v="14.175000000000001"/>
    <n v="22.109000000000002"/>
    <n v="2.105"/>
    <n v="167.72499999999999"/>
    <n v="2.9319999999999999"/>
    <n v="3"/>
    <n v="5.9210000000000003"/>
    <n v="47794.741999999998"/>
    <n v="90848.843999999997"/>
    <n v="9.0999999999999998E-2"/>
    <n v="0.1"/>
    <n v="100"/>
    <n v="2.5000000000000001E-2"/>
    <n v="0.97299999999999998"/>
    <n v="0.21199999999999999"/>
    <n v="0.95299999999999996"/>
    <n v="9.8000000000000004E-2"/>
    <m/>
    <s v="马五41b"/>
    <x v="17"/>
    <n v="5"/>
    <s v="薄片"/>
    <n v="0.23699999999999999"/>
    <n v="-0.94799999999999995"/>
  </r>
  <r>
    <s v="延1087"/>
    <n v="3396.875"/>
    <n v="17.119"/>
    <n v="22.117999999999999"/>
    <n v="2.137"/>
    <n v="166.101"/>
    <n v="2.923"/>
    <n v="3.4820000000000002"/>
    <n v="5.444"/>
    <n v="43148.07"/>
    <n v="81795.077999999994"/>
    <n v="9.0999999999999998E-2"/>
    <n v="0.1"/>
    <n v="100"/>
    <n v="4.8000000000000001E-2"/>
    <n v="0.83"/>
    <n v="0.193"/>
    <n v="0.93100000000000005"/>
    <n v="0.125"/>
    <m/>
    <s v="马五41b"/>
    <x v="17"/>
    <n v="5"/>
    <s v="薄片"/>
    <n v="0.24099999999999999"/>
    <n v="-0.78199999999999992"/>
  </r>
  <r>
    <s v="延1087"/>
    <n v="3397"/>
    <n v="19.216000000000001"/>
    <n v="22.119"/>
    <n v="2.21"/>
    <n v="163.90100000000001"/>
    <n v="2.9129999999999998"/>
    <n v="4.0880000000000001"/>
    <n v="5.0590000000000002"/>
    <n v="39388.097999999998"/>
    <n v="74313.968999999997"/>
    <n v="0.53500000000000003"/>
    <n v="0.1"/>
    <n v="100"/>
    <n v="6.5000000000000002E-2"/>
    <n v="0.71399999999999997"/>
    <n v="0.16800000000000001"/>
    <n v="0.90600000000000003"/>
    <n v="0.159"/>
    <m/>
    <s v="马五41b"/>
    <x v="17"/>
    <n v="5"/>
    <s v="薄片"/>
    <n v="0.23300000000000001"/>
    <n v="-0.64900000000000002"/>
  </r>
  <r>
    <s v="延1087"/>
    <n v="3397.125"/>
    <n v="19.616"/>
    <n v="22.106000000000002"/>
    <n v="2.286"/>
    <n v="161.01900000000001"/>
    <n v="2.9009999999999998"/>
    <n v="4.2350000000000003"/>
    <n v="5.077"/>
    <n v="40405.730000000003"/>
    <n v="76057.304999999993"/>
    <n v="0.63600000000000001"/>
    <n v="0.1"/>
    <n v="100"/>
    <n v="6.8000000000000005E-2"/>
    <n v="0.71899999999999997"/>
    <n v="0.13600000000000001"/>
    <n v="0.877"/>
    <n v="0.16700000000000001"/>
    <m/>
    <s v="马五41b"/>
    <x v="17"/>
    <n v="5"/>
    <s v="薄片"/>
    <n v="0.20400000000000001"/>
    <n v="-0.65100000000000002"/>
  </r>
  <r>
    <s v="延1087"/>
    <n v="3397.25"/>
    <n v="18.396000000000001"/>
    <n v="22.076000000000001"/>
    <n v="2.347"/>
    <n v="157.9"/>
    <n v="2.8889999999999998"/>
    <n v="4.2350000000000003"/>
    <n v="5.2229999999999999"/>
    <n v="45720.891000000003"/>
    <n v="86021.202999999994"/>
    <n v="0.75"/>
    <n v="0.1"/>
    <n v="100"/>
    <n v="5.8000000000000003E-2"/>
    <n v="0.76300000000000001"/>
    <n v="0.1"/>
    <n v="0.84699999999999998"/>
    <n v="0.16700000000000001"/>
    <m/>
    <s v="马五41b"/>
    <x v="17"/>
    <n v="5"/>
    <s v="薄片"/>
    <n v="0.158"/>
    <n v="-0.70499999999999996"/>
  </r>
  <r>
    <s v="延1087"/>
    <n v="3397.375"/>
    <n v="16.452000000000002"/>
    <n v="22.041"/>
    <n v="2.3969999999999998"/>
    <n v="155.62899999999999"/>
    <n v="2.883"/>
    <n v="4.085"/>
    <n v="5.2839999999999998"/>
    <n v="50974.921999999999"/>
    <n v="95648.531000000003"/>
    <n v="0.78900000000000003"/>
    <n v="0.1"/>
    <n v="100"/>
    <n v="4.2999999999999997E-2"/>
    <n v="0.78100000000000003"/>
    <n v="7.4999999999999997E-2"/>
    <n v="0.83299999999999996"/>
    <n v="0.159"/>
    <m/>
    <s v="马五41b"/>
    <x v="18"/>
    <n v="6"/>
    <s v="薄片"/>
    <n v="0.11799999999999999"/>
    <n v="-0.73799999999999999"/>
  </r>
  <r>
    <s v="延1087"/>
    <n v="3397.5"/>
    <n v="14.403"/>
    <n v="22.018999999999998"/>
    <n v="2.4159999999999999"/>
    <n v="154.851"/>
    <n v="2.8860000000000001"/>
    <n v="3.706"/>
    <n v="5.2690000000000001"/>
    <n v="51007.593999999997"/>
    <n v="95091.554999999993"/>
    <n v="0.68899999999999995"/>
    <n v="0.1"/>
    <n v="100"/>
    <n v="2.7E-2"/>
    <n v="0.77700000000000002"/>
    <n v="6.6000000000000003E-2"/>
    <n v="0.84"/>
    <n v="0.13700000000000001"/>
    <m/>
    <s v="马五41b"/>
    <x v="18"/>
    <n v="6"/>
    <s v="薄片"/>
    <n v="9.2999999999999999E-2"/>
    <n v="-0.75"/>
  </r>
  <r>
    <s v="延1087"/>
    <n v="3397.625"/>
    <n v="12.683999999999999"/>
    <n v="21.989000000000001"/>
    <n v="2.3889999999999998"/>
    <n v="155.042"/>
    <n v="2.9"/>
    <n v="3.4180000000000001"/>
    <n v="5.1539999999999999"/>
    <n v="43960.690999999999"/>
    <n v="81098.108999999997"/>
    <n v="0.53900000000000003"/>
    <n v="0.1"/>
    <n v="100"/>
    <n v="1.2999999999999999E-2"/>
    <n v="0.74199999999999999"/>
    <n v="6.8000000000000005E-2"/>
    <n v="0.874"/>
    <n v="0.121"/>
    <m/>
    <s v="马五41b"/>
    <x v="18"/>
    <n v="6"/>
    <s v="薄片"/>
    <n v="8.1000000000000003E-2"/>
    <n v="-0.72899999999999998"/>
  </r>
  <r>
    <s v="延1087"/>
    <n v="3397.75"/>
    <n v="11.879"/>
    <n v="21.922000000000001"/>
    <n v="2.3170000000000002"/>
    <n v="156.13300000000001"/>
    <n v="2.9159999999999999"/>
    <n v="2.4820000000000002"/>
    <n v="4.9960000000000004"/>
    <n v="31099.405999999999"/>
    <n v="56249.027000000002"/>
    <n v="9.1999999999999998E-2"/>
    <n v="0.1"/>
    <n v="100"/>
    <n v="7.0000000000000001E-3"/>
    <n v="0.69499999999999995"/>
    <n v="0.08"/>
    <n v="0.91400000000000003"/>
    <n v="6.9000000000000006E-2"/>
    <m/>
    <s v="马五41b"/>
    <x v="18"/>
    <n v="6"/>
    <s v="薄片"/>
    <n v="8.7000000000000008E-2"/>
    <n v="-0.6879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14013-6F02-4A87-B9D1-F972AC93B5B1}" name="数据透视表5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7">
  <location ref="A3:B18" firstHeaderRow="1" firstDataRow="1" firstDataCol="1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19">
        <item x="5"/>
        <item h="1" x="6"/>
        <item x="13"/>
        <item x="1"/>
        <item x="8"/>
        <item x="18"/>
        <item x="7"/>
        <item x="9"/>
        <item h="1" x="10"/>
        <item x="4"/>
        <item x="15"/>
        <item h="1" x="16"/>
        <item x="11"/>
        <item h="1" x="12"/>
        <item x="2"/>
        <item x="3"/>
        <item x="14"/>
        <item x="0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1"/>
  </rowFields>
  <rowItems count="15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4"/>
    </i>
    <i>
      <x v="15"/>
    </i>
    <i>
      <x v="16"/>
    </i>
    <i>
      <x v="17"/>
    </i>
    <i>
      <x v="18"/>
    </i>
  </rowItems>
  <colItems count="1">
    <i/>
  </colItems>
  <dataFields count="1">
    <dataField name="计数项:岩性" fld="2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7"/>
  <sheetViews>
    <sheetView topLeftCell="A138" zoomScale="70" zoomScaleNormal="70" workbookViewId="0">
      <selection activeCell="V172" sqref="V172"/>
    </sheetView>
  </sheetViews>
  <sheetFormatPr defaultRowHeight="14.25" x14ac:dyDescent="0.2"/>
  <sheetData>
    <row r="1" spans="1:2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24</v>
      </c>
      <c r="W1" s="2" t="s">
        <v>25</v>
      </c>
      <c r="X1" s="2" t="s">
        <v>26</v>
      </c>
      <c r="Y1" s="1" t="s">
        <v>27</v>
      </c>
      <c r="Z1" s="1" t="s">
        <v>28</v>
      </c>
    </row>
    <row r="2" spans="1:26" x14ac:dyDescent="0.2">
      <c r="A2" t="s">
        <v>21</v>
      </c>
      <c r="B2">
        <v>3917.625</v>
      </c>
      <c r="C2">
        <v>49.152999999999999</v>
      </c>
      <c r="D2">
        <v>22.422000000000001</v>
      </c>
      <c r="E2">
        <v>3.028</v>
      </c>
      <c r="F2">
        <v>165.04900000000001</v>
      </c>
      <c r="G2">
        <v>2.7469999999999999</v>
      </c>
      <c r="H2">
        <v>7.8659999999999997</v>
      </c>
      <c r="I2">
        <v>3.2349999999999999</v>
      </c>
      <c r="J2">
        <v>327.601</v>
      </c>
      <c r="K2">
        <v>0.01</v>
      </c>
      <c r="L2">
        <v>1E-3</v>
      </c>
      <c r="M2">
        <v>100</v>
      </c>
      <c r="N2">
        <v>368.14400000000001</v>
      </c>
      <c r="O2">
        <v>0.36199999999999999</v>
      </c>
      <c r="P2">
        <v>0.35799999999999998</v>
      </c>
      <c r="Q2">
        <v>0.33900000000000002</v>
      </c>
      <c r="R2">
        <v>0.29799999999999999</v>
      </c>
      <c r="S2">
        <v>0.32800000000000001</v>
      </c>
      <c r="U2" t="s">
        <v>22</v>
      </c>
      <c r="V2" t="s">
        <v>30</v>
      </c>
      <c r="W2">
        <v>2</v>
      </c>
      <c r="Y2">
        <f>Q2-R2</f>
        <v>4.1000000000000036E-2</v>
      </c>
      <c r="Z2">
        <f>O2-P2</f>
        <v>4.0000000000000036E-3</v>
      </c>
    </row>
    <row r="3" spans="1:26" x14ac:dyDescent="0.2">
      <c r="A3" t="s">
        <v>21</v>
      </c>
      <c r="B3">
        <v>3917.75</v>
      </c>
      <c r="C3">
        <v>40.558999999999997</v>
      </c>
      <c r="D3">
        <v>22.37</v>
      </c>
      <c r="E3">
        <v>2.5880000000000001</v>
      </c>
      <c r="F3">
        <v>163.05699999999999</v>
      </c>
      <c r="G3">
        <v>2.7549999999999999</v>
      </c>
      <c r="H3">
        <v>7.1310000000000002</v>
      </c>
      <c r="I3">
        <v>3.26</v>
      </c>
      <c r="J3">
        <v>431.25700000000001</v>
      </c>
      <c r="K3">
        <v>0.01</v>
      </c>
      <c r="L3">
        <v>1E-3</v>
      </c>
      <c r="M3">
        <v>100</v>
      </c>
      <c r="N3">
        <v>484.93200000000002</v>
      </c>
      <c r="O3">
        <v>0.26600000000000001</v>
      </c>
      <c r="P3">
        <v>0.39300000000000002</v>
      </c>
      <c r="Q3">
        <v>0.248</v>
      </c>
      <c r="R3">
        <v>0.34200000000000003</v>
      </c>
      <c r="S3">
        <v>0.223</v>
      </c>
      <c r="U3" t="s">
        <v>22</v>
      </c>
      <c r="V3" t="s">
        <v>30</v>
      </c>
      <c r="W3">
        <v>2</v>
      </c>
      <c r="Y3">
        <f t="shared" ref="Y3:Y66" si="0">Q3-R3</f>
        <v>-9.4000000000000028E-2</v>
      </c>
      <c r="Z3">
        <f t="shared" ref="Z3:Z66" si="1">O3-P3</f>
        <v>-0.127</v>
      </c>
    </row>
    <row r="4" spans="1:26" x14ac:dyDescent="0.2">
      <c r="A4" t="s">
        <v>21</v>
      </c>
      <c r="B4">
        <v>3917.875</v>
      </c>
      <c r="C4">
        <v>37.170999999999999</v>
      </c>
      <c r="D4">
        <v>22.344000000000001</v>
      </c>
      <c r="E4">
        <v>2.2229999999999999</v>
      </c>
      <c r="F4">
        <v>161.89599999999999</v>
      </c>
      <c r="G4">
        <v>2.766</v>
      </c>
      <c r="H4">
        <v>6.48</v>
      </c>
      <c r="I4">
        <v>3.2989999999999999</v>
      </c>
      <c r="J4">
        <v>531.70299999999997</v>
      </c>
      <c r="K4">
        <v>0.01</v>
      </c>
      <c r="L4">
        <v>1E-3</v>
      </c>
      <c r="M4">
        <v>100</v>
      </c>
      <c r="N4">
        <v>596.74099999999999</v>
      </c>
      <c r="O4">
        <v>0.22500000000000001</v>
      </c>
      <c r="P4">
        <v>0.45</v>
      </c>
      <c r="Q4">
        <v>0.193</v>
      </c>
      <c r="R4">
        <v>0.40300000000000002</v>
      </c>
      <c r="S4">
        <v>0.128</v>
      </c>
      <c r="U4" t="s">
        <v>22</v>
      </c>
      <c r="V4" t="s">
        <v>30</v>
      </c>
      <c r="W4">
        <v>2</v>
      </c>
      <c r="Y4">
        <f t="shared" si="0"/>
        <v>-0.21000000000000002</v>
      </c>
      <c r="Z4">
        <f t="shared" si="1"/>
        <v>-0.22500000000000001</v>
      </c>
    </row>
    <row r="5" spans="1:26" x14ac:dyDescent="0.2">
      <c r="A5" t="s">
        <v>21</v>
      </c>
      <c r="B5">
        <v>3918</v>
      </c>
      <c r="C5">
        <v>35.314999999999998</v>
      </c>
      <c r="D5">
        <v>22.327999999999999</v>
      </c>
      <c r="E5">
        <v>2.073</v>
      </c>
      <c r="F5">
        <v>161.36600000000001</v>
      </c>
      <c r="G5">
        <v>2.7759999999999998</v>
      </c>
      <c r="H5">
        <v>6.0270000000000001</v>
      </c>
      <c r="I5">
        <v>3.3460000000000001</v>
      </c>
      <c r="J5">
        <v>561.74800000000005</v>
      </c>
      <c r="K5">
        <v>0.01</v>
      </c>
      <c r="L5">
        <v>1E-3</v>
      </c>
      <c r="M5">
        <v>100</v>
      </c>
      <c r="N5">
        <v>627.87</v>
      </c>
      <c r="O5">
        <v>0.20399999999999999</v>
      </c>
      <c r="P5">
        <v>0.52</v>
      </c>
      <c r="Q5">
        <v>0.16700000000000001</v>
      </c>
      <c r="R5">
        <v>0.46200000000000002</v>
      </c>
      <c r="S5">
        <v>5.8999999999999997E-2</v>
      </c>
      <c r="U5" t="s">
        <v>22</v>
      </c>
      <c r="V5" t="s">
        <v>30</v>
      </c>
      <c r="W5">
        <v>2</v>
      </c>
      <c r="Y5">
        <f t="shared" si="0"/>
        <v>-0.29500000000000004</v>
      </c>
      <c r="Z5">
        <f t="shared" si="1"/>
        <v>-0.31600000000000006</v>
      </c>
    </row>
    <row r="6" spans="1:26" x14ac:dyDescent="0.2">
      <c r="A6" t="s">
        <v>21</v>
      </c>
      <c r="B6">
        <v>3918.125</v>
      </c>
      <c r="C6">
        <v>32.283000000000001</v>
      </c>
      <c r="D6">
        <v>22.323</v>
      </c>
      <c r="E6">
        <v>1.97</v>
      </c>
      <c r="F6">
        <v>161.45400000000001</v>
      </c>
      <c r="G6">
        <v>2.7810000000000001</v>
      </c>
      <c r="H6">
        <v>5.7720000000000002</v>
      </c>
      <c r="I6">
        <v>3.3929999999999998</v>
      </c>
      <c r="J6">
        <v>481.22800000000001</v>
      </c>
      <c r="K6">
        <v>0.01</v>
      </c>
      <c r="L6">
        <v>1E-3</v>
      </c>
      <c r="M6">
        <v>100</v>
      </c>
      <c r="N6">
        <v>534.50800000000004</v>
      </c>
      <c r="O6">
        <v>0.17399999999999999</v>
      </c>
      <c r="P6">
        <v>0.59199999999999997</v>
      </c>
      <c r="Q6">
        <v>0.16800000000000001</v>
      </c>
      <c r="R6">
        <v>0.49399999999999999</v>
      </c>
      <c r="S6">
        <v>0.02</v>
      </c>
      <c r="U6" t="s">
        <v>22</v>
      </c>
      <c r="V6" t="s">
        <v>30</v>
      </c>
      <c r="W6">
        <v>2</v>
      </c>
      <c r="Y6">
        <f t="shared" si="0"/>
        <v>-0.32599999999999996</v>
      </c>
      <c r="Z6">
        <f t="shared" si="1"/>
        <v>-0.41799999999999998</v>
      </c>
    </row>
    <row r="7" spans="1:26" x14ac:dyDescent="0.2">
      <c r="A7" t="s">
        <v>21</v>
      </c>
      <c r="B7">
        <v>3918.25</v>
      </c>
      <c r="C7">
        <v>27.664999999999999</v>
      </c>
      <c r="D7">
        <v>22.344999999999999</v>
      </c>
      <c r="E7">
        <v>1.85</v>
      </c>
      <c r="F7">
        <v>162.31899999999999</v>
      </c>
      <c r="G7">
        <v>2.7770000000000001</v>
      </c>
      <c r="H7">
        <v>5.665</v>
      </c>
      <c r="I7">
        <v>3.4369999999999998</v>
      </c>
      <c r="J7">
        <v>330.017</v>
      </c>
      <c r="K7">
        <v>0.01</v>
      </c>
      <c r="L7">
        <v>1E-3</v>
      </c>
      <c r="M7">
        <v>100</v>
      </c>
      <c r="N7">
        <v>363.57400000000001</v>
      </c>
      <c r="O7">
        <v>0.129</v>
      </c>
      <c r="P7">
        <v>0.66</v>
      </c>
      <c r="Q7">
        <v>0.20200000000000001</v>
      </c>
      <c r="R7">
        <v>0.47699999999999998</v>
      </c>
      <c r="S7">
        <v>2E-3</v>
      </c>
      <c r="U7" t="s">
        <v>22</v>
      </c>
      <c r="V7" t="s">
        <v>30</v>
      </c>
      <c r="W7">
        <v>2</v>
      </c>
      <c r="Y7">
        <f t="shared" si="0"/>
        <v>-0.27499999999999997</v>
      </c>
      <c r="Z7">
        <f t="shared" si="1"/>
        <v>-0.53100000000000003</v>
      </c>
    </row>
    <row r="8" spans="1:26" x14ac:dyDescent="0.2">
      <c r="A8" t="s">
        <v>21</v>
      </c>
      <c r="B8">
        <v>3918.375</v>
      </c>
      <c r="C8">
        <v>23.14</v>
      </c>
      <c r="D8">
        <v>22.402000000000001</v>
      </c>
      <c r="E8">
        <v>1.8240000000000001</v>
      </c>
      <c r="F8">
        <v>163.90899999999999</v>
      </c>
      <c r="G8">
        <v>2.7690000000000001</v>
      </c>
      <c r="H8">
        <v>5.6829999999999998</v>
      </c>
      <c r="I8">
        <v>3.4750000000000001</v>
      </c>
      <c r="J8">
        <v>203.71600000000001</v>
      </c>
      <c r="K8">
        <v>1.839</v>
      </c>
      <c r="L8">
        <v>6.0000000000000001E-3</v>
      </c>
      <c r="M8">
        <v>70.489999999999995</v>
      </c>
      <c r="N8">
        <v>222.22499999999999</v>
      </c>
      <c r="O8">
        <v>8.2000000000000003E-2</v>
      </c>
      <c r="P8">
        <v>0.71899999999999997</v>
      </c>
      <c r="Q8">
        <v>0.26800000000000002</v>
      </c>
      <c r="R8">
        <v>0.433</v>
      </c>
      <c r="S8">
        <v>2E-3</v>
      </c>
      <c r="T8" t="s">
        <v>23</v>
      </c>
      <c r="U8" t="s">
        <v>22</v>
      </c>
      <c r="V8" t="s">
        <v>30</v>
      </c>
      <c r="W8">
        <v>2</v>
      </c>
      <c r="Y8">
        <f t="shared" si="0"/>
        <v>-0.16499999999999998</v>
      </c>
      <c r="Z8">
        <f t="shared" si="1"/>
        <v>-0.63700000000000001</v>
      </c>
    </row>
    <row r="9" spans="1:26" x14ac:dyDescent="0.2">
      <c r="A9" t="s">
        <v>21</v>
      </c>
      <c r="B9">
        <v>3918.5</v>
      </c>
      <c r="C9">
        <v>19.922000000000001</v>
      </c>
      <c r="D9">
        <v>22.48</v>
      </c>
      <c r="E9">
        <v>1.7949999999999999</v>
      </c>
      <c r="F9">
        <v>165.89599999999999</v>
      </c>
      <c r="G9">
        <v>2.7610000000000001</v>
      </c>
      <c r="H9">
        <v>5.843</v>
      </c>
      <c r="I9">
        <v>3.5019999999999998</v>
      </c>
      <c r="J9">
        <v>141.47200000000001</v>
      </c>
      <c r="K9">
        <v>3.0609999999999999</v>
      </c>
      <c r="L9">
        <v>0.01</v>
      </c>
      <c r="M9">
        <v>54.828000000000003</v>
      </c>
      <c r="N9">
        <v>152.971</v>
      </c>
      <c r="O9">
        <v>4.7E-2</v>
      </c>
      <c r="P9">
        <v>0.76200000000000001</v>
      </c>
      <c r="Q9">
        <v>0.35199999999999998</v>
      </c>
      <c r="R9">
        <v>0.38700000000000001</v>
      </c>
      <c r="S9">
        <v>2.3E-2</v>
      </c>
      <c r="T9" t="s">
        <v>23</v>
      </c>
      <c r="U9" t="s">
        <v>22</v>
      </c>
      <c r="V9" t="s">
        <v>30</v>
      </c>
      <c r="W9">
        <v>2</v>
      </c>
      <c r="Y9">
        <f t="shared" si="0"/>
        <v>-3.5000000000000031E-2</v>
      </c>
      <c r="Z9">
        <f t="shared" si="1"/>
        <v>-0.71499999999999997</v>
      </c>
    </row>
    <row r="10" spans="1:26" x14ac:dyDescent="0.2">
      <c r="A10" t="s">
        <v>21</v>
      </c>
      <c r="B10">
        <v>3918.625</v>
      </c>
      <c r="C10">
        <v>17.911000000000001</v>
      </c>
      <c r="D10">
        <v>22.555</v>
      </c>
      <c r="E10">
        <v>1.663</v>
      </c>
      <c r="F10">
        <v>167.833</v>
      </c>
      <c r="G10">
        <v>2.7559999999999998</v>
      </c>
      <c r="H10">
        <v>6.1669999999999998</v>
      </c>
      <c r="I10">
        <v>3.5129999999999999</v>
      </c>
      <c r="J10">
        <v>115.87</v>
      </c>
      <c r="K10">
        <v>3.673</v>
      </c>
      <c r="L10">
        <v>0.01</v>
      </c>
      <c r="M10">
        <v>50.561999999999998</v>
      </c>
      <c r="N10">
        <v>124.56699999999999</v>
      </c>
      <c r="O10">
        <v>2.5000000000000001E-2</v>
      </c>
      <c r="P10">
        <v>0.78100000000000003</v>
      </c>
      <c r="Q10">
        <v>0.437</v>
      </c>
      <c r="R10">
        <v>0.35599999999999998</v>
      </c>
      <c r="S10">
        <v>6.7000000000000004E-2</v>
      </c>
      <c r="T10" t="s">
        <v>23</v>
      </c>
      <c r="U10" t="s">
        <v>22</v>
      </c>
      <c r="V10" t="s">
        <v>30</v>
      </c>
      <c r="W10">
        <v>2</v>
      </c>
      <c r="Y10">
        <f t="shared" si="0"/>
        <v>8.1000000000000016E-2</v>
      </c>
      <c r="Z10">
        <f t="shared" si="1"/>
        <v>-0.75600000000000001</v>
      </c>
    </row>
    <row r="11" spans="1:26" x14ac:dyDescent="0.2">
      <c r="A11" t="s">
        <v>21</v>
      </c>
      <c r="B11">
        <v>3918.75</v>
      </c>
      <c r="C11">
        <v>16.334</v>
      </c>
      <c r="D11">
        <v>22.599</v>
      </c>
      <c r="E11">
        <v>1.474</v>
      </c>
      <c r="F11">
        <v>169.29</v>
      </c>
      <c r="G11">
        <v>2.754</v>
      </c>
      <c r="H11">
        <v>6.63</v>
      </c>
      <c r="I11">
        <v>3.5019999999999998</v>
      </c>
      <c r="J11">
        <v>99.813999999999993</v>
      </c>
      <c r="K11">
        <v>4.0819999999999999</v>
      </c>
      <c r="L11">
        <v>0.01</v>
      </c>
      <c r="M11">
        <v>47.475999999999999</v>
      </c>
      <c r="N11">
        <v>106.827</v>
      </c>
      <c r="O11">
        <v>8.0000000000000002E-3</v>
      </c>
      <c r="P11">
        <v>0.76800000000000002</v>
      </c>
      <c r="Q11">
        <v>0.503</v>
      </c>
      <c r="R11">
        <v>0.34200000000000003</v>
      </c>
      <c r="S11">
        <v>0.13200000000000001</v>
      </c>
      <c r="T11" t="s">
        <v>23</v>
      </c>
      <c r="U11" t="s">
        <v>22</v>
      </c>
      <c r="V11" t="s">
        <v>30</v>
      </c>
      <c r="W11">
        <v>2</v>
      </c>
      <c r="Y11">
        <f t="shared" si="0"/>
        <v>0.16099999999999998</v>
      </c>
      <c r="Z11">
        <f t="shared" si="1"/>
        <v>-0.76</v>
      </c>
    </row>
    <row r="12" spans="1:26" x14ac:dyDescent="0.2">
      <c r="A12" t="s">
        <v>21</v>
      </c>
      <c r="B12">
        <v>3918.875</v>
      </c>
      <c r="C12">
        <v>15.704000000000001</v>
      </c>
      <c r="D12">
        <v>22.614000000000001</v>
      </c>
      <c r="E12">
        <v>1.325</v>
      </c>
      <c r="F12">
        <v>170.25</v>
      </c>
      <c r="G12">
        <v>2.7509999999999999</v>
      </c>
      <c r="H12">
        <v>7.1379999999999999</v>
      </c>
      <c r="I12">
        <v>3.4660000000000002</v>
      </c>
      <c r="J12">
        <v>85.926000000000002</v>
      </c>
      <c r="K12">
        <v>4.694</v>
      </c>
      <c r="L12">
        <v>1.7000000000000001E-2</v>
      </c>
      <c r="M12">
        <v>43.784999999999997</v>
      </c>
      <c r="N12">
        <v>91.608999999999995</v>
      </c>
      <c r="O12">
        <v>1E-3</v>
      </c>
      <c r="P12">
        <v>0.71799999999999997</v>
      </c>
      <c r="Q12">
        <v>0.54700000000000004</v>
      </c>
      <c r="R12">
        <v>0.32600000000000001</v>
      </c>
      <c r="S12">
        <v>0.20399999999999999</v>
      </c>
      <c r="T12" t="s">
        <v>23</v>
      </c>
      <c r="U12" t="s">
        <v>22</v>
      </c>
      <c r="V12" t="s">
        <v>30</v>
      </c>
      <c r="W12">
        <v>2</v>
      </c>
      <c r="Y12">
        <f t="shared" si="0"/>
        <v>0.22100000000000003</v>
      </c>
      <c r="Z12">
        <f t="shared" si="1"/>
        <v>-0.71699999999999997</v>
      </c>
    </row>
    <row r="13" spans="1:26" x14ac:dyDescent="0.2">
      <c r="A13" t="s">
        <v>21</v>
      </c>
      <c r="B13">
        <v>3919</v>
      </c>
      <c r="C13">
        <v>16.385999999999999</v>
      </c>
      <c r="D13">
        <v>22.620999999999999</v>
      </c>
      <c r="E13">
        <v>1.202</v>
      </c>
      <c r="F13">
        <v>171.04400000000001</v>
      </c>
      <c r="G13">
        <v>2.7429999999999999</v>
      </c>
      <c r="H13">
        <v>7.5890000000000004</v>
      </c>
      <c r="I13">
        <v>3.41</v>
      </c>
      <c r="J13">
        <v>72.725999999999999</v>
      </c>
      <c r="K13">
        <v>5.1020000000000003</v>
      </c>
      <c r="L13">
        <v>2.1999999999999999E-2</v>
      </c>
      <c r="M13">
        <v>43.627000000000002</v>
      </c>
      <c r="N13">
        <v>77.275000000000006</v>
      </c>
      <c r="O13">
        <v>6.0000000000000001E-3</v>
      </c>
      <c r="P13">
        <v>0.63500000000000001</v>
      </c>
      <c r="Q13">
        <v>0.58199999999999996</v>
      </c>
      <c r="R13">
        <v>0.28299999999999997</v>
      </c>
      <c r="S13">
        <v>0.27</v>
      </c>
      <c r="T13" t="s">
        <v>23</v>
      </c>
      <c r="U13" t="s">
        <v>22</v>
      </c>
      <c r="V13" t="s">
        <v>30</v>
      </c>
      <c r="W13">
        <v>2</v>
      </c>
      <c r="Y13">
        <f t="shared" si="0"/>
        <v>0.29899999999999999</v>
      </c>
      <c r="Z13">
        <f t="shared" si="1"/>
        <v>-0.629</v>
      </c>
    </row>
    <row r="14" spans="1:26" x14ac:dyDescent="0.2">
      <c r="A14" t="s">
        <v>21</v>
      </c>
      <c r="B14">
        <v>3919.125</v>
      </c>
      <c r="C14">
        <v>17.536999999999999</v>
      </c>
      <c r="D14">
        <v>22.641999999999999</v>
      </c>
      <c r="E14">
        <v>1.214</v>
      </c>
      <c r="F14">
        <v>172.06200000000001</v>
      </c>
      <c r="G14">
        <v>2.7309999999999999</v>
      </c>
      <c r="H14">
        <v>7.9450000000000003</v>
      </c>
      <c r="I14">
        <v>3.3420000000000001</v>
      </c>
      <c r="J14">
        <v>59.128</v>
      </c>
      <c r="K14">
        <v>5.1020000000000003</v>
      </c>
      <c r="L14">
        <v>2.1999999999999999E-2</v>
      </c>
      <c r="M14">
        <v>47.801000000000002</v>
      </c>
      <c r="N14">
        <v>62.636000000000003</v>
      </c>
      <c r="O14">
        <v>1.7999999999999999E-2</v>
      </c>
      <c r="P14">
        <v>0.53400000000000003</v>
      </c>
      <c r="Q14">
        <v>0.625</v>
      </c>
      <c r="R14">
        <v>0.216</v>
      </c>
      <c r="S14">
        <v>0.32300000000000001</v>
      </c>
      <c r="T14" t="s">
        <v>23</v>
      </c>
      <c r="U14" t="s">
        <v>22</v>
      </c>
      <c r="V14" t="s">
        <v>30</v>
      </c>
      <c r="W14">
        <v>2</v>
      </c>
      <c r="Y14">
        <f t="shared" si="0"/>
        <v>0.40900000000000003</v>
      </c>
      <c r="Z14">
        <f t="shared" si="1"/>
        <v>-0.51600000000000001</v>
      </c>
    </row>
    <row r="15" spans="1:26" x14ac:dyDescent="0.2">
      <c r="A15" t="s">
        <v>21</v>
      </c>
      <c r="B15">
        <v>3919.25</v>
      </c>
      <c r="C15">
        <v>17.870999999999999</v>
      </c>
      <c r="D15">
        <v>22.690999999999999</v>
      </c>
      <c r="E15">
        <v>1.3360000000000001</v>
      </c>
      <c r="F15">
        <v>173.62299999999999</v>
      </c>
      <c r="G15">
        <v>2.7189999999999999</v>
      </c>
      <c r="H15">
        <v>8.2279999999999998</v>
      </c>
      <c r="I15">
        <v>3.2749999999999999</v>
      </c>
      <c r="J15">
        <v>46.994999999999997</v>
      </c>
      <c r="K15">
        <v>5.7140000000000004</v>
      </c>
      <c r="L15">
        <v>3.7999999999999999E-2</v>
      </c>
      <c r="M15">
        <v>45.5</v>
      </c>
      <c r="N15">
        <v>49.655000000000001</v>
      </c>
      <c r="O15">
        <v>2.1999999999999999E-2</v>
      </c>
      <c r="P15">
        <v>0.43099999999999999</v>
      </c>
      <c r="Q15">
        <v>0.69099999999999995</v>
      </c>
      <c r="R15">
        <v>0.14599999999999999</v>
      </c>
      <c r="S15">
        <v>0.36499999999999999</v>
      </c>
      <c r="T15" t="s">
        <v>23</v>
      </c>
      <c r="U15" t="s">
        <v>22</v>
      </c>
      <c r="V15" t="s">
        <v>30</v>
      </c>
      <c r="W15">
        <v>2</v>
      </c>
      <c r="Y15">
        <f t="shared" si="0"/>
        <v>0.54499999999999993</v>
      </c>
      <c r="Z15">
        <f t="shared" si="1"/>
        <v>-0.40899999999999997</v>
      </c>
    </row>
    <row r="16" spans="1:26" x14ac:dyDescent="0.2">
      <c r="A16" t="s">
        <v>21</v>
      </c>
      <c r="B16">
        <v>3919.375</v>
      </c>
      <c r="C16">
        <v>17.5</v>
      </c>
      <c r="D16">
        <v>22.763999999999999</v>
      </c>
      <c r="E16">
        <v>1.3560000000000001</v>
      </c>
      <c r="F16">
        <v>175.66300000000001</v>
      </c>
      <c r="G16">
        <v>2.71</v>
      </c>
      <c r="H16">
        <v>8.4600000000000009</v>
      </c>
      <c r="I16">
        <v>3.2240000000000002</v>
      </c>
      <c r="J16">
        <v>39.167000000000002</v>
      </c>
      <c r="K16">
        <v>6.1219999999999999</v>
      </c>
      <c r="L16">
        <v>4.9000000000000002E-2</v>
      </c>
      <c r="M16">
        <v>43.19</v>
      </c>
      <c r="N16">
        <v>41.298999999999999</v>
      </c>
      <c r="O16">
        <v>1.9E-2</v>
      </c>
      <c r="P16">
        <v>0.35099999999999998</v>
      </c>
      <c r="Q16">
        <v>0.77700000000000002</v>
      </c>
      <c r="R16">
        <v>9.1999999999999998E-2</v>
      </c>
      <c r="S16">
        <v>0.39900000000000002</v>
      </c>
      <c r="T16" t="s">
        <v>23</v>
      </c>
      <c r="U16" t="s">
        <v>22</v>
      </c>
      <c r="V16" t="s">
        <v>30</v>
      </c>
      <c r="W16">
        <v>2</v>
      </c>
      <c r="Y16">
        <f t="shared" si="0"/>
        <v>0.68500000000000005</v>
      </c>
      <c r="Z16">
        <f t="shared" si="1"/>
        <v>-0.33199999999999996</v>
      </c>
    </row>
    <row r="17" spans="1:26" x14ac:dyDescent="0.2">
      <c r="A17" t="s">
        <v>21</v>
      </c>
      <c r="B17">
        <v>3919.5</v>
      </c>
      <c r="C17">
        <v>17.440999999999999</v>
      </c>
      <c r="D17">
        <v>22.844999999999999</v>
      </c>
      <c r="E17">
        <v>1.2509999999999999</v>
      </c>
      <c r="F17">
        <v>177.81700000000001</v>
      </c>
      <c r="G17">
        <v>2.706</v>
      </c>
      <c r="H17">
        <v>8.6259999999999994</v>
      </c>
      <c r="I17">
        <v>3.198</v>
      </c>
      <c r="J17">
        <v>35.884999999999998</v>
      </c>
      <c r="K17">
        <v>6.1219999999999999</v>
      </c>
      <c r="L17">
        <v>4.9000000000000002E-2</v>
      </c>
      <c r="M17">
        <v>41.701000000000001</v>
      </c>
      <c r="N17">
        <v>37.784999999999997</v>
      </c>
      <c r="O17">
        <v>1.7999999999999999E-2</v>
      </c>
      <c r="P17">
        <v>0.307</v>
      </c>
      <c r="Q17">
        <v>0.87</v>
      </c>
      <c r="R17">
        <v>6.6000000000000003E-2</v>
      </c>
      <c r="S17">
        <v>0.42399999999999999</v>
      </c>
      <c r="T17" t="s">
        <v>23</v>
      </c>
      <c r="U17" t="s">
        <v>22</v>
      </c>
      <c r="V17" t="s">
        <v>30</v>
      </c>
      <c r="W17">
        <v>2</v>
      </c>
      <c r="Y17">
        <f t="shared" si="0"/>
        <v>0.80400000000000005</v>
      </c>
      <c r="Z17">
        <f t="shared" si="1"/>
        <v>-0.28899999999999998</v>
      </c>
    </row>
    <row r="18" spans="1:26" x14ac:dyDescent="0.2">
      <c r="A18" t="s">
        <v>21</v>
      </c>
      <c r="B18">
        <v>3919.625</v>
      </c>
      <c r="C18">
        <v>18.222999999999999</v>
      </c>
      <c r="D18">
        <v>22.914999999999999</v>
      </c>
      <c r="E18">
        <v>1.131</v>
      </c>
      <c r="F18">
        <v>179.62700000000001</v>
      </c>
      <c r="G18">
        <v>2.7040000000000002</v>
      </c>
      <c r="H18">
        <v>8.6829999999999998</v>
      </c>
      <c r="I18">
        <v>3.2</v>
      </c>
      <c r="J18">
        <v>35.262999999999998</v>
      </c>
      <c r="K18">
        <v>6.1219999999999999</v>
      </c>
      <c r="L18">
        <v>4.9000000000000002E-2</v>
      </c>
      <c r="M18">
        <v>39.915999999999997</v>
      </c>
      <c r="N18">
        <v>37.091000000000001</v>
      </c>
      <c r="O18">
        <v>2.5000000000000001E-2</v>
      </c>
      <c r="P18">
        <v>0.30499999999999999</v>
      </c>
      <c r="Q18">
        <v>0.95099999999999996</v>
      </c>
      <c r="R18">
        <v>5.2999999999999999E-2</v>
      </c>
      <c r="S18">
        <v>0.434</v>
      </c>
      <c r="T18" t="s">
        <v>23</v>
      </c>
      <c r="U18" t="s">
        <v>22</v>
      </c>
      <c r="V18" t="s">
        <v>30</v>
      </c>
      <c r="W18">
        <v>2</v>
      </c>
      <c r="Y18">
        <f t="shared" si="0"/>
        <v>0.89799999999999991</v>
      </c>
      <c r="Z18">
        <f t="shared" si="1"/>
        <v>-0.27999999999999997</v>
      </c>
    </row>
    <row r="19" spans="1:26" x14ac:dyDescent="0.2">
      <c r="A19" t="s">
        <v>21</v>
      </c>
      <c r="B19">
        <v>3919.75</v>
      </c>
      <c r="C19">
        <v>19.302</v>
      </c>
      <c r="D19">
        <v>22.949000000000002</v>
      </c>
      <c r="E19">
        <v>1.085</v>
      </c>
      <c r="F19">
        <v>180.55699999999999</v>
      </c>
      <c r="G19">
        <v>2.7029999999999998</v>
      </c>
      <c r="H19">
        <v>8.5850000000000009</v>
      </c>
      <c r="I19">
        <v>3.23</v>
      </c>
      <c r="J19">
        <v>35.56</v>
      </c>
      <c r="K19">
        <v>5.51</v>
      </c>
      <c r="L19">
        <v>3.3000000000000002E-2</v>
      </c>
      <c r="M19">
        <v>43.399000000000001</v>
      </c>
      <c r="N19">
        <v>37.366999999999997</v>
      </c>
      <c r="O19">
        <v>3.5999999999999997E-2</v>
      </c>
      <c r="P19">
        <v>0.34599999999999997</v>
      </c>
      <c r="Q19">
        <v>0.995</v>
      </c>
      <c r="R19">
        <v>4.7E-2</v>
      </c>
      <c r="S19">
        <v>0.42299999999999999</v>
      </c>
      <c r="T19" t="s">
        <v>23</v>
      </c>
      <c r="U19" t="s">
        <v>22</v>
      </c>
      <c r="V19" t="s">
        <v>30</v>
      </c>
      <c r="W19">
        <v>2</v>
      </c>
      <c r="Y19">
        <f t="shared" si="0"/>
        <v>0.94799999999999995</v>
      </c>
      <c r="Z19">
        <f t="shared" si="1"/>
        <v>-0.31</v>
      </c>
    </row>
    <row r="20" spans="1:26" x14ac:dyDescent="0.2">
      <c r="A20" t="s">
        <v>21</v>
      </c>
      <c r="B20">
        <v>3919.875</v>
      </c>
      <c r="C20">
        <v>19.855</v>
      </c>
      <c r="D20">
        <v>22.942</v>
      </c>
      <c r="E20">
        <v>1.056</v>
      </c>
      <c r="F20">
        <v>180.40199999999999</v>
      </c>
      <c r="G20">
        <v>2.7</v>
      </c>
      <c r="H20">
        <v>8.3260000000000005</v>
      </c>
      <c r="I20">
        <v>3.2839999999999998</v>
      </c>
      <c r="J20">
        <v>35.969000000000001</v>
      </c>
      <c r="K20">
        <v>5.1020000000000003</v>
      </c>
      <c r="L20">
        <v>2.1999999999999999E-2</v>
      </c>
      <c r="M20">
        <v>45.323</v>
      </c>
      <c r="N20">
        <v>37.765999999999998</v>
      </c>
      <c r="O20">
        <v>4.2000000000000003E-2</v>
      </c>
      <c r="P20">
        <v>0.42399999999999999</v>
      </c>
      <c r="Q20">
        <v>0.99399999999999999</v>
      </c>
      <c r="R20">
        <v>3.1E-2</v>
      </c>
      <c r="S20">
        <v>0.38800000000000001</v>
      </c>
      <c r="T20" t="s">
        <v>23</v>
      </c>
      <c r="U20" t="s">
        <v>22</v>
      </c>
      <c r="V20" t="s">
        <v>30</v>
      </c>
      <c r="W20">
        <v>2</v>
      </c>
      <c r="Y20">
        <f t="shared" si="0"/>
        <v>0.96299999999999997</v>
      </c>
      <c r="Z20">
        <f t="shared" si="1"/>
        <v>-0.38200000000000001</v>
      </c>
    </row>
    <row r="21" spans="1:26" x14ac:dyDescent="0.2">
      <c r="A21" t="s">
        <v>21</v>
      </c>
      <c r="B21">
        <v>3920</v>
      </c>
      <c r="C21">
        <v>19.667000000000002</v>
      </c>
      <c r="D21">
        <v>22.896999999999998</v>
      </c>
      <c r="E21">
        <v>1.012</v>
      </c>
      <c r="F21">
        <v>179.29499999999999</v>
      </c>
      <c r="G21">
        <v>2.6960000000000002</v>
      </c>
      <c r="H21">
        <v>8.0020000000000007</v>
      </c>
      <c r="I21">
        <v>3.355</v>
      </c>
      <c r="J21">
        <v>36.543999999999997</v>
      </c>
      <c r="K21">
        <v>5.1020000000000003</v>
      </c>
      <c r="L21">
        <v>2.1999999999999999E-2</v>
      </c>
      <c r="M21">
        <v>44.308999999999997</v>
      </c>
      <c r="N21">
        <v>38.356000000000002</v>
      </c>
      <c r="O21">
        <v>4.1000000000000002E-2</v>
      </c>
      <c r="P21">
        <v>0.53</v>
      </c>
      <c r="Q21">
        <v>0.95</v>
      </c>
      <c r="R21">
        <v>8.0000000000000002E-3</v>
      </c>
      <c r="S21">
        <v>0.34200000000000003</v>
      </c>
      <c r="T21" t="s">
        <v>23</v>
      </c>
      <c r="U21" t="s">
        <v>22</v>
      </c>
      <c r="V21" t="s">
        <v>30</v>
      </c>
      <c r="W21">
        <v>2</v>
      </c>
      <c r="Y21">
        <f t="shared" si="0"/>
        <v>0.94199999999999995</v>
      </c>
      <c r="Z21">
        <f t="shared" si="1"/>
        <v>-0.48900000000000005</v>
      </c>
    </row>
    <row r="22" spans="1:26" x14ac:dyDescent="0.2">
      <c r="A22" t="s">
        <v>21</v>
      </c>
      <c r="B22">
        <v>3920.125</v>
      </c>
      <c r="C22">
        <v>19.373999999999999</v>
      </c>
      <c r="D22">
        <v>22.83</v>
      </c>
      <c r="E22">
        <v>0.90500000000000003</v>
      </c>
      <c r="F22">
        <v>177.53100000000001</v>
      </c>
      <c r="G22">
        <v>2.6949999999999998</v>
      </c>
      <c r="H22">
        <v>7.7290000000000001</v>
      </c>
      <c r="I22">
        <v>3.431</v>
      </c>
      <c r="J22">
        <v>37.82</v>
      </c>
      <c r="K22">
        <v>5.1020000000000003</v>
      </c>
      <c r="L22">
        <v>2.1999999999999999E-2</v>
      </c>
      <c r="M22">
        <v>44.219000000000001</v>
      </c>
      <c r="N22">
        <v>39.707000000000001</v>
      </c>
      <c r="O22">
        <v>3.7999999999999999E-2</v>
      </c>
      <c r="P22">
        <v>0.64500000000000002</v>
      </c>
      <c r="Q22">
        <v>0.877</v>
      </c>
      <c r="R22">
        <v>1E-3</v>
      </c>
      <c r="S22">
        <v>0.30199999999999999</v>
      </c>
      <c r="T22" t="s">
        <v>23</v>
      </c>
      <c r="U22" t="s">
        <v>22</v>
      </c>
      <c r="V22" t="s">
        <v>30</v>
      </c>
      <c r="W22">
        <v>2</v>
      </c>
      <c r="X22" t="s">
        <v>32</v>
      </c>
      <c r="Y22">
        <f t="shared" si="0"/>
        <v>0.876</v>
      </c>
      <c r="Z22">
        <f t="shared" si="1"/>
        <v>-0.60699999999999998</v>
      </c>
    </row>
    <row r="23" spans="1:26" x14ac:dyDescent="0.2">
      <c r="A23" t="s">
        <v>21</v>
      </c>
      <c r="B23">
        <v>3920.25</v>
      </c>
      <c r="C23">
        <v>19.759</v>
      </c>
      <c r="D23">
        <v>22.759</v>
      </c>
      <c r="E23">
        <v>0.73599999999999999</v>
      </c>
      <c r="F23">
        <v>175.49199999999999</v>
      </c>
      <c r="G23">
        <v>2.6989999999999998</v>
      </c>
      <c r="H23">
        <v>7.5629999999999997</v>
      </c>
      <c r="I23">
        <v>3.5009999999999999</v>
      </c>
      <c r="J23">
        <v>40.808</v>
      </c>
      <c r="K23">
        <v>4.49</v>
      </c>
      <c r="L23">
        <v>1.4999999999999999E-2</v>
      </c>
      <c r="M23">
        <v>51.573</v>
      </c>
      <c r="N23">
        <v>42.896000000000001</v>
      </c>
      <c r="O23">
        <v>4.1000000000000002E-2</v>
      </c>
      <c r="P23">
        <v>0.753</v>
      </c>
      <c r="Q23">
        <v>0.78900000000000003</v>
      </c>
      <c r="R23">
        <v>2.1000000000000001E-2</v>
      </c>
      <c r="S23">
        <v>0.27600000000000002</v>
      </c>
      <c r="T23" t="s">
        <v>23</v>
      </c>
      <c r="U23" t="s">
        <v>22</v>
      </c>
      <c r="V23" t="s">
        <v>30</v>
      </c>
      <c r="W23">
        <v>2</v>
      </c>
      <c r="X23" t="s">
        <v>32</v>
      </c>
      <c r="Y23">
        <f t="shared" si="0"/>
        <v>0.76800000000000002</v>
      </c>
      <c r="Z23">
        <f t="shared" si="1"/>
        <v>-0.71199999999999997</v>
      </c>
    </row>
    <row r="24" spans="1:26" x14ac:dyDescent="0.2">
      <c r="A24" t="s">
        <v>21</v>
      </c>
      <c r="B24">
        <v>3920.375</v>
      </c>
      <c r="C24">
        <v>19.989000000000001</v>
      </c>
      <c r="D24">
        <v>22.7</v>
      </c>
      <c r="E24">
        <v>0.61799999999999999</v>
      </c>
      <c r="F24">
        <v>173.45699999999999</v>
      </c>
      <c r="G24">
        <v>2.7080000000000002</v>
      </c>
      <c r="H24">
        <v>7.508</v>
      </c>
      <c r="I24">
        <v>3.552</v>
      </c>
      <c r="J24">
        <v>45.921999999999997</v>
      </c>
      <c r="K24">
        <v>4.694</v>
      </c>
      <c r="L24">
        <v>1.7000000000000001E-2</v>
      </c>
      <c r="M24">
        <v>50.033000000000001</v>
      </c>
      <c r="N24">
        <v>48.375</v>
      </c>
      <c r="O24">
        <v>4.3999999999999997E-2</v>
      </c>
      <c r="P24">
        <v>0.83399999999999996</v>
      </c>
      <c r="Q24">
        <v>0.70099999999999996</v>
      </c>
      <c r="R24">
        <v>6.9000000000000006E-2</v>
      </c>
      <c r="S24">
        <v>0.26700000000000002</v>
      </c>
      <c r="T24" t="s">
        <v>23</v>
      </c>
      <c r="U24" t="s">
        <v>22</v>
      </c>
      <c r="V24" t="s">
        <v>30</v>
      </c>
      <c r="W24">
        <v>2</v>
      </c>
      <c r="X24" t="s">
        <v>32</v>
      </c>
      <c r="Y24">
        <f t="shared" si="0"/>
        <v>0.6319999999999999</v>
      </c>
      <c r="Z24">
        <f t="shared" si="1"/>
        <v>-0.78999999999999992</v>
      </c>
    </row>
    <row r="25" spans="1:26" x14ac:dyDescent="0.2">
      <c r="A25" t="s">
        <v>21</v>
      </c>
      <c r="B25">
        <v>3920.5</v>
      </c>
      <c r="C25">
        <v>19.399999999999999</v>
      </c>
      <c r="D25">
        <v>22.646999999999998</v>
      </c>
      <c r="E25">
        <v>0.59599999999999997</v>
      </c>
      <c r="F25">
        <v>171.47499999999999</v>
      </c>
      <c r="G25">
        <v>2.7189999999999999</v>
      </c>
      <c r="H25">
        <v>7.5419999999999998</v>
      </c>
      <c r="I25">
        <v>3.5790000000000002</v>
      </c>
      <c r="J25">
        <v>52.360999999999997</v>
      </c>
      <c r="K25">
        <v>5.1020000000000003</v>
      </c>
      <c r="L25">
        <v>2.1999999999999999E-2</v>
      </c>
      <c r="M25">
        <v>44.088999999999999</v>
      </c>
      <c r="N25">
        <v>55.284999999999997</v>
      </c>
      <c r="O25">
        <v>3.9E-2</v>
      </c>
      <c r="P25">
        <v>0.879</v>
      </c>
      <c r="Q25">
        <v>0.61399999999999999</v>
      </c>
      <c r="R25">
        <v>0.13200000000000001</v>
      </c>
      <c r="S25">
        <v>0.27</v>
      </c>
      <c r="T25" t="s">
        <v>23</v>
      </c>
      <c r="U25" t="s">
        <v>22</v>
      </c>
      <c r="V25" t="s">
        <v>30</v>
      </c>
      <c r="W25">
        <v>2</v>
      </c>
      <c r="X25" t="s">
        <v>32</v>
      </c>
      <c r="Y25">
        <f t="shared" si="0"/>
        <v>0.48199999999999998</v>
      </c>
      <c r="Z25">
        <f t="shared" si="1"/>
        <v>-0.84</v>
      </c>
    </row>
    <row r="26" spans="1:26" x14ac:dyDescent="0.2">
      <c r="A26" t="s">
        <v>21</v>
      </c>
      <c r="B26">
        <v>3920.625</v>
      </c>
      <c r="C26">
        <v>18.456</v>
      </c>
      <c r="D26">
        <v>22.59</v>
      </c>
      <c r="E26">
        <v>0.59899999999999998</v>
      </c>
      <c r="F26">
        <v>169.453</v>
      </c>
      <c r="G26">
        <v>2.7269999999999999</v>
      </c>
      <c r="H26">
        <v>7.6520000000000001</v>
      </c>
      <c r="I26">
        <v>3.5790000000000002</v>
      </c>
      <c r="J26">
        <v>58.234000000000002</v>
      </c>
      <c r="K26">
        <v>5.1020000000000003</v>
      </c>
      <c r="L26">
        <v>2.1999999999999999E-2</v>
      </c>
      <c r="M26">
        <v>41.215000000000003</v>
      </c>
      <c r="N26">
        <v>61.597999999999999</v>
      </c>
      <c r="O26">
        <v>2.9000000000000001E-2</v>
      </c>
      <c r="P26">
        <v>0.88400000000000001</v>
      </c>
      <c r="Q26">
        <v>0.52700000000000002</v>
      </c>
      <c r="R26">
        <v>0.18</v>
      </c>
      <c r="S26">
        <v>0.28499999999999998</v>
      </c>
      <c r="T26" t="s">
        <v>23</v>
      </c>
      <c r="U26" t="s">
        <v>22</v>
      </c>
      <c r="V26" t="s">
        <v>30</v>
      </c>
      <c r="W26">
        <v>2</v>
      </c>
      <c r="X26" t="s">
        <v>32</v>
      </c>
      <c r="Y26">
        <f t="shared" si="0"/>
        <v>0.34700000000000003</v>
      </c>
      <c r="Z26">
        <f t="shared" si="1"/>
        <v>-0.85499999999999998</v>
      </c>
    </row>
    <row r="27" spans="1:26" x14ac:dyDescent="0.2">
      <c r="A27" t="s">
        <v>21</v>
      </c>
      <c r="B27">
        <v>3920.75</v>
      </c>
      <c r="C27">
        <v>17.696999999999999</v>
      </c>
      <c r="D27">
        <v>22.521999999999998</v>
      </c>
      <c r="E27">
        <v>0.55200000000000005</v>
      </c>
      <c r="F27">
        <v>167.33099999999999</v>
      </c>
      <c r="G27">
        <v>2.73</v>
      </c>
      <c r="H27">
        <v>7.84</v>
      </c>
      <c r="I27">
        <v>3.556</v>
      </c>
      <c r="J27">
        <v>62.13</v>
      </c>
      <c r="K27">
        <v>5.1020000000000003</v>
      </c>
      <c r="L27">
        <v>2.1999999999999999E-2</v>
      </c>
      <c r="M27">
        <v>38.637999999999998</v>
      </c>
      <c r="N27">
        <v>65.850999999999999</v>
      </c>
      <c r="O27">
        <v>2.1000000000000001E-2</v>
      </c>
      <c r="P27">
        <v>0.85299999999999998</v>
      </c>
      <c r="Q27">
        <v>0.435</v>
      </c>
      <c r="R27">
        <v>0.2</v>
      </c>
      <c r="S27">
        <v>0.311</v>
      </c>
      <c r="T27" t="s">
        <v>23</v>
      </c>
      <c r="U27" t="s">
        <v>22</v>
      </c>
      <c r="V27" t="s">
        <v>30</v>
      </c>
      <c r="W27">
        <v>2</v>
      </c>
      <c r="X27" t="s">
        <v>32</v>
      </c>
      <c r="Y27">
        <f t="shared" si="0"/>
        <v>0.23499999999999999</v>
      </c>
      <c r="Z27">
        <f t="shared" si="1"/>
        <v>-0.83199999999999996</v>
      </c>
    </row>
    <row r="28" spans="1:26" x14ac:dyDescent="0.2">
      <c r="A28" t="s">
        <v>21</v>
      </c>
      <c r="B28">
        <v>3920.875</v>
      </c>
      <c r="C28">
        <v>17.222999999999999</v>
      </c>
      <c r="D28">
        <v>22.45</v>
      </c>
      <c r="E28">
        <v>0.48099999999999998</v>
      </c>
      <c r="F28">
        <v>165.22499999999999</v>
      </c>
      <c r="G28">
        <v>2.73</v>
      </c>
      <c r="H28">
        <v>8.0719999999999992</v>
      </c>
      <c r="I28">
        <v>3.5129999999999999</v>
      </c>
      <c r="J28">
        <v>65.177000000000007</v>
      </c>
      <c r="K28">
        <v>5.1020000000000003</v>
      </c>
      <c r="L28">
        <v>2.1999999999999999E-2</v>
      </c>
      <c r="M28">
        <v>36.484999999999999</v>
      </c>
      <c r="N28">
        <v>69.305999999999997</v>
      </c>
      <c r="O28">
        <v>1.6E-2</v>
      </c>
      <c r="P28">
        <v>0.79100000000000004</v>
      </c>
      <c r="Q28">
        <v>0.34300000000000003</v>
      </c>
      <c r="R28">
        <v>0.20200000000000001</v>
      </c>
      <c r="S28">
        <v>0.34300000000000003</v>
      </c>
      <c r="T28" t="s">
        <v>23</v>
      </c>
      <c r="U28" t="s">
        <v>22</v>
      </c>
      <c r="V28" t="s">
        <v>30</v>
      </c>
      <c r="W28">
        <v>2</v>
      </c>
      <c r="X28" t="s">
        <v>32</v>
      </c>
      <c r="Y28">
        <f t="shared" si="0"/>
        <v>0.14100000000000001</v>
      </c>
      <c r="Z28">
        <f t="shared" si="1"/>
        <v>-0.77500000000000002</v>
      </c>
    </row>
    <row r="29" spans="1:26" x14ac:dyDescent="0.2">
      <c r="A29" t="s">
        <v>21</v>
      </c>
      <c r="B29">
        <v>3921</v>
      </c>
      <c r="C29">
        <v>17.067</v>
      </c>
      <c r="D29">
        <v>22.385999999999999</v>
      </c>
      <c r="E29">
        <v>0.45800000000000002</v>
      </c>
      <c r="F29">
        <v>163.34800000000001</v>
      </c>
      <c r="G29">
        <v>2.7309999999999999</v>
      </c>
      <c r="H29">
        <v>8.2690000000000001</v>
      </c>
      <c r="I29">
        <v>3.4590000000000001</v>
      </c>
      <c r="J29">
        <v>69.644000000000005</v>
      </c>
      <c r="K29">
        <v>5.7140000000000004</v>
      </c>
      <c r="L29">
        <v>3.7999999999999999E-2</v>
      </c>
      <c r="M29">
        <v>30.5</v>
      </c>
      <c r="N29">
        <v>74.391999999999996</v>
      </c>
      <c r="O29">
        <v>1.4E-2</v>
      </c>
      <c r="P29">
        <v>0.71</v>
      </c>
      <c r="Q29">
        <v>0.26</v>
      </c>
      <c r="R29">
        <v>0.20699999999999999</v>
      </c>
      <c r="S29">
        <v>0.372</v>
      </c>
      <c r="T29" t="s">
        <v>23</v>
      </c>
      <c r="U29" t="s">
        <v>22</v>
      </c>
      <c r="V29" t="s">
        <v>30</v>
      </c>
      <c r="W29">
        <v>2</v>
      </c>
      <c r="X29" t="s">
        <v>32</v>
      </c>
      <c r="Y29">
        <f t="shared" si="0"/>
        <v>5.3000000000000019E-2</v>
      </c>
      <c r="Z29">
        <f t="shared" si="1"/>
        <v>-0.69599999999999995</v>
      </c>
    </row>
    <row r="30" spans="1:26" x14ac:dyDescent="0.2">
      <c r="A30" t="s">
        <v>21</v>
      </c>
      <c r="B30">
        <v>3921.125</v>
      </c>
      <c r="C30">
        <v>17.141999999999999</v>
      </c>
      <c r="D30">
        <v>22.341000000000001</v>
      </c>
      <c r="E30">
        <v>0.49</v>
      </c>
      <c r="F30">
        <v>161.864</v>
      </c>
      <c r="G30">
        <v>2.7349999999999999</v>
      </c>
      <c r="H30">
        <v>8.3610000000000007</v>
      </c>
      <c r="I30">
        <v>3.4049999999999998</v>
      </c>
      <c r="J30">
        <v>77.554000000000002</v>
      </c>
      <c r="K30">
        <v>5.51</v>
      </c>
      <c r="L30">
        <v>3.3000000000000002E-2</v>
      </c>
      <c r="M30">
        <v>29.483000000000001</v>
      </c>
      <c r="N30">
        <v>83.230999999999995</v>
      </c>
      <c r="O30">
        <v>1.4999999999999999E-2</v>
      </c>
      <c r="P30">
        <v>0.627</v>
      </c>
      <c r="Q30">
        <v>0.19400000000000001</v>
      </c>
      <c r="R30">
        <v>0.22900000000000001</v>
      </c>
      <c r="S30">
        <v>0.38700000000000001</v>
      </c>
      <c r="T30" t="s">
        <v>23</v>
      </c>
      <c r="U30" t="s">
        <v>22</v>
      </c>
      <c r="V30" t="s">
        <v>30</v>
      </c>
      <c r="W30">
        <v>2</v>
      </c>
      <c r="X30" t="s">
        <v>32</v>
      </c>
      <c r="Y30">
        <f t="shared" si="0"/>
        <v>-3.5000000000000003E-2</v>
      </c>
      <c r="Z30">
        <f t="shared" si="1"/>
        <v>-0.61199999999999999</v>
      </c>
    </row>
    <row r="31" spans="1:26" x14ac:dyDescent="0.2">
      <c r="A31" t="s">
        <v>21</v>
      </c>
      <c r="B31">
        <v>3921.25</v>
      </c>
      <c r="C31">
        <v>16.981000000000002</v>
      </c>
      <c r="D31">
        <v>22.317</v>
      </c>
      <c r="E31">
        <v>0.55300000000000005</v>
      </c>
      <c r="F31">
        <v>160.82300000000001</v>
      </c>
      <c r="G31">
        <v>2.742</v>
      </c>
      <c r="H31">
        <v>8.3209999999999997</v>
      </c>
      <c r="I31">
        <v>3.3559999999999999</v>
      </c>
      <c r="J31">
        <v>90.778000000000006</v>
      </c>
      <c r="K31">
        <v>5.1020000000000003</v>
      </c>
      <c r="L31">
        <v>2.1999999999999999E-2</v>
      </c>
      <c r="M31">
        <v>30.902000000000001</v>
      </c>
      <c r="N31">
        <v>97.781000000000006</v>
      </c>
      <c r="O31">
        <v>1.2999999999999999E-2</v>
      </c>
      <c r="P31">
        <v>0.55200000000000005</v>
      </c>
      <c r="Q31">
        <v>0.14599999999999999</v>
      </c>
      <c r="R31">
        <v>0.26700000000000002</v>
      </c>
      <c r="S31">
        <v>0.38400000000000001</v>
      </c>
      <c r="T31" t="s">
        <v>23</v>
      </c>
      <c r="U31" t="s">
        <v>22</v>
      </c>
      <c r="V31" t="s">
        <v>30</v>
      </c>
      <c r="W31">
        <v>2</v>
      </c>
      <c r="X31" t="s">
        <v>32</v>
      </c>
      <c r="Y31">
        <f t="shared" si="0"/>
        <v>-0.12100000000000002</v>
      </c>
      <c r="Z31">
        <f t="shared" si="1"/>
        <v>-0.53900000000000003</v>
      </c>
    </row>
    <row r="32" spans="1:26" x14ac:dyDescent="0.2">
      <c r="A32" t="s">
        <v>21</v>
      </c>
      <c r="B32">
        <v>3921.375</v>
      </c>
      <c r="C32">
        <v>16.376000000000001</v>
      </c>
      <c r="D32">
        <v>22.302</v>
      </c>
      <c r="E32">
        <v>0.65900000000000003</v>
      </c>
      <c r="F32">
        <v>160.072</v>
      </c>
      <c r="G32">
        <v>2.7509999999999999</v>
      </c>
      <c r="H32">
        <v>8.1519999999999992</v>
      </c>
      <c r="I32">
        <v>3.3159999999999998</v>
      </c>
      <c r="J32">
        <v>109.267</v>
      </c>
      <c r="K32">
        <v>5.1020000000000003</v>
      </c>
      <c r="L32">
        <v>2.1999999999999999E-2</v>
      </c>
      <c r="M32">
        <v>30.550999999999998</v>
      </c>
      <c r="N32">
        <v>118.001</v>
      </c>
      <c r="O32">
        <v>8.0000000000000002E-3</v>
      </c>
      <c r="P32">
        <v>0.48899999999999999</v>
      </c>
      <c r="Q32">
        <v>0.112</v>
      </c>
      <c r="R32">
        <v>0.318</v>
      </c>
      <c r="S32">
        <v>0.36099999999999999</v>
      </c>
      <c r="T32" t="s">
        <v>23</v>
      </c>
      <c r="U32" t="s">
        <v>22</v>
      </c>
      <c r="V32" t="s">
        <v>30</v>
      </c>
      <c r="W32">
        <v>2</v>
      </c>
      <c r="X32" t="s">
        <v>32</v>
      </c>
      <c r="Y32">
        <f t="shared" si="0"/>
        <v>-0.20600000000000002</v>
      </c>
      <c r="Z32">
        <f t="shared" si="1"/>
        <v>-0.48099999999999998</v>
      </c>
    </row>
    <row r="33" spans="1:26" x14ac:dyDescent="0.2">
      <c r="A33" t="s">
        <v>21</v>
      </c>
      <c r="B33">
        <v>3921.5</v>
      </c>
      <c r="C33">
        <v>15.87</v>
      </c>
      <c r="D33">
        <v>22.285</v>
      </c>
      <c r="E33">
        <v>0.79800000000000004</v>
      </c>
      <c r="F33">
        <v>159.417</v>
      </c>
      <c r="G33">
        <v>2.7559999999999998</v>
      </c>
      <c r="H33">
        <v>7.891</v>
      </c>
      <c r="I33">
        <v>3.286</v>
      </c>
      <c r="J33">
        <v>130.49799999999999</v>
      </c>
      <c r="K33">
        <v>4.49</v>
      </c>
      <c r="L33">
        <v>1.4999999999999999E-2</v>
      </c>
      <c r="M33">
        <v>34.472999999999999</v>
      </c>
      <c r="N33">
        <v>141.21600000000001</v>
      </c>
      <c r="O33">
        <v>2E-3</v>
      </c>
      <c r="P33">
        <v>0.442</v>
      </c>
      <c r="Q33">
        <v>8.3000000000000004E-2</v>
      </c>
      <c r="R33">
        <v>0.34899999999999998</v>
      </c>
      <c r="S33">
        <v>0.32500000000000001</v>
      </c>
      <c r="T33" t="s">
        <v>23</v>
      </c>
      <c r="U33" t="s">
        <v>22</v>
      </c>
      <c r="V33" t="s">
        <v>30</v>
      </c>
      <c r="W33">
        <v>2</v>
      </c>
      <c r="X33" t="s">
        <v>32</v>
      </c>
      <c r="Y33">
        <f t="shared" si="0"/>
        <v>-0.26599999999999996</v>
      </c>
      <c r="Z33">
        <f t="shared" si="1"/>
        <v>-0.44</v>
      </c>
    </row>
    <row r="34" spans="1:26" x14ac:dyDescent="0.2">
      <c r="A34" t="s">
        <v>21</v>
      </c>
      <c r="B34">
        <v>3921.625</v>
      </c>
      <c r="C34">
        <v>16.577000000000002</v>
      </c>
      <c r="D34">
        <v>22.263000000000002</v>
      </c>
      <c r="E34">
        <v>0.89300000000000002</v>
      </c>
      <c r="F34">
        <v>158.77500000000001</v>
      </c>
      <c r="G34">
        <v>2.7559999999999998</v>
      </c>
      <c r="H34">
        <v>7.577</v>
      </c>
      <c r="I34">
        <v>3.2650000000000001</v>
      </c>
      <c r="J34">
        <v>151.25399999999999</v>
      </c>
      <c r="K34">
        <v>4.0819999999999999</v>
      </c>
      <c r="L34">
        <v>0.01</v>
      </c>
      <c r="M34">
        <v>36.536999999999999</v>
      </c>
      <c r="N34">
        <v>163.95400000000001</v>
      </c>
      <c r="O34">
        <v>8.0000000000000002E-3</v>
      </c>
      <c r="P34">
        <v>0.40799999999999997</v>
      </c>
      <c r="Q34">
        <v>5.5E-2</v>
      </c>
      <c r="R34">
        <v>0.35299999999999998</v>
      </c>
      <c r="S34">
        <v>0.28100000000000003</v>
      </c>
      <c r="T34" t="s">
        <v>23</v>
      </c>
      <c r="U34" t="s">
        <v>22</v>
      </c>
      <c r="V34" t="s">
        <v>30</v>
      </c>
      <c r="W34">
        <v>2</v>
      </c>
      <c r="X34" t="s">
        <v>32</v>
      </c>
      <c r="Y34">
        <f t="shared" si="0"/>
        <v>-0.29799999999999999</v>
      </c>
      <c r="Z34">
        <f t="shared" si="1"/>
        <v>-0.39999999999999997</v>
      </c>
    </row>
    <row r="35" spans="1:26" x14ac:dyDescent="0.2">
      <c r="A35" t="s">
        <v>21</v>
      </c>
      <c r="B35">
        <v>3921.75</v>
      </c>
      <c r="C35">
        <v>19.065000000000001</v>
      </c>
      <c r="D35">
        <v>22.241</v>
      </c>
      <c r="E35">
        <v>0.91800000000000004</v>
      </c>
      <c r="F35">
        <v>158.18700000000001</v>
      </c>
      <c r="G35">
        <v>2.7530000000000001</v>
      </c>
      <c r="H35">
        <v>7.2389999999999999</v>
      </c>
      <c r="I35">
        <v>3.2570000000000001</v>
      </c>
      <c r="J35">
        <v>169.309</v>
      </c>
      <c r="K35">
        <v>4.0819999999999999</v>
      </c>
      <c r="L35">
        <v>0.01</v>
      </c>
      <c r="M35">
        <v>35.738999999999997</v>
      </c>
      <c r="N35">
        <v>183.797</v>
      </c>
      <c r="O35">
        <v>3.2000000000000001E-2</v>
      </c>
      <c r="P35">
        <v>0.39400000000000002</v>
      </c>
      <c r="Q35">
        <v>2.9000000000000001E-2</v>
      </c>
      <c r="R35">
        <v>0.33700000000000002</v>
      </c>
      <c r="S35">
        <v>0.23200000000000001</v>
      </c>
      <c r="T35" t="s">
        <v>23</v>
      </c>
      <c r="U35" t="s">
        <v>22</v>
      </c>
      <c r="V35" t="s">
        <v>30</v>
      </c>
      <c r="W35">
        <v>2</v>
      </c>
      <c r="X35" t="s">
        <v>32</v>
      </c>
      <c r="Y35">
        <f t="shared" si="0"/>
        <v>-0.308</v>
      </c>
      <c r="Z35">
        <f t="shared" si="1"/>
        <v>-0.36199999999999999</v>
      </c>
    </row>
    <row r="36" spans="1:26" x14ac:dyDescent="0.2">
      <c r="A36" t="s">
        <v>21</v>
      </c>
      <c r="B36">
        <v>3921.875</v>
      </c>
      <c r="C36">
        <v>21.763000000000002</v>
      </c>
      <c r="D36">
        <v>22.225000000000001</v>
      </c>
      <c r="E36">
        <v>0.91300000000000003</v>
      </c>
      <c r="F36">
        <v>157.76</v>
      </c>
      <c r="G36">
        <v>2.754</v>
      </c>
      <c r="H36">
        <v>6.9169999999999998</v>
      </c>
      <c r="I36">
        <v>3.2669999999999999</v>
      </c>
      <c r="J36">
        <v>186.96899999999999</v>
      </c>
      <c r="K36">
        <v>3.47</v>
      </c>
      <c r="L36">
        <v>0.01</v>
      </c>
      <c r="M36">
        <v>42.061</v>
      </c>
      <c r="N36">
        <v>203.34299999999999</v>
      </c>
      <c r="O36">
        <v>5.8999999999999997E-2</v>
      </c>
      <c r="P36">
        <v>0.40600000000000003</v>
      </c>
      <c r="Q36">
        <v>0.01</v>
      </c>
      <c r="R36">
        <v>0.34</v>
      </c>
      <c r="S36">
        <v>0.186</v>
      </c>
      <c r="T36" t="s">
        <v>23</v>
      </c>
      <c r="U36" t="s">
        <v>22</v>
      </c>
      <c r="V36" t="s">
        <v>30</v>
      </c>
      <c r="W36">
        <v>2</v>
      </c>
      <c r="X36" t="s">
        <v>32</v>
      </c>
      <c r="Y36">
        <f t="shared" si="0"/>
        <v>-0.33</v>
      </c>
      <c r="Z36">
        <f t="shared" si="1"/>
        <v>-0.34700000000000003</v>
      </c>
    </row>
    <row r="37" spans="1:26" x14ac:dyDescent="0.2">
      <c r="A37" t="s">
        <v>21</v>
      </c>
      <c r="B37">
        <v>3922</v>
      </c>
      <c r="C37">
        <v>23.033000000000001</v>
      </c>
      <c r="D37">
        <v>22.219000000000001</v>
      </c>
      <c r="E37">
        <v>0.93200000000000005</v>
      </c>
      <c r="F37">
        <v>157.58000000000001</v>
      </c>
      <c r="G37">
        <v>2.762</v>
      </c>
      <c r="H37">
        <v>6.6470000000000002</v>
      </c>
      <c r="I37">
        <v>3.2930000000000001</v>
      </c>
      <c r="J37">
        <v>212.345</v>
      </c>
      <c r="K37">
        <v>3.0609999999999999</v>
      </c>
      <c r="L37">
        <v>0.01</v>
      </c>
      <c r="M37">
        <v>45.134</v>
      </c>
      <c r="N37">
        <v>231.58699999999999</v>
      </c>
      <c r="O37">
        <v>7.3999999999999996E-2</v>
      </c>
      <c r="P37">
        <v>0.443</v>
      </c>
      <c r="Q37">
        <v>1E-3</v>
      </c>
      <c r="R37">
        <v>0.38200000000000001</v>
      </c>
      <c r="S37">
        <v>0.14599999999999999</v>
      </c>
      <c r="T37" t="s">
        <v>23</v>
      </c>
      <c r="U37" t="s">
        <v>22</v>
      </c>
      <c r="V37" t="s">
        <v>30</v>
      </c>
      <c r="W37">
        <v>2</v>
      </c>
      <c r="X37" t="s">
        <v>32</v>
      </c>
      <c r="Y37">
        <f t="shared" si="0"/>
        <v>-0.38100000000000001</v>
      </c>
      <c r="Z37">
        <f t="shared" si="1"/>
        <v>-0.36899999999999999</v>
      </c>
    </row>
    <row r="38" spans="1:26" x14ac:dyDescent="0.2">
      <c r="A38" t="s">
        <v>21</v>
      </c>
      <c r="B38">
        <v>3922.125</v>
      </c>
      <c r="C38">
        <v>23.193999999999999</v>
      </c>
      <c r="D38">
        <v>22.222999999999999</v>
      </c>
      <c r="E38">
        <v>1.018</v>
      </c>
      <c r="F38">
        <v>157.69499999999999</v>
      </c>
      <c r="G38">
        <v>2.7759999999999998</v>
      </c>
      <c r="H38">
        <v>6.4539999999999997</v>
      </c>
      <c r="I38">
        <v>3.3260000000000001</v>
      </c>
      <c r="J38">
        <v>254.221</v>
      </c>
      <c r="K38">
        <v>3.0609999999999999</v>
      </c>
      <c r="L38">
        <v>0.01</v>
      </c>
      <c r="M38">
        <v>43.476999999999997</v>
      </c>
      <c r="N38">
        <v>278.14999999999998</v>
      </c>
      <c r="O38">
        <v>7.6999999999999999E-2</v>
      </c>
      <c r="P38">
        <v>0.49199999999999999</v>
      </c>
      <c r="Q38">
        <v>4.0000000000000001E-3</v>
      </c>
      <c r="R38">
        <v>0.45900000000000002</v>
      </c>
      <c r="S38">
        <v>0.11700000000000001</v>
      </c>
      <c r="T38" t="s">
        <v>23</v>
      </c>
      <c r="U38" t="s">
        <v>22</v>
      </c>
      <c r="V38" t="s">
        <v>30</v>
      </c>
      <c r="W38">
        <v>2</v>
      </c>
      <c r="X38" t="s">
        <v>32</v>
      </c>
      <c r="Y38">
        <f t="shared" si="0"/>
        <v>-0.45500000000000002</v>
      </c>
      <c r="Z38">
        <f t="shared" si="1"/>
        <v>-0.41499999999999998</v>
      </c>
    </row>
    <row r="39" spans="1:26" x14ac:dyDescent="0.2">
      <c r="A39" t="s">
        <v>21</v>
      </c>
      <c r="B39">
        <v>3922.25</v>
      </c>
      <c r="C39">
        <v>24.161999999999999</v>
      </c>
      <c r="D39">
        <v>22.236000000000001</v>
      </c>
      <c r="E39">
        <v>1.2529999999999999</v>
      </c>
      <c r="F39">
        <v>158.18700000000001</v>
      </c>
      <c r="G39">
        <v>2.7919999999999998</v>
      </c>
      <c r="H39">
        <v>6.3609999999999998</v>
      </c>
      <c r="I39">
        <v>3.3580000000000001</v>
      </c>
      <c r="J39">
        <v>319.18700000000001</v>
      </c>
      <c r="K39">
        <v>3.0609999999999999</v>
      </c>
      <c r="L39">
        <v>0.01</v>
      </c>
      <c r="M39">
        <v>42.158000000000001</v>
      </c>
      <c r="N39">
        <v>350.05799999999999</v>
      </c>
      <c r="O39">
        <v>8.5999999999999993E-2</v>
      </c>
      <c r="P39">
        <v>0.54100000000000004</v>
      </c>
      <c r="Q39">
        <v>2.4E-2</v>
      </c>
      <c r="R39">
        <v>0.55000000000000004</v>
      </c>
      <c r="S39">
        <v>0.10199999999999999</v>
      </c>
      <c r="T39" t="s">
        <v>23</v>
      </c>
      <c r="U39" t="s">
        <v>22</v>
      </c>
      <c r="V39" t="s">
        <v>30</v>
      </c>
      <c r="W39">
        <v>2</v>
      </c>
      <c r="X39" t="s">
        <v>32</v>
      </c>
      <c r="Y39">
        <f t="shared" si="0"/>
        <v>-0.52600000000000002</v>
      </c>
      <c r="Z39">
        <f t="shared" si="1"/>
        <v>-0.45500000000000007</v>
      </c>
    </row>
    <row r="40" spans="1:26" x14ac:dyDescent="0.2">
      <c r="A40" t="s">
        <v>21</v>
      </c>
      <c r="B40">
        <v>3922.375</v>
      </c>
      <c r="C40">
        <v>27.414000000000001</v>
      </c>
      <c r="D40">
        <v>22.259</v>
      </c>
      <c r="E40">
        <v>1.64</v>
      </c>
      <c r="F40">
        <v>159.14500000000001</v>
      </c>
      <c r="G40">
        <v>2.8050000000000002</v>
      </c>
      <c r="H40">
        <v>6.415</v>
      </c>
      <c r="I40">
        <v>3.3780000000000001</v>
      </c>
      <c r="J40">
        <v>397.84399999999999</v>
      </c>
      <c r="K40">
        <v>3.0609999999999999</v>
      </c>
      <c r="L40">
        <v>0.01</v>
      </c>
      <c r="M40">
        <v>40.911999999999999</v>
      </c>
      <c r="N40">
        <v>436.57600000000002</v>
      </c>
      <c r="O40">
        <v>0.11700000000000001</v>
      </c>
      <c r="P40">
        <v>0.57399999999999995</v>
      </c>
      <c r="Q40">
        <v>6.3E-2</v>
      </c>
      <c r="R40">
        <v>0.627</v>
      </c>
      <c r="S40">
        <v>0.107</v>
      </c>
      <c r="T40" t="s">
        <v>23</v>
      </c>
      <c r="U40" t="s">
        <v>22</v>
      </c>
      <c r="V40" t="s">
        <v>30</v>
      </c>
      <c r="W40">
        <v>2</v>
      </c>
      <c r="X40" t="s">
        <v>32</v>
      </c>
      <c r="Y40">
        <f t="shared" si="0"/>
        <v>-0.56400000000000006</v>
      </c>
      <c r="Z40">
        <f t="shared" si="1"/>
        <v>-0.45699999999999996</v>
      </c>
    </row>
    <row r="41" spans="1:26" x14ac:dyDescent="0.2">
      <c r="A41" t="s">
        <v>21</v>
      </c>
      <c r="B41">
        <v>3922.5</v>
      </c>
      <c r="C41">
        <v>34.207999999999998</v>
      </c>
      <c r="D41">
        <v>22.298999999999999</v>
      </c>
      <c r="E41">
        <v>2.093</v>
      </c>
      <c r="F41">
        <v>160.69800000000001</v>
      </c>
      <c r="G41">
        <v>2.8140000000000001</v>
      </c>
      <c r="H41">
        <v>6.6580000000000004</v>
      </c>
      <c r="I41">
        <v>3.3820000000000001</v>
      </c>
      <c r="J41">
        <v>465.435</v>
      </c>
      <c r="K41">
        <v>3.0609999999999999</v>
      </c>
      <c r="L41">
        <v>0.01</v>
      </c>
      <c r="M41">
        <v>39.691000000000003</v>
      </c>
      <c r="N41">
        <v>510.197</v>
      </c>
      <c r="O41">
        <v>0.183</v>
      </c>
      <c r="P41">
        <v>0.58299999999999996</v>
      </c>
      <c r="Q41">
        <v>0.128</v>
      </c>
      <c r="R41">
        <v>0.68200000000000005</v>
      </c>
      <c r="S41">
        <v>0.13900000000000001</v>
      </c>
      <c r="T41" t="s">
        <v>23</v>
      </c>
      <c r="U41" t="s">
        <v>22</v>
      </c>
      <c r="V41" t="s">
        <v>30</v>
      </c>
      <c r="W41">
        <v>2</v>
      </c>
      <c r="X41" t="s">
        <v>32</v>
      </c>
      <c r="Y41">
        <f t="shared" si="0"/>
        <v>-0.55400000000000005</v>
      </c>
      <c r="Z41">
        <f t="shared" si="1"/>
        <v>-0.39999999999999997</v>
      </c>
    </row>
    <row r="42" spans="1:26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t="s">
        <v>14</v>
      </c>
      <c r="P42" t="s">
        <v>15</v>
      </c>
      <c r="Q42" t="s">
        <v>16</v>
      </c>
      <c r="R42" t="s">
        <v>17</v>
      </c>
      <c r="S42" t="s">
        <v>18</v>
      </c>
      <c r="T42" t="s">
        <v>19</v>
      </c>
      <c r="U42" t="s">
        <v>20</v>
      </c>
      <c r="Y42" t="e">
        <f t="shared" si="0"/>
        <v>#VALUE!</v>
      </c>
      <c r="Z42" t="e">
        <f t="shared" si="1"/>
        <v>#VALUE!</v>
      </c>
    </row>
    <row r="43" spans="1:26" x14ac:dyDescent="0.2">
      <c r="A43" t="s">
        <v>21</v>
      </c>
      <c r="B43">
        <v>3922.625</v>
      </c>
      <c r="C43">
        <v>46.290999999999997</v>
      </c>
      <c r="D43">
        <v>22.364000000000001</v>
      </c>
      <c r="E43">
        <v>2.5569999999999999</v>
      </c>
      <c r="F43">
        <v>162.99</v>
      </c>
      <c r="G43">
        <v>2.8149999999999999</v>
      </c>
      <c r="H43">
        <v>7.1040000000000001</v>
      </c>
      <c r="I43">
        <v>3.3730000000000002</v>
      </c>
      <c r="J43">
        <v>494.73099999999999</v>
      </c>
      <c r="K43">
        <v>1.232</v>
      </c>
      <c r="L43">
        <v>5.0000000000000001E-3</v>
      </c>
      <c r="M43">
        <v>75.653000000000006</v>
      </c>
      <c r="N43">
        <v>541.20299999999997</v>
      </c>
      <c r="O43">
        <v>0.30099999999999999</v>
      </c>
      <c r="P43">
        <v>0.57099999999999995</v>
      </c>
      <c r="Q43">
        <v>0.224</v>
      </c>
      <c r="R43">
        <v>0.69299999999999995</v>
      </c>
      <c r="S43">
        <v>0.2</v>
      </c>
      <c r="U43" t="s">
        <v>33</v>
      </c>
      <c r="V43" t="s">
        <v>35</v>
      </c>
      <c r="W43">
        <v>3</v>
      </c>
      <c r="X43" t="s">
        <v>32</v>
      </c>
      <c r="Y43">
        <f t="shared" si="0"/>
        <v>-0.46899999999999997</v>
      </c>
      <c r="Z43">
        <f t="shared" si="1"/>
        <v>-0.26999999999999996</v>
      </c>
    </row>
    <row r="44" spans="1:26" x14ac:dyDescent="0.2">
      <c r="A44" t="s">
        <v>21</v>
      </c>
      <c r="B44">
        <v>3922.75</v>
      </c>
      <c r="C44">
        <v>63.570999999999998</v>
      </c>
      <c r="D44">
        <v>22.463999999999999</v>
      </c>
      <c r="E44">
        <v>3.0049999999999999</v>
      </c>
      <c r="F44">
        <v>166.06200000000001</v>
      </c>
      <c r="G44">
        <v>2.81</v>
      </c>
      <c r="H44">
        <v>7.7279999999999998</v>
      </c>
      <c r="I44">
        <v>3.359</v>
      </c>
      <c r="J44">
        <v>470.327</v>
      </c>
      <c r="K44">
        <v>0.01</v>
      </c>
      <c r="L44">
        <v>1E-3</v>
      </c>
      <c r="M44">
        <v>100</v>
      </c>
      <c r="N44">
        <v>513.39200000000005</v>
      </c>
      <c r="O44">
        <v>0.47399999999999998</v>
      </c>
      <c r="P44">
        <v>0.55000000000000004</v>
      </c>
      <c r="Q44">
        <v>0.35399999999999998</v>
      </c>
      <c r="R44">
        <v>0.66800000000000004</v>
      </c>
      <c r="S44">
        <v>0.28799999999999998</v>
      </c>
      <c r="U44" t="s">
        <v>33</v>
      </c>
      <c r="V44" t="s">
        <v>35</v>
      </c>
      <c r="W44">
        <v>3</v>
      </c>
      <c r="X44" t="s">
        <v>32</v>
      </c>
      <c r="Y44">
        <f t="shared" si="0"/>
        <v>-0.31400000000000006</v>
      </c>
      <c r="Z44">
        <f t="shared" si="1"/>
        <v>-7.6000000000000068E-2</v>
      </c>
    </row>
    <row r="45" spans="1:26" x14ac:dyDescent="0.2">
      <c r="A45" t="s">
        <v>21</v>
      </c>
      <c r="B45">
        <v>3922.875</v>
      </c>
      <c r="C45">
        <v>81.921999999999997</v>
      </c>
      <c r="D45">
        <v>22.59</v>
      </c>
      <c r="E45">
        <v>3.38</v>
      </c>
      <c r="F45">
        <v>169.52600000000001</v>
      </c>
      <c r="G45">
        <v>2.7959999999999998</v>
      </c>
      <c r="H45">
        <v>8.4350000000000005</v>
      </c>
      <c r="I45">
        <v>3.351</v>
      </c>
      <c r="J45">
        <v>407.64400000000001</v>
      </c>
      <c r="K45">
        <v>0.01</v>
      </c>
      <c r="L45">
        <v>1E-3</v>
      </c>
      <c r="M45">
        <v>100</v>
      </c>
      <c r="N45">
        <v>444.28199999999998</v>
      </c>
      <c r="O45">
        <v>0.66100000000000003</v>
      </c>
      <c r="P45">
        <v>0.53700000000000003</v>
      </c>
      <c r="Q45">
        <v>0.503</v>
      </c>
      <c r="R45">
        <v>0.59299999999999997</v>
      </c>
      <c r="S45">
        <v>0.38800000000000001</v>
      </c>
      <c r="U45" t="s">
        <v>33</v>
      </c>
      <c r="V45" t="s">
        <v>35</v>
      </c>
      <c r="W45">
        <v>3</v>
      </c>
      <c r="X45" t="s">
        <v>32</v>
      </c>
      <c r="Y45">
        <f t="shared" si="0"/>
        <v>-8.9999999999999969E-2</v>
      </c>
      <c r="Z45">
        <f t="shared" si="1"/>
        <v>0.124</v>
      </c>
    </row>
    <row r="46" spans="1:26" x14ac:dyDescent="0.2">
      <c r="A46" t="s">
        <v>21</v>
      </c>
      <c r="B46">
        <v>3923</v>
      </c>
      <c r="C46">
        <v>95.543000000000006</v>
      </c>
      <c r="D46">
        <v>22.713999999999999</v>
      </c>
      <c r="E46">
        <v>3.6120000000000001</v>
      </c>
      <c r="F46">
        <v>172.68899999999999</v>
      </c>
      <c r="G46">
        <v>2.7770000000000001</v>
      </c>
      <c r="H46">
        <v>9.0709999999999997</v>
      </c>
      <c r="I46">
        <v>3.3580000000000001</v>
      </c>
      <c r="J46">
        <v>336.04</v>
      </c>
      <c r="K46">
        <v>0.01</v>
      </c>
      <c r="L46">
        <v>1E-3</v>
      </c>
      <c r="M46">
        <v>100</v>
      </c>
      <c r="N46">
        <v>366.16699999999997</v>
      </c>
      <c r="O46">
        <v>0.80700000000000005</v>
      </c>
      <c r="P46">
        <v>0.54500000000000004</v>
      </c>
      <c r="Q46">
        <v>0.64200000000000002</v>
      </c>
      <c r="R46">
        <v>0.48599999999999999</v>
      </c>
      <c r="S46">
        <v>0.48099999999999998</v>
      </c>
      <c r="U46" t="s">
        <v>33</v>
      </c>
      <c r="V46" t="s">
        <v>35</v>
      </c>
      <c r="W46">
        <v>3</v>
      </c>
      <c r="X46" t="s">
        <v>32</v>
      </c>
      <c r="Y46">
        <f t="shared" si="0"/>
        <v>0.15600000000000003</v>
      </c>
      <c r="Z46">
        <f t="shared" si="1"/>
        <v>0.26200000000000001</v>
      </c>
    </row>
    <row r="47" spans="1:26" x14ac:dyDescent="0.2">
      <c r="A47" t="s">
        <v>21</v>
      </c>
      <c r="B47">
        <v>3923.125</v>
      </c>
      <c r="C47">
        <v>100.90600000000001</v>
      </c>
      <c r="D47">
        <v>22.795000000000002</v>
      </c>
      <c r="E47">
        <v>3.63</v>
      </c>
      <c r="F47">
        <v>174.88900000000001</v>
      </c>
      <c r="G47">
        <v>2.758</v>
      </c>
      <c r="H47">
        <v>9.4809999999999999</v>
      </c>
      <c r="I47">
        <v>3.3849999999999998</v>
      </c>
      <c r="J47">
        <v>283.85000000000002</v>
      </c>
      <c r="K47">
        <v>0.01</v>
      </c>
      <c r="L47">
        <v>1E-3</v>
      </c>
      <c r="M47">
        <v>100</v>
      </c>
      <c r="N47">
        <v>309.81900000000002</v>
      </c>
      <c r="O47">
        <v>0.872</v>
      </c>
      <c r="P47">
        <v>0.58299999999999996</v>
      </c>
      <c r="Q47">
        <v>0.74299999999999999</v>
      </c>
      <c r="R47">
        <v>0.376</v>
      </c>
      <c r="S47">
        <v>0.54400000000000004</v>
      </c>
      <c r="U47" t="s">
        <v>33</v>
      </c>
      <c r="V47" t="s">
        <v>35</v>
      </c>
      <c r="W47">
        <v>3</v>
      </c>
      <c r="X47" t="s">
        <v>32</v>
      </c>
      <c r="Y47">
        <f t="shared" si="0"/>
        <v>0.36699999999999999</v>
      </c>
      <c r="Z47">
        <f t="shared" si="1"/>
        <v>0.28900000000000003</v>
      </c>
    </row>
    <row r="48" spans="1:26" x14ac:dyDescent="0.2">
      <c r="A48" t="s">
        <v>21</v>
      </c>
      <c r="B48">
        <v>3923.25</v>
      </c>
      <c r="C48">
        <v>97.432000000000002</v>
      </c>
      <c r="D48">
        <v>22.808</v>
      </c>
      <c r="E48">
        <v>3.3849999999999998</v>
      </c>
      <c r="F48">
        <v>175.655</v>
      </c>
      <c r="G48">
        <v>2.7440000000000002</v>
      </c>
      <c r="H48">
        <v>9.5619999999999994</v>
      </c>
      <c r="I48">
        <v>3.43</v>
      </c>
      <c r="J48">
        <v>273.14999999999998</v>
      </c>
      <c r="K48">
        <v>0.01</v>
      </c>
      <c r="L48">
        <v>1E-3</v>
      </c>
      <c r="M48">
        <v>100</v>
      </c>
      <c r="N48">
        <v>299.101</v>
      </c>
      <c r="O48">
        <v>0.84599999999999997</v>
      </c>
      <c r="P48">
        <v>0.64900000000000002</v>
      </c>
      <c r="Q48">
        <v>0.78300000000000003</v>
      </c>
      <c r="R48">
        <v>0.29199999999999998</v>
      </c>
      <c r="S48">
        <v>0.56100000000000005</v>
      </c>
      <c r="U48" t="s">
        <v>33</v>
      </c>
      <c r="V48" t="s">
        <v>35</v>
      </c>
      <c r="W48">
        <v>3</v>
      </c>
      <c r="X48" t="s">
        <v>32</v>
      </c>
      <c r="Y48">
        <f t="shared" si="0"/>
        <v>0.49100000000000005</v>
      </c>
      <c r="Z48">
        <f t="shared" si="1"/>
        <v>0.19699999999999995</v>
      </c>
    </row>
    <row r="49" spans="1:26" x14ac:dyDescent="0.2">
      <c r="A49" t="s">
        <v>21</v>
      </c>
      <c r="B49">
        <v>3923.375</v>
      </c>
      <c r="C49">
        <v>89.399000000000001</v>
      </c>
      <c r="D49">
        <v>22.768999999999998</v>
      </c>
      <c r="E49">
        <v>2.964</v>
      </c>
      <c r="F49">
        <v>175.268</v>
      </c>
      <c r="G49">
        <v>2.7360000000000002</v>
      </c>
      <c r="H49">
        <v>9.2720000000000002</v>
      </c>
      <c r="I49">
        <v>3.4870000000000001</v>
      </c>
      <c r="J49">
        <v>305.798</v>
      </c>
      <c r="K49">
        <v>0.01</v>
      </c>
      <c r="L49">
        <v>1E-3</v>
      </c>
      <c r="M49">
        <v>100</v>
      </c>
      <c r="N49">
        <v>335.83800000000002</v>
      </c>
      <c r="O49">
        <v>0.76900000000000002</v>
      </c>
      <c r="P49">
        <v>0.73399999999999999</v>
      </c>
      <c r="Q49">
        <v>0.77200000000000002</v>
      </c>
      <c r="R49">
        <v>0.24199999999999999</v>
      </c>
      <c r="S49">
        <v>0.52500000000000002</v>
      </c>
      <c r="U49" t="s">
        <v>33</v>
      </c>
      <c r="V49" t="s">
        <v>35</v>
      </c>
      <c r="W49">
        <v>3</v>
      </c>
      <c r="X49" t="s">
        <v>32</v>
      </c>
      <c r="Y49">
        <f t="shared" si="0"/>
        <v>0.53</v>
      </c>
      <c r="Z49">
        <f t="shared" si="1"/>
        <v>3.5000000000000031E-2</v>
      </c>
    </row>
    <row r="50" spans="1:26" x14ac:dyDescent="0.2">
      <c r="A50" t="s">
        <v>21</v>
      </c>
      <c r="B50">
        <v>3923.5</v>
      </c>
      <c r="C50">
        <v>81.162999999999997</v>
      </c>
      <c r="D50">
        <v>22.722000000000001</v>
      </c>
      <c r="E50">
        <v>2.4929999999999999</v>
      </c>
      <c r="F50">
        <v>174.40600000000001</v>
      </c>
      <c r="G50">
        <v>2.734</v>
      </c>
      <c r="H50">
        <v>8.7189999999999994</v>
      </c>
      <c r="I50">
        <v>3.5449999999999999</v>
      </c>
      <c r="J50">
        <v>379.30099999999999</v>
      </c>
      <c r="K50">
        <v>0.01</v>
      </c>
      <c r="L50">
        <v>1E-3</v>
      </c>
      <c r="M50">
        <v>100</v>
      </c>
      <c r="N50">
        <v>417.11900000000003</v>
      </c>
      <c r="O50">
        <v>0.68400000000000005</v>
      </c>
      <c r="P50">
        <v>0.82199999999999995</v>
      </c>
      <c r="Q50">
        <v>0.73599999999999999</v>
      </c>
      <c r="R50">
        <v>0.22700000000000001</v>
      </c>
      <c r="S50">
        <v>0.44900000000000001</v>
      </c>
      <c r="U50" t="s">
        <v>33</v>
      </c>
      <c r="V50" t="s">
        <v>35</v>
      </c>
      <c r="W50">
        <v>3</v>
      </c>
      <c r="X50" t="s">
        <v>32</v>
      </c>
      <c r="Y50">
        <f t="shared" si="0"/>
        <v>0.50900000000000001</v>
      </c>
      <c r="Z50">
        <f t="shared" si="1"/>
        <v>-0.1379999999999999</v>
      </c>
    </row>
    <row r="51" spans="1:26" x14ac:dyDescent="0.2">
      <c r="A51" t="s">
        <v>21</v>
      </c>
      <c r="B51">
        <v>3923.625</v>
      </c>
      <c r="C51">
        <v>72.991</v>
      </c>
      <c r="D51">
        <v>22.693999999999999</v>
      </c>
      <c r="E51">
        <v>2.0139999999999998</v>
      </c>
      <c r="F51">
        <v>173.58</v>
      </c>
      <c r="G51">
        <v>2.7360000000000002</v>
      </c>
      <c r="H51">
        <v>8.06</v>
      </c>
      <c r="I51">
        <v>3.5950000000000002</v>
      </c>
      <c r="J51">
        <v>491.142</v>
      </c>
      <c r="K51">
        <v>0.01</v>
      </c>
      <c r="L51">
        <v>1E-3</v>
      </c>
      <c r="M51">
        <v>100</v>
      </c>
      <c r="N51">
        <v>539.96900000000005</v>
      </c>
      <c r="O51">
        <v>0.6</v>
      </c>
      <c r="P51">
        <v>0.9</v>
      </c>
      <c r="Q51">
        <v>0.7</v>
      </c>
      <c r="R51">
        <v>0.23599999999999999</v>
      </c>
      <c r="S51">
        <v>0.35599999999999998</v>
      </c>
      <c r="U51" t="s">
        <v>33</v>
      </c>
      <c r="V51" t="s">
        <v>35</v>
      </c>
      <c r="W51">
        <v>3</v>
      </c>
      <c r="X51" t="s">
        <v>32</v>
      </c>
      <c r="Y51">
        <f t="shared" si="0"/>
        <v>0.46399999999999997</v>
      </c>
      <c r="Z51">
        <f t="shared" si="1"/>
        <v>-0.30000000000000004</v>
      </c>
    </row>
    <row r="52" spans="1:26" x14ac:dyDescent="0.2">
      <c r="A52" t="s">
        <v>21</v>
      </c>
      <c r="B52">
        <v>3923.75</v>
      </c>
      <c r="C52">
        <v>62.784999999999997</v>
      </c>
      <c r="D52">
        <v>22.687999999999999</v>
      </c>
      <c r="E52">
        <v>1.5740000000000001</v>
      </c>
      <c r="F52">
        <v>172.94499999999999</v>
      </c>
      <c r="G52">
        <v>2.7410000000000001</v>
      </c>
      <c r="H52">
        <v>7.4139999999999997</v>
      </c>
      <c r="I52">
        <v>3.6309999999999998</v>
      </c>
      <c r="J52">
        <v>621.87</v>
      </c>
      <c r="K52">
        <v>0.01</v>
      </c>
      <c r="L52">
        <v>1E-3</v>
      </c>
      <c r="M52">
        <v>100</v>
      </c>
      <c r="N52">
        <v>683.68399999999997</v>
      </c>
      <c r="O52">
        <v>0.497</v>
      </c>
      <c r="P52">
        <v>0.95699999999999996</v>
      </c>
      <c r="Q52">
        <v>0.67200000000000004</v>
      </c>
      <c r="R52">
        <v>0.26300000000000001</v>
      </c>
      <c r="S52">
        <v>0.26300000000000001</v>
      </c>
      <c r="U52" t="s">
        <v>33</v>
      </c>
      <c r="V52" t="s">
        <v>35</v>
      </c>
      <c r="W52">
        <v>3</v>
      </c>
      <c r="X52" t="s">
        <v>32</v>
      </c>
      <c r="Y52">
        <f t="shared" si="0"/>
        <v>0.40900000000000003</v>
      </c>
      <c r="Z52">
        <f t="shared" si="1"/>
        <v>-0.45999999999999996</v>
      </c>
    </row>
    <row r="53" spans="1:26" x14ac:dyDescent="0.2">
      <c r="A53" t="s">
        <v>21</v>
      </c>
      <c r="B53">
        <v>3923.875</v>
      </c>
      <c r="C53">
        <v>50.143999999999998</v>
      </c>
      <c r="D53">
        <v>22.684000000000001</v>
      </c>
      <c r="E53">
        <v>1.26</v>
      </c>
      <c r="F53">
        <v>172.22</v>
      </c>
      <c r="G53">
        <v>2.7490000000000001</v>
      </c>
      <c r="H53">
        <v>6.899</v>
      </c>
      <c r="I53">
        <v>3.65</v>
      </c>
      <c r="J53">
        <v>745.40800000000002</v>
      </c>
      <c r="K53">
        <v>0.01</v>
      </c>
      <c r="L53">
        <v>1E-3</v>
      </c>
      <c r="M53">
        <v>100</v>
      </c>
      <c r="N53">
        <v>821.274</v>
      </c>
      <c r="O53">
        <v>0.36899999999999999</v>
      </c>
      <c r="P53">
        <v>0.98899999999999999</v>
      </c>
      <c r="Q53">
        <v>0.64100000000000001</v>
      </c>
      <c r="R53">
        <v>0.307</v>
      </c>
      <c r="S53">
        <v>0.186</v>
      </c>
      <c r="U53" t="s">
        <v>33</v>
      </c>
      <c r="V53" t="s">
        <v>35</v>
      </c>
      <c r="W53">
        <v>3</v>
      </c>
      <c r="X53" t="s">
        <v>32</v>
      </c>
      <c r="Y53">
        <f t="shared" si="0"/>
        <v>0.33400000000000002</v>
      </c>
      <c r="Z53">
        <f t="shared" si="1"/>
        <v>-0.62</v>
      </c>
    </row>
    <row r="54" spans="1:26" x14ac:dyDescent="0.2">
      <c r="A54" t="s">
        <v>21</v>
      </c>
      <c r="B54">
        <v>3924</v>
      </c>
      <c r="C54">
        <v>37.807000000000002</v>
      </c>
      <c r="D54">
        <v>22.655999999999999</v>
      </c>
      <c r="E54">
        <v>1.0940000000000001</v>
      </c>
      <c r="F54">
        <v>171.012</v>
      </c>
      <c r="G54">
        <v>2.762</v>
      </c>
      <c r="H54">
        <v>6.569</v>
      </c>
      <c r="I54">
        <v>3.6549999999999998</v>
      </c>
      <c r="J54">
        <v>851.10900000000004</v>
      </c>
      <c r="K54">
        <v>0.01</v>
      </c>
      <c r="L54">
        <v>1E-3</v>
      </c>
      <c r="M54">
        <v>100</v>
      </c>
      <c r="N54">
        <v>941.72500000000002</v>
      </c>
      <c r="O54">
        <v>0.24199999999999999</v>
      </c>
      <c r="P54">
        <v>0.999</v>
      </c>
      <c r="Q54">
        <v>0.59</v>
      </c>
      <c r="R54">
        <v>0.379</v>
      </c>
      <c r="S54">
        <v>0.13600000000000001</v>
      </c>
      <c r="U54" t="s">
        <v>33</v>
      </c>
      <c r="V54" t="s">
        <v>35</v>
      </c>
      <c r="W54">
        <v>3</v>
      </c>
      <c r="X54" t="s">
        <v>32</v>
      </c>
      <c r="Y54">
        <f t="shared" si="0"/>
        <v>0.21099999999999997</v>
      </c>
      <c r="Z54">
        <f t="shared" si="1"/>
        <v>-0.75700000000000001</v>
      </c>
    </row>
    <row r="55" spans="1:26" x14ac:dyDescent="0.2">
      <c r="A55" t="s">
        <v>21</v>
      </c>
      <c r="B55">
        <v>3924.125</v>
      </c>
      <c r="C55">
        <v>28.606999999999999</v>
      </c>
      <c r="D55">
        <v>22.594000000000001</v>
      </c>
      <c r="E55">
        <v>1.097</v>
      </c>
      <c r="F55">
        <v>169.124</v>
      </c>
      <c r="G55">
        <v>2.778</v>
      </c>
      <c r="H55">
        <v>6.4050000000000002</v>
      </c>
      <c r="I55">
        <v>3.6509999999999998</v>
      </c>
      <c r="J55">
        <v>917.48</v>
      </c>
      <c r="K55">
        <v>0.01</v>
      </c>
      <c r="L55">
        <v>1E-3</v>
      </c>
      <c r="M55">
        <v>100</v>
      </c>
      <c r="N55">
        <v>1019.299</v>
      </c>
      <c r="O55">
        <v>0.14399999999999999</v>
      </c>
      <c r="P55">
        <v>0.995</v>
      </c>
      <c r="Q55">
        <v>0.51200000000000001</v>
      </c>
      <c r="R55">
        <v>0.46899999999999997</v>
      </c>
      <c r="S55">
        <v>0.109</v>
      </c>
      <c r="U55" t="s">
        <v>33</v>
      </c>
      <c r="V55" t="s">
        <v>35</v>
      </c>
      <c r="W55">
        <v>3</v>
      </c>
      <c r="X55" t="s">
        <v>32</v>
      </c>
      <c r="Y55">
        <f t="shared" si="0"/>
        <v>4.3000000000000038E-2</v>
      </c>
      <c r="Z55">
        <f t="shared" si="1"/>
        <v>-0.85099999999999998</v>
      </c>
    </row>
    <row r="56" spans="1:26" x14ac:dyDescent="0.2">
      <c r="A56" t="s">
        <v>21</v>
      </c>
      <c r="B56">
        <v>3924.25</v>
      </c>
      <c r="C56">
        <v>23.134</v>
      </c>
      <c r="D56">
        <v>22.504000000000001</v>
      </c>
      <c r="E56">
        <v>1.25</v>
      </c>
      <c r="F56">
        <v>166.66800000000001</v>
      </c>
      <c r="G56">
        <v>2.7930000000000001</v>
      </c>
      <c r="H56">
        <v>6.3739999999999997</v>
      </c>
      <c r="I56">
        <v>3.6429999999999998</v>
      </c>
      <c r="J56">
        <v>893.18399999999997</v>
      </c>
      <c r="K56">
        <v>0.01</v>
      </c>
      <c r="L56">
        <v>1E-3</v>
      </c>
      <c r="M56">
        <v>100</v>
      </c>
      <c r="N56">
        <v>993.83100000000002</v>
      </c>
      <c r="O56">
        <v>8.3000000000000004E-2</v>
      </c>
      <c r="P56">
        <v>0.98299999999999998</v>
      </c>
      <c r="Q56">
        <v>0.40699999999999997</v>
      </c>
      <c r="R56">
        <v>0.55700000000000005</v>
      </c>
      <c r="S56">
        <v>0.10299999999999999</v>
      </c>
      <c r="U56" t="s">
        <v>33</v>
      </c>
      <c r="V56" t="s">
        <v>35</v>
      </c>
      <c r="W56">
        <v>3</v>
      </c>
      <c r="X56" t="s">
        <v>32</v>
      </c>
      <c r="Y56">
        <f t="shared" si="0"/>
        <v>-0.15000000000000008</v>
      </c>
      <c r="Z56">
        <f t="shared" si="1"/>
        <v>-0.9</v>
      </c>
    </row>
    <row r="57" spans="1:26" x14ac:dyDescent="0.2">
      <c r="A57" t="s">
        <v>21</v>
      </c>
      <c r="B57">
        <v>3924.375</v>
      </c>
      <c r="C57">
        <v>20.968</v>
      </c>
      <c r="D57">
        <v>22.408999999999999</v>
      </c>
      <c r="E57">
        <v>1.3959999999999999</v>
      </c>
      <c r="F57">
        <v>164.107</v>
      </c>
      <c r="G57">
        <v>2.7989999999999999</v>
      </c>
      <c r="H57">
        <v>6.4850000000000003</v>
      </c>
      <c r="I57">
        <v>3.633</v>
      </c>
      <c r="J57">
        <v>785.04399999999998</v>
      </c>
      <c r="K57">
        <v>0.01</v>
      </c>
      <c r="L57">
        <v>1E-3</v>
      </c>
      <c r="M57">
        <v>100</v>
      </c>
      <c r="N57">
        <v>872.57899999999995</v>
      </c>
      <c r="O57">
        <v>5.7000000000000002E-2</v>
      </c>
      <c r="P57">
        <v>0.96799999999999997</v>
      </c>
      <c r="Q57">
        <v>0.29599999999999999</v>
      </c>
      <c r="R57">
        <v>0.59699999999999998</v>
      </c>
      <c r="S57">
        <v>0.11600000000000001</v>
      </c>
      <c r="U57" t="s">
        <v>33</v>
      </c>
      <c r="V57" t="s">
        <v>35</v>
      </c>
      <c r="W57">
        <v>3</v>
      </c>
      <c r="X57" t="s">
        <v>32</v>
      </c>
      <c r="Y57">
        <f t="shared" si="0"/>
        <v>-0.30099999999999999</v>
      </c>
      <c r="Z57">
        <f t="shared" si="1"/>
        <v>-0.91099999999999992</v>
      </c>
    </row>
    <row r="58" spans="1:26" x14ac:dyDescent="0.2">
      <c r="A58" t="s">
        <v>21</v>
      </c>
      <c r="B58">
        <v>3924.5</v>
      </c>
      <c r="C58">
        <v>22.834</v>
      </c>
      <c r="D58">
        <v>22.335000000000001</v>
      </c>
      <c r="E58">
        <v>1.5</v>
      </c>
      <c r="F58">
        <v>161.935</v>
      </c>
      <c r="G58">
        <v>2.7959999999999998</v>
      </c>
      <c r="H58">
        <v>6.7510000000000003</v>
      </c>
      <c r="I58">
        <v>3.621</v>
      </c>
      <c r="J58">
        <v>661.10900000000004</v>
      </c>
      <c r="K58">
        <v>0.01</v>
      </c>
      <c r="L58">
        <v>1E-3</v>
      </c>
      <c r="M58">
        <v>100</v>
      </c>
      <c r="N58">
        <v>733.16399999999999</v>
      </c>
      <c r="O58">
        <v>7.0999999999999994E-2</v>
      </c>
      <c r="P58">
        <v>0.95</v>
      </c>
      <c r="Q58">
        <v>0.2</v>
      </c>
      <c r="R58">
        <v>0.58599999999999997</v>
      </c>
      <c r="S58">
        <v>0.152</v>
      </c>
      <c r="U58" t="s">
        <v>33</v>
      </c>
      <c r="V58" t="s">
        <v>35</v>
      </c>
      <c r="W58">
        <v>3</v>
      </c>
      <c r="X58" t="s">
        <v>32</v>
      </c>
      <c r="Y58">
        <f t="shared" si="0"/>
        <v>-0.38599999999999995</v>
      </c>
      <c r="Z58">
        <f t="shared" si="1"/>
        <v>-0.879</v>
      </c>
    </row>
    <row r="59" spans="1:26" x14ac:dyDescent="0.2">
      <c r="A59" t="s">
        <v>21</v>
      </c>
      <c r="B59">
        <v>3924.625</v>
      </c>
      <c r="C59">
        <v>28.617999999999999</v>
      </c>
      <c r="D59">
        <v>22.29</v>
      </c>
      <c r="E59">
        <v>1.702</v>
      </c>
      <c r="F59">
        <v>160.428</v>
      </c>
      <c r="G59">
        <v>2.7879999999999998</v>
      </c>
      <c r="H59">
        <v>7.1390000000000002</v>
      </c>
      <c r="I59">
        <v>3.605</v>
      </c>
      <c r="J59">
        <v>564.21100000000001</v>
      </c>
      <c r="K59">
        <v>0.01</v>
      </c>
      <c r="L59">
        <v>1E-3</v>
      </c>
      <c r="M59">
        <v>100</v>
      </c>
      <c r="N59">
        <v>624.43100000000004</v>
      </c>
      <c r="O59">
        <v>0.126</v>
      </c>
      <c r="P59">
        <v>0.92600000000000005</v>
      </c>
      <c r="Q59">
        <v>0.13100000000000001</v>
      </c>
      <c r="R59">
        <v>0.54300000000000004</v>
      </c>
      <c r="S59">
        <v>0.20599999999999999</v>
      </c>
      <c r="U59" t="s">
        <v>33</v>
      </c>
      <c r="V59" t="s">
        <v>35</v>
      </c>
      <c r="W59">
        <v>3</v>
      </c>
      <c r="X59" t="s">
        <v>32</v>
      </c>
      <c r="Y59">
        <f t="shared" si="0"/>
        <v>-0.41200000000000003</v>
      </c>
      <c r="Z59">
        <f t="shared" si="1"/>
        <v>-0.8</v>
      </c>
    </row>
    <row r="60" spans="1:26" x14ac:dyDescent="0.2">
      <c r="A60" t="s">
        <v>21</v>
      </c>
      <c r="B60">
        <v>3924.75</v>
      </c>
      <c r="C60">
        <v>36.298999999999999</v>
      </c>
      <c r="D60">
        <v>22.277000000000001</v>
      </c>
      <c r="E60">
        <v>1.9279999999999999</v>
      </c>
      <c r="F60">
        <v>159.649</v>
      </c>
      <c r="G60">
        <v>2.7810000000000001</v>
      </c>
      <c r="H60">
        <v>7.5739999999999998</v>
      </c>
      <c r="I60">
        <v>3.5880000000000001</v>
      </c>
      <c r="J60">
        <v>484.96699999999998</v>
      </c>
      <c r="K60">
        <v>0.01</v>
      </c>
      <c r="L60">
        <v>1E-3</v>
      </c>
      <c r="M60">
        <v>100</v>
      </c>
      <c r="N60">
        <v>535.69100000000003</v>
      </c>
      <c r="O60">
        <v>0.20300000000000001</v>
      </c>
      <c r="P60">
        <v>0.90100000000000002</v>
      </c>
      <c r="Q60">
        <v>9.4E-2</v>
      </c>
      <c r="R60">
        <v>0.502</v>
      </c>
      <c r="S60">
        <v>0.26800000000000002</v>
      </c>
      <c r="U60" t="s">
        <v>33</v>
      </c>
      <c r="V60" t="s">
        <v>35</v>
      </c>
      <c r="W60">
        <v>3</v>
      </c>
      <c r="X60" t="s">
        <v>32</v>
      </c>
      <c r="Y60">
        <f t="shared" si="0"/>
        <v>-0.40800000000000003</v>
      </c>
      <c r="Z60">
        <f t="shared" si="1"/>
        <v>-0.69799999999999995</v>
      </c>
    </row>
    <row r="61" spans="1:26" x14ac:dyDescent="0.2">
      <c r="A61" t="s">
        <v>21</v>
      </c>
      <c r="B61">
        <v>3924.875</v>
      </c>
      <c r="C61">
        <v>43.104999999999997</v>
      </c>
      <c r="D61">
        <v>22.277999999999999</v>
      </c>
      <c r="E61">
        <v>2.0219999999999998</v>
      </c>
      <c r="F61">
        <v>159.36199999999999</v>
      </c>
      <c r="G61">
        <v>2.7810000000000001</v>
      </c>
      <c r="H61">
        <v>7.9870000000000001</v>
      </c>
      <c r="I61">
        <v>3.5670000000000002</v>
      </c>
      <c r="J61">
        <v>410.11399999999998</v>
      </c>
      <c r="K61">
        <v>0.01</v>
      </c>
      <c r="L61">
        <v>1E-3</v>
      </c>
      <c r="M61">
        <v>100</v>
      </c>
      <c r="N61">
        <v>451.76</v>
      </c>
      <c r="O61">
        <v>0.27500000000000002</v>
      </c>
      <c r="P61">
        <v>0.86899999999999999</v>
      </c>
      <c r="Q61">
        <v>7.9000000000000001E-2</v>
      </c>
      <c r="R61">
        <v>0.497</v>
      </c>
      <c r="S61">
        <v>0.32800000000000001</v>
      </c>
      <c r="U61" t="s">
        <v>33</v>
      </c>
      <c r="V61" t="s">
        <v>35</v>
      </c>
      <c r="W61">
        <v>3</v>
      </c>
      <c r="X61" t="s">
        <v>32</v>
      </c>
      <c r="Y61">
        <f t="shared" si="0"/>
        <v>-0.41799999999999998</v>
      </c>
      <c r="Z61">
        <f t="shared" si="1"/>
        <v>-0.59399999999999997</v>
      </c>
    </row>
    <row r="62" spans="1:26" x14ac:dyDescent="0.2">
      <c r="A62" t="s">
        <v>21</v>
      </c>
      <c r="B62">
        <v>3925</v>
      </c>
      <c r="C62">
        <v>47.151000000000003</v>
      </c>
      <c r="D62">
        <v>22.279</v>
      </c>
      <c r="E62">
        <v>2.0009999999999999</v>
      </c>
      <c r="F62">
        <v>159.30199999999999</v>
      </c>
      <c r="G62">
        <v>2.79</v>
      </c>
      <c r="H62">
        <v>8.3849999999999998</v>
      </c>
      <c r="I62">
        <v>3.5449999999999999</v>
      </c>
      <c r="J62">
        <v>346.24299999999999</v>
      </c>
      <c r="K62">
        <v>0.01</v>
      </c>
      <c r="L62">
        <v>1E-3</v>
      </c>
      <c r="M62">
        <v>100</v>
      </c>
      <c r="N62">
        <v>379.97399999999999</v>
      </c>
      <c r="O62">
        <v>0.31900000000000001</v>
      </c>
      <c r="P62">
        <v>0.83599999999999997</v>
      </c>
      <c r="Q62">
        <v>7.4999999999999997E-2</v>
      </c>
      <c r="R62">
        <v>0.54300000000000004</v>
      </c>
      <c r="S62">
        <v>0.38600000000000001</v>
      </c>
      <c r="U62" t="s">
        <v>33</v>
      </c>
      <c r="V62" t="s">
        <v>35</v>
      </c>
      <c r="W62">
        <v>3</v>
      </c>
      <c r="X62" t="s">
        <v>32</v>
      </c>
      <c r="Y62">
        <f t="shared" si="0"/>
        <v>-0.46800000000000003</v>
      </c>
      <c r="Z62">
        <f t="shared" si="1"/>
        <v>-0.5169999999999999</v>
      </c>
    </row>
    <row r="63" spans="1:26" x14ac:dyDescent="0.2">
      <c r="A63" t="s">
        <v>21</v>
      </c>
      <c r="B63">
        <v>3925.125</v>
      </c>
      <c r="C63">
        <v>48.238999999999997</v>
      </c>
      <c r="D63">
        <v>22.276</v>
      </c>
      <c r="E63">
        <v>1.9650000000000001</v>
      </c>
      <c r="F63">
        <v>159.404</v>
      </c>
      <c r="G63">
        <v>2.8050000000000002</v>
      </c>
      <c r="H63">
        <v>8.7899999999999991</v>
      </c>
      <c r="I63">
        <v>3.5179999999999998</v>
      </c>
      <c r="J63">
        <v>301.70100000000002</v>
      </c>
      <c r="K63">
        <v>0.01</v>
      </c>
      <c r="L63">
        <v>1E-3</v>
      </c>
      <c r="M63">
        <v>100</v>
      </c>
      <c r="N63">
        <v>329.85399999999998</v>
      </c>
      <c r="O63">
        <v>0.33400000000000002</v>
      </c>
      <c r="P63">
        <v>0.79500000000000004</v>
      </c>
      <c r="Q63">
        <v>7.9000000000000001E-2</v>
      </c>
      <c r="R63">
        <v>0.626</v>
      </c>
      <c r="S63">
        <v>0.44400000000000001</v>
      </c>
      <c r="U63" t="s">
        <v>33</v>
      </c>
      <c r="V63" t="s">
        <v>35</v>
      </c>
      <c r="W63">
        <v>3</v>
      </c>
      <c r="X63" t="s">
        <v>32</v>
      </c>
      <c r="Y63">
        <f t="shared" si="0"/>
        <v>-0.54700000000000004</v>
      </c>
      <c r="Z63">
        <f t="shared" si="1"/>
        <v>-0.46100000000000002</v>
      </c>
    </row>
    <row r="64" spans="1:26" x14ac:dyDescent="0.2">
      <c r="A64" t="s">
        <v>21</v>
      </c>
      <c r="B64">
        <v>3925.25</v>
      </c>
      <c r="C64">
        <v>48.817</v>
      </c>
      <c r="D64">
        <v>22.279</v>
      </c>
      <c r="E64">
        <v>1.958</v>
      </c>
      <c r="F64">
        <v>159.827</v>
      </c>
      <c r="G64">
        <v>2.819</v>
      </c>
      <c r="H64">
        <v>9.157</v>
      </c>
      <c r="I64">
        <v>3.4849999999999999</v>
      </c>
      <c r="J64">
        <v>278.04700000000003</v>
      </c>
      <c r="K64">
        <v>0.01</v>
      </c>
      <c r="L64">
        <v>1E-3</v>
      </c>
      <c r="M64">
        <v>100</v>
      </c>
      <c r="N64">
        <v>303.29199999999997</v>
      </c>
      <c r="O64">
        <v>0.34100000000000003</v>
      </c>
      <c r="P64">
        <v>0.746</v>
      </c>
      <c r="Q64">
        <v>9.6000000000000002E-2</v>
      </c>
      <c r="R64">
        <v>0.70799999999999996</v>
      </c>
      <c r="S64">
        <v>0.498</v>
      </c>
      <c r="U64" t="s">
        <v>33</v>
      </c>
      <c r="V64" t="s">
        <v>35</v>
      </c>
      <c r="W64">
        <v>3</v>
      </c>
      <c r="X64" t="s">
        <v>32</v>
      </c>
      <c r="Y64">
        <f t="shared" si="0"/>
        <v>-0.61199999999999999</v>
      </c>
      <c r="Z64">
        <f t="shared" si="1"/>
        <v>-0.40499999999999997</v>
      </c>
    </row>
    <row r="65" spans="1:26" x14ac:dyDescent="0.2">
      <c r="A65" t="s">
        <v>21</v>
      </c>
      <c r="B65">
        <v>3925.375</v>
      </c>
      <c r="C65">
        <v>50.439</v>
      </c>
      <c r="D65">
        <v>22.303999999999998</v>
      </c>
      <c r="E65">
        <v>2.0379999999999998</v>
      </c>
      <c r="F65">
        <v>160.70400000000001</v>
      </c>
      <c r="G65">
        <v>2.83</v>
      </c>
      <c r="H65">
        <v>9.3940000000000001</v>
      </c>
      <c r="I65">
        <v>3.4910000000000001</v>
      </c>
      <c r="J65">
        <v>271.38900000000001</v>
      </c>
      <c r="K65">
        <v>0.01</v>
      </c>
      <c r="L65">
        <v>1E-3</v>
      </c>
      <c r="M65">
        <v>100</v>
      </c>
      <c r="N65">
        <v>295.798</v>
      </c>
      <c r="O65">
        <v>0.35599999999999998</v>
      </c>
      <c r="P65">
        <v>0.749</v>
      </c>
      <c r="Q65">
        <v>0.13200000000000001</v>
      </c>
      <c r="R65">
        <v>0.77300000000000002</v>
      </c>
      <c r="S65">
        <v>0.53400000000000003</v>
      </c>
      <c r="U65" t="s">
        <v>33</v>
      </c>
      <c r="V65" t="s">
        <v>35</v>
      </c>
      <c r="W65">
        <v>3</v>
      </c>
      <c r="X65" t="s">
        <v>32</v>
      </c>
      <c r="Y65">
        <f t="shared" si="0"/>
        <v>-0.64100000000000001</v>
      </c>
      <c r="Z65">
        <f t="shared" si="1"/>
        <v>-0.39300000000000002</v>
      </c>
    </row>
    <row r="66" spans="1:26" x14ac:dyDescent="0.2">
      <c r="A66" t="s">
        <v>21</v>
      </c>
      <c r="B66">
        <v>3925.5</v>
      </c>
      <c r="C66">
        <v>52.158999999999999</v>
      </c>
      <c r="D66">
        <v>22.356000000000002</v>
      </c>
      <c r="E66">
        <v>2.1659999999999999</v>
      </c>
      <c r="F66">
        <v>161.91800000000001</v>
      </c>
      <c r="G66">
        <v>2.8359999999999999</v>
      </c>
      <c r="H66">
        <v>9.49</v>
      </c>
      <c r="I66">
        <v>3.613</v>
      </c>
      <c r="J66">
        <v>276.166</v>
      </c>
      <c r="K66">
        <v>0.01</v>
      </c>
      <c r="L66">
        <v>1E-3</v>
      </c>
      <c r="M66">
        <v>100</v>
      </c>
      <c r="N66">
        <v>300.93099999999998</v>
      </c>
      <c r="O66">
        <v>0.374</v>
      </c>
      <c r="P66">
        <v>0.91500000000000004</v>
      </c>
      <c r="Q66">
        <v>0.183</v>
      </c>
      <c r="R66">
        <v>0.81100000000000005</v>
      </c>
      <c r="S66">
        <v>0.55000000000000004</v>
      </c>
      <c r="U66" t="s">
        <v>33</v>
      </c>
      <c r="V66" t="s">
        <v>35</v>
      </c>
      <c r="W66">
        <v>3</v>
      </c>
      <c r="X66" t="s">
        <v>32</v>
      </c>
      <c r="Y66">
        <f t="shared" si="0"/>
        <v>-0.62800000000000011</v>
      </c>
      <c r="Z66">
        <f t="shared" si="1"/>
        <v>-0.54100000000000004</v>
      </c>
    </row>
    <row r="67" spans="1:26" x14ac:dyDescent="0.2">
      <c r="A67" t="s">
        <v>21</v>
      </c>
      <c r="B67">
        <v>3925.625</v>
      </c>
      <c r="C67">
        <v>54.484999999999999</v>
      </c>
      <c r="D67">
        <v>22.414999999999999</v>
      </c>
      <c r="E67">
        <v>2.1349999999999998</v>
      </c>
      <c r="F67">
        <v>163.066</v>
      </c>
      <c r="G67">
        <v>2.8370000000000002</v>
      </c>
      <c r="H67">
        <v>9.52</v>
      </c>
      <c r="I67">
        <v>3.6480000000000001</v>
      </c>
      <c r="J67">
        <v>281.99799999999999</v>
      </c>
      <c r="K67">
        <v>0.01</v>
      </c>
      <c r="L67">
        <v>1E-3</v>
      </c>
      <c r="M67">
        <v>100</v>
      </c>
      <c r="N67">
        <v>307.16000000000003</v>
      </c>
      <c r="O67">
        <v>0.39700000000000002</v>
      </c>
      <c r="P67">
        <v>0.98299999999999998</v>
      </c>
      <c r="Q67">
        <v>0.23300000000000001</v>
      </c>
      <c r="R67">
        <v>0.82</v>
      </c>
      <c r="S67">
        <v>0.55500000000000005</v>
      </c>
      <c r="U67" t="s">
        <v>33</v>
      </c>
      <c r="V67" t="s">
        <v>35</v>
      </c>
      <c r="W67">
        <v>3</v>
      </c>
      <c r="X67" t="s">
        <v>32</v>
      </c>
      <c r="Y67">
        <f t="shared" ref="Y67:Y130" si="2">Q67-R67</f>
        <v>-0.58699999999999997</v>
      </c>
      <c r="Z67">
        <f t="shared" ref="Z67:Z130" si="3">O67-P67</f>
        <v>-0.58599999999999997</v>
      </c>
    </row>
    <row r="68" spans="1:26" x14ac:dyDescent="0.2">
      <c r="A68" t="s">
        <v>21</v>
      </c>
      <c r="B68">
        <v>3925.75</v>
      </c>
      <c r="C68">
        <v>59.976999999999997</v>
      </c>
      <c r="D68">
        <v>22.442</v>
      </c>
      <c r="E68">
        <v>2.0950000000000002</v>
      </c>
      <c r="F68">
        <v>163.51</v>
      </c>
      <c r="G68">
        <v>2.8359999999999999</v>
      </c>
      <c r="H68">
        <v>9.5370000000000008</v>
      </c>
      <c r="I68">
        <v>3.5830000000000002</v>
      </c>
      <c r="J68">
        <v>272.697</v>
      </c>
      <c r="K68">
        <v>0.01</v>
      </c>
      <c r="L68">
        <v>1E-3</v>
      </c>
      <c r="M68">
        <v>100</v>
      </c>
      <c r="N68">
        <v>296.93</v>
      </c>
      <c r="O68">
        <v>0.45</v>
      </c>
      <c r="P68">
        <v>0.90100000000000002</v>
      </c>
      <c r="Q68">
        <v>0.25600000000000001</v>
      </c>
      <c r="R68">
        <v>0.81599999999999995</v>
      </c>
      <c r="S68">
        <v>0.55800000000000005</v>
      </c>
      <c r="U68" t="s">
        <v>33</v>
      </c>
      <c r="V68" t="s">
        <v>35</v>
      </c>
      <c r="W68">
        <v>3</v>
      </c>
      <c r="X68" t="s">
        <v>32</v>
      </c>
      <c r="Y68">
        <f t="shared" si="2"/>
        <v>-0.55999999999999994</v>
      </c>
      <c r="Z68">
        <f t="shared" si="3"/>
        <v>-0.45100000000000001</v>
      </c>
    </row>
    <row r="69" spans="1:26" x14ac:dyDescent="0.2">
      <c r="A69" t="s">
        <v>21</v>
      </c>
      <c r="B69">
        <v>3925.875</v>
      </c>
      <c r="C69">
        <v>67.355000000000004</v>
      </c>
      <c r="D69">
        <v>22.416</v>
      </c>
      <c r="E69">
        <v>2.1949999999999998</v>
      </c>
      <c r="F69">
        <v>162.982</v>
      </c>
      <c r="G69">
        <v>2.8380000000000001</v>
      </c>
      <c r="H69">
        <v>9.5060000000000002</v>
      </c>
      <c r="I69">
        <v>3.5179999999999998</v>
      </c>
      <c r="J69">
        <v>247.739</v>
      </c>
      <c r="K69">
        <v>0.01</v>
      </c>
      <c r="L69">
        <v>1E-3</v>
      </c>
      <c r="M69">
        <v>100</v>
      </c>
      <c r="N69">
        <v>269.803</v>
      </c>
      <c r="O69">
        <v>0.52400000000000002</v>
      </c>
      <c r="P69">
        <v>0.80200000000000005</v>
      </c>
      <c r="Q69">
        <v>0.23799999999999999</v>
      </c>
      <c r="R69">
        <v>0.82499999999999996</v>
      </c>
      <c r="S69">
        <v>0.55400000000000005</v>
      </c>
      <c r="U69" t="s">
        <v>33</v>
      </c>
      <c r="V69" t="s">
        <v>35</v>
      </c>
      <c r="W69">
        <v>3</v>
      </c>
      <c r="X69" t="s">
        <v>32</v>
      </c>
      <c r="Y69">
        <f t="shared" si="2"/>
        <v>-0.58699999999999997</v>
      </c>
      <c r="Z69">
        <f t="shared" si="3"/>
        <v>-0.27800000000000002</v>
      </c>
    </row>
    <row r="70" spans="1:26" x14ac:dyDescent="0.2">
      <c r="A70" t="s">
        <v>21</v>
      </c>
      <c r="B70">
        <v>3926</v>
      </c>
      <c r="C70">
        <v>70.575999999999993</v>
      </c>
      <c r="D70">
        <v>22.353999999999999</v>
      </c>
      <c r="E70">
        <v>2.31</v>
      </c>
      <c r="F70">
        <v>161.75399999999999</v>
      </c>
      <c r="G70">
        <v>2.8450000000000002</v>
      </c>
      <c r="H70">
        <v>9.3689999999999998</v>
      </c>
      <c r="I70">
        <v>3.4580000000000002</v>
      </c>
      <c r="J70">
        <v>222.95400000000001</v>
      </c>
      <c r="K70">
        <v>0.01</v>
      </c>
      <c r="L70">
        <v>1E-3</v>
      </c>
      <c r="M70">
        <v>100</v>
      </c>
      <c r="N70">
        <v>242.96299999999999</v>
      </c>
      <c r="O70">
        <v>0.56200000000000006</v>
      </c>
      <c r="P70">
        <v>0.70899999999999996</v>
      </c>
      <c r="Q70">
        <v>0.188</v>
      </c>
      <c r="R70">
        <v>0.86299999999999999</v>
      </c>
      <c r="S70">
        <v>0.53600000000000003</v>
      </c>
      <c r="U70" t="s">
        <v>33</v>
      </c>
      <c r="V70" t="s">
        <v>35</v>
      </c>
      <c r="W70">
        <v>3</v>
      </c>
      <c r="X70" t="s">
        <v>32</v>
      </c>
      <c r="Y70">
        <f t="shared" si="2"/>
        <v>-0.67500000000000004</v>
      </c>
      <c r="Z70">
        <f t="shared" si="3"/>
        <v>-0.14699999999999991</v>
      </c>
    </row>
    <row r="71" spans="1:26" x14ac:dyDescent="0.2">
      <c r="A71" t="s">
        <v>21</v>
      </c>
      <c r="B71">
        <v>3926.125</v>
      </c>
      <c r="C71">
        <v>65.548000000000002</v>
      </c>
      <c r="D71">
        <v>22.29</v>
      </c>
      <c r="E71">
        <v>2.3839999999999999</v>
      </c>
      <c r="F71">
        <v>160.38499999999999</v>
      </c>
      <c r="G71">
        <v>2.855</v>
      </c>
      <c r="H71">
        <v>9.14</v>
      </c>
      <c r="I71">
        <v>3.407</v>
      </c>
      <c r="J71">
        <v>211.05799999999999</v>
      </c>
      <c r="K71">
        <v>0.01</v>
      </c>
      <c r="L71">
        <v>1E-3</v>
      </c>
      <c r="M71">
        <v>100</v>
      </c>
      <c r="N71">
        <v>230.16200000000001</v>
      </c>
      <c r="O71">
        <v>0.51900000000000002</v>
      </c>
      <c r="P71">
        <v>0.63</v>
      </c>
      <c r="Q71">
        <v>0.129</v>
      </c>
      <c r="R71">
        <v>0.91800000000000004</v>
      </c>
      <c r="S71">
        <v>0.505</v>
      </c>
      <c r="U71" t="s">
        <v>33</v>
      </c>
      <c r="V71" t="s">
        <v>35</v>
      </c>
      <c r="W71">
        <v>3</v>
      </c>
      <c r="X71" t="s">
        <v>32</v>
      </c>
      <c r="Y71">
        <f t="shared" si="2"/>
        <v>-0.78900000000000003</v>
      </c>
      <c r="Z71">
        <f t="shared" si="3"/>
        <v>-0.11099999999999999</v>
      </c>
    </row>
    <row r="72" spans="1:26" x14ac:dyDescent="0.2">
      <c r="A72" t="s">
        <v>21</v>
      </c>
      <c r="B72">
        <v>3926.25</v>
      </c>
      <c r="C72">
        <v>54.55</v>
      </c>
      <c r="D72">
        <v>22.259</v>
      </c>
      <c r="E72">
        <v>2.512</v>
      </c>
      <c r="F72">
        <v>159.48599999999999</v>
      </c>
      <c r="G72">
        <v>2.8639999999999999</v>
      </c>
      <c r="H72">
        <v>8.8840000000000003</v>
      </c>
      <c r="I72">
        <v>3.3679999999999999</v>
      </c>
      <c r="J72">
        <v>219.15</v>
      </c>
      <c r="K72">
        <v>0.01</v>
      </c>
      <c r="L72">
        <v>1E-3</v>
      </c>
      <c r="M72">
        <v>100</v>
      </c>
      <c r="N72">
        <v>239.27600000000001</v>
      </c>
      <c r="O72">
        <v>0.41299999999999998</v>
      </c>
      <c r="P72">
        <v>0.56799999999999995</v>
      </c>
      <c r="Q72">
        <v>8.6999999999999994E-2</v>
      </c>
      <c r="R72">
        <v>0.97099999999999997</v>
      </c>
      <c r="S72">
        <v>0.46800000000000003</v>
      </c>
      <c r="U72" t="s">
        <v>33</v>
      </c>
      <c r="V72" t="s">
        <v>35</v>
      </c>
      <c r="W72">
        <v>3</v>
      </c>
      <c r="X72" t="s">
        <v>32</v>
      </c>
      <c r="Y72">
        <f t="shared" si="2"/>
        <v>-0.88400000000000001</v>
      </c>
      <c r="Z72">
        <f t="shared" si="3"/>
        <v>-0.15499999999999997</v>
      </c>
    </row>
    <row r="73" spans="1:26" x14ac:dyDescent="0.2">
      <c r="A73" t="s">
        <v>21</v>
      </c>
      <c r="B73">
        <v>3926.375</v>
      </c>
      <c r="C73">
        <v>43.914000000000001</v>
      </c>
      <c r="D73">
        <v>22.265000000000001</v>
      </c>
      <c r="E73">
        <v>2.6259999999999999</v>
      </c>
      <c r="F73">
        <v>159.232</v>
      </c>
      <c r="G73">
        <v>2.8679999999999999</v>
      </c>
      <c r="H73">
        <v>8.6679999999999993</v>
      </c>
      <c r="I73">
        <v>3.3380000000000001</v>
      </c>
      <c r="J73">
        <v>262.74799999999999</v>
      </c>
      <c r="K73">
        <v>0.01</v>
      </c>
      <c r="L73">
        <v>1E-3</v>
      </c>
      <c r="M73">
        <v>100</v>
      </c>
      <c r="N73">
        <v>287.48899999999998</v>
      </c>
      <c r="O73">
        <v>0.30299999999999999</v>
      </c>
      <c r="P73">
        <v>0.52100000000000002</v>
      </c>
      <c r="Q73">
        <v>7.2999999999999995E-2</v>
      </c>
      <c r="R73">
        <v>0.997</v>
      </c>
      <c r="S73">
        <v>0.437</v>
      </c>
      <c r="U73" t="s">
        <v>33</v>
      </c>
      <c r="V73" t="s">
        <v>35</v>
      </c>
      <c r="W73">
        <v>3</v>
      </c>
      <c r="X73" t="s">
        <v>32</v>
      </c>
      <c r="Y73">
        <f t="shared" si="2"/>
        <v>-0.92400000000000004</v>
      </c>
      <c r="Z73">
        <f t="shared" si="3"/>
        <v>-0.21800000000000003</v>
      </c>
    </row>
    <row r="74" spans="1:26" x14ac:dyDescent="0.2">
      <c r="A74" t="s">
        <v>21</v>
      </c>
      <c r="B74">
        <v>3926.5</v>
      </c>
      <c r="C74">
        <v>37.868000000000002</v>
      </c>
      <c r="D74">
        <v>22.283000000000001</v>
      </c>
      <c r="E74">
        <v>2.79</v>
      </c>
      <c r="F74">
        <v>159.43700000000001</v>
      </c>
      <c r="G74">
        <v>2.867</v>
      </c>
      <c r="H74">
        <v>8.5090000000000003</v>
      </c>
      <c r="I74">
        <v>3.3140000000000001</v>
      </c>
      <c r="J74">
        <v>353.08300000000003</v>
      </c>
      <c r="K74">
        <v>0.01</v>
      </c>
      <c r="L74">
        <v>1E-3</v>
      </c>
      <c r="M74">
        <v>100</v>
      </c>
      <c r="N74">
        <v>386.94299999999998</v>
      </c>
      <c r="O74">
        <v>0.23499999999999999</v>
      </c>
      <c r="P74">
        <v>0.48299999999999998</v>
      </c>
      <c r="Q74">
        <v>0.08</v>
      </c>
      <c r="R74">
        <v>0.995</v>
      </c>
      <c r="S74">
        <v>0.41299999999999998</v>
      </c>
      <c r="U74" t="s">
        <v>33</v>
      </c>
      <c r="V74" t="s">
        <v>35</v>
      </c>
      <c r="W74">
        <v>3</v>
      </c>
      <c r="X74" t="s">
        <v>32</v>
      </c>
      <c r="Y74">
        <f t="shared" si="2"/>
        <v>-0.91500000000000004</v>
      </c>
      <c r="Z74">
        <f t="shared" si="3"/>
        <v>-0.248</v>
      </c>
    </row>
    <row r="75" spans="1:26" x14ac:dyDescent="0.2">
      <c r="A75" t="s">
        <v>21</v>
      </c>
      <c r="B75">
        <v>3926.625</v>
      </c>
      <c r="C75">
        <v>37.280999999999999</v>
      </c>
      <c r="D75">
        <v>22.294</v>
      </c>
      <c r="E75">
        <v>3.2240000000000002</v>
      </c>
      <c r="F75">
        <v>159.93100000000001</v>
      </c>
      <c r="G75">
        <v>2.8610000000000002</v>
      </c>
      <c r="H75">
        <v>8.4139999999999997</v>
      </c>
      <c r="I75">
        <v>3.2970000000000002</v>
      </c>
      <c r="J75">
        <v>460.14299999999997</v>
      </c>
      <c r="K75">
        <v>0.01</v>
      </c>
      <c r="L75">
        <v>1E-3</v>
      </c>
      <c r="M75">
        <v>100</v>
      </c>
      <c r="N75">
        <v>504.32799999999997</v>
      </c>
      <c r="O75">
        <v>0.223</v>
      </c>
      <c r="P75">
        <v>0.45600000000000002</v>
      </c>
      <c r="Q75">
        <v>0.1</v>
      </c>
      <c r="R75">
        <v>0.96299999999999997</v>
      </c>
      <c r="S75">
        <v>0.39800000000000002</v>
      </c>
      <c r="U75" t="s">
        <v>33</v>
      </c>
      <c r="V75" t="s">
        <v>35</v>
      </c>
      <c r="W75">
        <v>3</v>
      </c>
      <c r="X75" t="s">
        <v>32</v>
      </c>
      <c r="Y75">
        <f t="shared" si="2"/>
        <v>-0.86299999999999999</v>
      </c>
      <c r="Z75">
        <f t="shared" si="3"/>
        <v>-0.23300000000000001</v>
      </c>
    </row>
    <row r="76" spans="1:26" x14ac:dyDescent="0.2">
      <c r="A76" t="s">
        <v>21</v>
      </c>
      <c r="B76">
        <v>3926.75</v>
      </c>
      <c r="C76">
        <v>43.170999999999999</v>
      </c>
      <c r="D76">
        <v>22.305</v>
      </c>
      <c r="E76">
        <v>3.645</v>
      </c>
      <c r="F76">
        <v>160.82900000000001</v>
      </c>
      <c r="G76">
        <v>2.851</v>
      </c>
      <c r="H76">
        <v>8.4220000000000006</v>
      </c>
      <c r="I76">
        <v>3.2930000000000001</v>
      </c>
      <c r="J76">
        <v>514.33699999999999</v>
      </c>
      <c r="K76">
        <v>0.01</v>
      </c>
      <c r="L76">
        <v>1E-3</v>
      </c>
      <c r="M76">
        <v>100</v>
      </c>
      <c r="N76">
        <v>563.06799999999998</v>
      </c>
      <c r="O76">
        <v>0.27600000000000002</v>
      </c>
      <c r="P76">
        <v>0.44800000000000001</v>
      </c>
      <c r="Q76">
        <v>0.13700000000000001</v>
      </c>
      <c r="R76">
        <v>0.90800000000000003</v>
      </c>
      <c r="S76">
        <v>0.39700000000000002</v>
      </c>
      <c r="U76" t="s">
        <v>33</v>
      </c>
      <c r="V76" t="s">
        <v>35</v>
      </c>
      <c r="W76">
        <v>3</v>
      </c>
      <c r="X76" t="s">
        <v>32</v>
      </c>
      <c r="Y76">
        <f t="shared" si="2"/>
        <v>-0.77100000000000002</v>
      </c>
      <c r="Z76">
        <f t="shared" si="3"/>
        <v>-0.17199999999999999</v>
      </c>
    </row>
    <row r="77" spans="1:26" x14ac:dyDescent="0.2">
      <c r="A77" t="s">
        <v>21</v>
      </c>
      <c r="B77">
        <v>3926.875</v>
      </c>
      <c r="C77">
        <v>55.884</v>
      </c>
      <c r="D77">
        <v>22.343</v>
      </c>
      <c r="E77">
        <v>3.7829999999999999</v>
      </c>
      <c r="F77">
        <v>162.339</v>
      </c>
      <c r="G77">
        <v>2.8380000000000001</v>
      </c>
      <c r="H77">
        <v>8.6359999999999992</v>
      </c>
      <c r="I77">
        <v>3.3069999999999999</v>
      </c>
      <c r="J77">
        <v>481.137</v>
      </c>
      <c r="K77">
        <v>0.01</v>
      </c>
      <c r="L77">
        <v>1E-3</v>
      </c>
      <c r="M77">
        <v>100</v>
      </c>
      <c r="N77">
        <v>525.60500000000002</v>
      </c>
      <c r="O77">
        <v>0.4</v>
      </c>
      <c r="P77">
        <v>0.46600000000000003</v>
      </c>
      <c r="Q77">
        <v>0.2</v>
      </c>
      <c r="R77">
        <v>0.83499999999999996</v>
      </c>
      <c r="S77">
        <v>0.42499999999999999</v>
      </c>
      <c r="U77" t="s">
        <v>33</v>
      </c>
      <c r="V77" t="s">
        <v>35</v>
      </c>
      <c r="W77">
        <v>3</v>
      </c>
      <c r="X77" t="s">
        <v>32</v>
      </c>
      <c r="Y77">
        <f t="shared" si="2"/>
        <v>-0.63500000000000001</v>
      </c>
      <c r="Z77">
        <f t="shared" si="3"/>
        <v>-6.6000000000000003E-2</v>
      </c>
    </row>
    <row r="78" spans="1:26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17</v>
      </c>
      <c r="S78" t="s">
        <v>18</v>
      </c>
      <c r="T78" t="s">
        <v>19</v>
      </c>
      <c r="U78" t="s">
        <v>20</v>
      </c>
      <c r="Y78" t="e">
        <f t="shared" si="2"/>
        <v>#VALUE!</v>
      </c>
      <c r="Z78" t="e">
        <f t="shared" si="3"/>
        <v>#VALUE!</v>
      </c>
    </row>
    <row r="79" spans="1:26" x14ac:dyDescent="0.2">
      <c r="A79" t="s">
        <v>21</v>
      </c>
      <c r="B79">
        <v>3926.875</v>
      </c>
      <c r="C79">
        <v>55.884</v>
      </c>
      <c r="D79">
        <v>22.343</v>
      </c>
      <c r="E79">
        <v>3.7829999999999999</v>
      </c>
      <c r="F79">
        <v>162.339</v>
      </c>
      <c r="G79">
        <v>2.8380000000000001</v>
      </c>
      <c r="H79">
        <v>8.6359999999999992</v>
      </c>
      <c r="I79">
        <v>3.3069999999999999</v>
      </c>
      <c r="J79">
        <v>481.137</v>
      </c>
      <c r="K79">
        <v>0.01</v>
      </c>
      <c r="L79">
        <v>1E-3</v>
      </c>
      <c r="M79">
        <v>100</v>
      </c>
      <c r="N79">
        <v>525.60500000000002</v>
      </c>
      <c r="O79">
        <v>0.4</v>
      </c>
      <c r="P79">
        <v>0.46600000000000003</v>
      </c>
      <c r="Q79">
        <v>0.2</v>
      </c>
      <c r="R79">
        <v>0.83499999999999996</v>
      </c>
      <c r="S79">
        <v>0.42499999999999999</v>
      </c>
      <c r="U79" t="s">
        <v>33</v>
      </c>
      <c r="V79" t="s">
        <v>37</v>
      </c>
      <c r="W79">
        <v>4</v>
      </c>
      <c r="Y79">
        <f t="shared" si="2"/>
        <v>-0.63500000000000001</v>
      </c>
      <c r="Z79">
        <f t="shared" si="3"/>
        <v>-6.6000000000000003E-2</v>
      </c>
    </row>
    <row r="80" spans="1:26" x14ac:dyDescent="0.2">
      <c r="A80" t="s">
        <v>21</v>
      </c>
      <c r="B80">
        <v>3927</v>
      </c>
      <c r="C80">
        <v>73.286000000000001</v>
      </c>
      <c r="D80">
        <v>22.422000000000001</v>
      </c>
      <c r="E80">
        <v>3.8130000000000002</v>
      </c>
      <c r="F80">
        <v>164.41900000000001</v>
      </c>
      <c r="G80">
        <v>2.823</v>
      </c>
      <c r="H80">
        <v>9.109</v>
      </c>
      <c r="I80">
        <v>3.3380000000000001</v>
      </c>
      <c r="J80">
        <v>389.07600000000002</v>
      </c>
      <c r="K80">
        <v>0.01</v>
      </c>
      <c r="L80">
        <v>1E-3</v>
      </c>
      <c r="M80">
        <v>100</v>
      </c>
      <c r="N80">
        <v>423.81</v>
      </c>
      <c r="O80">
        <v>0.57299999999999995</v>
      </c>
      <c r="P80">
        <v>0.51100000000000001</v>
      </c>
      <c r="Q80">
        <v>0.28799999999999998</v>
      </c>
      <c r="R80">
        <v>0.75</v>
      </c>
      <c r="S80">
        <v>0.48899999999999999</v>
      </c>
      <c r="U80" t="s">
        <v>33</v>
      </c>
      <c r="V80" t="s">
        <v>37</v>
      </c>
      <c r="W80">
        <v>4</v>
      </c>
      <c r="Y80">
        <f t="shared" si="2"/>
        <v>-0.46200000000000002</v>
      </c>
      <c r="Z80">
        <f t="shared" si="3"/>
        <v>6.1999999999999944E-2</v>
      </c>
    </row>
    <row r="81" spans="1:26" x14ac:dyDescent="0.2">
      <c r="A81" t="s">
        <v>21</v>
      </c>
      <c r="B81">
        <v>3927.125</v>
      </c>
      <c r="C81">
        <v>91.259</v>
      </c>
      <c r="D81">
        <v>22.524000000000001</v>
      </c>
      <c r="E81">
        <v>3.8359999999999999</v>
      </c>
      <c r="F81">
        <v>166.59299999999999</v>
      </c>
      <c r="G81">
        <v>2.8090000000000002</v>
      </c>
      <c r="H81">
        <v>9.7940000000000005</v>
      </c>
      <c r="I81">
        <v>3.375</v>
      </c>
      <c r="J81">
        <v>289.24200000000002</v>
      </c>
      <c r="K81">
        <v>0.01</v>
      </c>
      <c r="L81">
        <v>1E-3</v>
      </c>
      <c r="M81">
        <v>100</v>
      </c>
      <c r="N81">
        <v>314.005</v>
      </c>
      <c r="O81">
        <v>0.75800000000000001</v>
      </c>
      <c r="P81">
        <v>0.56599999999999995</v>
      </c>
      <c r="Q81">
        <v>0.38200000000000001</v>
      </c>
      <c r="R81">
        <v>0.66800000000000004</v>
      </c>
      <c r="S81">
        <v>0.58399999999999996</v>
      </c>
      <c r="U81" t="s">
        <v>33</v>
      </c>
      <c r="V81" t="s">
        <v>37</v>
      </c>
      <c r="W81">
        <v>4</v>
      </c>
      <c r="Y81">
        <f t="shared" si="2"/>
        <v>-0.28600000000000003</v>
      </c>
      <c r="Z81">
        <f t="shared" si="3"/>
        <v>0.19200000000000006</v>
      </c>
    </row>
    <row r="82" spans="1:26" x14ac:dyDescent="0.2">
      <c r="A82" t="s">
        <v>21</v>
      </c>
      <c r="B82">
        <v>3927.25</v>
      </c>
      <c r="C82">
        <v>105.294</v>
      </c>
      <c r="D82">
        <v>22.59</v>
      </c>
      <c r="E82">
        <v>3.883</v>
      </c>
      <c r="F82">
        <v>167.95599999999999</v>
      </c>
      <c r="G82">
        <v>2.8</v>
      </c>
      <c r="H82">
        <v>10.545999999999999</v>
      </c>
      <c r="I82">
        <v>3.407</v>
      </c>
      <c r="J82">
        <v>216.327</v>
      </c>
      <c r="K82">
        <v>0.01</v>
      </c>
      <c r="L82">
        <v>1E-3</v>
      </c>
      <c r="M82">
        <v>100</v>
      </c>
      <c r="N82">
        <v>234.15600000000001</v>
      </c>
      <c r="O82">
        <v>0.90700000000000003</v>
      </c>
      <c r="P82">
        <v>0.61599999999999999</v>
      </c>
      <c r="Q82">
        <v>0.44500000000000001</v>
      </c>
      <c r="R82">
        <v>0.61299999999999999</v>
      </c>
      <c r="S82">
        <v>0.69199999999999995</v>
      </c>
      <c r="U82" t="s">
        <v>33</v>
      </c>
      <c r="V82" t="s">
        <v>37</v>
      </c>
      <c r="W82">
        <v>4</v>
      </c>
      <c r="Y82">
        <f t="shared" si="2"/>
        <v>-0.16799999999999998</v>
      </c>
      <c r="Z82">
        <f t="shared" si="3"/>
        <v>0.29100000000000004</v>
      </c>
    </row>
    <row r="83" spans="1:26" x14ac:dyDescent="0.2">
      <c r="A83" t="s">
        <v>21</v>
      </c>
      <c r="B83">
        <v>3927.375</v>
      </c>
      <c r="C83">
        <v>112.732</v>
      </c>
      <c r="D83">
        <v>22.58</v>
      </c>
      <c r="E83">
        <v>4.0209999999999999</v>
      </c>
      <c r="F83">
        <v>168.04400000000001</v>
      </c>
      <c r="G83">
        <v>2.7989999999999999</v>
      </c>
      <c r="H83">
        <v>11.147</v>
      </c>
      <c r="I83">
        <v>3.4129999999999998</v>
      </c>
      <c r="J83">
        <v>171.762</v>
      </c>
      <c r="K83">
        <v>0.01</v>
      </c>
      <c r="L83">
        <v>1E-3</v>
      </c>
      <c r="M83">
        <v>100</v>
      </c>
      <c r="N83">
        <v>185.56700000000001</v>
      </c>
      <c r="O83">
        <v>0.99099999999999999</v>
      </c>
      <c r="P83">
        <v>0.63</v>
      </c>
      <c r="Q83">
        <v>0.45500000000000002</v>
      </c>
      <c r="R83">
        <v>0.60199999999999998</v>
      </c>
      <c r="S83">
        <v>0.78100000000000003</v>
      </c>
      <c r="U83" t="s">
        <v>33</v>
      </c>
      <c r="V83" t="s">
        <v>37</v>
      </c>
      <c r="W83">
        <v>4</v>
      </c>
      <c r="Y83">
        <f t="shared" si="2"/>
        <v>-0.14699999999999996</v>
      </c>
      <c r="Z83">
        <f t="shared" si="3"/>
        <v>0.36099999999999999</v>
      </c>
    </row>
    <row r="84" spans="1:26" x14ac:dyDescent="0.2">
      <c r="A84" t="s">
        <v>21</v>
      </c>
      <c r="B84">
        <v>3927.5</v>
      </c>
      <c r="C84">
        <v>110.48</v>
      </c>
      <c r="D84">
        <v>22.513999999999999</v>
      </c>
      <c r="E84">
        <v>4.0620000000000003</v>
      </c>
      <c r="F84">
        <v>167.21600000000001</v>
      </c>
      <c r="G84">
        <v>2.8069999999999999</v>
      </c>
      <c r="H84">
        <v>11.512</v>
      </c>
      <c r="I84">
        <v>3.3860000000000001</v>
      </c>
      <c r="J84">
        <v>146.441</v>
      </c>
      <c r="K84">
        <v>0.01</v>
      </c>
      <c r="L84">
        <v>1E-3</v>
      </c>
      <c r="M84">
        <v>100</v>
      </c>
      <c r="N84">
        <v>158.065</v>
      </c>
      <c r="O84">
        <v>0.97899999999999998</v>
      </c>
      <c r="P84">
        <v>0.59399999999999997</v>
      </c>
      <c r="Q84">
        <v>0.42299999999999999</v>
      </c>
      <c r="R84">
        <v>0.64200000000000002</v>
      </c>
      <c r="S84">
        <v>0.83699999999999997</v>
      </c>
      <c r="U84" t="s">
        <v>33</v>
      </c>
      <c r="V84" t="s">
        <v>37</v>
      </c>
      <c r="W84">
        <v>4</v>
      </c>
      <c r="Y84">
        <f t="shared" si="2"/>
        <v>-0.21900000000000003</v>
      </c>
      <c r="Z84">
        <f t="shared" si="3"/>
        <v>0.38500000000000001</v>
      </c>
    </row>
    <row r="85" spans="1:26" x14ac:dyDescent="0.2">
      <c r="A85" t="s">
        <v>21</v>
      </c>
      <c r="B85">
        <v>3927.625</v>
      </c>
      <c r="C85">
        <v>95.914000000000001</v>
      </c>
      <c r="D85">
        <v>22.45</v>
      </c>
      <c r="E85">
        <v>3.88</v>
      </c>
      <c r="F85">
        <v>166.34700000000001</v>
      </c>
      <c r="G85">
        <v>2.819</v>
      </c>
      <c r="H85">
        <v>11.725</v>
      </c>
      <c r="I85">
        <v>3.327</v>
      </c>
      <c r="J85">
        <v>139.17099999999999</v>
      </c>
      <c r="K85">
        <v>0.01</v>
      </c>
      <c r="L85">
        <v>1E-3</v>
      </c>
      <c r="M85">
        <v>100</v>
      </c>
      <c r="N85">
        <v>150.184</v>
      </c>
      <c r="O85">
        <v>0.84299999999999997</v>
      </c>
      <c r="P85">
        <v>0.50900000000000001</v>
      </c>
      <c r="Q85">
        <v>0.38600000000000001</v>
      </c>
      <c r="R85">
        <v>0.70899999999999996</v>
      </c>
      <c r="S85">
        <v>0.871</v>
      </c>
      <c r="U85" t="s">
        <v>33</v>
      </c>
      <c r="V85" t="s">
        <v>37</v>
      </c>
      <c r="W85">
        <v>4</v>
      </c>
      <c r="Y85">
        <f t="shared" si="2"/>
        <v>-0.32299999999999995</v>
      </c>
      <c r="Z85">
        <f t="shared" si="3"/>
        <v>0.33399999999999996</v>
      </c>
    </row>
    <row r="86" spans="1:26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  <c r="O86" t="s">
        <v>14</v>
      </c>
      <c r="P86" t="s">
        <v>15</v>
      </c>
      <c r="Q86" t="s">
        <v>16</v>
      </c>
      <c r="R86" t="s">
        <v>17</v>
      </c>
      <c r="S86" t="s">
        <v>18</v>
      </c>
      <c r="T86" t="s">
        <v>19</v>
      </c>
      <c r="U86" t="s">
        <v>20</v>
      </c>
      <c r="Y86" t="e">
        <f t="shared" si="2"/>
        <v>#VALUE!</v>
      </c>
      <c r="Z86" t="e">
        <f t="shared" si="3"/>
        <v>#VALUE!</v>
      </c>
    </row>
    <row r="87" spans="1:26" x14ac:dyDescent="0.2">
      <c r="A87" t="s">
        <v>38</v>
      </c>
      <c r="B87">
        <v>4029.375</v>
      </c>
      <c r="C87">
        <v>74.936000000000007</v>
      </c>
      <c r="D87">
        <v>21.866</v>
      </c>
      <c r="E87">
        <v>4.38</v>
      </c>
      <c r="F87">
        <v>172.02099999999999</v>
      </c>
      <c r="G87">
        <v>2.6880000000000002</v>
      </c>
      <c r="H87">
        <v>10.741</v>
      </c>
      <c r="I87">
        <v>3.9630000000000001</v>
      </c>
      <c r="J87">
        <v>141.828</v>
      </c>
      <c r="K87">
        <v>1.9139999999999999</v>
      </c>
      <c r="L87">
        <v>0.1</v>
      </c>
      <c r="M87">
        <v>100</v>
      </c>
      <c r="N87">
        <v>134.32300000000001</v>
      </c>
      <c r="O87">
        <v>0.49299999999999999</v>
      </c>
      <c r="P87">
        <v>0.92600000000000005</v>
      </c>
      <c r="Q87">
        <v>0.60399999999999998</v>
      </c>
      <c r="R87">
        <v>0.47499999999999998</v>
      </c>
      <c r="S87">
        <v>0.50700000000000001</v>
      </c>
      <c r="U87" t="s">
        <v>22</v>
      </c>
      <c r="V87" t="s">
        <v>30</v>
      </c>
      <c r="W87">
        <v>1</v>
      </c>
      <c r="X87" t="s">
        <v>31</v>
      </c>
      <c r="Y87">
        <f t="shared" si="2"/>
        <v>0.129</v>
      </c>
      <c r="Z87">
        <f t="shared" si="3"/>
        <v>-0.43300000000000005</v>
      </c>
    </row>
    <row r="88" spans="1:26" x14ac:dyDescent="0.2">
      <c r="A88" t="s">
        <v>38</v>
      </c>
      <c r="B88">
        <v>4029.5</v>
      </c>
      <c r="C88">
        <v>51.646999999999998</v>
      </c>
      <c r="D88">
        <v>21.698</v>
      </c>
      <c r="E88">
        <v>3.4849999999999999</v>
      </c>
      <c r="F88">
        <v>170.661</v>
      </c>
      <c r="G88">
        <v>2.677</v>
      </c>
      <c r="H88">
        <v>11.768000000000001</v>
      </c>
      <c r="I88">
        <v>3.851</v>
      </c>
      <c r="J88">
        <v>82.673000000000002</v>
      </c>
      <c r="K88">
        <v>4.8600000000000003</v>
      </c>
      <c r="L88">
        <v>0.1</v>
      </c>
      <c r="M88">
        <v>100</v>
      </c>
      <c r="N88">
        <v>74.040999999999997</v>
      </c>
      <c r="O88">
        <v>0.30599999999999999</v>
      </c>
      <c r="P88">
        <v>0.85499999999999998</v>
      </c>
      <c r="Q88">
        <v>0.56100000000000005</v>
      </c>
      <c r="R88">
        <v>0.434</v>
      </c>
      <c r="S88">
        <v>0.59199999999999997</v>
      </c>
      <c r="U88" t="s">
        <v>22</v>
      </c>
      <c r="V88" t="s">
        <v>30</v>
      </c>
      <c r="W88">
        <v>1</v>
      </c>
      <c r="X88" t="s">
        <v>31</v>
      </c>
      <c r="Y88">
        <f t="shared" si="2"/>
        <v>0.12700000000000006</v>
      </c>
      <c r="Z88">
        <f t="shared" si="3"/>
        <v>-0.54899999999999993</v>
      </c>
    </row>
    <row r="89" spans="1:26" x14ac:dyDescent="0.2">
      <c r="A89" t="s">
        <v>38</v>
      </c>
      <c r="B89">
        <v>4029.625</v>
      </c>
      <c r="C89">
        <v>34.912999999999997</v>
      </c>
      <c r="D89">
        <v>21.658000000000001</v>
      </c>
      <c r="E89">
        <v>2.9140000000000001</v>
      </c>
      <c r="F89">
        <v>168.90799999999999</v>
      </c>
      <c r="G89">
        <v>2.6680000000000001</v>
      </c>
      <c r="H89">
        <v>13.002000000000001</v>
      </c>
      <c r="I89">
        <v>3.7109999999999999</v>
      </c>
      <c r="J89">
        <v>48.643000000000001</v>
      </c>
      <c r="K89">
        <v>7.0229999999999997</v>
      </c>
      <c r="L89">
        <v>0.47099999999999997</v>
      </c>
      <c r="M89">
        <v>100</v>
      </c>
      <c r="N89">
        <v>42.87</v>
      </c>
      <c r="O89">
        <v>0.159</v>
      </c>
      <c r="P89">
        <v>0.76400000000000001</v>
      </c>
      <c r="Q89">
        <v>0.50700000000000001</v>
      </c>
      <c r="R89">
        <v>0.39600000000000002</v>
      </c>
      <c r="S89">
        <v>0.69299999999999995</v>
      </c>
      <c r="U89" t="s">
        <v>22</v>
      </c>
      <c r="V89" t="s">
        <v>30</v>
      </c>
      <c r="W89">
        <v>1</v>
      </c>
      <c r="X89" t="s">
        <v>31</v>
      </c>
      <c r="Y89">
        <f t="shared" si="2"/>
        <v>0.11099999999999999</v>
      </c>
      <c r="Z89">
        <f t="shared" si="3"/>
        <v>-0.60499999999999998</v>
      </c>
    </row>
    <row r="90" spans="1:26" x14ac:dyDescent="0.2">
      <c r="A90" t="s">
        <v>38</v>
      </c>
      <c r="B90">
        <v>4029.75</v>
      </c>
      <c r="C90">
        <v>26.071999999999999</v>
      </c>
      <c r="D90">
        <v>21.6</v>
      </c>
      <c r="E90">
        <v>2.516</v>
      </c>
      <c r="F90">
        <v>166.23400000000001</v>
      </c>
      <c r="G90">
        <v>2.6619999999999999</v>
      </c>
      <c r="H90">
        <v>14.215</v>
      </c>
      <c r="I90">
        <v>3.5569999999999999</v>
      </c>
      <c r="J90">
        <v>35.445999999999998</v>
      </c>
      <c r="K90">
        <v>8.3800000000000008</v>
      </c>
      <c r="L90">
        <v>1.002</v>
      </c>
      <c r="M90">
        <v>100</v>
      </c>
      <c r="N90">
        <v>31.640999999999998</v>
      </c>
      <c r="O90">
        <v>7.4999999999999997E-2</v>
      </c>
      <c r="P90">
        <v>0.66100000000000003</v>
      </c>
      <c r="Q90">
        <v>0.42699999999999999</v>
      </c>
      <c r="R90">
        <v>0.36899999999999999</v>
      </c>
      <c r="S90">
        <v>0.79700000000000004</v>
      </c>
      <c r="U90" t="s">
        <v>22</v>
      </c>
      <c r="V90" t="s">
        <v>30</v>
      </c>
      <c r="W90">
        <v>1</v>
      </c>
      <c r="X90" t="s">
        <v>31</v>
      </c>
      <c r="Y90">
        <f t="shared" si="2"/>
        <v>5.7999999999999996E-2</v>
      </c>
      <c r="Z90">
        <f t="shared" si="3"/>
        <v>-0.58600000000000008</v>
      </c>
    </row>
    <row r="91" spans="1:26" x14ac:dyDescent="0.2">
      <c r="A91" t="s">
        <v>38</v>
      </c>
      <c r="B91">
        <v>4029.875</v>
      </c>
      <c r="C91">
        <v>21.212</v>
      </c>
      <c r="D91">
        <v>21.6</v>
      </c>
      <c r="E91">
        <v>2.1419999999999999</v>
      </c>
      <c r="F91">
        <v>164.352</v>
      </c>
      <c r="G91">
        <v>2.66</v>
      </c>
      <c r="H91">
        <v>15.215</v>
      </c>
      <c r="I91">
        <v>3.4</v>
      </c>
      <c r="J91">
        <v>30.082000000000001</v>
      </c>
      <c r="K91">
        <v>9.2810000000000006</v>
      </c>
      <c r="L91">
        <v>1.5469999999999999</v>
      </c>
      <c r="M91">
        <v>100</v>
      </c>
      <c r="N91">
        <v>26.815999999999999</v>
      </c>
      <c r="O91">
        <v>2.9000000000000001E-2</v>
      </c>
      <c r="P91">
        <v>0.55600000000000005</v>
      </c>
      <c r="Q91">
        <v>0.36099999999999999</v>
      </c>
      <c r="R91">
        <v>0.35799999999999998</v>
      </c>
      <c r="S91">
        <v>0.88600000000000001</v>
      </c>
      <c r="U91" t="s">
        <v>22</v>
      </c>
      <c r="V91" t="s">
        <v>30</v>
      </c>
      <c r="W91">
        <v>1</v>
      </c>
      <c r="X91" t="s">
        <v>31</v>
      </c>
      <c r="Y91">
        <f t="shared" si="2"/>
        <v>3.0000000000000027E-3</v>
      </c>
      <c r="Z91">
        <f t="shared" si="3"/>
        <v>-0.52700000000000002</v>
      </c>
    </row>
    <row r="92" spans="1:26" x14ac:dyDescent="0.2">
      <c r="A92" t="s">
        <v>38</v>
      </c>
      <c r="B92">
        <v>4030</v>
      </c>
      <c r="C92">
        <v>19.66</v>
      </c>
      <c r="D92">
        <v>21.6</v>
      </c>
      <c r="E92">
        <v>1.7869999999999999</v>
      </c>
      <c r="F92">
        <v>165.72399999999999</v>
      </c>
      <c r="G92">
        <v>2.657</v>
      </c>
      <c r="H92">
        <v>15.907999999999999</v>
      </c>
      <c r="I92">
        <v>3.2490000000000001</v>
      </c>
      <c r="J92">
        <v>26.986999999999998</v>
      </c>
      <c r="K92">
        <v>9.8000000000000007</v>
      </c>
      <c r="L92">
        <v>1.9530000000000001</v>
      </c>
      <c r="M92">
        <v>100</v>
      </c>
      <c r="N92">
        <v>23.425999999999998</v>
      </c>
      <c r="O92">
        <v>1.0999999999999999E-2</v>
      </c>
      <c r="P92">
        <v>0.45300000000000001</v>
      </c>
      <c r="Q92">
        <v>0.38400000000000001</v>
      </c>
      <c r="R92">
        <v>0.34699999999999998</v>
      </c>
      <c r="S92">
        <v>0.95</v>
      </c>
      <c r="U92" t="s">
        <v>22</v>
      </c>
      <c r="V92" t="s">
        <v>30</v>
      </c>
      <c r="W92">
        <v>1</v>
      </c>
      <c r="X92" t="s">
        <v>31</v>
      </c>
      <c r="Y92">
        <f t="shared" si="2"/>
        <v>3.7000000000000033E-2</v>
      </c>
      <c r="Z92">
        <f t="shared" si="3"/>
        <v>-0.442</v>
      </c>
    </row>
    <row r="93" spans="1:26" x14ac:dyDescent="0.2">
      <c r="A93" t="s">
        <v>38</v>
      </c>
      <c r="B93">
        <v>4030.125</v>
      </c>
      <c r="C93">
        <v>18.672999999999998</v>
      </c>
      <c r="D93">
        <v>21.6</v>
      </c>
      <c r="E93">
        <v>1.5720000000000001</v>
      </c>
      <c r="F93">
        <v>169.053</v>
      </c>
      <c r="G93">
        <v>2.6509999999999998</v>
      </c>
      <c r="H93">
        <v>16.245000000000001</v>
      </c>
      <c r="I93">
        <v>3.1139999999999999</v>
      </c>
      <c r="J93">
        <v>25.166</v>
      </c>
      <c r="K93">
        <v>10.186</v>
      </c>
      <c r="L93">
        <v>2.3180000000000001</v>
      </c>
      <c r="M93">
        <v>100</v>
      </c>
      <c r="N93">
        <v>21.262</v>
      </c>
      <c r="O93">
        <v>2E-3</v>
      </c>
      <c r="P93">
        <v>0.35899999999999999</v>
      </c>
      <c r="Q93">
        <v>0.47899999999999998</v>
      </c>
      <c r="R93">
        <v>0.32500000000000001</v>
      </c>
      <c r="S93">
        <v>0.98399999999999999</v>
      </c>
      <c r="U93" t="s">
        <v>22</v>
      </c>
      <c r="V93" t="s">
        <v>30</v>
      </c>
      <c r="W93">
        <v>1</v>
      </c>
      <c r="X93" t="s">
        <v>31</v>
      </c>
      <c r="Y93">
        <f t="shared" si="2"/>
        <v>0.15399999999999997</v>
      </c>
      <c r="Z93">
        <f t="shared" si="3"/>
        <v>-0.35699999999999998</v>
      </c>
    </row>
    <row r="94" spans="1:26" x14ac:dyDescent="0.2">
      <c r="A94" t="s">
        <v>38</v>
      </c>
      <c r="B94">
        <v>4030.25</v>
      </c>
      <c r="C94">
        <v>18.670000000000002</v>
      </c>
      <c r="D94">
        <v>21.6</v>
      </c>
      <c r="E94">
        <v>1.47</v>
      </c>
      <c r="F94">
        <v>170.983</v>
      </c>
      <c r="G94">
        <v>2.64</v>
      </c>
      <c r="H94">
        <v>16.36</v>
      </c>
      <c r="I94">
        <v>2.9969999999999999</v>
      </c>
      <c r="J94">
        <v>23.18</v>
      </c>
      <c r="K94">
        <v>10.536</v>
      </c>
      <c r="L94">
        <v>2.69</v>
      </c>
      <c r="M94">
        <v>100</v>
      </c>
      <c r="N94">
        <v>19.126999999999999</v>
      </c>
      <c r="O94">
        <v>0</v>
      </c>
      <c r="P94">
        <v>0.27800000000000002</v>
      </c>
      <c r="Q94">
        <v>0.55000000000000004</v>
      </c>
      <c r="R94">
        <v>0.28399999999999997</v>
      </c>
      <c r="S94">
        <v>0.998</v>
      </c>
      <c r="U94" t="s">
        <v>22</v>
      </c>
      <c r="V94" t="s">
        <v>30</v>
      </c>
      <c r="W94">
        <v>1</v>
      </c>
      <c r="X94" t="s">
        <v>31</v>
      </c>
      <c r="Y94">
        <f t="shared" si="2"/>
        <v>0.26600000000000007</v>
      </c>
      <c r="Z94">
        <f t="shared" si="3"/>
        <v>-0.27800000000000002</v>
      </c>
    </row>
    <row r="95" spans="1:26" x14ac:dyDescent="0.2">
      <c r="A95" t="s">
        <v>38</v>
      </c>
      <c r="B95">
        <v>4030.375</v>
      </c>
      <c r="C95">
        <v>19.302</v>
      </c>
      <c r="D95">
        <v>21.6</v>
      </c>
      <c r="E95">
        <v>1.4019999999999999</v>
      </c>
      <c r="F95">
        <v>173.001</v>
      </c>
      <c r="G95">
        <v>2.625</v>
      </c>
      <c r="H95">
        <v>16.36</v>
      </c>
      <c r="I95">
        <v>2.8980000000000001</v>
      </c>
      <c r="J95">
        <v>21.933</v>
      </c>
      <c r="K95">
        <v>10.864000000000001</v>
      </c>
      <c r="L95">
        <v>3.077</v>
      </c>
      <c r="M95">
        <v>100</v>
      </c>
      <c r="N95">
        <v>18.129000000000001</v>
      </c>
      <c r="O95">
        <v>4.0000000000000001E-3</v>
      </c>
      <c r="P95">
        <v>0.20799999999999999</v>
      </c>
      <c r="Q95">
        <v>0.61399999999999999</v>
      </c>
      <c r="R95">
        <v>0.22700000000000001</v>
      </c>
      <c r="S95">
        <v>1</v>
      </c>
      <c r="U95" t="s">
        <v>22</v>
      </c>
      <c r="V95" t="s">
        <v>30</v>
      </c>
      <c r="W95">
        <v>1</v>
      </c>
      <c r="X95" t="s">
        <v>31</v>
      </c>
      <c r="Y95">
        <f t="shared" si="2"/>
        <v>0.38700000000000001</v>
      </c>
      <c r="Z95">
        <f t="shared" si="3"/>
        <v>-0.20399999999999999</v>
      </c>
    </row>
    <row r="96" spans="1:26" x14ac:dyDescent="0.2">
      <c r="A96" t="s">
        <v>38</v>
      </c>
      <c r="B96">
        <v>4030.5</v>
      </c>
      <c r="C96">
        <v>19.562999999999999</v>
      </c>
      <c r="D96">
        <v>21.6</v>
      </c>
      <c r="E96">
        <v>1.3089999999999999</v>
      </c>
      <c r="F96">
        <v>175.93700000000001</v>
      </c>
      <c r="G96">
        <v>2.61</v>
      </c>
      <c r="H96">
        <v>16.338000000000001</v>
      </c>
      <c r="I96">
        <v>2.823</v>
      </c>
      <c r="J96">
        <v>21.126000000000001</v>
      </c>
      <c r="K96">
        <v>11.212999999999999</v>
      </c>
      <c r="L96">
        <v>3.5339999999999998</v>
      </c>
      <c r="M96">
        <v>100</v>
      </c>
      <c r="N96">
        <v>17.266999999999999</v>
      </c>
      <c r="O96">
        <v>7.0000000000000001E-3</v>
      </c>
      <c r="P96">
        <v>0.154</v>
      </c>
      <c r="Q96">
        <v>0.70299999999999996</v>
      </c>
      <c r="R96">
        <v>0.16600000000000001</v>
      </c>
      <c r="S96">
        <v>0.999</v>
      </c>
      <c r="U96" t="s">
        <v>22</v>
      </c>
      <c r="V96" t="s">
        <v>30</v>
      </c>
      <c r="W96">
        <v>1</v>
      </c>
      <c r="X96" t="s">
        <v>31</v>
      </c>
      <c r="Y96">
        <f t="shared" si="2"/>
        <v>0.53699999999999992</v>
      </c>
      <c r="Z96">
        <f t="shared" si="3"/>
        <v>-0.14699999999999999</v>
      </c>
    </row>
    <row r="97" spans="1:26" x14ac:dyDescent="0.2">
      <c r="A97" t="s">
        <v>38</v>
      </c>
      <c r="B97">
        <v>4030.625</v>
      </c>
      <c r="C97">
        <v>20.120999999999999</v>
      </c>
      <c r="D97">
        <v>21.6</v>
      </c>
      <c r="E97">
        <v>1.3069999999999999</v>
      </c>
      <c r="F97">
        <v>180.81</v>
      </c>
      <c r="G97">
        <v>2.5990000000000002</v>
      </c>
      <c r="H97">
        <v>16.327999999999999</v>
      </c>
      <c r="I97">
        <v>2.774</v>
      </c>
      <c r="J97">
        <v>20.582999999999998</v>
      </c>
      <c r="K97">
        <v>11.429</v>
      </c>
      <c r="L97">
        <v>3.843</v>
      </c>
      <c r="M97">
        <v>100</v>
      </c>
      <c r="N97">
        <v>16.349</v>
      </c>
      <c r="O97">
        <v>1.0999999999999999E-2</v>
      </c>
      <c r="P97">
        <v>0.11799999999999999</v>
      </c>
      <c r="Q97">
        <v>0.84699999999999998</v>
      </c>
      <c r="R97">
        <v>0.11799999999999999</v>
      </c>
      <c r="S97">
        <v>0.997</v>
      </c>
      <c r="U97" t="s">
        <v>22</v>
      </c>
      <c r="V97" t="s">
        <v>30</v>
      </c>
      <c r="W97">
        <v>1</v>
      </c>
      <c r="X97" t="s">
        <v>31</v>
      </c>
      <c r="Y97">
        <f t="shared" si="2"/>
        <v>0.72899999999999998</v>
      </c>
      <c r="Z97">
        <f t="shared" si="3"/>
        <v>-0.107</v>
      </c>
    </row>
    <row r="98" spans="1:26" x14ac:dyDescent="0.2">
      <c r="A98" t="s">
        <v>38</v>
      </c>
      <c r="B98">
        <v>4030.75</v>
      </c>
      <c r="C98">
        <v>20.175999999999998</v>
      </c>
      <c r="D98">
        <v>21.6</v>
      </c>
      <c r="E98">
        <v>1.641</v>
      </c>
      <c r="F98">
        <v>183.137</v>
      </c>
      <c r="G98">
        <v>2.5920000000000001</v>
      </c>
      <c r="H98">
        <v>16.215</v>
      </c>
      <c r="I98">
        <v>2.7269999999999999</v>
      </c>
      <c r="J98">
        <v>20.268000000000001</v>
      </c>
      <c r="K98">
        <v>11.563000000000001</v>
      </c>
      <c r="L98">
        <v>4.0449999999999999</v>
      </c>
      <c r="M98">
        <v>100</v>
      </c>
      <c r="N98">
        <v>15.702999999999999</v>
      </c>
      <c r="O98">
        <v>1.2E-2</v>
      </c>
      <c r="P98">
        <v>8.5000000000000006E-2</v>
      </c>
      <c r="Q98">
        <v>0.93799999999999994</v>
      </c>
      <c r="R98">
        <v>8.6999999999999994E-2</v>
      </c>
      <c r="S98">
        <v>0.99</v>
      </c>
      <c r="U98" t="s">
        <v>22</v>
      </c>
      <c r="V98" t="s">
        <v>30</v>
      </c>
      <c r="W98">
        <v>1</v>
      </c>
      <c r="X98" t="s">
        <v>31</v>
      </c>
      <c r="Y98">
        <f t="shared" si="2"/>
        <v>0.85099999999999998</v>
      </c>
      <c r="Z98">
        <f t="shared" si="3"/>
        <v>-7.3000000000000009E-2</v>
      </c>
    </row>
    <row r="99" spans="1:26" x14ac:dyDescent="0.2">
      <c r="A99" t="s">
        <v>38</v>
      </c>
      <c r="B99">
        <v>4030.875</v>
      </c>
      <c r="C99">
        <v>19.309999999999999</v>
      </c>
      <c r="D99">
        <v>21.6</v>
      </c>
      <c r="E99">
        <v>2.2639999999999998</v>
      </c>
      <c r="F99">
        <v>182.196</v>
      </c>
      <c r="G99">
        <v>2.5859999999999999</v>
      </c>
      <c r="H99">
        <v>16.12</v>
      </c>
      <c r="I99">
        <v>2.7010000000000001</v>
      </c>
      <c r="J99">
        <v>20.183</v>
      </c>
      <c r="K99">
        <v>11.704000000000001</v>
      </c>
      <c r="L99">
        <v>4.2679999999999998</v>
      </c>
      <c r="M99">
        <v>100</v>
      </c>
      <c r="N99">
        <v>15.292</v>
      </c>
      <c r="O99">
        <v>7.0000000000000001E-3</v>
      </c>
      <c r="P99">
        <v>6.5000000000000002E-2</v>
      </c>
      <c r="Q99">
        <v>0.92900000000000005</v>
      </c>
      <c r="R99">
        <v>6.2E-2</v>
      </c>
      <c r="S99">
        <v>0.98099999999999998</v>
      </c>
      <c r="U99" t="s">
        <v>22</v>
      </c>
      <c r="V99" t="s">
        <v>30</v>
      </c>
      <c r="W99">
        <v>1</v>
      </c>
      <c r="X99" t="s">
        <v>31</v>
      </c>
      <c r="Y99">
        <f t="shared" si="2"/>
        <v>0.86699999999999999</v>
      </c>
      <c r="Z99">
        <f t="shared" si="3"/>
        <v>-5.8000000000000003E-2</v>
      </c>
    </row>
    <row r="100" spans="1:26" x14ac:dyDescent="0.2">
      <c r="A100" t="s">
        <v>38</v>
      </c>
      <c r="B100">
        <v>4031</v>
      </c>
      <c r="C100">
        <v>19.015999999999998</v>
      </c>
      <c r="D100">
        <v>21.6</v>
      </c>
      <c r="E100">
        <v>2.6549999999999998</v>
      </c>
      <c r="F100">
        <v>181.405</v>
      </c>
      <c r="G100">
        <v>2.5819999999999999</v>
      </c>
      <c r="H100">
        <v>16.035</v>
      </c>
      <c r="I100">
        <v>2.6429999999999998</v>
      </c>
      <c r="J100">
        <v>20.279</v>
      </c>
      <c r="K100">
        <v>11.778</v>
      </c>
      <c r="L100">
        <v>4.3860000000000001</v>
      </c>
      <c r="M100">
        <v>100</v>
      </c>
      <c r="N100">
        <v>15.484</v>
      </c>
      <c r="O100">
        <v>3.0000000000000001E-3</v>
      </c>
      <c r="P100">
        <v>0.03</v>
      </c>
      <c r="Q100">
        <v>0.90200000000000002</v>
      </c>
      <c r="R100">
        <v>4.3999999999999997E-2</v>
      </c>
      <c r="S100">
        <v>0.97399999999999998</v>
      </c>
      <c r="U100" t="s">
        <v>22</v>
      </c>
      <c r="V100" t="s">
        <v>30</v>
      </c>
      <c r="W100">
        <v>1</v>
      </c>
      <c r="X100" t="s">
        <v>31</v>
      </c>
      <c r="Y100">
        <f t="shared" si="2"/>
        <v>0.85799999999999998</v>
      </c>
      <c r="Z100">
        <f t="shared" si="3"/>
        <v>-2.7E-2</v>
      </c>
    </row>
    <row r="101" spans="1:26" x14ac:dyDescent="0.2">
      <c r="A101" t="s">
        <v>38</v>
      </c>
      <c r="B101">
        <v>4031.125</v>
      </c>
      <c r="C101">
        <v>19.846</v>
      </c>
      <c r="D101">
        <v>21.6</v>
      </c>
      <c r="E101">
        <v>2.3860000000000001</v>
      </c>
      <c r="F101">
        <v>180.06700000000001</v>
      </c>
      <c r="G101">
        <v>2.581</v>
      </c>
      <c r="H101">
        <v>15.92</v>
      </c>
      <c r="I101">
        <v>2.6160000000000001</v>
      </c>
      <c r="J101">
        <v>20.254000000000001</v>
      </c>
      <c r="K101">
        <v>11.683999999999999</v>
      </c>
      <c r="L101">
        <v>4.2370000000000001</v>
      </c>
      <c r="M101">
        <v>100</v>
      </c>
      <c r="N101">
        <v>15.419</v>
      </c>
      <c r="O101">
        <v>8.0000000000000002E-3</v>
      </c>
      <c r="P101">
        <v>8.0000000000000002E-3</v>
      </c>
      <c r="Q101">
        <v>0.86299999999999999</v>
      </c>
      <c r="R101">
        <v>3.6999999999999998E-2</v>
      </c>
      <c r="S101">
        <v>0.96499999999999997</v>
      </c>
      <c r="U101" t="s">
        <v>22</v>
      </c>
      <c r="V101" t="s">
        <v>30</v>
      </c>
      <c r="W101">
        <v>1</v>
      </c>
      <c r="X101" t="s">
        <v>31</v>
      </c>
      <c r="Y101">
        <f t="shared" si="2"/>
        <v>0.82599999999999996</v>
      </c>
      <c r="Z101">
        <f t="shared" si="3"/>
        <v>0</v>
      </c>
    </row>
    <row r="102" spans="1:26" x14ac:dyDescent="0.2">
      <c r="A102" t="s">
        <v>38</v>
      </c>
      <c r="B102">
        <v>4031.25</v>
      </c>
      <c r="C102">
        <v>21.722999999999999</v>
      </c>
      <c r="D102">
        <v>21.6</v>
      </c>
      <c r="E102">
        <v>2.0409999999999999</v>
      </c>
      <c r="F102">
        <v>177.22499999999999</v>
      </c>
      <c r="G102">
        <v>2.5819999999999999</v>
      </c>
      <c r="H102">
        <v>15.725</v>
      </c>
      <c r="I102">
        <v>2.61</v>
      </c>
      <c r="J102">
        <v>19.931999999999999</v>
      </c>
      <c r="K102">
        <v>11.432</v>
      </c>
      <c r="L102">
        <v>3.851</v>
      </c>
      <c r="M102">
        <v>100</v>
      </c>
      <c r="N102">
        <v>14.897</v>
      </c>
      <c r="O102">
        <v>2.1999999999999999E-2</v>
      </c>
      <c r="P102">
        <v>1E-3</v>
      </c>
      <c r="Q102">
        <v>0.78100000000000003</v>
      </c>
      <c r="R102">
        <v>0.04</v>
      </c>
      <c r="S102">
        <v>0.94899999999999995</v>
      </c>
      <c r="U102" t="s">
        <v>22</v>
      </c>
      <c r="V102" t="s">
        <v>30</v>
      </c>
      <c r="W102">
        <v>1</v>
      </c>
      <c r="X102" t="s">
        <v>31</v>
      </c>
      <c r="Y102">
        <f t="shared" si="2"/>
        <v>0.74099999999999999</v>
      </c>
      <c r="Z102">
        <f t="shared" si="3"/>
        <v>2.0999999999999998E-2</v>
      </c>
    </row>
    <row r="103" spans="1:26" x14ac:dyDescent="0.2">
      <c r="A103" t="s">
        <v>38</v>
      </c>
      <c r="B103">
        <v>4031.375</v>
      </c>
      <c r="C103">
        <v>24.766999999999999</v>
      </c>
      <c r="D103">
        <v>21.6</v>
      </c>
      <c r="E103">
        <v>2.11</v>
      </c>
      <c r="F103">
        <v>175.21199999999999</v>
      </c>
      <c r="G103">
        <v>2.5830000000000002</v>
      </c>
      <c r="H103">
        <v>15.48</v>
      </c>
      <c r="I103">
        <v>2.6579999999999999</v>
      </c>
      <c r="J103">
        <v>20.254999999999999</v>
      </c>
      <c r="K103">
        <v>11.093</v>
      </c>
      <c r="L103">
        <v>3.3740000000000001</v>
      </c>
      <c r="M103">
        <v>100</v>
      </c>
      <c r="N103">
        <v>15.13</v>
      </c>
      <c r="O103">
        <v>4.4999999999999998E-2</v>
      </c>
      <c r="P103">
        <v>2.5999999999999999E-2</v>
      </c>
      <c r="Q103">
        <v>0.71099999999999997</v>
      </c>
      <c r="R103">
        <v>4.3999999999999997E-2</v>
      </c>
      <c r="S103">
        <v>0.92900000000000005</v>
      </c>
      <c r="U103" t="s">
        <v>22</v>
      </c>
      <c r="V103" t="s">
        <v>30</v>
      </c>
      <c r="W103">
        <v>1</v>
      </c>
      <c r="X103" t="s">
        <v>31</v>
      </c>
      <c r="Y103">
        <f t="shared" si="2"/>
        <v>0.66699999999999993</v>
      </c>
      <c r="Z103">
        <f t="shared" si="3"/>
        <v>1.9E-2</v>
      </c>
    </row>
    <row r="104" spans="1:26" x14ac:dyDescent="0.2">
      <c r="A104" t="s">
        <v>38</v>
      </c>
      <c r="B104">
        <v>4031.5</v>
      </c>
      <c r="C104">
        <v>28.324999999999999</v>
      </c>
      <c r="D104">
        <v>21.6</v>
      </c>
      <c r="E104">
        <v>2.4550000000000001</v>
      </c>
      <c r="F104">
        <v>175.52099999999999</v>
      </c>
      <c r="G104">
        <v>2.5819999999999999</v>
      </c>
      <c r="H104">
        <v>15.23</v>
      </c>
      <c r="I104">
        <v>2.7309999999999999</v>
      </c>
      <c r="J104">
        <v>21.414000000000001</v>
      </c>
      <c r="K104">
        <v>10.746</v>
      </c>
      <c r="L104">
        <v>2.93</v>
      </c>
      <c r="M104">
        <v>100</v>
      </c>
      <c r="N104">
        <v>16.163</v>
      </c>
      <c r="O104">
        <v>7.2999999999999995E-2</v>
      </c>
      <c r="P104">
        <v>7.1999999999999995E-2</v>
      </c>
      <c r="Q104">
        <v>0.70599999999999996</v>
      </c>
      <c r="R104">
        <v>4.1000000000000002E-2</v>
      </c>
      <c r="S104">
        <v>0.90800000000000003</v>
      </c>
      <c r="U104" t="s">
        <v>22</v>
      </c>
      <c r="V104" t="s">
        <v>30</v>
      </c>
      <c r="W104">
        <v>1</v>
      </c>
      <c r="X104" t="s">
        <v>31</v>
      </c>
      <c r="Y104">
        <f t="shared" si="2"/>
        <v>0.66499999999999992</v>
      </c>
      <c r="Z104">
        <f t="shared" si="3"/>
        <v>1.0000000000000009E-3</v>
      </c>
    </row>
    <row r="105" spans="1:26" x14ac:dyDescent="0.2">
      <c r="A105" t="s">
        <v>38</v>
      </c>
      <c r="B105">
        <v>4031.625</v>
      </c>
      <c r="C105">
        <v>30.184999999999999</v>
      </c>
      <c r="D105">
        <v>21.6</v>
      </c>
      <c r="E105">
        <v>2.6320000000000001</v>
      </c>
      <c r="F105">
        <v>176.79300000000001</v>
      </c>
      <c r="G105">
        <v>2.5779999999999998</v>
      </c>
      <c r="H105">
        <v>14.994999999999999</v>
      </c>
      <c r="I105">
        <v>2.766</v>
      </c>
      <c r="J105">
        <v>21.888000000000002</v>
      </c>
      <c r="K105">
        <v>10.579000000000001</v>
      </c>
      <c r="L105">
        <v>2.7349999999999999</v>
      </c>
      <c r="M105">
        <v>100</v>
      </c>
      <c r="N105">
        <v>16.838999999999999</v>
      </c>
      <c r="O105">
        <v>9.0999999999999998E-2</v>
      </c>
      <c r="P105">
        <v>0.10100000000000001</v>
      </c>
      <c r="Q105">
        <v>0.74099999999999999</v>
      </c>
      <c r="R105">
        <v>2.8000000000000001E-2</v>
      </c>
      <c r="S105">
        <v>0.88800000000000001</v>
      </c>
      <c r="U105" t="s">
        <v>22</v>
      </c>
      <c r="V105" t="s">
        <v>30</v>
      </c>
      <c r="W105">
        <v>1</v>
      </c>
      <c r="X105" t="s">
        <v>31</v>
      </c>
      <c r="Y105">
        <f t="shared" si="2"/>
        <v>0.71299999999999997</v>
      </c>
      <c r="Z105">
        <f t="shared" si="3"/>
        <v>-1.0000000000000009E-2</v>
      </c>
    </row>
    <row r="106" spans="1:26" x14ac:dyDescent="0.2">
      <c r="A106" t="s">
        <v>38</v>
      </c>
      <c r="B106">
        <v>4031.75</v>
      </c>
      <c r="C106">
        <v>29.895</v>
      </c>
      <c r="D106">
        <v>21.6</v>
      </c>
      <c r="E106">
        <v>2.625</v>
      </c>
      <c r="F106">
        <v>178.173</v>
      </c>
      <c r="G106">
        <v>2.5750000000000002</v>
      </c>
      <c r="H106">
        <v>14.762</v>
      </c>
      <c r="I106">
        <v>2.8340000000000001</v>
      </c>
      <c r="J106">
        <v>21.600999999999999</v>
      </c>
      <c r="K106">
        <v>10.569000000000001</v>
      </c>
      <c r="L106">
        <v>2.7240000000000002</v>
      </c>
      <c r="M106">
        <v>100</v>
      </c>
      <c r="N106">
        <v>16.673999999999999</v>
      </c>
      <c r="O106">
        <v>9.1999999999999998E-2</v>
      </c>
      <c r="P106">
        <v>0.14199999999999999</v>
      </c>
      <c r="Q106">
        <v>0.78400000000000003</v>
      </c>
      <c r="R106">
        <v>1.4999999999999999E-2</v>
      </c>
      <c r="S106">
        <v>0.86799999999999999</v>
      </c>
      <c r="U106" t="s">
        <v>22</v>
      </c>
      <c r="V106" t="s">
        <v>30</v>
      </c>
      <c r="W106">
        <v>1</v>
      </c>
      <c r="X106" t="s">
        <v>31</v>
      </c>
      <c r="Y106">
        <f t="shared" si="2"/>
        <v>0.76900000000000002</v>
      </c>
      <c r="Z106">
        <f t="shared" si="3"/>
        <v>-4.9999999999999989E-2</v>
      </c>
    </row>
    <row r="107" spans="1:26" x14ac:dyDescent="0.2">
      <c r="A107" t="s">
        <v>38</v>
      </c>
      <c r="B107">
        <v>4031.875</v>
      </c>
      <c r="C107">
        <v>28.844999999999999</v>
      </c>
      <c r="D107">
        <v>21.6</v>
      </c>
      <c r="E107">
        <v>2.5459999999999998</v>
      </c>
      <c r="F107">
        <v>180.73400000000001</v>
      </c>
      <c r="G107">
        <v>2.5720000000000001</v>
      </c>
      <c r="H107">
        <v>14.494</v>
      </c>
      <c r="I107">
        <v>2.8660000000000001</v>
      </c>
      <c r="J107">
        <v>21.204999999999998</v>
      </c>
      <c r="K107">
        <v>10.554</v>
      </c>
      <c r="L107">
        <v>2.7069999999999999</v>
      </c>
      <c r="M107">
        <v>100</v>
      </c>
      <c r="N107">
        <v>16.277999999999999</v>
      </c>
      <c r="O107">
        <v>8.4000000000000005E-2</v>
      </c>
      <c r="P107">
        <v>0.16900000000000001</v>
      </c>
      <c r="Q107">
        <v>0.85899999999999999</v>
      </c>
      <c r="R107">
        <v>2E-3</v>
      </c>
      <c r="S107">
        <v>0.84599999999999997</v>
      </c>
      <c r="U107" t="s">
        <v>22</v>
      </c>
      <c r="V107" t="s">
        <v>30</v>
      </c>
      <c r="W107">
        <v>1</v>
      </c>
      <c r="X107" t="s">
        <v>31</v>
      </c>
      <c r="Y107">
        <f t="shared" si="2"/>
        <v>0.85699999999999998</v>
      </c>
      <c r="Z107">
        <f t="shared" si="3"/>
        <v>-8.5000000000000006E-2</v>
      </c>
    </row>
    <row r="108" spans="1:26" x14ac:dyDescent="0.2">
      <c r="A108" t="s">
        <v>38</v>
      </c>
      <c r="B108">
        <v>4032</v>
      </c>
      <c r="C108">
        <v>27.187000000000001</v>
      </c>
      <c r="D108">
        <v>21.6</v>
      </c>
      <c r="E108">
        <v>2.4</v>
      </c>
      <c r="F108">
        <v>181.39500000000001</v>
      </c>
      <c r="G108">
        <v>2.5720000000000001</v>
      </c>
      <c r="H108">
        <v>14.324999999999999</v>
      </c>
      <c r="I108">
        <v>2.8279999999999998</v>
      </c>
      <c r="J108">
        <v>20.841999999999999</v>
      </c>
      <c r="K108">
        <v>10.583</v>
      </c>
      <c r="L108">
        <v>2.7389999999999999</v>
      </c>
      <c r="M108">
        <v>100</v>
      </c>
      <c r="N108">
        <v>16.181999999999999</v>
      </c>
      <c r="O108">
        <v>7.1999999999999995E-2</v>
      </c>
      <c r="P108">
        <v>0.153</v>
      </c>
      <c r="Q108">
        <v>0.89300000000000002</v>
      </c>
      <c r="R108">
        <v>0</v>
      </c>
      <c r="S108">
        <v>0.83</v>
      </c>
      <c r="U108" t="s">
        <v>22</v>
      </c>
      <c r="V108" t="s">
        <v>30</v>
      </c>
      <c r="W108">
        <v>1</v>
      </c>
      <c r="X108" t="s">
        <v>31</v>
      </c>
      <c r="Y108">
        <f t="shared" si="2"/>
        <v>0.89300000000000002</v>
      </c>
      <c r="Z108">
        <f t="shared" si="3"/>
        <v>-8.1000000000000003E-2</v>
      </c>
    </row>
    <row r="109" spans="1:26" x14ac:dyDescent="0.2">
      <c r="A109" t="s">
        <v>38</v>
      </c>
      <c r="B109">
        <v>4032.125</v>
      </c>
      <c r="C109">
        <v>25.24</v>
      </c>
      <c r="D109">
        <v>21.6</v>
      </c>
      <c r="E109">
        <v>2.194</v>
      </c>
      <c r="F109">
        <v>182.55799999999999</v>
      </c>
      <c r="G109">
        <v>2.5739999999999998</v>
      </c>
      <c r="H109">
        <v>14.308</v>
      </c>
      <c r="I109">
        <v>2.78</v>
      </c>
      <c r="J109">
        <v>19.898</v>
      </c>
      <c r="K109">
        <v>10.66</v>
      </c>
      <c r="L109">
        <v>2.8279999999999998</v>
      </c>
      <c r="M109">
        <v>100</v>
      </c>
      <c r="N109">
        <v>15.718999999999999</v>
      </c>
      <c r="O109">
        <v>5.7000000000000002E-2</v>
      </c>
      <c r="P109">
        <v>0.121</v>
      </c>
      <c r="Q109">
        <v>0.92700000000000005</v>
      </c>
      <c r="R109">
        <v>6.0000000000000001E-3</v>
      </c>
      <c r="S109">
        <v>0.82599999999999996</v>
      </c>
      <c r="U109" t="s">
        <v>22</v>
      </c>
      <c r="V109" t="s">
        <v>30</v>
      </c>
      <c r="W109">
        <v>1</v>
      </c>
      <c r="X109" t="s">
        <v>31</v>
      </c>
      <c r="Y109">
        <f t="shared" si="2"/>
        <v>0.92100000000000004</v>
      </c>
      <c r="Z109">
        <f t="shared" si="3"/>
        <v>-6.4000000000000001E-2</v>
      </c>
    </row>
    <row r="110" spans="1:26" x14ac:dyDescent="0.2">
      <c r="A110" t="s">
        <v>38</v>
      </c>
      <c r="B110">
        <v>4032.25</v>
      </c>
      <c r="C110">
        <v>24.596</v>
      </c>
      <c r="D110">
        <v>21.6</v>
      </c>
      <c r="E110">
        <v>1.984</v>
      </c>
      <c r="F110">
        <v>182.55799999999999</v>
      </c>
      <c r="G110">
        <v>2.5790000000000002</v>
      </c>
      <c r="H110">
        <v>14.313000000000001</v>
      </c>
      <c r="I110">
        <v>2.78</v>
      </c>
      <c r="J110">
        <v>19.440000000000001</v>
      </c>
      <c r="K110">
        <v>10.587</v>
      </c>
      <c r="L110">
        <v>2.7450000000000001</v>
      </c>
      <c r="M110">
        <v>100</v>
      </c>
      <c r="N110">
        <v>15.723000000000001</v>
      </c>
      <c r="O110">
        <v>4.9000000000000002E-2</v>
      </c>
      <c r="P110">
        <v>0.115</v>
      </c>
      <c r="Q110">
        <v>0.93400000000000005</v>
      </c>
      <c r="R110">
        <v>2.4E-2</v>
      </c>
      <c r="S110">
        <v>0.82599999999999996</v>
      </c>
      <c r="U110" t="s">
        <v>22</v>
      </c>
      <c r="V110" t="s">
        <v>30</v>
      </c>
      <c r="W110">
        <v>1</v>
      </c>
      <c r="X110" t="s">
        <v>31</v>
      </c>
      <c r="Y110">
        <f t="shared" si="2"/>
        <v>0.91</v>
      </c>
      <c r="Z110">
        <f t="shared" si="3"/>
        <v>-6.6000000000000003E-2</v>
      </c>
    </row>
    <row r="111" spans="1:26" x14ac:dyDescent="0.2">
      <c r="A111" t="s">
        <v>38</v>
      </c>
      <c r="B111">
        <v>4032.375</v>
      </c>
      <c r="C111">
        <v>24.068999999999999</v>
      </c>
      <c r="D111">
        <v>21.6</v>
      </c>
      <c r="E111">
        <v>1.8240000000000001</v>
      </c>
      <c r="F111">
        <v>182.55500000000001</v>
      </c>
      <c r="G111">
        <v>2.5870000000000002</v>
      </c>
      <c r="H111">
        <v>14.206</v>
      </c>
      <c r="I111">
        <v>2.7650000000000001</v>
      </c>
      <c r="J111">
        <v>20.811</v>
      </c>
      <c r="K111">
        <v>10.352</v>
      </c>
      <c r="L111">
        <v>2.488</v>
      </c>
      <c r="M111">
        <v>100</v>
      </c>
      <c r="N111">
        <v>17.483000000000001</v>
      </c>
      <c r="O111">
        <v>4.4999999999999998E-2</v>
      </c>
      <c r="P111">
        <v>0.107</v>
      </c>
      <c r="Q111">
        <v>0.93400000000000005</v>
      </c>
      <c r="R111">
        <v>5.3999999999999999E-2</v>
      </c>
      <c r="S111">
        <v>0.81799999999999995</v>
      </c>
      <c r="U111" t="s">
        <v>22</v>
      </c>
      <c r="V111" t="s">
        <v>30</v>
      </c>
      <c r="W111">
        <v>1</v>
      </c>
      <c r="X111" t="s">
        <v>31</v>
      </c>
      <c r="Y111">
        <f t="shared" si="2"/>
        <v>0.88</v>
      </c>
      <c r="Z111">
        <f t="shared" si="3"/>
        <v>-6.2E-2</v>
      </c>
    </row>
    <row r="112" spans="1:26" x14ac:dyDescent="0.2">
      <c r="A112" t="s">
        <v>38</v>
      </c>
      <c r="B112">
        <v>4032.5</v>
      </c>
      <c r="C112">
        <v>23.259</v>
      </c>
      <c r="D112">
        <v>21.6</v>
      </c>
      <c r="E112">
        <v>1.792</v>
      </c>
      <c r="F112">
        <v>180.45699999999999</v>
      </c>
      <c r="G112">
        <v>2.6</v>
      </c>
      <c r="H112">
        <v>13.84</v>
      </c>
      <c r="I112">
        <v>2.76</v>
      </c>
      <c r="J112">
        <v>23.798999999999999</v>
      </c>
      <c r="K112">
        <v>9.8819999999999997</v>
      </c>
      <c r="L112">
        <v>2.0259999999999998</v>
      </c>
      <c r="M112">
        <v>100</v>
      </c>
      <c r="N112">
        <v>20.440000000000001</v>
      </c>
      <c r="O112">
        <v>3.9E-2</v>
      </c>
      <c r="P112">
        <v>0.10199999999999999</v>
      </c>
      <c r="Q112">
        <v>0.88</v>
      </c>
      <c r="R112">
        <v>0.10299999999999999</v>
      </c>
      <c r="S112">
        <v>0.79200000000000004</v>
      </c>
      <c r="U112" t="s">
        <v>22</v>
      </c>
      <c r="V112" t="s">
        <v>30</v>
      </c>
      <c r="W112">
        <v>1</v>
      </c>
      <c r="X112" t="s">
        <v>31</v>
      </c>
      <c r="Y112">
        <f t="shared" si="2"/>
        <v>0.77700000000000002</v>
      </c>
      <c r="Z112">
        <f t="shared" si="3"/>
        <v>-6.3E-2</v>
      </c>
    </row>
    <row r="113" spans="1:26" x14ac:dyDescent="0.2">
      <c r="A113" t="s">
        <v>38</v>
      </c>
      <c r="B113">
        <v>4032.625</v>
      </c>
      <c r="C113">
        <v>23.175000000000001</v>
      </c>
      <c r="D113">
        <v>21.6</v>
      </c>
      <c r="E113">
        <v>1.9</v>
      </c>
      <c r="F113">
        <v>179.00700000000001</v>
      </c>
      <c r="G113">
        <v>2.6179999999999999</v>
      </c>
      <c r="H113">
        <v>13.348000000000001</v>
      </c>
      <c r="I113">
        <v>2.79</v>
      </c>
      <c r="J113">
        <v>27.420999999999999</v>
      </c>
      <c r="K113">
        <v>9.1880000000000006</v>
      </c>
      <c r="L113">
        <v>1.48</v>
      </c>
      <c r="M113">
        <v>100</v>
      </c>
      <c r="N113">
        <v>23.536000000000001</v>
      </c>
      <c r="O113">
        <v>3.6999999999999998E-2</v>
      </c>
      <c r="P113">
        <v>0.11799999999999999</v>
      </c>
      <c r="Q113">
        <v>0.82899999999999996</v>
      </c>
      <c r="R113">
        <v>0.17199999999999999</v>
      </c>
      <c r="S113">
        <v>0.752</v>
      </c>
      <c r="U113" t="s">
        <v>22</v>
      </c>
      <c r="V113" t="s">
        <v>30</v>
      </c>
      <c r="W113">
        <v>1</v>
      </c>
      <c r="X113" t="s">
        <v>31</v>
      </c>
      <c r="Y113">
        <f t="shared" si="2"/>
        <v>0.65700000000000003</v>
      </c>
      <c r="Z113">
        <f t="shared" si="3"/>
        <v>-8.0999999999999989E-2</v>
      </c>
    </row>
    <row r="114" spans="1:26" x14ac:dyDescent="0.2">
      <c r="A114" t="s">
        <v>38</v>
      </c>
      <c r="B114">
        <v>4032.75</v>
      </c>
      <c r="C114">
        <v>23.562000000000001</v>
      </c>
      <c r="D114">
        <v>21.6</v>
      </c>
      <c r="E114">
        <v>1.9930000000000001</v>
      </c>
      <c r="F114">
        <v>176.98099999999999</v>
      </c>
      <c r="G114">
        <v>2.6389999999999998</v>
      </c>
      <c r="H114">
        <v>12.773999999999999</v>
      </c>
      <c r="I114">
        <v>2.8239999999999998</v>
      </c>
      <c r="J114">
        <v>32.637</v>
      </c>
      <c r="K114">
        <v>8.3320000000000007</v>
      </c>
      <c r="L114">
        <v>0.97099999999999997</v>
      </c>
      <c r="M114">
        <v>100</v>
      </c>
      <c r="N114">
        <v>28.225999999999999</v>
      </c>
      <c r="O114">
        <v>3.9E-2</v>
      </c>
      <c r="P114">
        <v>0.14000000000000001</v>
      </c>
      <c r="Q114">
        <v>0.76800000000000002</v>
      </c>
      <c r="R114">
        <v>0.254</v>
      </c>
      <c r="S114">
        <v>0.70499999999999996</v>
      </c>
      <c r="U114" t="s">
        <v>22</v>
      </c>
      <c r="V114" t="s">
        <v>30</v>
      </c>
      <c r="W114">
        <v>1</v>
      </c>
      <c r="X114" t="s">
        <v>31</v>
      </c>
      <c r="Y114">
        <f t="shared" si="2"/>
        <v>0.51400000000000001</v>
      </c>
      <c r="Z114">
        <f t="shared" si="3"/>
        <v>-0.10100000000000001</v>
      </c>
    </row>
    <row r="115" spans="1:26" x14ac:dyDescent="0.2">
      <c r="A115" t="s">
        <v>38</v>
      </c>
      <c r="B115">
        <v>4032.875</v>
      </c>
      <c r="C115">
        <v>23.37</v>
      </c>
      <c r="D115">
        <v>21.6</v>
      </c>
      <c r="E115">
        <v>1.9730000000000001</v>
      </c>
      <c r="F115">
        <v>173.596</v>
      </c>
      <c r="G115">
        <v>2.653</v>
      </c>
      <c r="H115">
        <v>12.055999999999999</v>
      </c>
      <c r="I115">
        <v>2.84</v>
      </c>
      <c r="J115">
        <v>38.481000000000002</v>
      </c>
      <c r="K115">
        <v>7.5979999999999999</v>
      </c>
      <c r="L115">
        <v>0.64100000000000001</v>
      </c>
      <c r="M115">
        <v>100</v>
      </c>
      <c r="N115">
        <v>33.892000000000003</v>
      </c>
      <c r="O115">
        <v>3.9E-2</v>
      </c>
      <c r="P115">
        <v>0.153</v>
      </c>
      <c r="Q115">
        <v>0.66800000000000004</v>
      </c>
      <c r="R115">
        <v>0.317</v>
      </c>
      <c r="S115">
        <v>0.64600000000000002</v>
      </c>
      <c r="U115" t="s">
        <v>22</v>
      </c>
      <c r="V115" t="s">
        <v>30</v>
      </c>
      <c r="W115">
        <v>1</v>
      </c>
      <c r="X115" t="s">
        <v>31</v>
      </c>
      <c r="Y115">
        <f t="shared" si="2"/>
        <v>0.35100000000000003</v>
      </c>
      <c r="Z115">
        <f t="shared" si="3"/>
        <v>-0.11399999999999999</v>
      </c>
    </row>
    <row r="116" spans="1:26" x14ac:dyDescent="0.2">
      <c r="A116" t="s">
        <v>38</v>
      </c>
      <c r="B116">
        <v>4033</v>
      </c>
      <c r="C116">
        <v>22.962</v>
      </c>
      <c r="D116">
        <v>21.619</v>
      </c>
      <c r="E116">
        <v>1.9970000000000001</v>
      </c>
      <c r="F116">
        <v>170.17500000000001</v>
      </c>
      <c r="G116">
        <v>2.6619999999999999</v>
      </c>
      <c r="H116">
        <v>11.304</v>
      </c>
      <c r="I116">
        <v>2.8660000000000001</v>
      </c>
      <c r="J116">
        <v>46.463999999999999</v>
      </c>
      <c r="K116">
        <v>7.0060000000000002</v>
      </c>
      <c r="L116">
        <v>0.44600000000000001</v>
      </c>
      <c r="M116">
        <v>100</v>
      </c>
      <c r="N116">
        <v>41.792999999999999</v>
      </c>
      <c r="O116">
        <v>3.5999999999999997E-2</v>
      </c>
      <c r="P116">
        <v>0.17</v>
      </c>
      <c r="Q116">
        <v>0.55800000000000005</v>
      </c>
      <c r="R116">
        <v>0.35699999999999998</v>
      </c>
      <c r="S116">
        <v>0.58199999999999996</v>
      </c>
      <c r="U116" t="s">
        <v>22</v>
      </c>
      <c r="V116" t="s">
        <v>30</v>
      </c>
      <c r="W116">
        <v>1</v>
      </c>
      <c r="X116" t="s">
        <v>31</v>
      </c>
      <c r="Y116">
        <f t="shared" si="2"/>
        <v>0.20100000000000007</v>
      </c>
      <c r="Z116">
        <f t="shared" si="3"/>
        <v>-0.13400000000000001</v>
      </c>
    </row>
    <row r="117" spans="1:26" x14ac:dyDescent="0.2">
      <c r="A117" t="s">
        <v>38</v>
      </c>
      <c r="B117">
        <v>4033.125</v>
      </c>
      <c r="C117">
        <v>22.262</v>
      </c>
      <c r="D117">
        <v>21.672999999999998</v>
      </c>
      <c r="E117">
        <v>2.2799999999999998</v>
      </c>
      <c r="F117">
        <v>166.31700000000001</v>
      </c>
      <c r="G117">
        <v>2.6739999999999999</v>
      </c>
      <c r="H117">
        <v>10.619</v>
      </c>
      <c r="I117">
        <v>2.8959999999999999</v>
      </c>
      <c r="J117">
        <v>52.545999999999999</v>
      </c>
      <c r="K117">
        <v>6.367</v>
      </c>
      <c r="L117">
        <v>0.29499999999999998</v>
      </c>
      <c r="M117">
        <v>100</v>
      </c>
      <c r="N117">
        <v>47.482999999999997</v>
      </c>
      <c r="O117">
        <v>0.03</v>
      </c>
      <c r="P117">
        <v>0.189</v>
      </c>
      <c r="Q117">
        <v>0.437</v>
      </c>
      <c r="R117">
        <v>0.40300000000000002</v>
      </c>
      <c r="S117">
        <v>0.52300000000000002</v>
      </c>
      <c r="U117" t="s">
        <v>22</v>
      </c>
      <c r="V117" t="s">
        <v>30</v>
      </c>
      <c r="W117">
        <v>1</v>
      </c>
      <c r="X117" t="s">
        <v>31</v>
      </c>
      <c r="Y117">
        <f t="shared" si="2"/>
        <v>3.3999999999999975E-2</v>
      </c>
      <c r="Z117">
        <f t="shared" si="3"/>
        <v>-0.159</v>
      </c>
    </row>
    <row r="118" spans="1:26" x14ac:dyDescent="0.2">
      <c r="A118" t="s">
        <v>38</v>
      </c>
      <c r="B118">
        <v>4033.25</v>
      </c>
      <c r="C118">
        <v>22.042000000000002</v>
      </c>
      <c r="D118">
        <v>21.701000000000001</v>
      </c>
      <c r="E118">
        <v>2.6190000000000002</v>
      </c>
      <c r="F118">
        <v>163.88300000000001</v>
      </c>
      <c r="G118">
        <v>2.6880000000000002</v>
      </c>
      <c r="H118">
        <v>9.9489999999999998</v>
      </c>
      <c r="I118">
        <v>2.9340000000000002</v>
      </c>
      <c r="J118">
        <v>57.350999999999999</v>
      </c>
      <c r="K118">
        <v>5.6710000000000003</v>
      </c>
      <c r="L118">
        <v>0.18</v>
      </c>
      <c r="M118">
        <v>100</v>
      </c>
      <c r="N118">
        <v>52.287999999999997</v>
      </c>
      <c r="O118">
        <v>2.8000000000000001E-2</v>
      </c>
      <c r="P118">
        <v>0.214</v>
      </c>
      <c r="Q118">
        <v>0.35</v>
      </c>
      <c r="R118">
        <v>0.45800000000000002</v>
      </c>
      <c r="S118">
        <v>0.46600000000000003</v>
      </c>
      <c r="U118" t="s">
        <v>22</v>
      </c>
      <c r="V118" t="s">
        <v>30</v>
      </c>
      <c r="W118">
        <v>1</v>
      </c>
      <c r="X118" t="s">
        <v>31</v>
      </c>
      <c r="Y118">
        <f t="shared" si="2"/>
        <v>-0.10800000000000004</v>
      </c>
      <c r="Z118">
        <f t="shared" si="3"/>
        <v>-0.186</v>
      </c>
    </row>
    <row r="119" spans="1:26" x14ac:dyDescent="0.2">
      <c r="A119" t="s">
        <v>38</v>
      </c>
      <c r="B119">
        <v>4033.375</v>
      </c>
      <c r="C119">
        <v>22.556999999999999</v>
      </c>
      <c r="D119">
        <v>21.710999999999999</v>
      </c>
      <c r="E119">
        <v>2.8050000000000002</v>
      </c>
      <c r="F119">
        <v>161.04300000000001</v>
      </c>
      <c r="G119">
        <v>2.702</v>
      </c>
      <c r="H119">
        <v>9.2959999999999994</v>
      </c>
      <c r="I119">
        <v>2.9740000000000002</v>
      </c>
      <c r="J119">
        <v>63.051000000000002</v>
      </c>
      <c r="K119">
        <v>1.3440000000000001</v>
      </c>
      <c r="L119">
        <v>3.4000000000000002E-2</v>
      </c>
      <c r="M119">
        <v>100</v>
      </c>
      <c r="N119">
        <v>58.216000000000001</v>
      </c>
      <c r="O119">
        <v>3.1E-2</v>
      </c>
      <c r="P119">
        <v>0.24099999999999999</v>
      </c>
      <c r="Q119">
        <v>0.26100000000000001</v>
      </c>
      <c r="R119">
        <v>0.51500000000000001</v>
      </c>
      <c r="S119">
        <v>0.41</v>
      </c>
      <c r="U119" t="s">
        <v>22</v>
      </c>
      <c r="V119" t="s">
        <v>30</v>
      </c>
      <c r="W119">
        <v>1</v>
      </c>
      <c r="X119" t="s">
        <v>31</v>
      </c>
      <c r="Y119">
        <f t="shared" si="2"/>
        <v>-0.254</v>
      </c>
      <c r="Z119">
        <f t="shared" si="3"/>
        <v>-0.21</v>
      </c>
    </row>
    <row r="120" spans="1:26" x14ac:dyDescent="0.2">
      <c r="A120" t="s">
        <v>38</v>
      </c>
      <c r="B120">
        <v>4033.5</v>
      </c>
      <c r="C120">
        <v>22.911999999999999</v>
      </c>
      <c r="D120">
        <v>21.757999999999999</v>
      </c>
      <c r="E120">
        <v>2.8239999999999998</v>
      </c>
      <c r="F120">
        <v>160.50200000000001</v>
      </c>
      <c r="G120">
        <v>2.7120000000000002</v>
      </c>
      <c r="H120">
        <v>8.6539999999999999</v>
      </c>
      <c r="I120">
        <v>3.0430000000000001</v>
      </c>
      <c r="J120">
        <v>69.724999999999994</v>
      </c>
      <c r="K120">
        <v>0</v>
      </c>
      <c r="L120">
        <v>0</v>
      </c>
      <c r="M120">
        <v>100</v>
      </c>
      <c r="N120">
        <v>65.332999999999998</v>
      </c>
      <c r="O120">
        <v>3.4000000000000002E-2</v>
      </c>
      <c r="P120">
        <v>0.28399999999999997</v>
      </c>
      <c r="Q120">
        <v>0.22900000000000001</v>
      </c>
      <c r="R120">
        <v>0.55900000000000005</v>
      </c>
      <c r="S120">
        <v>0.35499999999999998</v>
      </c>
      <c r="U120" t="s">
        <v>22</v>
      </c>
      <c r="V120" t="s">
        <v>30</v>
      </c>
      <c r="W120">
        <v>1</v>
      </c>
      <c r="X120" t="s">
        <v>31</v>
      </c>
      <c r="Y120">
        <f t="shared" si="2"/>
        <v>-0.33000000000000007</v>
      </c>
      <c r="Z120">
        <f t="shared" si="3"/>
        <v>-0.24999999999999997</v>
      </c>
    </row>
    <row r="121" spans="1:26" x14ac:dyDescent="0.2">
      <c r="A121" t="s">
        <v>38</v>
      </c>
      <c r="B121">
        <v>4033.625</v>
      </c>
      <c r="C121">
        <v>23.338999999999999</v>
      </c>
      <c r="D121">
        <v>21.81</v>
      </c>
      <c r="E121">
        <v>2.8159999999999998</v>
      </c>
      <c r="F121">
        <v>157.322</v>
      </c>
      <c r="G121">
        <v>2.722</v>
      </c>
      <c r="H121">
        <v>8.3829999999999991</v>
      </c>
      <c r="I121">
        <v>3.137</v>
      </c>
      <c r="J121">
        <v>81.405000000000001</v>
      </c>
      <c r="K121">
        <v>0</v>
      </c>
      <c r="L121">
        <v>0</v>
      </c>
      <c r="M121">
        <v>100</v>
      </c>
      <c r="N121">
        <v>77.094999999999999</v>
      </c>
      <c r="O121">
        <v>3.6999999999999998E-2</v>
      </c>
      <c r="P121">
        <v>0.34399999999999997</v>
      </c>
      <c r="Q121">
        <v>0.14399999999999999</v>
      </c>
      <c r="R121">
        <v>0.59899999999999998</v>
      </c>
      <c r="S121">
        <v>0.32600000000000001</v>
      </c>
      <c r="U121" t="s">
        <v>22</v>
      </c>
      <c r="V121" t="s">
        <v>30</v>
      </c>
      <c r="W121">
        <v>1</v>
      </c>
      <c r="X121" t="s">
        <v>31</v>
      </c>
      <c r="Y121">
        <f t="shared" si="2"/>
        <v>-0.45499999999999996</v>
      </c>
      <c r="Z121">
        <f t="shared" si="3"/>
        <v>-0.307</v>
      </c>
    </row>
    <row r="122" spans="1:26" x14ac:dyDescent="0.2">
      <c r="A122" t="s">
        <v>38</v>
      </c>
      <c r="B122">
        <v>4033.75</v>
      </c>
      <c r="C122">
        <v>23.645</v>
      </c>
      <c r="D122">
        <v>21.866</v>
      </c>
      <c r="E122">
        <v>2.891</v>
      </c>
      <c r="F122">
        <v>154.18</v>
      </c>
      <c r="G122">
        <v>2.734</v>
      </c>
      <c r="H122">
        <v>8.3670000000000009</v>
      </c>
      <c r="I122">
        <v>3.2010000000000001</v>
      </c>
      <c r="J122">
        <v>92.759</v>
      </c>
      <c r="K122">
        <v>0</v>
      </c>
      <c r="L122">
        <v>0</v>
      </c>
      <c r="M122">
        <v>100</v>
      </c>
      <c r="N122">
        <v>88.537999999999997</v>
      </c>
      <c r="O122">
        <v>0.04</v>
      </c>
      <c r="P122">
        <v>0.39100000000000001</v>
      </c>
      <c r="Q122">
        <v>4.2000000000000003E-2</v>
      </c>
      <c r="R122">
        <v>0.64600000000000002</v>
      </c>
      <c r="S122">
        <v>0.32</v>
      </c>
      <c r="U122" t="s">
        <v>22</v>
      </c>
      <c r="V122" t="s">
        <v>30</v>
      </c>
      <c r="W122">
        <v>1</v>
      </c>
      <c r="X122" t="s">
        <v>31</v>
      </c>
      <c r="Y122">
        <f t="shared" si="2"/>
        <v>-0.60399999999999998</v>
      </c>
      <c r="Z122">
        <f t="shared" si="3"/>
        <v>-0.35100000000000003</v>
      </c>
    </row>
    <row r="123" spans="1:26" x14ac:dyDescent="0.2">
      <c r="A123" t="s">
        <v>38</v>
      </c>
      <c r="B123">
        <v>4033.875</v>
      </c>
      <c r="C123">
        <v>23.995000000000001</v>
      </c>
      <c r="D123">
        <v>21.989000000000001</v>
      </c>
      <c r="E123">
        <v>3.0409999999999999</v>
      </c>
      <c r="F123">
        <v>153.488</v>
      </c>
      <c r="G123">
        <v>2.7509999999999999</v>
      </c>
      <c r="H123">
        <v>8.327</v>
      </c>
      <c r="I123">
        <v>3.22</v>
      </c>
      <c r="J123">
        <v>114.553</v>
      </c>
      <c r="K123">
        <v>0</v>
      </c>
      <c r="L123">
        <v>0</v>
      </c>
      <c r="M123">
        <v>100</v>
      </c>
      <c r="N123">
        <v>110.423</v>
      </c>
      <c r="O123">
        <v>4.2999999999999997E-2</v>
      </c>
      <c r="P123">
        <v>0.41</v>
      </c>
      <c r="Q123">
        <v>4.0000000000000001E-3</v>
      </c>
      <c r="R123">
        <v>0.71099999999999997</v>
      </c>
      <c r="S123">
        <v>0.317</v>
      </c>
      <c r="U123" t="s">
        <v>22</v>
      </c>
      <c r="V123" t="s">
        <v>30</v>
      </c>
      <c r="W123">
        <v>1</v>
      </c>
      <c r="X123" t="s">
        <v>31</v>
      </c>
      <c r="Y123">
        <f t="shared" si="2"/>
        <v>-0.70699999999999996</v>
      </c>
      <c r="Z123">
        <f t="shared" si="3"/>
        <v>-0.36699999999999999</v>
      </c>
    </row>
    <row r="124" spans="1:26" x14ac:dyDescent="0.2">
      <c r="A124" t="s">
        <v>38</v>
      </c>
      <c r="B124">
        <v>4034</v>
      </c>
      <c r="C124">
        <v>25.155999999999999</v>
      </c>
      <c r="D124">
        <v>22.148</v>
      </c>
      <c r="E124">
        <v>3.0129999999999999</v>
      </c>
      <c r="F124">
        <v>153.488</v>
      </c>
      <c r="G124">
        <v>2.762</v>
      </c>
      <c r="H124">
        <v>8.1340000000000003</v>
      </c>
      <c r="I124">
        <v>3.2</v>
      </c>
      <c r="J124">
        <v>149.71700000000001</v>
      </c>
      <c r="K124">
        <v>0</v>
      </c>
      <c r="L124">
        <v>0</v>
      </c>
      <c r="M124">
        <v>100</v>
      </c>
      <c r="N124">
        <v>146.376</v>
      </c>
      <c r="O124">
        <v>5.0999999999999997E-2</v>
      </c>
      <c r="P124">
        <v>0.40200000000000002</v>
      </c>
      <c r="Q124">
        <v>0</v>
      </c>
      <c r="R124">
        <v>0.76</v>
      </c>
      <c r="S124">
        <v>0.30299999999999999</v>
      </c>
      <c r="U124" t="s">
        <v>22</v>
      </c>
      <c r="V124" t="s">
        <v>30</v>
      </c>
      <c r="W124">
        <v>1</v>
      </c>
      <c r="X124" t="s">
        <v>31</v>
      </c>
      <c r="Y124">
        <f t="shared" si="2"/>
        <v>-0.76</v>
      </c>
      <c r="Z124">
        <f t="shared" si="3"/>
        <v>-0.35100000000000003</v>
      </c>
    </row>
    <row r="125" spans="1:26" x14ac:dyDescent="0.2">
      <c r="A125" t="s">
        <v>38</v>
      </c>
      <c r="B125">
        <v>4034.125</v>
      </c>
      <c r="C125">
        <v>25.989000000000001</v>
      </c>
      <c r="D125">
        <v>22.44</v>
      </c>
      <c r="E125">
        <v>2.5049999999999999</v>
      </c>
      <c r="F125">
        <v>154.739</v>
      </c>
      <c r="G125">
        <v>2.7639999999999998</v>
      </c>
      <c r="H125">
        <v>7.8220000000000001</v>
      </c>
      <c r="I125">
        <v>3.1560000000000001</v>
      </c>
      <c r="J125">
        <v>193.03399999999999</v>
      </c>
      <c r="K125">
        <v>0</v>
      </c>
      <c r="L125">
        <v>0</v>
      </c>
      <c r="M125">
        <v>100</v>
      </c>
      <c r="N125">
        <v>191.684</v>
      </c>
      <c r="O125">
        <v>5.8000000000000003E-2</v>
      </c>
      <c r="P125">
        <v>0.375</v>
      </c>
      <c r="Q125">
        <v>3.2000000000000001E-2</v>
      </c>
      <c r="R125">
        <v>0.77600000000000002</v>
      </c>
      <c r="S125">
        <v>0.27900000000000003</v>
      </c>
      <c r="U125" t="s">
        <v>22</v>
      </c>
      <c r="V125" t="s">
        <v>30</v>
      </c>
      <c r="W125">
        <v>1</v>
      </c>
      <c r="X125" t="s">
        <v>31</v>
      </c>
      <c r="Y125">
        <f t="shared" si="2"/>
        <v>-0.74399999999999999</v>
      </c>
      <c r="Z125">
        <f t="shared" si="3"/>
        <v>-0.317</v>
      </c>
    </row>
    <row r="126" spans="1:26" x14ac:dyDescent="0.2">
      <c r="A126" t="s">
        <v>38</v>
      </c>
      <c r="B126">
        <v>4034.25</v>
      </c>
      <c r="C126">
        <v>26.419</v>
      </c>
      <c r="D126">
        <v>22.451000000000001</v>
      </c>
      <c r="E126">
        <v>1.921</v>
      </c>
      <c r="F126">
        <v>156.08500000000001</v>
      </c>
      <c r="G126">
        <v>2.76</v>
      </c>
      <c r="H126">
        <v>7.3570000000000002</v>
      </c>
      <c r="I126">
        <v>3.14</v>
      </c>
      <c r="J126">
        <v>254.09700000000001</v>
      </c>
      <c r="K126">
        <v>0</v>
      </c>
      <c r="L126">
        <v>0</v>
      </c>
      <c r="M126">
        <v>100</v>
      </c>
      <c r="N126">
        <v>258.26299999999998</v>
      </c>
      <c r="O126">
        <v>6.2E-2</v>
      </c>
      <c r="P126">
        <v>0.36099999999999999</v>
      </c>
      <c r="Q126">
        <v>7.4999999999999997E-2</v>
      </c>
      <c r="R126">
        <v>0.76400000000000001</v>
      </c>
      <c r="S126">
        <v>0.24199999999999999</v>
      </c>
      <c r="U126" t="s">
        <v>22</v>
      </c>
      <c r="V126" t="s">
        <v>30</v>
      </c>
      <c r="W126">
        <v>1</v>
      </c>
      <c r="X126" t="s">
        <v>31</v>
      </c>
      <c r="Y126">
        <f t="shared" si="2"/>
        <v>-0.68900000000000006</v>
      </c>
      <c r="Z126">
        <f t="shared" si="3"/>
        <v>-0.29899999999999999</v>
      </c>
    </row>
    <row r="127" spans="1:26" x14ac:dyDescent="0.2">
      <c r="A127" t="s">
        <v>38</v>
      </c>
      <c r="B127">
        <v>4034.375</v>
      </c>
      <c r="C127">
        <v>26.792999999999999</v>
      </c>
      <c r="D127">
        <v>22.54</v>
      </c>
      <c r="E127">
        <v>1.7629999999999999</v>
      </c>
      <c r="F127">
        <v>156.887</v>
      </c>
      <c r="G127">
        <v>2.7610000000000001</v>
      </c>
      <c r="H127">
        <v>6.7960000000000003</v>
      </c>
      <c r="I127">
        <v>3.14</v>
      </c>
      <c r="J127">
        <v>309.06799999999998</v>
      </c>
      <c r="K127">
        <v>0</v>
      </c>
      <c r="L127">
        <v>0</v>
      </c>
      <c r="M127">
        <v>100</v>
      </c>
      <c r="N127">
        <v>319.02300000000002</v>
      </c>
      <c r="O127">
        <v>6.5000000000000002E-2</v>
      </c>
      <c r="P127">
        <v>0.35899999999999999</v>
      </c>
      <c r="Q127">
        <v>0.104</v>
      </c>
      <c r="R127">
        <v>0.76400000000000001</v>
      </c>
      <c r="S127">
        <v>0.19600000000000001</v>
      </c>
      <c r="U127" t="s">
        <v>22</v>
      </c>
      <c r="V127" t="s">
        <v>30</v>
      </c>
      <c r="W127">
        <v>1</v>
      </c>
      <c r="X127" t="s">
        <v>31</v>
      </c>
      <c r="Y127">
        <f t="shared" si="2"/>
        <v>-0.66</v>
      </c>
      <c r="Z127">
        <f t="shared" si="3"/>
        <v>-0.29399999999999998</v>
      </c>
    </row>
    <row r="128" spans="1:26" x14ac:dyDescent="0.2">
      <c r="A128" t="s">
        <v>38</v>
      </c>
      <c r="B128">
        <v>4034.5</v>
      </c>
      <c r="C128">
        <v>26.838999999999999</v>
      </c>
      <c r="D128">
        <v>22.693999999999999</v>
      </c>
      <c r="E128">
        <v>2.0979999999999999</v>
      </c>
      <c r="F128">
        <v>157.50899999999999</v>
      </c>
      <c r="G128">
        <v>2.7639999999999998</v>
      </c>
      <c r="H128">
        <v>6.26</v>
      </c>
      <c r="I128">
        <v>3.18</v>
      </c>
      <c r="J128">
        <v>357.02800000000002</v>
      </c>
      <c r="K128">
        <v>0</v>
      </c>
      <c r="L128">
        <v>0</v>
      </c>
      <c r="M128">
        <v>100</v>
      </c>
      <c r="N128">
        <v>369.91300000000001</v>
      </c>
      <c r="O128">
        <v>6.6000000000000003E-2</v>
      </c>
      <c r="P128">
        <v>0.38</v>
      </c>
      <c r="Q128">
        <v>0.125</v>
      </c>
      <c r="R128">
        <v>0.77500000000000002</v>
      </c>
      <c r="S128">
        <v>0.15</v>
      </c>
      <c r="U128" t="s">
        <v>22</v>
      </c>
      <c r="V128" t="s">
        <v>30</v>
      </c>
      <c r="W128">
        <v>1</v>
      </c>
      <c r="X128" t="s">
        <v>31</v>
      </c>
      <c r="Y128">
        <f t="shared" si="2"/>
        <v>-0.65</v>
      </c>
      <c r="Z128">
        <f t="shared" si="3"/>
        <v>-0.314</v>
      </c>
    </row>
    <row r="129" spans="1:26" x14ac:dyDescent="0.2">
      <c r="A129" t="s">
        <v>38</v>
      </c>
      <c r="B129">
        <v>4034.625</v>
      </c>
      <c r="C129">
        <v>27.774000000000001</v>
      </c>
      <c r="D129">
        <v>22.669</v>
      </c>
      <c r="E129">
        <v>2.5920000000000001</v>
      </c>
      <c r="F129">
        <v>157.18299999999999</v>
      </c>
      <c r="G129">
        <v>2.76</v>
      </c>
      <c r="H129">
        <v>6.0049999999999999</v>
      </c>
      <c r="I129">
        <v>3.2090000000000001</v>
      </c>
      <c r="J129">
        <v>371.80099999999999</v>
      </c>
      <c r="K129">
        <v>0</v>
      </c>
      <c r="L129">
        <v>0</v>
      </c>
      <c r="M129">
        <v>100</v>
      </c>
      <c r="N129">
        <v>389.536</v>
      </c>
      <c r="O129">
        <v>7.2999999999999995E-2</v>
      </c>
      <c r="P129">
        <v>0.40100000000000002</v>
      </c>
      <c r="Q129">
        <v>0.121</v>
      </c>
      <c r="R129">
        <v>0.76400000000000001</v>
      </c>
      <c r="S129">
        <v>0.123</v>
      </c>
      <c r="U129" t="s">
        <v>22</v>
      </c>
      <c r="V129" t="s">
        <v>30</v>
      </c>
      <c r="W129">
        <v>1</v>
      </c>
      <c r="X129" t="s">
        <v>31</v>
      </c>
      <c r="Y129">
        <f t="shared" si="2"/>
        <v>-0.64300000000000002</v>
      </c>
      <c r="Z129">
        <f t="shared" si="3"/>
        <v>-0.32800000000000001</v>
      </c>
    </row>
    <row r="130" spans="1:26" x14ac:dyDescent="0.2">
      <c r="A130" t="s">
        <v>38</v>
      </c>
      <c r="B130">
        <v>4034.75</v>
      </c>
      <c r="C130">
        <v>29.344000000000001</v>
      </c>
      <c r="D130">
        <v>23.062000000000001</v>
      </c>
      <c r="E130">
        <v>3.0089999999999999</v>
      </c>
      <c r="F130">
        <v>156.96</v>
      </c>
      <c r="G130">
        <v>2.7530000000000001</v>
      </c>
      <c r="H130">
        <v>6.2350000000000003</v>
      </c>
      <c r="I130">
        <v>3.2469999999999999</v>
      </c>
      <c r="J130">
        <v>386.03100000000001</v>
      </c>
      <c r="K130">
        <v>0</v>
      </c>
      <c r="L130">
        <v>0</v>
      </c>
      <c r="M130">
        <v>100</v>
      </c>
      <c r="N130">
        <v>408.64299999999997</v>
      </c>
      <c r="O130">
        <v>8.4000000000000005E-2</v>
      </c>
      <c r="P130">
        <v>0.42599999999999999</v>
      </c>
      <c r="Q130">
        <v>0.113</v>
      </c>
      <c r="R130">
        <v>0.73799999999999999</v>
      </c>
      <c r="S130">
        <v>0.13400000000000001</v>
      </c>
      <c r="U130" t="s">
        <v>22</v>
      </c>
      <c r="V130" t="s">
        <v>30</v>
      </c>
      <c r="W130">
        <v>1</v>
      </c>
      <c r="X130" t="s">
        <v>31</v>
      </c>
      <c r="Y130">
        <f t="shared" si="2"/>
        <v>-0.625</v>
      </c>
      <c r="Z130">
        <f t="shared" si="3"/>
        <v>-0.34199999999999997</v>
      </c>
    </row>
    <row r="131" spans="1:26" x14ac:dyDescent="0.2">
      <c r="A131" t="s">
        <v>38</v>
      </c>
      <c r="B131">
        <v>4034.875</v>
      </c>
      <c r="C131">
        <v>30.709</v>
      </c>
      <c r="D131">
        <v>23.305</v>
      </c>
      <c r="E131">
        <v>3.274</v>
      </c>
      <c r="F131">
        <v>158.46799999999999</v>
      </c>
      <c r="G131">
        <v>2.746</v>
      </c>
      <c r="H131">
        <v>6.7809999999999997</v>
      </c>
      <c r="I131">
        <v>3.26</v>
      </c>
      <c r="J131">
        <v>407.83499999999998</v>
      </c>
      <c r="K131">
        <v>0</v>
      </c>
      <c r="L131">
        <v>0</v>
      </c>
      <c r="M131">
        <v>100</v>
      </c>
      <c r="N131">
        <v>435.70499999999998</v>
      </c>
      <c r="O131">
        <v>9.6000000000000002E-2</v>
      </c>
      <c r="P131">
        <v>0.438</v>
      </c>
      <c r="Q131">
        <v>0.15</v>
      </c>
      <c r="R131">
        <v>0.71</v>
      </c>
      <c r="S131">
        <v>0.17599999999999999</v>
      </c>
      <c r="U131" t="s">
        <v>22</v>
      </c>
      <c r="V131" t="s">
        <v>30</v>
      </c>
      <c r="W131">
        <v>1</v>
      </c>
      <c r="X131" t="s">
        <v>31</v>
      </c>
      <c r="Y131">
        <f t="shared" ref="Y131:Y194" si="4">Q131-R131</f>
        <v>-0.55999999999999994</v>
      </c>
      <c r="Z131">
        <f t="shared" ref="Z131:Z194" si="5">O131-P131</f>
        <v>-0.34199999999999997</v>
      </c>
    </row>
    <row r="132" spans="1:26" x14ac:dyDescent="0.2">
      <c r="A132" t="s">
        <v>38</v>
      </c>
      <c r="B132">
        <v>4035</v>
      </c>
      <c r="C132">
        <v>32.484000000000002</v>
      </c>
      <c r="D132">
        <v>23.600999999999999</v>
      </c>
      <c r="E132">
        <v>3.278</v>
      </c>
      <c r="F132">
        <v>161.20699999999999</v>
      </c>
      <c r="G132">
        <v>2.7440000000000002</v>
      </c>
      <c r="H132">
        <v>7.5380000000000003</v>
      </c>
      <c r="I132">
        <v>3.26</v>
      </c>
      <c r="J132">
        <v>442.76600000000002</v>
      </c>
      <c r="K132">
        <v>0</v>
      </c>
      <c r="L132">
        <v>0</v>
      </c>
      <c r="M132">
        <v>100</v>
      </c>
      <c r="N132">
        <v>474.68700000000001</v>
      </c>
      <c r="O132">
        <v>0.11</v>
      </c>
      <c r="P132">
        <v>0.44</v>
      </c>
      <c r="Q132">
        <v>0.23100000000000001</v>
      </c>
      <c r="R132">
        <v>0.69799999999999995</v>
      </c>
      <c r="S132">
        <v>0.23599999999999999</v>
      </c>
      <c r="U132" t="s">
        <v>22</v>
      </c>
      <c r="V132" t="s">
        <v>30</v>
      </c>
      <c r="W132">
        <v>1</v>
      </c>
      <c r="X132" t="s">
        <v>31</v>
      </c>
      <c r="Y132">
        <f t="shared" si="4"/>
        <v>-0.46699999999999997</v>
      </c>
      <c r="Z132">
        <f t="shared" si="5"/>
        <v>-0.33</v>
      </c>
    </row>
    <row r="133" spans="1:26" x14ac:dyDescent="0.2">
      <c r="A133" t="s">
        <v>38</v>
      </c>
      <c r="B133">
        <v>4035.125</v>
      </c>
      <c r="C133">
        <v>35.192999999999998</v>
      </c>
      <c r="D133">
        <v>23.210999999999999</v>
      </c>
      <c r="E133">
        <v>3.0590000000000002</v>
      </c>
      <c r="F133">
        <v>164.631</v>
      </c>
      <c r="G133">
        <v>2.7480000000000002</v>
      </c>
      <c r="H133">
        <v>8.2590000000000003</v>
      </c>
      <c r="I133">
        <v>3.26</v>
      </c>
      <c r="J133">
        <v>518.41399999999999</v>
      </c>
      <c r="K133">
        <v>0</v>
      </c>
      <c r="L133">
        <v>0</v>
      </c>
      <c r="M133">
        <v>100</v>
      </c>
      <c r="N133">
        <v>560.41999999999996</v>
      </c>
      <c r="O133">
        <v>0.13</v>
      </c>
      <c r="P133">
        <v>0.44</v>
      </c>
      <c r="Q133">
        <v>0.33600000000000002</v>
      </c>
      <c r="R133">
        <v>0.70899999999999996</v>
      </c>
      <c r="S133">
        <v>0.29799999999999999</v>
      </c>
      <c r="U133" t="s">
        <v>22</v>
      </c>
      <c r="V133" t="s">
        <v>30</v>
      </c>
      <c r="W133">
        <v>1</v>
      </c>
      <c r="X133" t="s">
        <v>31</v>
      </c>
      <c r="Y133">
        <f t="shared" si="4"/>
        <v>-0.37299999999999994</v>
      </c>
      <c r="Z133">
        <f t="shared" si="5"/>
        <v>-0.31</v>
      </c>
    </row>
    <row r="134" spans="1:26" x14ac:dyDescent="0.2">
      <c r="A134" t="s">
        <v>38</v>
      </c>
      <c r="B134">
        <v>4035.25</v>
      </c>
      <c r="C134">
        <v>40.369</v>
      </c>
      <c r="D134">
        <v>22.966000000000001</v>
      </c>
      <c r="E134">
        <v>2.8490000000000002</v>
      </c>
      <c r="F134">
        <v>170.36500000000001</v>
      </c>
      <c r="G134">
        <v>2.7549999999999999</v>
      </c>
      <c r="H134">
        <v>8.7739999999999991</v>
      </c>
      <c r="I134">
        <v>3.254</v>
      </c>
      <c r="J134">
        <v>568.21900000000005</v>
      </c>
      <c r="K134">
        <v>0</v>
      </c>
      <c r="L134">
        <v>0</v>
      </c>
      <c r="M134">
        <v>100</v>
      </c>
      <c r="N134">
        <v>618.02599999999995</v>
      </c>
      <c r="O134">
        <v>0.16800000000000001</v>
      </c>
      <c r="P134">
        <v>0.437</v>
      </c>
      <c r="Q134">
        <v>0.50600000000000001</v>
      </c>
      <c r="R134">
        <v>0.73499999999999999</v>
      </c>
      <c r="S134">
        <v>0.34599999999999997</v>
      </c>
      <c r="U134" t="s">
        <v>22</v>
      </c>
      <c r="V134" t="s">
        <v>30</v>
      </c>
      <c r="W134">
        <v>1</v>
      </c>
      <c r="X134" t="s">
        <v>31</v>
      </c>
      <c r="Y134">
        <f t="shared" si="4"/>
        <v>-0.22899999999999998</v>
      </c>
      <c r="Z134">
        <f t="shared" si="5"/>
        <v>-0.26900000000000002</v>
      </c>
    </row>
    <row r="135" spans="1:26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17</v>
      </c>
      <c r="S135" t="s">
        <v>18</v>
      </c>
      <c r="T135" t="s">
        <v>19</v>
      </c>
      <c r="U135" t="s">
        <v>20</v>
      </c>
      <c r="Y135" t="e">
        <f t="shared" si="4"/>
        <v>#VALUE!</v>
      </c>
      <c r="Z135" t="e">
        <f t="shared" si="5"/>
        <v>#VALUE!</v>
      </c>
    </row>
    <row r="136" spans="1:26" x14ac:dyDescent="0.2">
      <c r="A136" t="s">
        <v>38</v>
      </c>
      <c r="B136">
        <v>4035.25</v>
      </c>
      <c r="C136">
        <v>40.369</v>
      </c>
      <c r="D136">
        <v>22.966000000000001</v>
      </c>
      <c r="E136">
        <v>2.8490000000000002</v>
      </c>
      <c r="F136">
        <v>170.36500000000001</v>
      </c>
      <c r="G136">
        <v>2.7549999999999999</v>
      </c>
      <c r="H136">
        <v>8.7739999999999991</v>
      </c>
      <c r="I136">
        <v>3.254</v>
      </c>
      <c r="J136">
        <v>568.21900000000005</v>
      </c>
      <c r="K136">
        <v>0</v>
      </c>
      <c r="L136">
        <v>0</v>
      </c>
      <c r="M136">
        <v>100</v>
      </c>
      <c r="N136">
        <v>618.02599999999995</v>
      </c>
      <c r="O136">
        <v>0.16800000000000001</v>
      </c>
      <c r="P136">
        <v>0.437</v>
      </c>
      <c r="Q136">
        <v>0.50600000000000001</v>
      </c>
      <c r="R136">
        <v>0.73499999999999999</v>
      </c>
      <c r="S136">
        <v>0.34599999999999997</v>
      </c>
      <c r="U136" t="s">
        <v>22</v>
      </c>
      <c r="V136" t="s">
        <v>39</v>
      </c>
      <c r="W136">
        <v>2</v>
      </c>
      <c r="X136" t="s">
        <v>31</v>
      </c>
      <c r="Y136">
        <f t="shared" si="4"/>
        <v>-0.22899999999999998</v>
      </c>
      <c r="Z136">
        <f t="shared" si="5"/>
        <v>-0.26900000000000002</v>
      </c>
    </row>
    <row r="137" spans="1:26" x14ac:dyDescent="0.2">
      <c r="A137" t="s">
        <v>38</v>
      </c>
      <c r="B137">
        <v>4035.375</v>
      </c>
      <c r="C137">
        <v>50.826999999999998</v>
      </c>
      <c r="D137">
        <v>23.210999999999999</v>
      </c>
      <c r="E137">
        <v>2.8530000000000002</v>
      </c>
      <c r="F137">
        <v>177.94200000000001</v>
      </c>
      <c r="G137">
        <v>2.758</v>
      </c>
      <c r="H137">
        <v>9.5500000000000007</v>
      </c>
      <c r="I137">
        <v>3.23</v>
      </c>
      <c r="J137">
        <v>550.90700000000004</v>
      </c>
      <c r="K137">
        <v>0</v>
      </c>
      <c r="L137">
        <v>0</v>
      </c>
      <c r="M137">
        <v>100</v>
      </c>
      <c r="N137">
        <v>596.98900000000003</v>
      </c>
      <c r="O137">
        <v>0.245</v>
      </c>
      <c r="P137">
        <v>0.42299999999999999</v>
      </c>
      <c r="Q137">
        <v>0.73699999999999999</v>
      </c>
      <c r="R137">
        <v>0.751</v>
      </c>
      <c r="S137">
        <v>0.40699999999999997</v>
      </c>
      <c r="U137" t="s">
        <v>22</v>
      </c>
      <c r="V137" t="s">
        <v>39</v>
      </c>
      <c r="W137">
        <v>2</v>
      </c>
      <c r="X137" t="s">
        <v>31</v>
      </c>
      <c r="Y137">
        <f t="shared" si="4"/>
        <v>-1.4000000000000012E-2</v>
      </c>
      <c r="Z137">
        <f t="shared" si="5"/>
        <v>-0.17799999999999999</v>
      </c>
    </row>
    <row r="138" spans="1:26" x14ac:dyDescent="0.2">
      <c r="A138" t="s">
        <v>38</v>
      </c>
      <c r="B138">
        <v>4035.5</v>
      </c>
      <c r="C138">
        <v>68.558999999999997</v>
      </c>
      <c r="D138">
        <v>23.57</v>
      </c>
      <c r="E138">
        <v>3.2280000000000002</v>
      </c>
      <c r="F138">
        <v>184.608</v>
      </c>
      <c r="G138">
        <v>2.75</v>
      </c>
      <c r="H138">
        <v>10.96</v>
      </c>
      <c r="I138">
        <v>3.19</v>
      </c>
      <c r="J138">
        <v>474.40499999999997</v>
      </c>
      <c r="K138">
        <v>0</v>
      </c>
      <c r="L138">
        <v>0</v>
      </c>
      <c r="M138">
        <v>100</v>
      </c>
      <c r="N138">
        <v>512.375</v>
      </c>
      <c r="O138">
        <v>0.377</v>
      </c>
      <c r="P138">
        <v>0.39800000000000002</v>
      </c>
      <c r="Q138">
        <v>0.95699999999999996</v>
      </c>
      <c r="R138">
        <v>0.72699999999999998</v>
      </c>
      <c r="S138">
        <v>0.51700000000000002</v>
      </c>
      <c r="U138" t="s">
        <v>33</v>
      </c>
      <c r="V138" t="s">
        <v>39</v>
      </c>
      <c r="W138">
        <v>2</v>
      </c>
      <c r="X138" t="s">
        <v>31</v>
      </c>
      <c r="Y138">
        <f t="shared" si="4"/>
        <v>0.22999999999999998</v>
      </c>
      <c r="Z138">
        <f t="shared" si="5"/>
        <v>-2.1000000000000019E-2</v>
      </c>
    </row>
    <row r="139" spans="1:26" x14ac:dyDescent="0.2">
      <c r="A139" t="s">
        <v>38</v>
      </c>
      <c r="B139">
        <v>4035.625</v>
      </c>
      <c r="C139">
        <v>87.162999999999997</v>
      </c>
      <c r="D139">
        <v>23.635999999999999</v>
      </c>
      <c r="E139">
        <v>3.859</v>
      </c>
      <c r="F139">
        <v>183.251</v>
      </c>
      <c r="G139">
        <v>2.734</v>
      </c>
      <c r="H139">
        <v>12.739000000000001</v>
      </c>
      <c r="I139">
        <v>3.14</v>
      </c>
      <c r="J139">
        <v>445.411</v>
      </c>
      <c r="K139">
        <v>0</v>
      </c>
      <c r="L139">
        <v>0</v>
      </c>
      <c r="M139">
        <v>100</v>
      </c>
      <c r="N139">
        <v>477.79599999999999</v>
      </c>
      <c r="O139">
        <v>0.52700000000000002</v>
      </c>
      <c r="P139">
        <v>0.36499999999999999</v>
      </c>
      <c r="Q139">
        <v>0.96499999999999997</v>
      </c>
      <c r="R139">
        <v>0.66900000000000004</v>
      </c>
      <c r="S139">
        <v>0.66200000000000003</v>
      </c>
      <c r="U139" t="s">
        <v>33</v>
      </c>
      <c r="V139" t="s">
        <v>39</v>
      </c>
      <c r="W139">
        <v>2</v>
      </c>
      <c r="X139" t="s">
        <v>31</v>
      </c>
      <c r="Y139">
        <f t="shared" si="4"/>
        <v>0.29599999999999993</v>
      </c>
      <c r="Z139">
        <f t="shared" si="5"/>
        <v>0.16200000000000003</v>
      </c>
    </row>
    <row r="140" spans="1:26" x14ac:dyDescent="0.2">
      <c r="A140" t="s">
        <v>38</v>
      </c>
      <c r="B140">
        <v>4035.75</v>
      </c>
      <c r="C140">
        <v>100.65900000000001</v>
      </c>
      <c r="D140">
        <v>22.983000000000001</v>
      </c>
      <c r="E140">
        <v>4.367</v>
      </c>
      <c r="F140">
        <v>176.28299999999999</v>
      </c>
      <c r="G140">
        <v>2.722</v>
      </c>
      <c r="H140">
        <v>13.948</v>
      </c>
      <c r="I140">
        <v>3.0950000000000002</v>
      </c>
      <c r="J140">
        <v>438.58600000000001</v>
      </c>
      <c r="K140">
        <v>0</v>
      </c>
      <c r="L140">
        <v>0</v>
      </c>
      <c r="M140">
        <v>100</v>
      </c>
      <c r="N140">
        <v>463.25</v>
      </c>
      <c r="O140">
        <v>0.64500000000000002</v>
      </c>
      <c r="P140">
        <v>0.33400000000000002</v>
      </c>
      <c r="Q140">
        <v>0.77700000000000002</v>
      </c>
      <c r="R140">
        <v>0.61699999999999999</v>
      </c>
      <c r="S140">
        <v>0.77400000000000002</v>
      </c>
      <c r="U140" t="s">
        <v>33</v>
      </c>
      <c r="V140" t="s">
        <v>39</v>
      </c>
      <c r="W140">
        <v>2</v>
      </c>
      <c r="X140" t="s">
        <v>31</v>
      </c>
      <c r="Y140">
        <f t="shared" si="4"/>
        <v>0.16000000000000003</v>
      </c>
      <c r="Z140">
        <f t="shared" si="5"/>
        <v>0.311</v>
      </c>
    </row>
    <row r="141" spans="1:26" x14ac:dyDescent="0.2">
      <c r="A141" t="s">
        <v>38</v>
      </c>
      <c r="B141">
        <v>4035.875</v>
      </c>
      <c r="C141">
        <v>102.849</v>
      </c>
      <c r="D141">
        <v>22.725999999999999</v>
      </c>
      <c r="E141">
        <v>4.5529999999999999</v>
      </c>
      <c r="F141">
        <v>169.07</v>
      </c>
      <c r="G141">
        <v>2.7229999999999999</v>
      </c>
      <c r="H141">
        <v>14.244999999999999</v>
      </c>
      <c r="I141">
        <v>3.08</v>
      </c>
      <c r="J141">
        <v>445.32799999999997</v>
      </c>
      <c r="K141">
        <v>0</v>
      </c>
      <c r="L141">
        <v>0</v>
      </c>
      <c r="M141">
        <v>100</v>
      </c>
      <c r="N141">
        <v>467.87799999999999</v>
      </c>
      <c r="O141">
        <v>0.68100000000000005</v>
      </c>
      <c r="P141">
        <v>0.32</v>
      </c>
      <c r="Q141">
        <v>0.54700000000000004</v>
      </c>
      <c r="R141">
        <v>0.61099999999999999</v>
      </c>
      <c r="S141">
        <v>0.81499999999999995</v>
      </c>
      <c r="U141" t="s">
        <v>33</v>
      </c>
      <c r="V141" t="s">
        <v>39</v>
      </c>
      <c r="W141">
        <v>2</v>
      </c>
      <c r="X141" t="s">
        <v>31</v>
      </c>
      <c r="Y141">
        <f t="shared" si="4"/>
        <v>-6.3999999999999946E-2</v>
      </c>
      <c r="Z141">
        <f t="shared" si="5"/>
        <v>0.36100000000000004</v>
      </c>
    </row>
    <row r="142" spans="1:26" x14ac:dyDescent="0.2">
      <c r="A142" t="s">
        <v>38</v>
      </c>
      <c r="B142">
        <v>4036</v>
      </c>
      <c r="C142">
        <v>93.128</v>
      </c>
      <c r="D142">
        <v>23.106000000000002</v>
      </c>
      <c r="E142">
        <v>4.4109999999999996</v>
      </c>
      <c r="F142">
        <v>163.97800000000001</v>
      </c>
      <c r="G142">
        <v>2.7330000000000001</v>
      </c>
      <c r="H142">
        <v>13.999000000000001</v>
      </c>
      <c r="I142">
        <v>3.0939999999999999</v>
      </c>
      <c r="J142">
        <v>466.56200000000001</v>
      </c>
      <c r="K142">
        <v>0</v>
      </c>
      <c r="L142">
        <v>0</v>
      </c>
      <c r="M142">
        <v>100</v>
      </c>
      <c r="N142">
        <v>494.56799999999998</v>
      </c>
      <c r="O142">
        <v>0.622</v>
      </c>
      <c r="P142">
        <v>0.32600000000000001</v>
      </c>
      <c r="Q142">
        <v>0.37</v>
      </c>
      <c r="R142">
        <v>0.64400000000000002</v>
      </c>
      <c r="S142">
        <v>0.80300000000000005</v>
      </c>
      <c r="U142" t="s">
        <v>33</v>
      </c>
      <c r="V142" t="s">
        <v>39</v>
      </c>
      <c r="W142">
        <v>2</v>
      </c>
      <c r="X142" t="s">
        <v>31</v>
      </c>
      <c r="Y142">
        <f t="shared" si="4"/>
        <v>-0.27400000000000002</v>
      </c>
      <c r="Z142">
        <f t="shared" si="5"/>
        <v>0.29599999999999999</v>
      </c>
    </row>
    <row r="143" spans="1:26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12</v>
      </c>
      <c r="N143" t="s">
        <v>13</v>
      </c>
      <c r="O143" t="s">
        <v>14</v>
      </c>
      <c r="P143" t="s">
        <v>15</v>
      </c>
      <c r="Q143" t="s">
        <v>16</v>
      </c>
      <c r="R143" t="s">
        <v>17</v>
      </c>
      <c r="S143" t="s">
        <v>18</v>
      </c>
      <c r="T143" t="s">
        <v>19</v>
      </c>
      <c r="U143" t="s">
        <v>20</v>
      </c>
      <c r="Y143" t="e">
        <f t="shared" si="4"/>
        <v>#VALUE!</v>
      </c>
      <c r="Z143" t="e">
        <f t="shared" si="5"/>
        <v>#VALUE!</v>
      </c>
    </row>
    <row r="144" spans="1:26" x14ac:dyDescent="0.2">
      <c r="A144" t="s">
        <v>38</v>
      </c>
      <c r="B144">
        <v>4036</v>
      </c>
      <c r="C144">
        <v>93.128</v>
      </c>
      <c r="D144">
        <v>23.106000000000002</v>
      </c>
      <c r="E144">
        <v>4.4109999999999996</v>
      </c>
      <c r="F144">
        <v>163.97800000000001</v>
      </c>
      <c r="G144">
        <v>2.7330000000000001</v>
      </c>
      <c r="H144">
        <v>13.999000000000001</v>
      </c>
      <c r="I144">
        <v>3.0939999999999999</v>
      </c>
      <c r="J144">
        <v>466.56200000000001</v>
      </c>
      <c r="K144">
        <v>0</v>
      </c>
      <c r="L144">
        <v>0</v>
      </c>
      <c r="M144">
        <v>100</v>
      </c>
      <c r="N144">
        <v>494.56799999999998</v>
      </c>
      <c r="O144">
        <v>0.622</v>
      </c>
      <c r="P144">
        <v>0.32600000000000001</v>
      </c>
      <c r="Q144">
        <v>0.37</v>
      </c>
      <c r="R144">
        <v>0.64400000000000002</v>
      </c>
      <c r="S144">
        <v>0.80300000000000005</v>
      </c>
      <c r="U144" t="s">
        <v>33</v>
      </c>
      <c r="V144" t="s">
        <v>30</v>
      </c>
      <c r="W144">
        <v>3</v>
      </c>
      <c r="X144" t="s">
        <v>40</v>
      </c>
      <c r="Y144">
        <f t="shared" si="4"/>
        <v>-0.27400000000000002</v>
      </c>
      <c r="Z144">
        <f t="shared" si="5"/>
        <v>0.29599999999999999</v>
      </c>
    </row>
    <row r="145" spans="1:26" x14ac:dyDescent="0.2">
      <c r="A145" t="s">
        <v>38</v>
      </c>
      <c r="B145">
        <v>4036.125</v>
      </c>
      <c r="C145">
        <v>74.933999999999997</v>
      </c>
      <c r="D145">
        <v>23.67</v>
      </c>
      <c r="E145">
        <v>4.0069999999999997</v>
      </c>
      <c r="F145">
        <v>161.935</v>
      </c>
      <c r="G145">
        <v>2.7519999999999998</v>
      </c>
      <c r="H145">
        <v>13.048</v>
      </c>
      <c r="I145">
        <v>3.1509999999999998</v>
      </c>
      <c r="J145">
        <v>505.76299999999998</v>
      </c>
      <c r="K145">
        <v>0</v>
      </c>
      <c r="L145">
        <v>0</v>
      </c>
      <c r="M145">
        <v>100</v>
      </c>
      <c r="N145">
        <v>545.90599999999995</v>
      </c>
      <c r="O145">
        <v>0.48699999999999999</v>
      </c>
      <c r="P145">
        <v>0.35799999999999998</v>
      </c>
      <c r="Q145">
        <v>0.28499999999999998</v>
      </c>
      <c r="R145">
        <v>0.71299999999999997</v>
      </c>
      <c r="S145">
        <v>0.73399999999999999</v>
      </c>
      <c r="U145" t="s">
        <v>33</v>
      </c>
      <c r="V145" t="s">
        <v>30</v>
      </c>
      <c r="W145">
        <v>3</v>
      </c>
      <c r="X145" t="s">
        <v>40</v>
      </c>
      <c r="Y145">
        <f t="shared" si="4"/>
        <v>-0.42799999999999999</v>
      </c>
      <c r="Z145">
        <f t="shared" si="5"/>
        <v>0.129</v>
      </c>
    </row>
    <row r="146" spans="1:26" x14ac:dyDescent="0.2">
      <c r="A146" t="s">
        <v>38</v>
      </c>
      <c r="B146">
        <v>4036.25</v>
      </c>
      <c r="C146">
        <v>57.000999999999998</v>
      </c>
      <c r="D146">
        <v>23.414999999999999</v>
      </c>
      <c r="E146">
        <v>3.4140000000000001</v>
      </c>
      <c r="F146">
        <v>160.56899999999999</v>
      </c>
      <c r="G146">
        <v>2.7730000000000001</v>
      </c>
      <c r="H146">
        <v>11.542</v>
      </c>
      <c r="I146">
        <v>3.1930000000000001</v>
      </c>
      <c r="J146">
        <v>545.32799999999997</v>
      </c>
      <c r="K146">
        <v>0</v>
      </c>
      <c r="L146">
        <v>0</v>
      </c>
      <c r="M146">
        <v>100</v>
      </c>
      <c r="N146">
        <v>590.625</v>
      </c>
      <c r="O146">
        <v>0.34100000000000003</v>
      </c>
      <c r="P146">
        <v>0.38900000000000001</v>
      </c>
      <c r="Q146">
        <v>0.23599999999999999</v>
      </c>
      <c r="R146">
        <v>0.79700000000000004</v>
      </c>
      <c r="S146">
        <v>0.61499999999999999</v>
      </c>
      <c r="U146" t="s">
        <v>33</v>
      </c>
      <c r="V146" t="s">
        <v>30</v>
      </c>
      <c r="W146">
        <v>3</v>
      </c>
      <c r="X146" t="s">
        <v>40</v>
      </c>
      <c r="Y146">
        <f t="shared" si="4"/>
        <v>-0.56100000000000005</v>
      </c>
      <c r="Z146">
        <f t="shared" si="5"/>
        <v>-4.7999999999999987E-2</v>
      </c>
    </row>
    <row r="147" spans="1:26" x14ac:dyDescent="0.2">
      <c r="A147" t="s">
        <v>38</v>
      </c>
      <c r="B147">
        <v>4036.375</v>
      </c>
      <c r="C147">
        <v>42.250999999999998</v>
      </c>
      <c r="D147">
        <v>23.050999999999998</v>
      </c>
      <c r="E147">
        <v>2.7909999999999999</v>
      </c>
      <c r="F147">
        <v>161.02699999999999</v>
      </c>
      <c r="G147">
        <v>2.79</v>
      </c>
      <c r="H147">
        <v>9.8230000000000004</v>
      </c>
      <c r="I147">
        <v>3.1779999999999999</v>
      </c>
      <c r="J147">
        <v>541.61500000000001</v>
      </c>
      <c r="K147">
        <v>0</v>
      </c>
      <c r="L147">
        <v>0</v>
      </c>
      <c r="M147">
        <v>100</v>
      </c>
      <c r="N147">
        <v>580.745</v>
      </c>
      <c r="O147">
        <v>0.216</v>
      </c>
      <c r="P147">
        <v>0.38600000000000001</v>
      </c>
      <c r="Q147">
        <v>0.23899999999999999</v>
      </c>
      <c r="R147">
        <v>0.86899999999999999</v>
      </c>
      <c r="S147">
        <v>0.47299999999999998</v>
      </c>
      <c r="U147" t="s">
        <v>33</v>
      </c>
      <c r="V147" t="s">
        <v>30</v>
      </c>
      <c r="W147">
        <v>3</v>
      </c>
      <c r="X147" t="s">
        <v>40</v>
      </c>
      <c r="Y147">
        <f t="shared" si="4"/>
        <v>-0.63</v>
      </c>
      <c r="Z147">
        <f t="shared" si="5"/>
        <v>-0.17</v>
      </c>
    </row>
    <row r="148" spans="1:26" x14ac:dyDescent="0.2">
      <c r="A148" t="s">
        <v>38</v>
      </c>
      <c r="B148">
        <v>4036.5</v>
      </c>
      <c r="C148">
        <v>33.048999999999999</v>
      </c>
      <c r="D148">
        <v>22.681999999999999</v>
      </c>
      <c r="E148">
        <v>2.4430000000000001</v>
      </c>
      <c r="F148">
        <v>163.46700000000001</v>
      </c>
      <c r="G148">
        <v>2.7949999999999999</v>
      </c>
      <c r="H148">
        <v>8.3930000000000007</v>
      </c>
      <c r="I148">
        <v>3.1360000000000001</v>
      </c>
      <c r="J148">
        <v>499.23599999999999</v>
      </c>
      <c r="K148">
        <v>0</v>
      </c>
      <c r="L148">
        <v>0</v>
      </c>
      <c r="M148">
        <v>100</v>
      </c>
      <c r="N148">
        <v>525.98099999999999</v>
      </c>
      <c r="O148">
        <v>0.13200000000000001</v>
      </c>
      <c r="P148">
        <v>0.36199999999999999</v>
      </c>
      <c r="Q148">
        <v>0.30499999999999999</v>
      </c>
      <c r="R148">
        <v>0.89900000000000002</v>
      </c>
      <c r="S148">
        <v>0.34599999999999997</v>
      </c>
      <c r="U148" t="s">
        <v>33</v>
      </c>
      <c r="V148" t="s">
        <v>30</v>
      </c>
      <c r="W148">
        <v>3</v>
      </c>
      <c r="X148" t="s">
        <v>40</v>
      </c>
      <c r="Y148">
        <f t="shared" si="4"/>
        <v>-0.59400000000000008</v>
      </c>
      <c r="Z148">
        <f t="shared" si="5"/>
        <v>-0.22999999999999998</v>
      </c>
    </row>
    <row r="149" spans="1:26" x14ac:dyDescent="0.2">
      <c r="A149" t="s">
        <v>38</v>
      </c>
      <c r="B149">
        <v>4036.625</v>
      </c>
      <c r="C149">
        <v>28.72</v>
      </c>
      <c r="D149">
        <v>22.923999999999999</v>
      </c>
      <c r="E149">
        <v>2.3849999999999998</v>
      </c>
      <c r="F149">
        <v>166.453</v>
      </c>
      <c r="G149">
        <v>2.78</v>
      </c>
      <c r="H149">
        <v>7.6669999999999998</v>
      </c>
      <c r="I149">
        <v>3.093</v>
      </c>
      <c r="J149">
        <v>442.49900000000002</v>
      </c>
      <c r="K149">
        <v>0</v>
      </c>
      <c r="L149">
        <v>0</v>
      </c>
      <c r="M149">
        <v>100</v>
      </c>
      <c r="N149">
        <v>457.70100000000002</v>
      </c>
      <c r="O149">
        <v>8.8999999999999996E-2</v>
      </c>
      <c r="P149">
        <v>0.33300000000000002</v>
      </c>
      <c r="Q149">
        <v>0.39700000000000002</v>
      </c>
      <c r="R149">
        <v>0.85399999999999998</v>
      </c>
      <c r="S149">
        <v>0.27200000000000002</v>
      </c>
      <c r="U149" t="s">
        <v>33</v>
      </c>
      <c r="V149" t="s">
        <v>30</v>
      </c>
      <c r="W149">
        <v>3</v>
      </c>
      <c r="X149" t="s">
        <v>40</v>
      </c>
      <c r="Y149">
        <f t="shared" si="4"/>
        <v>-0.45699999999999996</v>
      </c>
      <c r="Z149">
        <f t="shared" si="5"/>
        <v>-0.24400000000000002</v>
      </c>
    </row>
    <row r="150" spans="1:26" x14ac:dyDescent="0.2">
      <c r="A150" t="s">
        <v>38</v>
      </c>
      <c r="B150">
        <v>4036.75</v>
      </c>
      <c r="C150">
        <v>29.77</v>
      </c>
      <c r="D150">
        <v>23.143000000000001</v>
      </c>
      <c r="E150">
        <v>2.3780000000000001</v>
      </c>
      <c r="F150">
        <v>168.40199999999999</v>
      </c>
      <c r="G150">
        <v>2.7549999999999999</v>
      </c>
      <c r="H150">
        <v>7.5209999999999999</v>
      </c>
      <c r="I150">
        <v>3.0569999999999999</v>
      </c>
      <c r="J150">
        <v>418.964</v>
      </c>
      <c r="K150">
        <v>0</v>
      </c>
      <c r="L150">
        <v>0</v>
      </c>
      <c r="M150">
        <v>100</v>
      </c>
      <c r="N150">
        <v>430.12400000000002</v>
      </c>
      <c r="O150">
        <v>8.8999999999999996E-2</v>
      </c>
      <c r="P150">
        <v>0.307</v>
      </c>
      <c r="Q150">
        <v>0.46700000000000003</v>
      </c>
      <c r="R150">
        <v>0.76100000000000001</v>
      </c>
      <c r="S150">
        <v>0.25</v>
      </c>
      <c r="U150" t="s">
        <v>33</v>
      </c>
      <c r="V150" t="s">
        <v>30</v>
      </c>
      <c r="W150">
        <v>3</v>
      </c>
      <c r="X150" t="s">
        <v>40</v>
      </c>
      <c r="Y150">
        <f t="shared" si="4"/>
        <v>-0.29399999999999998</v>
      </c>
      <c r="Z150">
        <f t="shared" si="5"/>
        <v>-0.218</v>
      </c>
    </row>
    <row r="151" spans="1:26" x14ac:dyDescent="0.2">
      <c r="A151" t="s">
        <v>38</v>
      </c>
      <c r="B151">
        <v>4036.875</v>
      </c>
      <c r="C151">
        <v>34.999000000000002</v>
      </c>
      <c r="D151">
        <v>23.443999999999999</v>
      </c>
      <c r="E151">
        <v>2.4990000000000001</v>
      </c>
      <c r="F151">
        <v>168.34700000000001</v>
      </c>
      <c r="G151">
        <v>2.7320000000000002</v>
      </c>
      <c r="H151">
        <v>8.0370000000000008</v>
      </c>
      <c r="I151">
        <v>3.01</v>
      </c>
      <c r="J151">
        <v>437.89100000000002</v>
      </c>
      <c r="K151">
        <v>0</v>
      </c>
      <c r="L151">
        <v>0</v>
      </c>
      <c r="M151">
        <v>100</v>
      </c>
      <c r="N151">
        <v>450.42700000000002</v>
      </c>
      <c r="O151">
        <v>0.124</v>
      </c>
      <c r="P151">
        <v>0.27700000000000002</v>
      </c>
      <c r="Q151">
        <v>0.47799999999999998</v>
      </c>
      <c r="R151">
        <v>0.66600000000000004</v>
      </c>
      <c r="S151">
        <v>0.28299999999999997</v>
      </c>
      <c r="U151" t="s">
        <v>33</v>
      </c>
      <c r="V151" t="s">
        <v>30</v>
      </c>
      <c r="W151">
        <v>3</v>
      </c>
      <c r="X151" t="s">
        <v>40</v>
      </c>
      <c r="Y151">
        <f t="shared" si="4"/>
        <v>-0.18800000000000006</v>
      </c>
      <c r="Z151">
        <f t="shared" si="5"/>
        <v>-0.15300000000000002</v>
      </c>
    </row>
    <row r="152" spans="1:26" x14ac:dyDescent="0.2">
      <c r="A152" t="s">
        <v>38</v>
      </c>
      <c r="B152">
        <v>4037</v>
      </c>
      <c r="C152">
        <v>42.343000000000004</v>
      </c>
      <c r="D152">
        <v>23.361999999999998</v>
      </c>
      <c r="E152">
        <v>2.988</v>
      </c>
      <c r="F152">
        <v>166.786</v>
      </c>
      <c r="G152">
        <v>2.7170000000000001</v>
      </c>
      <c r="H152">
        <v>8.8279999999999994</v>
      </c>
      <c r="I152">
        <v>3.0009999999999999</v>
      </c>
      <c r="J152">
        <v>493.41800000000001</v>
      </c>
      <c r="K152">
        <v>0</v>
      </c>
      <c r="L152">
        <v>0</v>
      </c>
      <c r="M152">
        <v>100</v>
      </c>
      <c r="N152">
        <v>514.22699999999998</v>
      </c>
      <c r="O152">
        <v>0.18099999999999999</v>
      </c>
      <c r="P152">
        <v>0.26600000000000001</v>
      </c>
      <c r="Q152">
        <v>0.437</v>
      </c>
      <c r="R152">
        <v>0.59899999999999998</v>
      </c>
      <c r="S152">
        <v>0.34599999999999997</v>
      </c>
      <c r="U152" t="s">
        <v>33</v>
      </c>
      <c r="V152" t="s">
        <v>30</v>
      </c>
      <c r="W152">
        <v>3</v>
      </c>
      <c r="X152" t="s">
        <v>40</v>
      </c>
      <c r="Y152">
        <f t="shared" si="4"/>
        <v>-0.16199999999999998</v>
      </c>
      <c r="Z152">
        <f t="shared" si="5"/>
        <v>-8.500000000000002E-2</v>
      </c>
    </row>
    <row r="153" spans="1:26" x14ac:dyDescent="0.2">
      <c r="A153" t="s">
        <v>38</v>
      </c>
      <c r="B153">
        <v>4037.125</v>
      </c>
      <c r="C153">
        <v>49.128</v>
      </c>
      <c r="D153">
        <v>23.103999999999999</v>
      </c>
      <c r="E153">
        <v>3.698</v>
      </c>
      <c r="F153">
        <v>164.71700000000001</v>
      </c>
      <c r="G153">
        <v>2.7149999999999999</v>
      </c>
      <c r="H153">
        <v>9.3610000000000007</v>
      </c>
      <c r="I153">
        <v>3.012</v>
      </c>
      <c r="J153">
        <v>656.33399999999995</v>
      </c>
      <c r="K153">
        <v>0</v>
      </c>
      <c r="L153">
        <v>0</v>
      </c>
      <c r="M153">
        <v>100</v>
      </c>
      <c r="N153">
        <v>621.72199999999998</v>
      </c>
      <c r="O153">
        <v>0.23699999999999999</v>
      </c>
      <c r="P153">
        <v>0.27100000000000002</v>
      </c>
      <c r="Q153">
        <v>0.374</v>
      </c>
      <c r="R153">
        <v>0.58099999999999996</v>
      </c>
      <c r="S153">
        <v>0.39500000000000002</v>
      </c>
      <c r="U153" t="s">
        <v>33</v>
      </c>
      <c r="V153" t="s">
        <v>30</v>
      </c>
      <c r="W153">
        <v>3</v>
      </c>
      <c r="X153" t="s">
        <v>40</v>
      </c>
      <c r="Y153">
        <f t="shared" si="4"/>
        <v>-0.20699999999999996</v>
      </c>
      <c r="Z153">
        <f t="shared" si="5"/>
        <v>-3.400000000000003E-2</v>
      </c>
    </row>
    <row r="154" spans="1:26" x14ac:dyDescent="0.2">
      <c r="A154" t="s">
        <v>38</v>
      </c>
      <c r="B154">
        <v>4037.25</v>
      </c>
      <c r="C154">
        <v>54.081000000000003</v>
      </c>
      <c r="D154">
        <v>22.614999999999998</v>
      </c>
      <c r="E154">
        <v>4.0880000000000001</v>
      </c>
      <c r="F154">
        <v>163.27099999999999</v>
      </c>
      <c r="G154">
        <v>2.72</v>
      </c>
      <c r="H154">
        <v>9.5440000000000005</v>
      </c>
      <c r="I154">
        <v>3.0990000000000002</v>
      </c>
      <c r="J154">
        <v>726.64099999999996</v>
      </c>
      <c r="K154">
        <v>0</v>
      </c>
      <c r="L154">
        <v>0</v>
      </c>
      <c r="M154">
        <v>100</v>
      </c>
      <c r="N154">
        <v>760.87199999999996</v>
      </c>
      <c r="O154">
        <v>0.28000000000000003</v>
      </c>
      <c r="P154">
        <v>0.31900000000000001</v>
      </c>
      <c r="Q154">
        <v>0.32400000000000001</v>
      </c>
      <c r="R154">
        <v>0.59499999999999997</v>
      </c>
      <c r="S154">
        <v>0.41699999999999998</v>
      </c>
      <c r="U154" t="s">
        <v>33</v>
      </c>
      <c r="V154" t="s">
        <v>30</v>
      </c>
      <c r="W154">
        <v>3</v>
      </c>
      <c r="X154" t="s">
        <v>40</v>
      </c>
      <c r="Y154">
        <f t="shared" si="4"/>
        <v>-0.27099999999999996</v>
      </c>
      <c r="Z154">
        <f t="shared" si="5"/>
        <v>-3.8999999999999979E-2</v>
      </c>
    </row>
    <row r="155" spans="1:26" x14ac:dyDescent="0.2">
      <c r="A155" t="s">
        <v>38</v>
      </c>
      <c r="B155">
        <v>4037.375</v>
      </c>
      <c r="C155">
        <v>56.777000000000001</v>
      </c>
      <c r="D155">
        <v>22.491</v>
      </c>
      <c r="E155">
        <v>4.1319999999999997</v>
      </c>
      <c r="F155">
        <v>163.291</v>
      </c>
      <c r="G155">
        <v>2.726</v>
      </c>
      <c r="H155">
        <v>9.6289999999999996</v>
      </c>
      <c r="I155">
        <v>3.2240000000000002</v>
      </c>
      <c r="J155">
        <v>787.35500000000002</v>
      </c>
      <c r="K155">
        <v>0</v>
      </c>
      <c r="L155">
        <v>0</v>
      </c>
      <c r="M155">
        <v>100</v>
      </c>
      <c r="N155">
        <v>828.59299999999996</v>
      </c>
      <c r="O155">
        <v>0.30599999999999999</v>
      </c>
      <c r="P155">
        <v>0.39900000000000002</v>
      </c>
      <c r="Q155">
        <v>0.315</v>
      </c>
      <c r="R155">
        <v>0.61899999999999999</v>
      </c>
      <c r="S155">
        <v>0.42599999999999999</v>
      </c>
      <c r="U155" t="s">
        <v>33</v>
      </c>
      <c r="V155" t="s">
        <v>30</v>
      </c>
      <c r="W155">
        <v>3</v>
      </c>
      <c r="X155" t="s">
        <v>40</v>
      </c>
      <c r="Y155">
        <f t="shared" si="4"/>
        <v>-0.30399999999999999</v>
      </c>
      <c r="Z155">
        <f t="shared" si="5"/>
        <v>-9.3000000000000027E-2</v>
      </c>
    </row>
    <row r="156" spans="1:26" x14ac:dyDescent="0.2">
      <c r="A156" t="s">
        <v>38</v>
      </c>
      <c r="B156">
        <v>4037.5</v>
      </c>
      <c r="C156">
        <v>58.485999999999997</v>
      </c>
      <c r="D156">
        <v>22.646000000000001</v>
      </c>
      <c r="E156">
        <v>3.9889999999999999</v>
      </c>
      <c r="F156">
        <v>163.40600000000001</v>
      </c>
      <c r="G156">
        <v>2.7389999999999999</v>
      </c>
      <c r="H156">
        <v>9.7230000000000008</v>
      </c>
      <c r="I156">
        <v>3.3330000000000002</v>
      </c>
      <c r="J156">
        <v>784.08199999999999</v>
      </c>
      <c r="K156">
        <v>0</v>
      </c>
      <c r="L156">
        <v>0</v>
      </c>
      <c r="M156">
        <v>100</v>
      </c>
      <c r="N156">
        <v>830.19899999999996</v>
      </c>
      <c r="O156">
        <v>0.32100000000000001</v>
      </c>
      <c r="P156">
        <v>0.47399999999999998</v>
      </c>
      <c r="Q156">
        <v>0.318</v>
      </c>
      <c r="R156">
        <v>0.66600000000000004</v>
      </c>
      <c r="S156">
        <v>0.434</v>
      </c>
      <c r="U156" t="s">
        <v>33</v>
      </c>
      <c r="V156" t="s">
        <v>30</v>
      </c>
      <c r="W156">
        <v>3</v>
      </c>
      <c r="X156" t="s">
        <v>40</v>
      </c>
      <c r="Y156">
        <f t="shared" si="4"/>
        <v>-0.34800000000000003</v>
      </c>
      <c r="Z156">
        <f t="shared" si="5"/>
        <v>-0.15299999999999997</v>
      </c>
    </row>
    <row r="157" spans="1:26" x14ac:dyDescent="0.2">
      <c r="A157" t="s">
        <v>38</v>
      </c>
      <c r="B157">
        <v>4037.625</v>
      </c>
      <c r="C157">
        <v>59.942</v>
      </c>
      <c r="D157">
        <v>22.984000000000002</v>
      </c>
      <c r="E157">
        <v>3.6829999999999998</v>
      </c>
      <c r="F157">
        <v>162.845</v>
      </c>
      <c r="G157">
        <v>2.758</v>
      </c>
      <c r="H157">
        <v>9.6739999999999995</v>
      </c>
      <c r="I157">
        <v>3.3980000000000001</v>
      </c>
      <c r="J157">
        <v>775.47699999999998</v>
      </c>
      <c r="K157">
        <v>0</v>
      </c>
      <c r="L157">
        <v>0</v>
      </c>
      <c r="M157">
        <v>100</v>
      </c>
      <c r="N157">
        <v>836.779</v>
      </c>
      <c r="O157">
        <v>0.33300000000000002</v>
      </c>
      <c r="P157">
        <v>0.52400000000000002</v>
      </c>
      <c r="Q157">
        <v>0.30399999999999999</v>
      </c>
      <c r="R157">
        <v>0.73799999999999999</v>
      </c>
      <c r="S157">
        <v>0.432</v>
      </c>
      <c r="U157" t="s">
        <v>33</v>
      </c>
      <c r="V157" t="s">
        <v>30</v>
      </c>
      <c r="W157">
        <v>3</v>
      </c>
      <c r="X157" t="s">
        <v>40</v>
      </c>
      <c r="Y157">
        <f t="shared" si="4"/>
        <v>-0.434</v>
      </c>
      <c r="Z157">
        <f t="shared" si="5"/>
        <v>-0.191</v>
      </c>
    </row>
    <row r="158" spans="1:26" x14ac:dyDescent="0.2">
      <c r="A158" t="s">
        <v>38</v>
      </c>
      <c r="B158">
        <v>4037.75</v>
      </c>
      <c r="C158">
        <v>59.84</v>
      </c>
      <c r="D158">
        <v>23.253</v>
      </c>
      <c r="E158">
        <v>3.2469999999999999</v>
      </c>
      <c r="F158">
        <v>162.65799999999999</v>
      </c>
      <c r="G158">
        <v>2.786</v>
      </c>
      <c r="H158">
        <v>9.3249999999999993</v>
      </c>
      <c r="I158">
        <v>3.4239999999999999</v>
      </c>
      <c r="J158">
        <v>778.10900000000004</v>
      </c>
      <c r="K158">
        <v>0</v>
      </c>
      <c r="L158">
        <v>0</v>
      </c>
      <c r="M158">
        <v>100</v>
      </c>
      <c r="N158">
        <v>853.96900000000005</v>
      </c>
      <c r="O158">
        <v>0.33500000000000002</v>
      </c>
      <c r="P158">
        <v>0.54700000000000004</v>
      </c>
      <c r="Q158">
        <v>0.29599999999999999</v>
      </c>
      <c r="R158">
        <v>0.84399999999999997</v>
      </c>
      <c r="S158">
        <v>0.40699999999999997</v>
      </c>
      <c r="U158" t="s">
        <v>33</v>
      </c>
      <c r="V158" t="s">
        <v>30</v>
      </c>
      <c r="W158">
        <v>3</v>
      </c>
      <c r="X158" t="s">
        <v>40</v>
      </c>
      <c r="Y158">
        <f t="shared" si="4"/>
        <v>-0.54800000000000004</v>
      </c>
      <c r="Z158">
        <f t="shared" si="5"/>
        <v>-0.21200000000000002</v>
      </c>
    </row>
    <row r="159" spans="1:26" x14ac:dyDescent="0.2">
      <c r="A159" t="s">
        <v>38</v>
      </c>
      <c r="B159">
        <v>4037.875</v>
      </c>
      <c r="C159">
        <v>58.106999999999999</v>
      </c>
      <c r="D159">
        <v>23.096</v>
      </c>
      <c r="E159">
        <v>2.835</v>
      </c>
      <c r="F159">
        <v>163.102</v>
      </c>
      <c r="G159">
        <v>2.8010000000000002</v>
      </c>
      <c r="H159">
        <v>8.8829999999999991</v>
      </c>
      <c r="I159">
        <v>3.4359999999999999</v>
      </c>
      <c r="J159">
        <v>759.89099999999996</v>
      </c>
      <c r="K159">
        <v>0</v>
      </c>
      <c r="L159">
        <v>0</v>
      </c>
      <c r="M159">
        <v>100</v>
      </c>
      <c r="N159">
        <v>845.25400000000002</v>
      </c>
      <c r="O159">
        <v>0.32400000000000001</v>
      </c>
      <c r="P159">
        <v>0.55700000000000005</v>
      </c>
      <c r="Q159">
        <v>0.30599999999999999</v>
      </c>
      <c r="R159">
        <v>0.91500000000000004</v>
      </c>
      <c r="S159">
        <v>0.371</v>
      </c>
      <c r="U159" t="s">
        <v>33</v>
      </c>
      <c r="V159" t="s">
        <v>30</v>
      </c>
      <c r="W159">
        <v>3</v>
      </c>
      <c r="X159" t="s">
        <v>40</v>
      </c>
      <c r="Y159">
        <f t="shared" si="4"/>
        <v>-0.60899999999999999</v>
      </c>
      <c r="Z159">
        <f t="shared" si="5"/>
        <v>-0.23300000000000004</v>
      </c>
    </row>
    <row r="160" spans="1:26" x14ac:dyDescent="0.2">
      <c r="A160" t="s">
        <v>38</v>
      </c>
      <c r="B160">
        <v>4038</v>
      </c>
      <c r="C160">
        <v>57.61</v>
      </c>
      <c r="D160">
        <v>22.908999999999999</v>
      </c>
      <c r="E160">
        <v>2.6440000000000001</v>
      </c>
      <c r="F160">
        <v>164.012</v>
      </c>
      <c r="G160">
        <v>2.806</v>
      </c>
      <c r="H160">
        <v>8.4979999999999993</v>
      </c>
      <c r="I160">
        <v>3.4079999999999999</v>
      </c>
      <c r="J160">
        <v>714.05100000000004</v>
      </c>
      <c r="K160">
        <v>0</v>
      </c>
      <c r="L160">
        <v>0</v>
      </c>
      <c r="M160">
        <v>100</v>
      </c>
      <c r="N160">
        <v>798.14200000000005</v>
      </c>
      <c r="O160">
        <v>0.318</v>
      </c>
      <c r="P160">
        <v>0.54400000000000004</v>
      </c>
      <c r="Q160">
        <v>0.33200000000000002</v>
      </c>
      <c r="R160">
        <v>0.94299999999999995</v>
      </c>
      <c r="S160">
        <v>0.33700000000000002</v>
      </c>
      <c r="U160" t="s">
        <v>33</v>
      </c>
      <c r="V160" t="s">
        <v>30</v>
      </c>
      <c r="W160">
        <v>3</v>
      </c>
      <c r="X160" t="s">
        <v>40</v>
      </c>
      <c r="Y160">
        <f t="shared" si="4"/>
        <v>-0.61099999999999999</v>
      </c>
      <c r="Z160">
        <f t="shared" si="5"/>
        <v>-0.22600000000000003</v>
      </c>
    </row>
    <row r="161" spans="1:26" x14ac:dyDescent="0.2">
      <c r="A161" t="s">
        <v>38</v>
      </c>
      <c r="B161">
        <v>4038.125</v>
      </c>
      <c r="C161">
        <v>59.076999999999998</v>
      </c>
      <c r="D161">
        <v>22.785</v>
      </c>
      <c r="E161">
        <v>2.6970000000000001</v>
      </c>
      <c r="F161">
        <v>164.988</v>
      </c>
      <c r="G161">
        <v>2.7970000000000002</v>
      </c>
      <c r="H161">
        <v>8.3109999999999999</v>
      </c>
      <c r="I161">
        <v>3.3650000000000002</v>
      </c>
      <c r="J161">
        <v>770.79899999999998</v>
      </c>
      <c r="K161">
        <v>0</v>
      </c>
      <c r="L161">
        <v>0</v>
      </c>
      <c r="M161">
        <v>100</v>
      </c>
      <c r="N161">
        <v>851.83299999999997</v>
      </c>
      <c r="O161">
        <v>0.32600000000000001</v>
      </c>
      <c r="P161">
        <v>0.51700000000000002</v>
      </c>
      <c r="Q161">
        <v>0.36299999999999999</v>
      </c>
      <c r="R161">
        <v>0.91800000000000004</v>
      </c>
      <c r="S161">
        <v>0.318</v>
      </c>
      <c r="U161" t="s">
        <v>33</v>
      </c>
      <c r="V161" t="s">
        <v>30</v>
      </c>
      <c r="W161">
        <v>3</v>
      </c>
      <c r="X161" t="s">
        <v>40</v>
      </c>
      <c r="Y161">
        <f t="shared" si="4"/>
        <v>-0.55500000000000005</v>
      </c>
      <c r="Z161">
        <f t="shared" si="5"/>
        <v>-0.191</v>
      </c>
    </row>
    <row r="162" spans="1:26" x14ac:dyDescent="0.2">
      <c r="A162" t="s">
        <v>38</v>
      </c>
      <c r="B162">
        <v>4038.25</v>
      </c>
      <c r="C162">
        <v>60.725000000000001</v>
      </c>
      <c r="D162">
        <v>22.716999999999999</v>
      </c>
      <c r="E162">
        <v>2.7040000000000002</v>
      </c>
      <c r="F162">
        <v>165.346</v>
      </c>
      <c r="G162">
        <v>2.7759999999999998</v>
      </c>
      <c r="H162">
        <v>8.2780000000000005</v>
      </c>
      <c r="I162">
        <v>3.3340000000000001</v>
      </c>
      <c r="J162">
        <v>964.54</v>
      </c>
      <c r="K162">
        <v>0</v>
      </c>
      <c r="L162">
        <v>0</v>
      </c>
      <c r="M162">
        <v>100</v>
      </c>
      <c r="N162">
        <v>1024.816</v>
      </c>
      <c r="O162">
        <v>0.34</v>
      </c>
      <c r="P162">
        <v>0.49399999999999999</v>
      </c>
      <c r="Q162">
        <v>0.379</v>
      </c>
      <c r="R162">
        <v>0.84299999999999997</v>
      </c>
      <c r="S162">
        <v>0.313</v>
      </c>
      <c r="U162" t="s">
        <v>33</v>
      </c>
      <c r="V162" t="s">
        <v>30</v>
      </c>
      <c r="W162">
        <v>3</v>
      </c>
      <c r="X162" t="s">
        <v>40</v>
      </c>
      <c r="Y162">
        <f t="shared" si="4"/>
        <v>-0.46399999999999997</v>
      </c>
      <c r="Z162">
        <f t="shared" si="5"/>
        <v>-0.15399999999999997</v>
      </c>
    </row>
    <row r="163" spans="1:26" x14ac:dyDescent="0.2">
      <c r="A163" t="s">
        <v>38</v>
      </c>
      <c r="B163">
        <v>4038.375</v>
      </c>
      <c r="C163">
        <v>60.279000000000003</v>
      </c>
      <c r="D163">
        <v>22.404</v>
      </c>
      <c r="E163">
        <v>2.4870000000000001</v>
      </c>
      <c r="F163">
        <v>164.76900000000001</v>
      </c>
      <c r="G163">
        <v>2.75</v>
      </c>
      <c r="H163">
        <v>8.3940000000000001</v>
      </c>
      <c r="I163">
        <v>3.2930000000000001</v>
      </c>
      <c r="J163">
        <v>1164.711</v>
      </c>
      <c r="K163">
        <v>0</v>
      </c>
      <c r="L163">
        <v>0</v>
      </c>
      <c r="M163">
        <v>100</v>
      </c>
      <c r="N163">
        <v>1175.5409999999999</v>
      </c>
      <c r="O163">
        <v>0.33900000000000002</v>
      </c>
      <c r="P163">
        <v>0.46800000000000003</v>
      </c>
      <c r="Q163">
        <v>0.36599999999999999</v>
      </c>
      <c r="R163">
        <v>0.74199999999999999</v>
      </c>
      <c r="S163">
        <v>0.32</v>
      </c>
      <c r="U163" t="s">
        <v>33</v>
      </c>
      <c r="V163" t="s">
        <v>30</v>
      </c>
      <c r="W163">
        <v>3</v>
      </c>
      <c r="X163" t="s">
        <v>40</v>
      </c>
      <c r="Y163">
        <f t="shared" si="4"/>
        <v>-0.376</v>
      </c>
      <c r="Z163">
        <f t="shared" si="5"/>
        <v>-0.129</v>
      </c>
    </row>
    <row r="164" spans="1:26" x14ac:dyDescent="0.2">
      <c r="A164" t="s">
        <v>38</v>
      </c>
      <c r="B164">
        <v>4038.5</v>
      </c>
      <c r="C164">
        <v>55.884</v>
      </c>
      <c r="D164">
        <v>22.273</v>
      </c>
      <c r="E164">
        <v>2.33</v>
      </c>
      <c r="F164">
        <v>162.71799999999999</v>
      </c>
      <c r="G164">
        <v>2.7269999999999999</v>
      </c>
      <c r="H164">
        <v>8.8000000000000007</v>
      </c>
      <c r="I164">
        <v>3.262</v>
      </c>
      <c r="J164">
        <v>1292.8009999999999</v>
      </c>
      <c r="K164">
        <v>0</v>
      </c>
      <c r="L164">
        <v>0</v>
      </c>
      <c r="M164">
        <v>100</v>
      </c>
      <c r="N164">
        <v>1241.3679999999999</v>
      </c>
      <c r="O164">
        <v>0.31</v>
      </c>
      <c r="P164">
        <v>0.44500000000000001</v>
      </c>
      <c r="Q164">
        <v>0.31</v>
      </c>
      <c r="R164">
        <v>0.64600000000000002</v>
      </c>
      <c r="S164">
        <v>0.35</v>
      </c>
      <c r="U164" t="s">
        <v>33</v>
      </c>
      <c r="V164" t="s">
        <v>30</v>
      </c>
      <c r="W164">
        <v>3</v>
      </c>
      <c r="X164" t="s">
        <v>40</v>
      </c>
      <c r="Y164">
        <f t="shared" si="4"/>
        <v>-0.33600000000000002</v>
      </c>
      <c r="Z164">
        <f t="shared" si="5"/>
        <v>-0.13500000000000001</v>
      </c>
    </row>
    <row r="165" spans="1:26" x14ac:dyDescent="0.2">
      <c r="A165" t="s">
        <v>38</v>
      </c>
      <c r="B165">
        <v>4038.625</v>
      </c>
      <c r="C165">
        <v>51.262</v>
      </c>
      <c r="D165">
        <v>22.141999999999999</v>
      </c>
      <c r="E165">
        <v>2.8069999999999999</v>
      </c>
      <c r="F165">
        <v>160.392</v>
      </c>
      <c r="G165">
        <v>2.72</v>
      </c>
      <c r="H165">
        <v>9.5090000000000003</v>
      </c>
      <c r="I165">
        <v>3.2410000000000001</v>
      </c>
      <c r="J165">
        <v>1303.5740000000001</v>
      </c>
      <c r="K165">
        <v>0</v>
      </c>
      <c r="L165">
        <v>0</v>
      </c>
      <c r="M165">
        <v>100</v>
      </c>
      <c r="N165">
        <v>1223.3889999999999</v>
      </c>
      <c r="O165">
        <v>0.27300000000000002</v>
      </c>
      <c r="P165">
        <v>0.43</v>
      </c>
      <c r="Q165">
        <v>0.23699999999999999</v>
      </c>
      <c r="R165">
        <v>0.60499999999999998</v>
      </c>
      <c r="S165">
        <v>0.40500000000000003</v>
      </c>
      <c r="U165" t="s">
        <v>33</v>
      </c>
      <c r="V165" t="s">
        <v>30</v>
      </c>
      <c r="W165">
        <v>3</v>
      </c>
      <c r="X165" t="s">
        <v>40</v>
      </c>
      <c r="Y165">
        <f t="shared" si="4"/>
        <v>-0.36799999999999999</v>
      </c>
      <c r="Z165">
        <f t="shared" si="5"/>
        <v>-0.15699999999999997</v>
      </c>
    </row>
    <row r="166" spans="1:26" x14ac:dyDescent="0.2">
      <c r="A166" t="s">
        <v>38</v>
      </c>
      <c r="B166">
        <v>4038.75</v>
      </c>
      <c r="C166">
        <v>49.817999999999998</v>
      </c>
      <c r="D166">
        <v>22.11</v>
      </c>
      <c r="E166">
        <v>3.4569999999999999</v>
      </c>
      <c r="F166">
        <v>161.059</v>
      </c>
      <c r="G166">
        <v>2.7269999999999999</v>
      </c>
      <c r="H166">
        <v>10.327</v>
      </c>
      <c r="I166">
        <v>3.2280000000000002</v>
      </c>
      <c r="J166">
        <v>1184.5</v>
      </c>
      <c r="K166">
        <v>0</v>
      </c>
      <c r="L166">
        <v>0</v>
      </c>
      <c r="M166">
        <v>100</v>
      </c>
      <c r="N166">
        <v>1169.8130000000001</v>
      </c>
      <c r="O166">
        <v>0.25600000000000001</v>
      </c>
      <c r="P166">
        <v>0.42</v>
      </c>
      <c r="Q166">
        <v>0.23899999999999999</v>
      </c>
      <c r="R166">
        <v>0.622</v>
      </c>
      <c r="S166">
        <v>0.47299999999999998</v>
      </c>
      <c r="U166" t="s">
        <v>33</v>
      </c>
      <c r="V166" t="s">
        <v>30</v>
      </c>
      <c r="W166">
        <v>3</v>
      </c>
      <c r="X166" t="s">
        <v>40</v>
      </c>
      <c r="Y166">
        <f t="shared" si="4"/>
        <v>-0.38300000000000001</v>
      </c>
      <c r="Z166">
        <f t="shared" si="5"/>
        <v>-0.16399999999999998</v>
      </c>
    </row>
    <row r="167" spans="1:26" x14ac:dyDescent="0.2">
      <c r="A167" t="s">
        <v>38</v>
      </c>
      <c r="B167">
        <v>4038.875</v>
      </c>
      <c r="C167">
        <v>54.997999999999998</v>
      </c>
      <c r="D167">
        <v>22.126000000000001</v>
      </c>
      <c r="E167">
        <v>3.5630000000000002</v>
      </c>
      <c r="F167">
        <v>166.03200000000001</v>
      </c>
      <c r="G167">
        <v>2.7450000000000001</v>
      </c>
      <c r="H167">
        <v>11.11</v>
      </c>
      <c r="I167">
        <v>3.214</v>
      </c>
      <c r="J167">
        <v>1032.855</v>
      </c>
      <c r="K167">
        <v>0</v>
      </c>
      <c r="L167">
        <v>0</v>
      </c>
      <c r="M167">
        <v>100</v>
      </c>
      <c r="N167">
        <v>1082.7070000000001</v>
      </c>
      <c r="O167">
        <v>0.28699999999999998</v>
      </c>
      <c r="P167">
        <v>0.41099999999999998</v>
      </c>
      <c r="Q167">
        <v>0.371</v>
      </c>
      <c r="R167">
        <v>0.68600000000000005</v>
      </c>
      <c r="S167">
        <v>0.54</v>
      </c>
      <c r="U167" t="s">
        <v>33</v>
      </c>
      <c r="V167" t="s">
        <v>30</v>
      </c>
      <c r="W167">
        <v>3</v>
      </c>
      <c r="X167" t="s">
        <v>40</v>
      </c>
      <c r="Y167">
        <f t="shared" si="4"/>
        <v>-0.31500000000000006</v>
      </c>
      <c r="Z167">
        <f t="shared" si="5"/>
        <v>-0.124</v>
      </c>
    </row>
    <row r="168" spans="1:26" x14ac:dyDescent="0.2">
      <c r="A168" t="s">
        <v>38</v>
      </c>
      <c r="B168">
        <v>4039</v>
      </c>
      <c r="C168">
        <v>67.417000000000002</v>
      </c>
      <c r="D168">
        <v>22.238</v>
      </c>
      <c r="E168">
        <v>3.1909999999999998</v>
      </c>
      <c r="F168">
        <v>174.12100000000001</v>
      </c>
      <c r="G168">
        <v>2.762</v>
      </c>
      <c r="H168">
        <v>11.853</v>
      </c>
      <c r="I168">
        <v>3.214</v>
      </c>
      <c r="J168">
        <v>894.26400000000001</v>
      </c>
      <c r="K168">
        <v>0</v>
      </c>
      <c r="L168">
        <v>0</v>
      </c>
      <c r="M168">
        <v>100</v>
      </c>
      <c r="N168">
        <v>914.72299999999996</v>
      </c>
      <c r="O168">
        <v>0.377</v>
      </c>
      <c r="P168">
        <v>0.40899999999999997</v>
      </c>
      <c r="Q168">
        <v>0.61099999999999999</v>
      </c>
      <c r="R168">
        <v>0.75600000000000001</v>
      </c>
      <c r="S168">
        <v>0.60399999999999998</v>
      </c>
      <c r="U168" t="s">
        <v>33</v>
      </c>
      <c r="V168" t="s">
        <v>30</v>
      </c>
      <c r="W168">
        <v>3</v>
      </c>
      <c r="X168" t="s">
        <v>40</v>
      </c>
      <c r="Y168">
        <f t="shared" si="4"/>
        <v>-0.14500000000000002</v>
      </c>
      <c r="Z168">
        <f t="shared" si="5"/>
        <v>-3.1999999999999973E-2</v>
      </c>
    </row>
    <row r="169" spans="1:26" x14ac:dyDescent="0.2">
      <c r="A169" t="s">
        <v>38</v>
      </c>
      <c r="B169">
        <v>4039.125</v>
      </c>
      <c r="C169">
        <v>83.593000000000004</v>
      </c>
      <c r="D169">
        <v>22.620999999999999</v>
      </c>
      <c r="E169">
        <v>3.3769999999999998</v>
      </c>
      <c r="F169">
        <v>179.26400000000001</v>
      </c>
      <c r="G169">
        <v>2.766</v>
      </c>
      <c r="H169">
        <v>12.715999999999999</v>
      </c>
      <c r="I169">
        <v>3.24</v>
      </c>
      <c r="J169">
        <v>654.12400000000002</v>
      </c>
      <c r="K169">
        <v>0</v>
      </c>
      <c r="L169">
        <v>0</v>
      </c>
      <c r="M169">
        <v>100</v>
      </c>
      <c r="N169">
        <v>651.40599999999995</v>
      </c>
      <c r="O169">
        <v>0.502</v>
      </c>
      <c r="P169">
        <v>0.42299999999999999</v>
      </c>
      <c r="Q169">
        <v>0.79500000000000004</v>
      </c>
      <c r="R169">
        <v>0.78200000000000003</v>
      </c>
      <c r="S169">
        <v>0.67500000000000004</v>
      </c>
      <c r="U169" t="s">
        <v>33</v>
      </c>
      <c r="V169" t="s">
        <v>30</v>
      </c>
      <c r="W169">
        <v>3</v>
      </c>
      <c r="X169" t="s">
        <v>40</v>
      </c>
      <c r="Y169">
        <f t="shared" si="4"/>
        <v>1.3000000000000012E-2</v>
      </c>
      <c r="Z169">
        <f t="shared" si="5"/>
        <v>7.9000000000000015E-2</v>
      </c>
    </row>
    <row r="170" spans="1:26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  <c r="P170" t="s">
        <v>15</v>
      </c>
      <c r="Q170" t="s">
        <v>16</v>
      </c>
      <c r="R170" t="s">
        <v>17</v>
      </c>
      <c r="S170" t="s">
        <v>18</v>
      </c>
      <c r="T170" t="s">
        <v>19</v>
      </c>
      <c r="U170" t="s">
        <v>20</v>
      </c>
      <c r="Y170" t="e">
        <f t="shared" si="4"/>
        <v>#VALUE!</v>
      </c>
      <c r="Z170" t="e">
        <f t="shared" si="5"/>
        <v>#VALUE!</v>
      </c>
    </row>
    <row r="171" spans="1:26" x14ac:dyDescent="0.2">
      <c r="A171" t="s">
        <v>38</v>
      </c>
      <c r="B171">
        <v>4039.125</v>
      </c>
      <c r="C171">
        <v>83.593000000000004</v>
      </c>
      <c r="D171">
        <v>22.620999999999999</v>
      </c>
      <c r="E171">
        <v>3.3769999999999998</v>
      </c>
      <c r="F171">
        <v>179.26400000000001</v>
      </c>
      <c r="G171">
        <v>2.766</v>
      </c>
      <c r="H171">
        <v>12.715999999999999</v>
      </c>
      <c r="I171">
        <v>3.24</v>
      </c>
      <c r="J171">
        <v>654.12400000000002</v>
      </c>
      <c r="K171">
        <v>0</v>
      </c>
      <c r="L171">
        <v>0</v>
      </c>
      <c r="M171">
        <v>100</v>
      </c>
      <c r="N171">
        <v>651.40599999999995</v>
      </c>
      <c r="O171">
        <v>0.502</v>
      </c>
      <c r="P171">
        <v>0.42299999999999999</v>
      </c>
      <c r="Q171">
        <v>0.79500000000000004</v>
      </c>
      <c r="R171">
        <v>0.78200000000000003</v>
      </c>
      <c r="S171">
        <v>0.67500000000000004</v>
      </c>
      <c r="U171" t="s">
        <v>33</v>
      </c>
      <c r="V171" t="s">
        <v>35</v>
      </c>
      <c r="W171">
        <v>4</v>
      </c>
      <c r="Y171">
        <f t="shared" si="4"/>
        <v>1.3000000000000012E-2</v>
      </c>
      <c r="Z171">
        <f t="shared" si="5"/>
        <v>7.9000000000000015E-2</v>
      </c>
    </row>
    <row r="172" spans="1:26" x14ac:dyDescent="0.2">
      <c r="A172" t="s">
        <v>38</v>
      </c>
      <c r="B172">
        <v>4039.25</v>
      </c>
      <c r="C172">
        <v>99.635000000000005</v>
      </c>
      <c r="D172">
        <v>22.352</v>
      </c>
      <c r="E172">
        <v>4.1680000000000001</v>
      </c>
      <c r="F172">
        <v>179.334</v>
      </c>
      <c r="G172">
        <v>2.7559999999999998</v>
      </c>
      <c r="H172">
        <v>13.553000000000001</v>
      </c>
      <c r="I172">
        <v>3.28</v>
      </c>
      <c r="J172">
        <v>490.69400000000002</v>
      </c>
      <c r="K172">
        <v>0</v>
      </c>
      <c r="L172">
        <v>0</v>
      </c>
      <c r="M172">
        <v>100</v>
      </c>
      <c r="N172">
        <v>485.00799999999998</v>
      </c>
      <c r="O172">
        <v>0.63300000000000001</v>
      </c>
      <c r="P172">
        <v>0.44800000000000001</v>
      </c>
      <c r="Q172">
        <v>0.83</v>
      </c>
      <c r="R172">
        <v>0.753</v>
      </c>
      <c r="S172">
        <v>0.747</v>
      </c>
      <c r="U172" t="s">
        <v>33</v>
      </c>
      <c r="V172" t="s">
        <v>35</v>
      </c>
      <c r="W172">
        <v>4</v>
      </c>
      <c r="Y172">
        <f t="shared" si="4"/>
        <v>7.6999999999999957E-2</v>
      </c>
      <c r="Z172">
        <f t="shared" si="5"/>
        <v>0.185</v>
      </c>
    </row>
    <row r="173" spans="1:26" x14ac:dyDescent="0.2">
      <c r="A173" t="s">
        <v>38</v>
      </c>
      <c r="B173">
        <v>4039.375</v>
      </c>
      <c r="C173">
        <v>111.018</v>
      </c>
      <c r="D173">
        <v>22.337</v>
      </c>
      <c r="E173">
        <v>4.585</v>
      </c>
      <c r="F173">
        <v>175.34700000000001</v>
      </c>
      <c r="G173">
        <v>2.7389999999999999</v>
      </c>
      <c r="H173">
        <v>13.96</v>
      </c>
      <c r="I173">
        <v>3.302</v>
      </c>
      <c r="J173">
        <v>441.37200000000001</v>
      </c>
      <c r="K173">
        <v>0</v>
      </c>
      <c r="L173">
        <v>0</v>
      </c>
      <c r="M173">
        <v>100</v>
      </c>
      <c r="N173">
        <v>440.48200000000003</v>
      </c>
      <c r="O173">
        <v>0.73299999999999998</v>
      </c>
      <c r="P173">
        <v>0.46500000000000002</v>
      </c>
      <c r="Q173">
        <v>0.72799999999999998</v>
      </c>
      <c r="R173">
        <v>0.69</v>
      </c>
      <c r="S173">
        <v>0.78900000000000003</v>
      </c>
      <c r="U173" t="s">
        <v>33</v>
      </c>
      <c r="V173" t="s">
        <v>35</v>
      </c>
      <c r="W173">
        <v>4</v>
      </c>
      <c r="Y173">
        <f t="shared" si="4"/>
        <v>3.8000000000000034E-2</v>
      </c>
      <c r="Z173">
        <f t="shared" si="5"/>
        <v>0.26799999999999996</v>
      </c>
    </row>
    <row r="174" spans="1:26" x14ac:dyDescent="0.2">
      <c r="A174" t="s">
        <v>38</v>
      </c>
      <c r="B174">
        <v>4039.5</v>
      </c>
      <c r="C174">
        <v>113.904</v>
      </c>
      <c r="D174">
        <v>22.065999999999999</v>
      </c>
      <c r="E174">
        <v>3.9849999999999999</v>
      </c>
      <c r="F174">
        <v>170.214</v>
      </c>
      <c r="G174">
        <v>2.722</v>
      </c>
      <c r="H174">
        <v>13.173999999999999</v>
      </c>
      <c r="I174">
        <v>3.3340000000000001</v>
      </c>
      <c r="J174">
        <v>436.38</v>
      </c>
      <c r="K174">
        <v>0</v>
      </c>
      <c r="L174">
        <v>0</v>
      </c>
      <c r="M174">
        <v>100</v>
      </c>
      <c r="N174">
        <v>441.34</v>
      </c>
      <c r="O174">
        <v>0.77</v>
      </c>
      <c r="P174">
        <v>0.48599999999999999</v>
      </c>
      <c r="Q174">
        <v>0.56999999999999995</v>
      </c>
      <c r="R174">
        <v>0.621</v>
      </c>
      <c r="S174">
        <v>0.74199999999999999</v>
      </c>
      <c r="U174" t="s">
        <v>33</v>
      </c>
      <c r="V174" t="s">
        <v>35</v>
      </c>
      <c r="W174">
        <v>4</v>
      </c>
      <c r="Y174">
        <f t="shared" si="4"/>
        <v>-5.1000000000000045E-2</v>
      </c>
      <c r="Z174">
        <f t="shared" si="5"/>
        <v>0.28400000000000003</v>
      </c>
    </row>
    <row r="175" spans="1:26" x14ac:dyDescent="0.2">
      <c r="A175" t="s">
        <v>38</v>
      </c>
      <c r="B175">
        <v>4039.625</v>
      </c>
      <c r="C175">
        <v>106.88200000000001</v>
      </c>
      <c r="D175">
        <v>21.974</v>
      </c>
      <c r="E175">
        <v>2.794</v>
      </c>
      <c r="F175">
        <v>167.44800000000001</v>
      </c>
      <c r="G175">
        <v>2.714</v>
      </c>
      <c r="H175">
        <v>11.593</v>
      </c>
      <c r="I175">
        <v>3.31</v>
      </c>
      <c r="J175">
        <v>451.51400000000001</v>
      </c>
      <c r="K175">
        <v>0</v>
      </c>
      <c r="L175">
        <v>0</v>
      </c>
      <c r="M175">
        <v>100</v>
      </c>
      <c r="N175">
        <v>453.74799999999999</v>
      </c>
      <c r="O175">
        <v>0.72899999999999998</v>
      </c>
      <c r="P175">
        <v>0.47699999999999998</v>
      </c>
      <c r="Q175">
        <v>0.46600000000000003</v>
      </c>
      <c r="R175">
        <v>0.58099999999999996</v>
      </c>
      <c r="S175">
        <v>0.621</v>
      </c>
      <c r="U175" t="s">
        <v>33</v>
      </c>
      <c r="V175" t="s">
        <v>35</v>
      </c>
      <c r="W175">
        <v>4</v>
      </c>
      <c r="Y175">
        <f t="shared" si="4"/>
        <v>-0.11499999999999994</v>
      </c>
      <c r="Z175">
        <f t="shared" si="5"/>
        <v>0.252</v>
      </c>
    </row>
    <row r="176" spans="1:26" x14ac:dyDescent="0.2">
      <c r="A176" t="s">
        <v>38</v>
      </c>
      <c r="B176">
        <v>4039.75</v>
      </c>
      <c r="C176">
        <v>99.057000000000002</v>
      </c>
      <c r="D176">
        <v>21.934999999999999</v>
      </c>
      <c r="E176">
        <v>1.929</v>
      </c>
      <c r="F176">
        <v>166.65600000000001</v>
      </c>
      <c r="G176">
        <v>2.7130000000000001</v>
      </c>
      <c r="H176">
        <v>10.183999999999999</v>
      </c>
      <c r="I176">
        <v>3.2589999999999999</v>
      </c>
      <c r="J176">
        <v>465.02300000000002</v>
      </c>
      <c r="K176">
        <v>0</v>
      </c>
      <c r="L176">
        <v>0</v>
      </c>
      <c r="M176">
        <v>100</v>
      </c>
      <c r="N176">
        <v>464.06599999999997</v>
      </c>
      <c r="O176">
        <v>0.66700000000000004</v>
      </c>
      <c r="P176">
        <v>0.44600000000000001</v>
      </c>
      <c r="Q176">
        <v>0.42799999999999999</v>
      </c>
      <c r="R176">
        <v>0.57199999999999995</v>
      </c>
      <c r="S176">
        <v>0.498</v>
      </c>
      <c r="U176" t="s">
        <v>33</v>
      </c>
      <c r="V176" t="s">
        <v>35</v>
      </c>
      <c r="W176">
        <v>4</v>
      </c>
      <c r="Y176">
        <f t="shared" si="4"/>
        <v>-0.14399999999999996</v>
      </c>
      <c r="Z176">
        <f t="shared" si="5"/>
        <v>0.22100000000000003</v>
      </c>
    </row>
    <row r="177" spans="1:26" x14ac:dyDescent="0.2">
      <c r="A177" t="s">
        <v>38</v>
      </c>
      <c r="B177">
        <v>4039.875</v>
      </c>
      <c r="C177">
        <v>94.85</v>
      </c>
      <c r="D177">
        <v>21.939</v>
      </c>
      <c r="E177">
        <v>1.637</v>
      </c>
      <c r="F177">
        <v>166.60400000000001</v>
      </c>
      <c r="G177">
        <v>2.72</v>
      </c>
      <c r="H177">
        <v>9.36</v>
      </c>
      <c r="I177">
        <v>3.1960000000000002</v>
      </c>
      <c r="J177">
        <v>481.95</v>
      </c>
      <c r="K177">
        <v>0</v>
      </c>
      <c r="L177">
        <v>0</v>
      </c>
      <c r="M177">
        <v>100</v>
      </c>
      <c r="N177">
        <v>479.91199999999998</v>
      </c>
      <c r="O177">
        <v>0.627</v>
      </c>
      <c r="P177">
        <v>0.40500000000000003</v>
      </c>
      <c r="Q177">
        <v>0.42199999999999999</v>
      </c>
      <c r="R177">
        <v>0.59399999999999997</v>
      </c>
      <c r="S177">
        <v>0.41799999999999998</v>
      </c>
      <c r="U177" t="s">
        <v>33</v>
      </c>
      <c r="V177" t="s">
        <v>35</v>
      </c>
      <c r="W177">
        <v>4</v>
      </c>
      <c r="Y177">
        <f t="shared" si="4"/>
        <v>-0.17199999999999999</v>
      </c>
      <c r="Z177">
        <f t="shared" si="5"/>
        <v>0.22199999999999998</v>
      </c>
    </row>
    <row r="178" spans="1:26" x14ac:dyDescent="0.2">
      <c r="A178" t="s">
        <v>38</v>
      </c>
      <c r="B178">
        <v>4040</v>
      </c>
      <c r="C178">
        <v>95.072000000000003</v>
      </c>
      <c r="D178">
        <v>21.875</v>
      </c>
      <c r="E178">
        <v>1.81</v>
      </c>
      <c r="F178">
        <v>165.27199999999999</v>
      </c>
      <c r="G178">
        <v>2.7349999999999999</v>
      </c>
      <c r="H178">
        <v>8.94</v>
      </c>
      <c r="I178">
        <v>3.1739999999999999</v>
      </c>
      <c r="J178">
        <v>519.74099999999999</v>
      </c>
      <c r="K178">
        <v>0</v>
      </c>
      <c r="L178">
        <v>0</v>
      </c>
      <c r="M178">
        <v>100</v>
      </c>
      <c r="N178">
        <v>516.40099999999995</v>
      </c>
      <c r="O178">
        <v>0.621</v>
      </c>
      <c r="P178">
        <v>0.38500000000000001</v>
      </c>
      <c r="Q178">
        <v>0.38700000000000001</v>
      </c>
      <c r="R178">
        <v>0.64800000000000002</v>
      </c>
      <c r="S178">
        <v>0.376</v>
      </c>
      <c r="U178" t="s">
        <v>33</v>
      </c>
      <c r="V178" t="s">
        <v>35</v>
      </c>
      <c r="W178">
        <v>4</v>
      </c>
      <c r="Y178">
        <f t="shared" si="4"/>
        <v>-0.26100000000000001</v>
      </c>
      <c r="Z178">
        <f t="shared" si="5"/>
        <v>0.23599999999999999</v>
      </c>
    </row>
    <row r="179" spans="1:26" x14ac:dyDescent="0.2">
      <c r="A179" t="s">
        <v>38</v>
      </c>
      <c r="B179">
        <v>4040.125</v>
      </c>
      <c r="C179">
        <v>93.682000000000002</v>
      </c>
      <c r="D179">
        <v>21.856999999999999</v>
      </c>
      <c r="E179">
        <v>2.2370000000000001</v>
      </c>
      <c r="F179">
        <v>164.321</v>
      </c>
      <c r="G179">
        <v>2.7509999999999999</v>
      </c>
      <c r="H179">
        <v>8.24</v>
      </c>
      <c r="I179">
        <v>3.1110000000000002</v>
      </c>
      <c r="J179">
        <v>568.44299999999998</v>
      </c>
      <c r="K179">
        <v>0</v>
      </c>
      <c r="L179">
        <v>0</v>
      </c>
      <c r="M179">
        <v>100</v>
      </c>
      <c r="N179">
        <v>564.67100000000005</v>
      </c>
      <c r="O179">
        <v>0.61299999999999999</v>
      </c>
      <c r="P179">
        <v>0.34699999999999998</v>
      </c>
      <c r="Q179">
        <v>0.35399999999999998</v>
      </c>
      <c r="R179">
        <v>0.71199999999999997</v>
      </c>
      <c r="S179">
        <v>0.32100000000000001</v>
      </c>
      <c r="U179" t="s">
        <v>33</v>
      </c>
      <c r="V179" t="s">
        <v>35</v>
      </c>
      <c r="W179">
        <v>4</v>
      </c>
      <c r="Y179">
        <f t="shared" si="4"/>
        <v>-0.35799999999999998</v>
      </c>
      <c r="Z179">
        <f t="shared" si="5"/>
        <v>0.26600000000000001</v>
      </c>
    </row>
    <row r="180" spans="1:26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10</v>
      </c>
      <c r="L180" t="s">
        <v>11</v>
      </c>
      <c r="M180" t="s">
        <v>12</v>
      </c>
      <c r="N180" t="s">
        <v>13</v>
      </c>
      <c r="O180" t="s">
        <v>14</v>
      </c>
      <c r="P180" t="s">
        <v>15</v>
      </c>
      <c r="Q180" t="s">
        <v>16</v>
      </c>
      <c r="R180" t="s">
        <v>17</v>
      </c>
      <c r="S180" t="s">
        <v>18</v>
      </c>
      <c r="T180" t="s">
        <v>19</v>
      </c>
      <c r="U180" t="s">
        <v>20</v>
      </c>
      <c r="Y180" t="e">
        <f t="shared" si="4"/>
        <v>#VALUE!</v>
      </c>
      <c r="Z180" t="e">
        <f t="shared" si="5"/>
        <v>#VALUE!</v>
      </c>
    </row>
    <row r="181" spans="1:26" x14ac:dyDescent="0.2">
      <c r="A181" t="s">
        <v>38</v>
      </c>
      <c r="B181">
        <v>4040.125</v>
      </c>
      <c r="C181">
        <v>93.682000000000002</v>
      </c>
      <c r="D181">
        <v>21.856999999999999</v>
      </c>
      <c r="E181">
        <v>2.2370000000000001</v>
      </c>
      <c r="F181">
        <v>164.321</v>
      </c>
      <c r="G181">
        <v>2.7509999999999999</v>
      </c>
      <c r="H181">
        <v>8.24</v>
      </c>
      <c r="I181">
        <v>3.1110000000000002</v>
      </c>
      <c r="J181">
        <v>568.44299999999998</v>
      </c>
      <c r="K181">
        <v>0</v>
      </c>
      <c r="L181">
        <v>0</v>
      </c>
      <c r="M181">
        <v>100</v>
      </c>
      <c r="N181">
        <v>564.67100000000005</v>
      </c>
      <c r="O181">
        <v>0.61299999999999999</v>
      </c>
      <c r="P181">
        <v>0.34699999999999998</v>
      </c>
      <c r="Q181">
        <v>0.35399999999999998</v>
      </c>
      <c r="R181">
        <v>0.71199999999999997</v>
      </c>
      <c r="S181">
        <v>0.32100000000000001</v>
      </c>
      <c r="U181" t="s">
        <v>33</v>
      </c>
      <c r="V181" t="s">
        <v>30</v>
      </c>
      <c r="W181">
        <v>5</v>
      </c>
      <c r="X181" t="s">
        <v>40</v>
      </c>
      <c r="Y181">
        <f t="shared" si="4"/>
        <v>-0.35799999999999998</v>
      </c>
      <c r="Z181">
        <f t="shared" si="5"/>
        <v>0.26600000000000001</v>
      </c>
    </row>
    <row r="182" spans="1:26" x14ac:dyDescent="0.2">
      <c r="A182" t="s">
        <v>38</v>
      </c>
      <c r="B182">
        <v>4040.25</v>
      </c>
      <c r="C182">
        <v>84.691000000000003</v>
      </c>
      <c r="D182">
        <v>21.79</v>
      </c>
      <c r="E182">
        <v>2.4700000000000002</v>
      </c>
      <c r="F182">
        <v>164.49700000000001</v>
      </c>
      <c r="G182">
        <v>2.7589999999999999</v>
      </c>
      <c r="H182">
        <v>7.8520000000000003</v>
      </c>
      <c r="I182">
        <v>3.1019999999999999</v>
      </c>
      <c r="J182">
        <v>636.67100000000005</v>
      </c>
      <c r="K182">
        <v>0</v>
      </c>
      <c r="L182">
        <v>0</v>
      </c>
      <c r="M182">
        <v>100</v>
      </c>
      <c r="N182">
        <v>633.35699999999997</v>
      </c>
      <c r="O182">
        <v>0.55200000000000005</v>
      </c>
      <c r="P182">
        <v>0.33400000000000002</v>
      </c>
      <c r="Q182">
        <v>0.35299999999999998</v>
      </c>
      <c r="R182">
        <v>0.751</v>
      </c>
      <c r="S182">
        <v>0.28199999999999997</v>
      </c>
      <c r="U182" t="s">
        <v>33</v>
      </c>
      <c r="V182" t="s">
        <v>30</v>
      </c>
      <c r="W182">
        <v>5</v>
      </c>
      <c r="X182" t="s">
        <v>40</v>
      </c>
      <c r="Y182">
        <f t="shared" si="4"/>
        <v>-0.39800000000000002</v>
      </c>
      <c r="Z182">
        <f t="shared" si="5"/>
        <v>0.21800000000000003</v>
      </c>
    </row>
    <row r="183" spans="1:26" x14ac:dyDescent="0.2">
      <c r="A183" t="s">
        <v>38</v>
      </c>
      <c r="B183">
        <v>4040.375</v>
      </c>
      <c r="C183">
        <v>69.739000000000004</v>
      </c>
      <c r="D183">
        <v>21.821000000000002</v>
      </c>
      <c r="E183">
        <v>2.3420000000000001</v>
      </c>
      <c r="F183">
        <v>164.97399999999999</v>
      </c>
      <c r="G183">
        <v>2.758</v>
      </c>
      <c r="H183">
        <v>7.8550000000000004</v>
      </c>
      <c r="I183">
        <v>3.0990000000000002</v>
      </c>
      <c r="J183">
        <v>804.78200000000004</v>
      </c>
      <c r="K183">
        <v>0</v>
      </c>
      <c r="L183">
        <v>0</v>
      </c>
      <c r="M183">
        <v>100</v>
      </c>
      <c r="N183">
        <v>808.57600000000002</v>
      </c>
      <c r="O183">
        <v>0.44</v>
      </c>
      <c r="P183">
        <v>0.33100000000000002</v>
      </c>
      <c r="Q183">
        <v>0.36599999999999999</v>
      </c>
      <c r="R183">
        <v>0.754</v>
      </c>
      <c r="S183">
        <v>0.27600000000000002</v>
      </c>
      <c r="U183" t="s">
        <v>33</v>
      </c>
      <c r="V183" t="s">
        <v>30</v>
      </c>
      <c r="W183">
        <v>5</v>
      </c>
      <c r="X183" t="s">
        <v>40</v>
      </c>
      <c r="Y183">
        <f t="shared" si="4"/>
        <v>-0.38800000000000001</v>
      </c>
      <c r="Z183">
        <f t="shared" si="5"/>
        <v>0.10899999999999999</v>
      </c>
    </row>
    <row r="184" spans="1:26" x14ac:dyDescent="0.2">
      <c r="A184" t="s">
        <v>38</v>
      </c>
      <c r="B184">
        <v>4040.5</v>
      </c>
      <c r="C184">
        <v>55.295999999999999</v>
      </c>
      <c r="D184">
        <v>21.81</v>
      </c>
      <c r="E184">
        <v>2.1869999999999998</v>
      </c>
      <c r="F184">
        <v>164.52199999999999</v>
      </c>
      <c r="G184">
        <v>2.76</v>
      </c>
      <c r="H184">
        <v>8.02</v>
      </c>
      <c r="I184">
        <v>3.101</v>
      </c>
      <c r="J184">
        <v>1150.6469999999999</v>
      </c>
      <c r="K184">
        <v>0</v>
      </c>
      <c r="L184">
        <v>0</v>
      </c>
      <c r="M184">
        <v>100</v>
      </c>
      <c r="N184">
        <v>1160.32</v>
      </c>
      <c r="O184">
        <v>0.32100000000000001</v>
      </c>
      <c r="P184">
        <v>0.33200000000000002</v>
      </c>
      <c r="Q184">
        <v>0.35699999999999998</v>
      </c>
      <c r="R184">
        <v>0.76</v>
      </c>
      <c r="S184">
        <v>0.28699999999999998</v>
      </c>
      <c r="U184" t="s">
        <v>33</v>
      </c>
      <c r="V184" t="s">
        <v>30</v>
      </c>
      <c r="W184">
        <v>5</v>
      </c>
      <c r="X184" t="s">
        <v>40</v>
      </c>
      <c r="Y184">
        <f t="shared" si="4"/>
        <v>-0.40300000000000002</v>
      </c>
      <c r="Z184">
        <f t="shared" si="5"/>
        <v>-1.100000000000001E-2</v>
      </c>
    </row>
    <row r="185" spans="1:26" x14ac:dyDescent="0.2">
      <c r="A185" t="s">
        <v>38</v>
      </c>
      <c r="B185">
        <v>4040.625</v>
      </c>
      <c r="C185">
        <v>50.817999999999998</v>
      </c>
      <c r="D185">
        <v>21.867000000000001</v>
      </c>
      <c r="E185">
        <v>2.5710000000000002</v>
      </c>
      <c r="F185">
        <v>161.96899999999999</v>
      </c>
      <c r="G185">
        <v>2.77</v>
      </c>
      <c r="H185">
        <v>7.742</v>
      </c>
      <c r="I185">
        <v>3.113</v>
      </c>
      <c r="J185">
        <v>1307.527</v>
      </c>
      <c r="K185">
        <v>0</v>
      </c>
      <c r="L185">
        <v>0</v>
      </c>
      <c r="M185">
        <v>100</v>
      </c>
      <c r="N185">
        <v>1277.0260000000001</v>
      </c>
      <c r="O185">
        <v>0.26900000000000002</v>
      </c>
      <c r="P185">
        <v>0.33900000000000002</v>
      </c>
      <c r="Q185">
        <v>0.28899999999999998</v>
      </c>
      <c r="R185">
        <v>0.79400000000000004</v>
      </c>
      <c r="S185">
        <v>0.27100000000000002</v>
      </c>
      <c r="U185" t="s">
        <v>33</v>
      </c>
      <c r="V185" t="s">
        <v>30</v>
      </c>
      <c r="W185">
        <v>5</v>
      </c>
      <c r="X185" t="s">
        <v>40</v>
      </c>
      <c r="Y185">
        <f t="shared" si="4"/>
        <v>-0.50500000000000012</v>
      </c>
      <c r="Z185">
        <f t="shared" si="5"/>
        <v>-7.0000000000000007E-2</v>
      </c>
    </row>
    <row r="186" spans="1:26" x14ac:dyDescent="0.2">
      <c r="A186" t="s">
        <v>38</v>
      </c>
      <c r="B186">
        <v>4040.75</v>
      </c>
      <c r="C186">
        <v>58.61</v>
      </c>
      <c r="D186">
        <v>21.844999999999999</v>
      </c>
      <c r="E186">
        <v>3.2639999999999998</v>
      </c>
      <c r="F186">
        <v>159.66900000000001</v>
      </c>
      <c r="G186">
        <v>2.7869999999999999</v>
      </c>
      <c r="H186">
        <v>7.1070000000000002</v>
      </c>
      <c r="I186">
        <v>3.1680000000000001</v>
      </c>
      <c r="J186">
        <v>1211.557</v>
      </c>
      <c r="K186">
        <v>0</v>
      </c>
      <c r="L186">
        <v>0</v>
      </c>
      <c r="M186">
        <v>100</v>
      </c>
      <c r="N186">
        <v>1142.6379999999999</v>
      </c>
      <c r="O186">
        <v>0.312</v>
      </c>
      <c r="P186">
        <v>0.37</v>
      </c>
      <c r="Q186">
        <v>0.21299999999999999</v>
      </c>
      <c r="R186">
        <v>0.85699999999999998</v>
      </c>
      <c r="S186">
        <v>0.223</v>
      </c>
      <c r="U186" t="s">
        <v>33</v>
      </c>
      <c r="V186" t="s">
        <v>30</v>
      </c>
      <c r="W186">
        <v>5</v>
      </c>
      <c r="X186" t="s">
        <v>40</v>
      </c>
      <c r="Y186">
        <f t="shared" si="4"/>
        <v>-0.64400000000000002</v>
      </c>
      <c r="Z186">
        <f t="shared" si="5"/>
        <v>-5.7999999999999996E-2</v>
      </c>
    </row>
    <row r="187" spans="1:26" x14ac:dyDescent="0.2">
      <c r="A187" t="s">
        <v>38</v>
      </c>
      <c r="B187">
        <v>4040.875</v>
      </c>
      <c r="C187">
        <v>72.849000000000004</v>
      </c>
      <c r="D187">
        <v>21.882999999999999</v>
      </c>
      <c r="E187">
        <v>3.78</v>
      </c>
      <c r="F187">
        <v>158.065</v>
      </c>
      <c r="G187">
        <v>2.8039999999999998</v>
      </c>
      <c r="H187">
        <v>6.5750000000000002</v>
      </c>
      <c r="I187">
        <v>3.2650000000000001</v>
      </c>
      <c r="J187">
        <v>1058.133</v>
      </c>
      <c r="K187">
        <v>0</v>
      </c>
      <c r="L187">
        <v>0</v>
      </c>
      <c r="M187">
        <v>100</v>
      </c>
      <c r="N187">
        <v>971.95100000000002</v>
      </c>
      <c r="O187">
        <v>0.41799999999999998</v>
      </c>
      <c r="P187">
        <v>0.43</v>
      </c>
      <c r="Q187">
        <v>0.157</v>
      </c>
      <c r="R187">
        <v>0.92600000000000005</v>
      </c>
      <c r="S187">
        <v>0.17599999999999999</v>
      </c>
      <c r="U187" t="s">
        <v>33</v>
      </c>
      <c r="V187" t="s">
        <v>30</v>
      </c>
      <c r="W187">
        <v>5</v>
      </c>
      <c r="X187" t="s">
        <v>40</v>
      </c>
      <c r="Y187">
        <f t="shared" si="4"/>
        <v>-0.76900000000000002</v>
      </c>
      <c r="Z187">
        <f t="shared" si="5"/>
        <v>-1.2000000000000011E-2</v>
      </c>
    </row>
    <row r="188" spans="1:26" x14ac:dyDescent="0.2">
      <c r="A188" t="s">
        <v>38</v>
      </c>
      <c r="B188">
        <v>4041</v>
      </c>
      <c r="C188">
        <v>86.950999999999993</v>
      </c>
      <c r="D188">
        <v>21.858000000000001</v>
      </c>
      <c r="E188">
        <v>3.8690000000000002</v>
      </c>
      <c r="F188">
        <v>157.88</v>
      </c>
      <c r="G188">
        <v>2.8159999999999998</v>
      </c>
      <c r="H188">
        <v>6.242</v>
      </c>
      <c r="I188">
        <v>3.4039999999999999</v>
      </c>
      <c r="J188">
        <v>849.40700000000004</v>
      </c>
      <c r="K188">
        <v>0</v>
      </c>
      <c r="L188">
        <v>0</v>
      </c>
      <c r="M188">
        <v>100</v>
      </c>
      <c r="N188">
        <v>758.40899999999999</v>
      </c>
      <c r="O188">
        <v>0.53300000000000003</v>
      </c>
      <c r="P188">
        <v>0.51800000000000002</v>
      </c>
      <c r="Q188">
        <v>0.14199999999999999</v>
      </c>
      <c r="R188">
        <v>0.97799999999999998</v>
      </c>
      <c r="S188">
        <v>0.14499999999999999</v>
      </c>
      <c r="U188" t="s">
        <v>33</v>
      </c>
      <c r="V188" t="s">
        <v>30</v>
      </c>
      <c r="W188">
        <v>5</v>
      </c>
      <c r="X188" t="s">
        <v>40</v>
      </c>
      <c r="Y188">
        <f t="shared" si="4"/>
        <v>-0.83599999999999997</v>
      </c>
      <c r="Z188">
        <f t="shared" si="5"/>
        <v>1.5000000000000013E-2</v>
      </c>
    </row>
    <row r="189" spans="1:26" x14ac:dyDescent="0.2">
      <c r="A189" t="s">
        <v>38</v>
      </c>
      <c r="B189">
        <v>4041.125</v>
      </c>
      <c r="C189">
        <v>96.144999999999996</v>
      </c>
      <c r="D189">
        <v>21.835000000000001</v>
      </c>
      <c r="E189">
        <v>3.577</v>
      </c>
      <c r="F189">
        <v>160.96199999999999</v>
      </c>
      <c r="G189">
        <v>2.819</v>
      </c>
      <c r="H189">
        <v>6.5289999999999999</v>
      </c>
      <c r="I189">
        <v>3.532</v>
      </c>
      <c r="J189">
        <v>583.24099999999999</v>
      </c>
      <c r="K189">
        <v>0</v>
      </c>
      <c r="L189">
        <v>0</v>
      </c>
      <c r="M189">
        <v>100</v>
      </c>
      <c r="N189">
        <v>502.68700000000001</v>
      </c>
      <c r="O189">
        <v>0.61599999999999999</v>
      </c>
      <c r="P189">
        <v>0.60699999999999998</v>
      </c>
      <c r="Q189">
        <v>0.22</v>
      </c>
      <c r="R189">
        <v>0.998</v>
      </c>
      <c r="S189">
        <v>0.158</v>
      </c>
      <c r="U189" t="s">
        <v>33</v>
      </c>
      <c r="V189" t="s">
        <v>30</v>
      </c>
      <c r="W189">
        <v>5</v>
      </c>
      <c r="X189" t="s">
        <v>40</v>
      </c>
      <c r="Y189">
        <f t="shared" si="4"/>
        <v>-0.77800000000000002</v>
      </c>
      <c r="Z189">
        <f t="shared" si="5"/>
        <v>9.000000000000008E-3</v>
      </c>
    </row>
    <row r="190" spans="1:26" x14ac:dyDescent="0.2">
      <c r="A190" t="s">
        <v>38</v>
      </c>
      <c r="B190">
        <v>4041.25</v>
      </c>
      <c r="C190">
        <v>104.045</v>
      </c>
      <c r="D190">
        <v>21.914999999999999</v>
      </c>
      <c r="E190">
        <v>3.1760000000000002</v>
      </c>
      <c r="F190">
        <v>166.68</v>
      </c>
      <c r="G190">
        <v>2.8119999999999998</v>
      </c>
      <c r="H190">
        <v>7.5279999999999996</v>
      </c>
      <c r="I190">
        <v>3.62</v>
      </c>
      <c r="J190">
        <v>422.04899999999998</v>
      </c>
      <c r="K190">
        <v>0</v>
      </c>
      <c r="L190">
        <v>0</v>
      </c>
      <c r="M190">
        <v>100</v>
      </c>
      <c r="N190">
        <v>365.85700000000003</v>
      </c>
      <c r="O190">
        <v>0.68200000000000005</v>
      </c>
      <c r="P190">
        <v>0.67100000000000004</v>
      </c>
      <c r="Q190">
        <v>0.38700000000000001</v>
      </c>
      <c r="R190">
        <v>0.97699999999999998</v>
      </c>
      <c r="S190">
        <v>0.23100000000000001</v>
      </c>
      <c r="U190" t="s">
        <v>33</v>
      </c>
      <c r="V190" t="s">
        <v>30</v>
      </c>
      <c r="W190">
        <v>5</v>
      </c>
      <c r="X190" t="s">
        <v>40</v>
      </c>
      <c r="Y190">
        <f t="shared" si="4"/>
        <v>-0.59</v>
      </c>
      <c r="Z190">
        <f t="shared" si="5"/>
        <v>1.100000000000001E-2</v>
      </c>
    </row>
    <row r="191" spans="1:26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12</v>
      </c>
      <c r="N191" t="s">
        <v>13</v>
      </c>
      <c r="O191" t="s">
        <v>14</v>
      </c>
      <c r="P191" t="s">
        <v>15</v>
      </c>
      <c r="Q191" t="s">
        <v>16</v>
      </c>
      <c r="R191" t="s">
        <v>17</v>
      </c>
      <c r="S191" t="s">
        <v>18</v>
      </c>
      <c r="T191" t="s">
        <v>19</v>
      </c>
      <c r="U191" t="s">
        <v>20</v>
      </c>
      <c r="Y191" t="e">
        <f t="shared" si="4"/>
        <v>#VALUE!</v>
      </c>
      <c r="Z191" t="e">
        <f t="shared" si="5"/>
        <v>#VALUE!</v>
      </c>
    </row>
    <row r="192" spans="1:26" x14ac:dyDescent="0.2">
      <c r="A192" t="s">
        <v>38</v>
      </c>
      <c r="B192">
        <v>4041.25</v>
      </c>
      <c r="C192">
        <v>104.045</v>
      </c>
      <c r="D192">
        <v>21.914999999999999</v>
      </c>
      <c r="E192">
        <v>3.1760000000000002</v>
      </c>
      <c r="F192">
        <v>166.68</v>
      </c>
      <c r="G192">
        <v>2.8119999999999998</v>
      </c>
      <c r="H192">
        <v>7.5279999999999996</v>
      </c>
      <c r="I192">
        <v>3.62</v>
      </c>
      <c r="J192">
        <v>422.04899999999998</v>
      </c>
      <c r="K192">
        <v>0</v>
      </c>
      <c r="L192">
        <v>0</v>
      </c>
      <c r="M192">
        <v>100</v>
      </c>
      <c r="N192">
        <v>365.85700000000003</v>
      </c>
      <c r="O192">
        <v>0.68200000000000005</v>
      </c>
      <c r="P192">
        <v>0.67100000000000004</v>
      </c>
      <c r="Q192">
        <v>0.38700000000000001</v>
      </c>
      <c r="R192">
        <v>0.97699999999999998</v>
      </c>
      <c r="S192">
        <v>0.23100000000000001</v>
      </c>
      <c r="U192" t="s">
        <v>33</v>
      </c>
      <c r="V192" t="s">
        <v>37</v>
      </c>
      <c r="W192">
        <v>6</v>
      </c>
      <c r="Y192">
        <f t="shared" si="4"/>
        <v>-0.59</v>
      </c>
      <c r="Z192">
        <f t="shared" si="5"/>
        <v>1.100000000000001E-2</v>
      </c>
    </row>
    <row r="193" spans="1:26" x14ac:dyDescent="0.2">
      <c r="A193" t="s">
        <v>38</v>
      </c>
      <c r="B193">
        <v>4041.375</v>
      </c>
      <c r="C193">
        <v>114.449</v>
      </c>
      <c r="D193">
        <v>21.957999999999998</v>
      </c>
      <c r="E193">
        <v>2.86</v>
      </c>
      <c r="F193">
        <v>173.505</v>
      </c>
      <c r="G193">
        <v>2.7909999999999999</v>
      </c>
      <c r="H193">
        <v>9.2189999999999994</v>
      </c>
      <c r="I193">
        <v>3.6930000000000001</v>
      </c>
      <c r="J193">
        <v>347.56599999999997</v>
      </c>
      <c r="K193">
        <v>0</v>
      </c>
      <c r="L193">
        <v>0</v>
      </c>
      <c r="M193">
        <v>100</v>
      </c>
      <c r="N193">
        <v>306.56599999999997</v>
      </c>
      <c r="O193">
        <v>0.76300000000000001</v>
      </c>
      <c r="P193">
        <v>0.72299999999999998</v>
      </c>
      <c r="Q193">
        <v>0.6</v>
      </c>
      <c r="R193">
        <v>0.90400000000000003</v>
      </c>
      <c r="S193">
        <v>0.36399999999999999</v>
      </c>
      <c r="U193" t="s">
        <v>33</v>
      </c>
      <c r="V193" t="s">
        <v>37</v>
      </c>
      <c r="W193">
        <v>6</v>
      </c>
      <c r="Y193">
        <f t="shared" si="4"/>
        <v>-0.30400000000000005</v>
      </c>
      <c r="Z193">
        <f t="shared" si="5"/>
        <v>4.0000000000000036E-2</v>
      </c>
    </row>
    <row r="194" spans="1:26" x14ac:dyDescent="0.2">
      <c r="A194" t="s">
        <v>38</v>
      </c>
      <c r="B194">
        <v>4041.5</v>
      </c>
      <c r="C194">
        <v>126.251</v>
      </c>
      <c r="D194">
        <v>22.023</v>
      </c>
      <c r="E194">
        <v>2.9780000000000002</v>
      </c>
      <c r="F194">
        <v>178.96899999999999</v>
      </c>
      <c r="G194">
        <v>2.754</v>
      </c>
      <c r="H194">
        <v>10.914999999999999</v>
      </c>
      <c r="I194">
        <v>3.65</v>
      </c>
      <c r="J194">
        <v>321.86599999999999</v>
      </c>
      <c r="K194">
        <v>0</v>
      </c>
      <c r="L194">
        <v>0</v>
      </c>
      <c r="M194">
        <v>100</v>
      </c>
      <c r="N194">
        <v>285.07499999999999</v>
      </c>
      <c r="O194">
        <v>0.85599999999999998</v>
      </c>
      <c r="P194">
        <v>0.70899999999999996</v>
      </c>
      <c r="Q194">
        <v>0.78400000000000003</v>
      </c>
      <c r="R194">
        <v>0.76700000000000002</v>
      </c>
      <c r="S194">
        <v>0.50800000000000001</v>
      </c>
      <c r="U194" t="s">
        <v>33</v>
      </c>
      <c r="V194" t="s">
        <v>37</v>
      </c>
      <c r="W194">
        <v>6</v>
      </c>
      <c r="Y194">
        <f t="shared" si="4"/>
        <v>1.7000000000000015E-2</v>
      </c>
      <c r="Z194">
        <f t="shared" si="5"/>
        <v>0.14700000000000002</v>
      </c>
    </row>
    <row r="195" spans="1:26" x14ac:dyDescent="0.2">
      <c r="A195" t="s">
        <v>38</v>
      </c>
      <c r="B195">
        <v>4041.625</v>
      </c>
      <c r="C195">
        <v>131.97</v>
      </c>
      <c r="D195">
        <v>22.036000000000001</v>
      </c>
      <c r="E195">
        <v>3.5049999999999999</v>
      </c>
      <c r="F195">
        <v>180.42500000000001</v>
      </c>
      <c r="G195">
        <v>2.7109999999999999</v>
      </c>
      <c r="H195">
        <v>11.085000000000001</v>
      </c>
      <c r="I195">
        <v>3.53</v>
      </c>
      <c r="J195">
        <v>307.649</v>
      </c>
      <c r="K195">
        <v>0</v>
      </c>
      <c r="L195">
        <v>0</v>
      </c>
      <c r="M195">
        <v>100</v>
      </c>
      <c r="N195">
        <v>272.83300000000003</v>
      </c>
      <c r="O195">
        <v>0.91300000000000003</v>
      </c>
      <c r="P195">
        <v>0.63900000000000001</v>
      </c>
      <c r="Q195">
        <v>0.85599999999999998</v>
      </c>
      <c r="R195">
        <v>0.59699999999999998</v>
      </c>
      <c r="S195">
        <v>0.54800000000000004</v>
      </c>
      <c r="U195" t="s">
        <v>33</v>
      </c>
      <c r="V195" t="s">
        <v>37</v>
      </c>
      <c r="W195">
        <v>6</v>
      </c>
      <c r="Y195">
        <f t="shared" ref="Y195:Y197" si="6">Q195-R195</f>
        <v>0.25900000000000001</v>
      </c>
      <c r="Z195">
        <f t="shared" ref="Z195:Z197" si="7">O195-P195</f>
        <v>0.27400000000000002</v>
      </c>
    </row>
    <row r="196" spans="1:26" x14ac:dyDescent="0.2">
      <c r="A196" t="s">
        <v>38</v>
      </c>
      <c r="B196">
        <v>4041.75</v>
      </c>
      <c r="C196">
        <v>124.529</v>
      </c>
      <c r="D196">
        <v>22.082999999999998</v>
      </c>
      <c r="E196">
        <v>3.6539999999999999</v>
      </c>
      <c r="F196">
        <v>178.31299999999999</v>
      </c>
      <c r="G196">
        <v>2.681</v>
      </c>
      <c r="H196">
        <v>9.8130000000000006</v>
      </c>
      <c r="I196">
        <v>3.427</v>
      </c>
      <c r="J196">
        <v>326.339</v>
      </c>
      <c r="K196">
        <v>0</v>
      </c>
      <c r="L196">
        <v>0</v>
      </c>
      <c r="M196">
        <v>100</v>
      </c>
      <c r="N196">
        <v>293.93099999999998</v>
      </c>
      <c r="O196">
        <v>0.873</v>
      </c>
      <c r="P196">
        <v>0.56699999999999995</v>
      </c>
      <c r="Q196">
        <v>0.81100000000000005</v>
      </c>
      <c r="R196">
        <v>0.46500000000000002</v>
      </c>
      <c r="S196">
        <v>0.46400000000000002</v>
      </c>
      <c r="U196" t="s">
        <v>33</v>
      </c>
      <c r="V196" t="s">
        <v>37</v>
      </c>
      <c r="W196">
        <v>6</v>
      </c>
      <c r="Y196">
        <f t="shared" si="6"/>
        <v>0.34600000000000003</v>
      </c>
      <c r="Z196">
        <f t="shared" si="7"/>
        <v>0.30600000000000005</v>
      </c>
    </row>
    <row r="197" spans="1:26" x14ac:dyDescent="0.2">
      <c r="A197" t="s">
        <v>38</v>
      </c>
      <c r="B197">
        <v>4041.875</v>
      </c>
      <c r="C197">
        <v>106.22799999999999</v>
      </c>
      <c r="D197">
        <v>22.088000000000001</v>
      </c>
      <c r="E197">
        <v>3.2850000000000001</v>
      </c>
      <c r="F197">
        <v>173.82</v>
      </c>
      <c r="G197">
        <v>2.6749999999999998</v>
      </c>
      <c r="H197">
        <v>7.8659999999999997</v>
      </c>
      <c r="I197">
        <v>3.3359999999999999</v>
      </c>
      <c r="J197">
        <v>443.923</v>
      </c>
      <c r="K197">
        <v>0</v>
      </c>
      <c r="L197">
        <v>0</v>
      </c>
      <c r="M197">
        <v>100</v>
      </c>
      <c r="N197">
        <v>406.63799999999998</v>
      </c>
      <c r="O197">
        <v>0.74199999999999999</v>
      </c>
      <c r="P197">
        <v>0.503</v>
      </c>
      <c r="Q197">
        <v>0.68200000000000005</v>
      </c>
      <c r="R197">
        <v>0.42199999999999999</v>
      </c>
      <c r="S197">
        <v>0.31</v>
      </c>
      <c r="U197" t="s">
        <v>41</v>
      </c>
      <c r="V197" t="s">
        <v>37</v>
      </c>
      <c r="W197">
        <v>6</v>
      </c>
      <c r="Y197">
        <f t="shared" si="6"/>
        <v>0.26000000000000006</v>
      </c>
      <c r="Z197">
        <f t="shared" si="7"/>
        <v>0.23899999999999999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C745-6F9F-4493-BA45-1C87E1F8EE04}">
  <dimension ref="A1:Z97"/>
  <sheetViews>
    <sheetView zoomScale="70" zoomScaleNormal="70" workbookViewId="0">
      <selection activeCell="L47" sqref="L47"/>
    </sheetView>
  </sheetViews>
  <sheetFormatPr defaultRowHeight="14.2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</row>
    <row r="2" spans="1:26" x14ac:dyDescent="0.2">
      <c r="A2" t="s">
        <v>42</v>
      </c>
      <c r="B2">
        <v>3929.5</v>
      </c>
      <c r="C2">
        <v>66.563000000000002</v>
      </c>
      <c r="D2">
        <v>22.574999999999999</v>
      </c>
      <c r="E2">
        <v>4.4450000000000003</v>
      </c>
      <c r="F2">
        <v>185.827</v>
      </c>
      <c r="G2">
        <v>2.7320000000000002</v>
      </c>
      <c r="H2">
        <v>7.0380000000000003</v>
      </c>
      <c r="I2">
        <v>3.4790000000000001</v>
      </c>
      <c r="J2">
        <v>432.42700000000002</v>
      </c>
      <c r="K2">
        <v>470.90300000000002</v>
      </c>
      <c r="L2">
        <v>0.01</v>
      </c>
      <c r="M2">
        <v>1E-3</v>
      </c>
      <c r="N2">
        <v>100</v>
      </c>
      <c r="O2">
        <v>0.40500000000000003</v>
      </c>
      <c r="P2">
        <v>0.79100000000000004</v>
      </c>
      <c r="Q2">
        <v>0.623</v>
      </c>
      <c r="R2">
        <v>0.49199999999999999</v>
      </c>
      <c r="S2">
        <v>0.372</v>
      </c>
      <c r="U2" t="s">
        <v>22</v>
      </c>
      <c r="V2" s="3" t="s">
        <v>35</v>
      </c>
      <c r="Y2">
        <f>Q2-R2</f>
        <v>0.13100000000000001</v>
      </c>
      <c r="Z2">
        <f>O2-P2</f>
        <v>-0.38600000000000001</v>
      </c>
    </row>
    <row r="3" spans="1:26" x14ac:dyDescent="0.2">
      <c r="A3" t="s">
        <v>42</v>
      </c>
      <c r="B3">
        <v>3929.625</v>
      </c>
      <c r="C3">
        <v>72.088999999999999</v>
      </c>
      <c r="D3">
        <v>22.623999999999999</v>
      </c>
      <c r="E3">
        <v>4.3150000000000004</v>
      </c>
      <c r="F3">
        <v>187.48</v>
      </c>
      <c r="G3">
        <v>2.7320000000000002</v>
      </c>
      <c r="H3">
        <v>7.1890000000000001</v>
      </c>
      <c r="I3">
        <v>3.4249999999999998</v>
      </c>
      <c r="J3">
        <v>386.19299999999998</v>
      </c>
      <c r="K3">
        <v>420.34500000000003</v>
      </c>
      <c r="L3">
        <v>0.01</v>
      </c>
      <c r="M3">
        <v>1E-3</v>
      </c>
      <c r="N3">
        <v>100</v>
      </c>
      <c r="O3">
        <v>0.46500000000000002</v>
      </c>
      <c r="P3">
        <v>0.74</v>
      </c>
      <c r="Q3">
        <v>0.66400000000000003</v>
      </c>
      <c r="R3">
        <v>0.49</v>
      </c>
      <c r="S3">
        <v>0.39300000000000002</v>
      </c>
      <c r="U3" t="s">
        <v>33</v>
      </c>
      <c r="V3" s="3" t="s">
        <v>35</v>
      </c>
      <c r="Y3">
        <f t="shared" ref="Y3:Y66" si="0">Q3-R3</f>
        <v>0.17400000000000004</v>
      </c>
      <c r="Z3">
        <f t="shared" ref="Z3:Z66" si="1">O3-P3</f>
        <v>-0.27499999999999997</v>
      </c>
    </row>
    <row r="4" spans="1:26" x14ac:dyDescent="0.2">
      <c r="A4" t="s">
        <v>42</v>
      </c>
      <c r="B4">
        <v>3929.75</v>
      </c>
      <c r="C4">
        <v>78.308000000000007</v>
      </c>
      <c r="D4">
        <v>22.594999999999999</v>
      </c>
      <c r="E4">
        <v>4.165</v>
      </c>
      <c r="F4">
        <v>186.49600000000001</v>
      </c>
      <c r="G4">
        <v>2.74</v>
      </c>
      <c r="H4">
        <v>7.0410000000000004</v>
      </c>
      <c r="I4">
        <v>3.36</v>
      </c>
      <c r="J4">
        <v>348.30799999999999</v>
      </c>
      <c r="K4">
        <v>379.52300000000002</v>
      </c>
      <c r="L4">
        <v>0.01</v>
      </c>
      <c r="M4">
        <v>1E-3</v>
      </c>
      <c r="N4">
        <v>100</v>
      </c>
      <c r="O4">
        <v>0.51700000000000002</v>
      </c>
      <c r="P4">
        <v>0.67400000000000004</v>
      </c>
      <c r="Q4">
        <v>0.65700000000000003</v>
      </c>
      <c r="R4">
        <v>0.51400000000000001</v>
      </c>
      <c r="S4">
        <v>0.38600000000000001</v>
      </c>
      <c r="U4" t="s">
        <v>33</v>
      </c>
      <c r="V4" s="3" t="s">
        <v>35</v>
      </c>
      <c r="Y4">
        <f t="shared" si="0"/>
        <v>0.14300000000000002</v>
      </c>
      <c r="Z4">
        <f t="shared" si="1"/>
        <v>-0.15700000000000003</v>
      </c>
    </row>
    <row r="5" spans="1:26" x14ac:dyDescent="0.2">
      <c r="A5" t="s">
        <v>42</v>
      </c>
      <c r="B5">
        <v>3929.875</v>
      </c>
      <c r="C5">
        <v>89.528000000000006</v>
      </c>
      <c r="D5">
        <v>22.472000000000001</v>
      </c>
      <c r="E5">
        <v>3.649</v>
      </c>
      <c r="F5">
        <v>182.416</v>
      </c>
      <c r="G5">
        <v>2.7559999999999998</v>
      </c>
      <c r="H5">
        <v>6.6760000000000002</v>
      </c>
      <c r="I5">
        <v>3.2989999999999999</v>
      </c>
      <c r="J5">
        <v>359.48700000000002</v>
      </c>
      <c r="K5">
        <v>392.27699999999999</v>
      </c>
      <c r="L5">
        <v>0.01</v>
      </c>
      <c r="M5">
        <v>1E-3</v>
      </c>
      <c r="N5">
        <v>100</v>
      </c>
      <c r="O5">
        <v>0.60399999999999998</v>
      </c>
      <c r="P5">
        <v>0.60799999999999998</v>
      </c>
      <c r="Q5">
        <v>0.58899999999999997</v>
      </c>
      <c r="R5">
        <v>0.56799999999999995</v>
      </c>
      <c r="S5">
        <v>0.35499999999999998</v>
      </c>
      <c r="U5" t="s">
        <v>33</v>
      </c>
      <c r="V5" s="3" t="s">
        <v>35</v>
      </c>
      <c r="Y5">
        <f t="shared" si="0"/>
        <v>2.1000000000000019E-2</v>
      </c>
      <c r="Z5">
        <f t="shared" si="1"/>
        <v>-4.0000000000000036E-3</v>
      </c>
    </row>
    <row r="6" spans="1:26" x14ac:dyDescent="0.2">
      <c r="A6" t="s">
        <v>42</v>
      </c>
      <c r="B6">
        <v>3930</v>
      </c>
      <c r="C6">
        <v>100.807</v>
      </c>
      <c r="D6">
        <v>22.277000000000001</v>
      </c>
      <c r="E6">
        <v>3.0640000000000001</v>
      </c>
      <c r="F6">
        <v>175.91499999999999</v>
      </c>
      <c r="G6">
        <v>2.774</v>
      </c>
      <c r="H6">
        <v>6.2069999999999999</v>
      </c>
      <c r="I6">
        <v>3.2549999999999999</v>
      </c>
      <c r="J6">
        <v>412.48200000000003</v>
      </c>
      <c r="K6">
        <v>450.839</v>
      </c>
      <c r="L6">
        <v>0.01</v>
      </c>
      <c r="M6">
        <v>1E-3</v>
      </c>
      <c r="N6">
        <v>100</v>
      </c>
      <c r="O6">
        <v>0.70199999999999996</v>
      </c>
      <c r="P6">
        <v>0.55800000000000005</v>
      </c>
      <c r="Q6">
        <v>0.47099999999999997</v>
      </c>
      <c r="R6">
        <v>0.63400000000000001</v>
      </c>
      <c r="S6">
        <v>0.311</v>
      </c>
      <c r="U6" t="s">
        <v>33</v>
      </c>
      <c r="V6" s="3" t="s">
        <v>35</v>
      </c>
      <c r="Y6">
        <f t="shared" si="0"/>
        <v>-0.16300000000000003</v>
      </c>
      <c r="Z6">
        <f t="shared" si="1"/>
        <v>0.14399999999999991</v>
      </c>
    </row>
    <row r="7" spans="1:26" x14ac:dyDescent="0.2">
      <c r="A7" t="s">
        <v>42</v>
      </c>
      <c r="B7">
        <v>3930.125</v>
      </c>
      <c r="C7">
        <v>100.85899999999999</v>
      </c>
      <c r="D7">
        <v>22.065999999999999</v>
      </c>
      <c r="E7">
        <v>2.214</v>
      </c>
      <c r="F7">
        <v>168.851</v>
      </c>
      <c r="G7">
        <v>2.786</v>
      </c>
      <c r="H7">
        <v>5.66</v>
      </c>
      <c r="I7">
        <v>3.2320000000000002</v>
      </c>
      <c r="J7">
        <v>546.61300000000006</v>
      </c>
      <c r="K7">
        <v>598.01599999999996</v>
      </c>
      <c r="L7">
        <v>0.01</v>
      </c>
      <c r="M7">
        <v>1E-3</v>
      </c>
      <c r="N7">
        <v>100</v>
      </c>
      <c r="O7">
        <v>0.72499999999999998</v>
      </c>
      <c r="P7">
        <v>0.52800000000000002</v>
      </c>
      <c r="Q7">
        <v>0.33200000000000002</v>
      </c>
      <c r="R7">
        <v>0.68500000000000005</v>
      </c>
      <c r="S7">
        <v>0.25900000000000001</v>
      </c>
      <c r="U7" t="s">
        <v>33</v>
      </c>
      <c r="V7" s="3" t="s">
        <v>35</v>
      </c>
      <c r="Y7">
        <f t="shared" si="0"/>
        <v>-0.35300000000000004</v>
      </c>
      <c r="Z7">
        <f t="shared" si="1"/>
        <v>0.19699999999999995</v>
      </c>
    </row>
    <row r="8" spans="1:26" x14ac:dyDescent="0.2">
      <c r="A8" t="s">
        <v>42</v>
      </c>
      <c r="B8">
        <v>3930.25</v>
      </c>
      <c r="C8">
        <v>87.122</v>
      </c>
      <c r="D8">
        <v>21.899000000000001</v>
      </c>
      <c r="E8">
        <v>1.9379999999999999</v>
      </c>
      <c r="F8">
        <v>163.28700000000001</v>
      </c>
      <c r="G8">
        <v>2.7850000000000001</v>
      </c>
      <c r="H8">
        <v>5.1669999999999998</v>
      </c>
      <c r="I8">
        <v>3.2280000000000002</v>
      </c>
      <c r="J8">
        <v>782.1</v>
      </c>
      <c r="K8">
        <v>856.16300000000001</v>
      </c>
      <c r="L8">
        <v>0.01</v>
      </c>
      <c r="M8">
        <v>1E-3</v>
      </c>
      <c r="N8">
        <v>100</v>
      </c>
      <c r="O8">
        <v>0.63400000000000001</v>
      </c>
      <c r="P8">
        <v>0.51900000000000002</v>
      </c>
      <c r="Q8">
        <v>0.214</v>
      </c>
      <c r="R8">
        <v>0.69299999999999995</v>
      </c>
      <c r="S8">
        <v>0.21</v>
      </c>
      <c r="U8" t="s">
        <v>33</v>
      </c>
      <c r="V8" s="3" t="s">
        <v>35</v>
      </c>
      <c r="Y8">
        <f t="shared" si="0"/>
        <v>-0.47899999999999998</v>
      </c>
      <c r="Z8">
        <f t="shared" si="1"/>
        <v>0.11499999999999999</v>
      </c>
    </row>
    <row r="9" spans="1:26" x14ac:dyDescent="0.2">
      <c r="A9" t="s">
        <v>42</v>
      </c>
      <c r="B9">
        <v>3930.375</v>
      </c>
      <c r="C9">
        <v>68.192999999999998</v>
      </c>
      <c r="D9">
        <v>21.803000000000001</v>
      </c>
      <c r="E9">
        <v>1.839</v>
      </c>
      <c r="F9">
        <v>160.09800000000001</v>
      </c>
      <c r="G9">
        <v>2.774</v>
      </c>
      <c r="H9">
        <v>4.8369999999999997</v>
      </c>
      <c r="I9">
        <v>3.2349999999999999</v>
      </c>
      <c r="J9">
        <v>1230.1099999999999</v>
      </c>
      <c r="K9">
        <v>1345.383</v>
      </c>
      <c r="L9">
        <v>0.01</v>
      </c>
      <c r="M9">
        <v>1E-3</v>
      </c>
      <c r="N9">
        <v>100</v>
      </c>
      <c r="O9">
        <v>0.48</v>
      </c>
      <c r="P9">
        <v>0.52400000000000002</v>
      </c>
      <c r="Q9">
        <v>0.13900000000000001</v>
      </c>
      <c r="R9">
        <v>0.66</v>
      </c>
      <c r="S9">
        <v>0.17399999999999999</v>
      </c>
      <c r="U9" t="s">
        <v>33</v>
      </c>
      <c r="V9" s="3" t="s">
        <v>35</v>
      </c>
      <c r="Y9">
        <f t="shared" si="0"/>
        <v>-0.52100000000000002</v>
      </c>
      <c r="Z9">
        <f t="shared" si="1"/>
        <v>-4.4000000000000039E-2</v>
      </c>
    </row>
    <row r="10" spans="1:26" x14ac:dyDescent="0.2">
      <c r="A10" t="s">
        <v>21</v>
      </c>
      <c r="B10">
        <v>3922.625</v>
      </c>
      <c r="C10">
        <v>46.290999999999997</v>
      </c>
      <c r="D10">
        <v>22.364000000000001</v>
      </c>
      <c r="E10">
        <v>2.5569999999999999</v>
      </c>
      <c r="F10">
        <v>162.99</v>
      </c>
      <c r="G10">
        <v>2.8149999999999999</v>
      </c>
      <c r="H10">
        <v>7.1040000000000001</v>
      </c>
      <c r="I10">
        <v>3.3730000000000002</v>
      </c>
      <c r="J10">
        <v>494.73099999999999</v>
      </c>
      <c r="K10">
        <v>541.20299999999997</v>
      </c>
      <c r="L10">
        <v>1.232</v>
      </c>
      <c r="M10">
        <v>5.0000000000000001E-3</v>
      </c>
      <c r="N10">
        <v>75.653000000000006</v>
      </c>
      <c r="O10">
        <v>0.30099999999999999</v>
      </c>
      <c r="P10">
        <v>0.57099999999999995</v>
      </c>
      <c r="Q10">
        <v>0.224</v>
      </c>
      <c r="R10">
        <v>0.69299999999999995</v>
      </c>
      <c r="S10">
        <v>0.2</v>
      </c>
      <c r="U10" t="s">
        <v>33</v>
      </c>
      <c r="V10" s="3" t="s">
        <v>35</v>
      </c>
      <c r="Y10">
        <f t="shared" si="0"/>
        <v>-0.46899999999999997</v>
      </c>
      <c r="Z10">
        <f t="shared" si="1"/>
        <v>-0.26999999999999996</v>
      </c>
    </row>
    <row r="11" spans="1:26" x14ac:dyDescent="0.2">
      <c r="A11" t="s">
        <v>21</v>
      </c>
      <c r="B11">
        <v>3922.75</v>
      </c>
      <c r="C11">
        <v>63.570999999999998</v>
      </c>
      <c r="D11">
        <v>22.463999999999999</v>
      </c>
      <c r="E11">
        <v>3.0049999999999999</v>
      </c>
      <c r="F11">
        <v>166.06200000000001</v>
      </c>
      <c r="G11">
        <v>2.81</v>
      </c>
      <c r="H11">
        <v>7.7279999999999998</v>
      </c>
      <c r="I11">
        <v>3.359</v>
      </c>
      <c r="J11">
        <v>470.327</v>
      </c>
      <c r="K11">
        <v>513.39200000000005</v>
      </c>
      <c r="L11">
        <v>0.01</v>
      </c>
      <c r="M11">
        <v>1E-3</v>
      </c>
      <c r="N11">
        <v>100</v>
      </c>
      <c r="O11">
        <v>0.47399999999999998</v>
      </c>
      <c r="P11">
        <v>0.55000000000000004</v>
      </c>
      <c r="Q11">
        <v>0.35399999999999998</v>
      </c>
      <c r="R11">
        <v>0.66800000000000004</v>
      </c>
      <c r="S11">
        <v>0.28799999999999998</v>
      </c>
      <c r="U11" t="s">
        <v>33</v>
      </c>
      <c r="V11" s="3" t="s">
        <v>35</v>
      </c>
      <c r="Y11">
        <f t="shared" si="0"/>
        <v>-0.31400000000000006</v>
      </c>
      <c r="Z11">
        <f t="shared" si="1"/>
        <v>-7.6000000000000068E-2</v>
      </c>
    </row>
    <row r="12" spans="1:26" x14ac:dyDescent="0.2">
      <c r="A12" t="s">
        <v>21</v>
      </c>
      <c r="B12">
        <v>3922.875</v>
      </c>
      <c r="C12">
        <v>81.921999999999997</v>
      </c>
      <c r="D12">
        <v>22.59</v>
      </c>
      <c r="E12">
        <v>3.38</v>
      </c>
      <c r="F12">
        <v>169.52600000000001</v>
      </c>
      <c r="G12">
        <v>2.7959999999999998</v>
      </c>
      <c r="H12">
        <v>8.4350000000000005</v>
      </c>
      <c r="I12">
        <v>3.351</v>
      </c>
      <c r="J12">
        <v>407.64400000000001</v>
      </c>
      <c r="K12">
        <v>444.28199999999998</v>
      </c>
      <c r="L12">
        <v>0.01</v>
      </c>
      <c r="M12">
        <v>1E-3</v>
      </c>
      <c r="N12">
        <v>100</v>
      </c>
      <c r="O12">
        <v>0.66100000000000003</v>
      </c>
      <c r="P12">
        <v>0.53700000000000003</v>
      </c>
      <c r="Q12">
        <v>0.503</v>
      </c>
      <c r="R12">
        <v>0.59299999999999997</v>
      </c>
      <c r="S12">
        <v>0.38800000000000001</v>
      </c>
      <c r="U12" t="s">
        <v>33</v>
      </c>
      <c r="V12" s="3" t="s">
        <v>35</v>
      </c>
      <c r="Y12">
        <f t="shared" si="0"/>
        <v>-8.9999999999999969E-2</v>
      </c>
      <c r="Z12">
        <f t="shared" si="1"/>
        <v>0.124</v>
      </c>
    </row>
    <row r="13" spans="1:26" x14ac:dyDescent="0.2">
      <c r="A13" t="s">
        <v>21</v>
      </c>
      <c r="B13">
        <v>3923</v>
      </c>
      <c r="C13">
        <v>95.543000000000006</v>
      </c>
      <c r="D13">
        <v>22.713999999999999</v>
      </c>
      <c r="E13">
        <v>3.6120000000000001</v>
      </c>
      <c r="F13">
        <v>172.68899999999999</v>
      </c>
      <c r="G13">
        <v>2.7770000000000001</v>
      </c>
      <c r="H13">
        <v>9.0709999999999997</v>
      </c>
      <c r="I13">
        <v>3.3580000000000001</v>
      </c>
      <c r="J13">
        <v>336.04</v>
      </c>
      <c r="K13">
        <v>366.16699999999997</v>
      </c>
      <c r="L13">
        <v>0.01</v>
      </c>
      <c r="M13">
        <v>1E-3</v>
      </c>
      <c r="N13">
        <v>100</v>
      </c>
      <c r="O13">
        <v>0.80700000000000005</v>
      </c>
      <c r="P13">
        <v>0.54500000000000004</v>
      </c>
      <c r="Q13">
        <v>0.64200000000000002</v>
      </c>
      <c r="R13">
        <v>0.48599999999999999</v>
      </c>
      <c r="S13">
        <v>0.48099999999999998</v>
      </c>
      <c r="U13" t="s">
        <v>33</v>
      </c>
      <c r="V13" s="3" t="s">
        <v>35</v>
      </c>
      <c r="Y13">
        <f t="shared" si="0"/>
        <v>0.15600000000000003</v>
      </c>
      <c r="Z13">
        <f t="shared" si="1"/>
        <v>0.26200000000000001</v>
      </c>
    </row>
    <row r="14" spans="1:26" x14ac:dyDescent="0.2">
      <c r="A14" t="s">
        <v>21</v>
      </c>
      <c r="B14">
        <v>3923.125</v>
      </c>
      <c r="C14">
        <v>100.90600000000001</v>
      </c>
      <c r="D14">
        <v>22.795000000000002</v>
      </c>
      <c r="E14">
        <v>3.63</v>
      </c>
      <c r="F14">
        <v>174.88900000000001</v>
      </c>
      <c r="G14">
        <v>2.758</v>
      </c>
      <c r="H14">
        <v>9.4809999999999999</v>
      </c>
      <c r="I14">
        <v>3.3849999999999998</v>
      </c>
      <c r="J14">
        <v>283.85000000000002</v>
      </c>
      <c r="K14">
        <v>309.81900000000002</v>
      </c>
      <c r="L14">
        <v>0.01</v>
      </c>
      <c r="M14">
        <v>1E-3</v>
      </c>
      <c r="N14">
        <v>100</v>
      </c>
      <c r="O14">
        <v>0.872</v>
      </c>
      <c r="P14">
        <v>0.58299999999999996</v>
      </c>
      <c r="Q14">
        <v>0.74299999999999999</v>
      </c>
      <c r="R14">
        <v>0.376</v>
      </c>
      <c r="S14">
        <v>0.54400000000000004</v>
      </c>
      <c r="U14" t="s">
        <v>33</v>
      </c>
      <c r="V14" s="3" t="s">
        <v>35</v>
      </c>
      <c r="Y14">
        <f t="shared" si="0"/>
        <v>0.36699999999999999</v>
      </c>
      <c r="Z14">
        <f t="shared" si="1"/>
        <v>0.28900000000000003</v>
      </c>
    </row>
    <row r="15" spans="1:26" x14ac:dyDescent="0.2">
      <c r="A15" t="s">
        <v>21</v>
      </c>
      <c r="B15">
        <v>3923.25</v>
      </c>
      <c r="C15">
        <v>97.432000000000002</v>
      </c>
      <c r="D15">
        <v>22.808</v>
      </c>
      <c r="E15">
        <v>3.3849999999999998</v>
      </c>
      <c r="F15">
        <v>175.655</v>
      </c>
      <c r="G15">
        <v>2.7440000000000002</v>
      </c>
      <c r="H15">
        <v>9.5619999999999994</v>
      </c>
      <c r="I15">
        <v>3.43</v>
      </c>
      <c r="J15">
        <v>273.14999999999998</v>
      </c>
      <c r="K15">
        <v>299.101</v>
      </c>
      <c r="L15">
        <v>0.01</v>
      </c>
      <c r="M15">
        <v>1E-3</v>
      </c>
      <c r="N15">
        <v>100</v>
      </c>
      <c r="O15">
        <v>0.84599999999999997</v>
      </c>
      <c r="P15">
        <v>0.64900000000000002</v>
      </c>
      <c r="Q15">
        <v>0.78300000000000003</v>
      </c>
      <c r="R15">
        <v>0.29199999999999998</v>
      </c>
      <c r="S15">
        <v>0.56100000000000005</v>
      </c>
      <c r="U15" t="s">
        <v>33</v>
      </c>
      <c r="V15" s="3" t="s">
        <v>35</v>
      </c>
      <c r="Y15">
        <f t="shared" si="0"/>
        <v>0.49100000000000005</v>
      </c>
      <c r="Z15">
        <f t="shared" si="1"/>
        <v>0.19699999999999995</v>
      </c>
    </row>
    <row r="16" spans="1:26" x14ac:dyDescent="0.2">
      <c r="A16" t="s">
        <v>21</v>
      </c>
      <c r="B16">
        <v>3923.375</v>
      </c>
      <c r="C16">
        <v>89.399000000000001</v>
      </c>
      <c r="D16">
        <v>22.768999999999998</v>
      </c>
      <c r="E16">
        <v>2.964</v>
      </c>
      <c r="F16">
        <v>175.268</v>
      </c>
      <c r="G16">
        <v>2.7360000000000002</v>
      </c>
      <c r="H16">
        <v>9.2720000000000002</v>
      </c>
      <c r="I16">
        <v>3.4870000000000001</v>
      </c>
      <c r="J16">
        <v>305.798</v>
      </c>
      <c r="K16">
        <v>335.83800000000002</v>
      </c>
      <c r="L16">
        <v>0.01</v>
      </c>
      <c r="M16">
        <v>1E-3</v>
      </c>
      <c r="N16">
        <v>100</v>
      </c>
      <c r="O16">
        <v>0.76900000000000002</v>
      </c>
      <c r="P16">
        <v>0.73399999999999999</v>
      </c>
      <c r="Q16">
        <v>0.77200000000000002</v>
      </c>
      <c r="R16">
        <v>0.24199999999999999</v>
      </c>
      <c r="S16">
        <v>0.52500000000000002</v>
      </c>
      <c r="U16" t="s">
        <v>33</v>
      </c>
      <c r="V16" s="3" t="s">
        <v>35</v>
      </c>
      <c r="Y16">
        <f t="shared" si="0"/>
        <v>0.53</v>
      </c>
      <c r="Z16">
        <f t="shared" si="1"/>
        <v>3.5000000000000031E-2</v>
      </c>
    </row>
    <row r="17" spans="1:26" x14ac:dyDescent="0.2">
      <c r="A17" t="s">
        <v>21</v>
      </c>
      <c r="B17">
        <v>3923.5</v>
      </c>
      <c r="C17">
        <v>81.162999999999997</v>
      </c>
      <c r="D17">
        <v>22.722000000000001</v>
      </c>
      <c r="E17">
        <v>2.4929999999999999</v>
      </c>
      <c r="F17">
        <v>174.40600000000001</v>
      </c>
      <c r="G17">
        <v>2.734</v>
      </c>
      <c r="H17">
        <v>8.7189999999999994</v>
      </c>
      <c r="I17">
        <v>3.5449999999999999</v>
      </c>
      <c r="J17">
        <v>379.30099999999999</v>
      </c>
      <c r="K17">
        <v>417.11900000000003</v>
      </c>
      <c r="L17">
        <v>0.01</v>
      </c>
      <c r="M17">
        <v>1E-3</v>
      </c>
      <c r="N17">
        <v>100</v>
      </c>
      <c r="O17">
        <v>0.68400000000000005</v>
      </c>
      <c r="P17">
        <v>0.82199999999999995</v>
      </c>
      <c r="Q17">
        <v>0.73599999999999999</v>
      </c>
      <c r="R17">
        <v>0.22700000000000001</v>
      </c>
      <c r="S17">
        <v>0.44900000000000001</v>
      </c>
      <c r="U17" t="s">
        <v>33</v>
      </c>
      <c r="V17" s="3" t="s">
        <v>35</v>
      </c>
      <c r="Y17">
        <f t="shared" si="0"/>
        <v>0.50900000000000001</v>
      </c>
      <c r="Z17">
        <f t="shared" si="1"/>
        <v>-0.1379999999999999</v>
      </c>
    </row>
    <row r="18" spans="1:26" x14ac:dyDescent="0.2">
      <c r="A18" t="s">
        <v>21</v>
      </c>
      <c r="B18">
        <v>3923.625</v>
      </c>
      <c r="C18">
        <v>72.991</v>
      </c>
      <c r="D18">
        <v>22.693999999999999</v>
      </c>
      <c r="E18">
        <v>2.0139999999999998</v>
      </c>
      <c r="F18">
        <v>173.58</v>
      </c>
      <c r="G18">
        <v>2.7360000000000002</v>
      </c>
      <c r="H18">
        <v>8.06</v>
      </c>
      <c r="I18">
        <v>3.5950000000000002</v>
      </c>
      <c r="J18">
        <v>491.142</v>
      </c>
      <c r="K18">
        <v>539.96900000000005</v>
      </c>
      <c r="L18">
        <v>0.01</v>
      </c>
      <c r="M18">
        <v>1E-3</v>
      </c>
      <c r="N18">
        <v>100</v>
      </c>
      <c r="O18">
        <v>0.6</v>
      </c>
      <c r="P18">
        <v>0.9</v>
      </c>
      <c r="Q18">
        <v>0.7</v>
      </c>
      <c r="R18">
        <v>0.23599999999999999</v>
      </c>
      <c r="S18">
        <v>0.35599999999999998</v>
      </c>
      <c r="U18" t="s">
        <v>33</v>
      </c>
      <c r="V18" s="3" t="s">
        <v>35</v>
      </c>
      <c r="Y18">
        <f t="shared" si="0"/>
        <v>0.46399999999999997</v>
      </c>
      <c r="Z18">
        <f t="shared" si="1"/>
        <v>-0.30000000000000004</v>
      </c>
    </row>
    <row r="19" spans="1:26" x14ac:dyDescent="0.2">
      <c r="A19" t="s">
        <v>38</v>
      </c>
      <c r="B19">
        <v>4035.375</v>
      </c>
      <c r="C19">
        <v>50.826999999999998</v>
      </c>
      <c r="D19">
        <v>23.210999999999999</v>
      </c>
      <c r="E19">
        <v>2.8530000000000002</v>
      </c>
      <c r="F19">
        <v>177.94200000000001</v>
      </c>
      <c r="G19">
        <v>2.758</v>
      </c>
      <c r="H19">
        <v>9.5500000000000007</v>
      </c>
      <c r="I19">
        <v>3.23</v>
      </c>
      <c r="J19">
        <v>550.90700000000004</v>
      </c>
      <c r="K19">
        <v>596.98900000000003</v>
      </c>
      <c r="L19">
        <v>0</v>
      </c>
      <c r="M19">
        <v>0</v>
      </c>
      <c r="N19">
        <v>100</v>
      </c>
      <c r="O19">
        <v>0.245</v>
      </c>
      <c r="P19">
        <v>0.42299999999999999</v>
      </c>
      <c r="Q19">
        <v>0.73699999999999999</v>
      </c>
      <c r="R19">
        <v>0.751</v>
      </c>
      <c r="S19">
        <v>0.40699999999999997</v>
      </c>
      <c r="U19" t="s">
        <v>22</v>
      </c>
      <c r="V19" s="3" t="s">
        <v>35</v>
      </c>
      <c r="Y19">
        <f t="shared" si="0"/>
        <v>-1.4000000000000012E-2</v>
      </c>
      <c r="Z19">
        <f t="shared" si="1"/>
        <v>-0.17799999999999999</v>
      </c>
    </row>
    <row r="20" spans="1:26" x14ac:dyDescent="0.2">
      <c r="A20" t="s">
        <v>38</v>
      </c>
      <c r="B20">
        <v>4035.5</v>
      </c>
      <c r="C20">
        <v>68.558999999999997</v>
      </c>
      <c r="D20">
        <v>23.57</v>
      </c>
      <c r="E20">
        <v>3.2280000000000002</v>
      </c>
      <c r="F20">
        <v>184.608</v>
      </c>
      <c r="G20">
        <v>2.75</v>
      </c>
      <c r="H20">
        <v>10.96</v>
      </c>
      <c r="I20">
        <v>3.19</v>
      </c>
      <c r="J20">
        <v>474.40499999999997</v>
      </c>
      <c r="K20">
        <v>512.375</v>
      </c>
      <c r="L20">
        <v>0</v>
      </c>
      <c r="M20">
        <v>0</v>
      </c>
      <c r="N20">
        <v>100</v>
      </c>
      <c r="O20">
        <v>0.377</v>
      </c>
      <c r="P20">
        <v>0.39800000000000002</v>
      </c>
      <c r="Q20">
        <v>0.95699999999999996</v>
      </c>
      <c r="R20">
        <v>0.72699999999999998</v>
      </c>
      <c r="S20">
        <v>0.51700000000000002</v>
      </c>
      <c r="U20" t="s">
        <v>33</v>
      </c>
      <c r="V20" s="3" t="s">
        <v>35</v>
      </c>
      <c r="Y20">
        <f t="shared" si="0"/>
        <v>0.22999999999999998</v>
      </c>
      <c r="Z20">
        <f t="shared" si="1"/>
        <v>-2.1000000000000019E-2</v>
      </c>
    </row>
    <row r="21" spans="1:26" x14ac:dyDescent="0.2">
      <c r="A21" t="s">
        <v>38</v>
      </c>
      <c r="B21">
        <v>4035.625</v>
      </c>
      <c r="C21">
        <v>87.162999999999997</v>
      </c>
      <c r="D21">
        <v>23.635999999999999</v>
      </c>
      <c r="E21">
        <v>3.859</v>
      </c>
      <c r="F21">
        <v>183.251</v>
      </c>
      <c r="G21">
        <v>2.734</v>
      </c>
      <c r="H21">
        <v>12.739000000000001</v>
      </c>
      <c r="I21">
        <v>3.14</v>
      </c>
      <c r="J21">
        <v>445.411</v>
      </c>
      <c r="K21">
        <v>477.79599999999999</v>
      </c>
      <c r="L21">
        <v>0</v>
      </c>
      <c r="M21">
        <v>0</v>
      </c>
      <c r="N21">
        <v>100</v>
      </c>
      <c r="O21">
        <v>0.52700000000000002</v>
      </c>
      <c r="P21">
        <v>0.36499999999999999</v>
      </c>
      <c r="Q21">
        <v>0.96499999999999997</v>
      </c>
      <c r="R21">
        <v>0.66900000000000004</v>
      </c>
      <c r="S21">
        <v>0.66200000000000003</v>
      </c>
      <c r="U21" t="s">
        <v>33</v>
      </c>
      <c r="V21" s="3" t="s">
        <v>35</v>
      </c>
      <c r="Y21">
        <f t="shared" si="0"/>
        <v>0.29599999999999993</v>
      </c>
      <c r="Z21">
        <f t="shared" si="1"/>
        <v>0.16200000000000003</v>
      </c>
    </row>
    <row r="22" spans="1:26" x14ac:dyDescent="0.2">
      <c r="A22" t="s">
        <v>38</v>
      </c>
      <c r="B22">
        <v>4035.75</v>
      </c>
      <c r="C22">
        <v>100.65900000000001</v>
      </c>
      <c r="D22">
        <v>22.983000000000001</v>
      </c>
      <c r="E22">
        <v>4.367</v>
      </c>
      <c r="F22">
        <v>176.28299999999999</v>
      </c>
      <c r="G22">
        <v>2.722</v>
      </c>
      <c r="H22">
        <v>13.948</v>
      </c>
      <c r="I22">
        <v>3.0950000000000002</v>
      </c>
      <c r="J22">
        <v>438.58600000000001</v>
      </c>
      <c r="K22">
        <v>463.25</v>
      </c>
      <c r="L22">
        <v>0</v>
      </c>
      <c r="M22">
        <v>0</v>
      </c>
      <c r="N22">
        <v>100</v>
      </c>
      <c r="O22">
        <v>0.64500000000000002</v>
      </c>
      <c r="P22">
        <v>0.33400000000000002</v>
      </c>
      <c r="Q22">
        <v>0.77700000000000002</v>
      </c>
      <c r="R22">
        <v>0.61699999999999999</v>
      </c>
      <c r="S22">
        <v>0.77400000000000002</v>
      </c>
      <c r="U22" t="s">
        <v>33</v>
      </c>
      <c r="V22" s="3" t="s">
        <v>35</v>
      </c>
      <c r="Y22">
        <f t="shared" si="0"/>
        <v>0.16000000000000003</v>
      </c>
      <c r="Z22">
        <f t="shared" si="1"/>
        <v>0.311</v>
      </c>
    </row>
    <row r="23" spans="1:26" x14ac:dyDescent="0.2">
      <c r="A23" t="s">
        <v>38</v>
      </c>
      <c r="B23">
        <v>4035.875</v>
      </c>
      <c r="C23">
        <v>102.849</v>
      </c>
      <c r="D23">
        <v>22.725999999999999</v>
      </c>
      <c r="E23">
        <v>4.5529999999999999</v>
      </c>
      <c r="F23">
        <v>169.07</v>
      </c>
      <c r="G23">
        <v>2.7229999999999999</v>
      </c>
      <c r="H23">
        <v>14.244999999999999</v>
      </c>
      <c r="I23">
        <v>3.08</v>
      </c>
      <c r="J23">
        <v>445.32799999999997</v>
      </c>
      <c r="K23">
        <v>467.87799999999999</v>
      </c>
      <c r="L23">
        <v>0</v>
      </c>
      <c r="M23">
        <v>0</v>
      </c>
      <c r="N23">
        <v>100</v>
      </c>
      <c r="O23">
        <v>0.68100000000000005</v>
      </c>
      <c r="P23">
        <v>0.32</v>
      </c>
      <c r="Q23">
        <v>0.54700000000000004</v>
      </c>
      <c r="R23">
        <v>0.61099999999999999</v>
      </c>
      <c r="S23">
        <v>0.81499999999999995</v>
      </c>
      <c r="U23" t="s">
        <v>33</v>
      </c>
      <c r="V23" s="3" t="s">
        <v>35</v>
      </c>
      <c r="Y23">
        <f t="shared" si="0"/>
        <v>-6.3999999999999946E-2</v>
      </c>
      <c r="Z23">
        <f t="shared" si="1"/>
        <v>0.36100000000000004</v>
      </c>
    </row>
    <row r="24" spans="1:26" x14ac:dyDescent="0.2">
      <c r="A24" t="s">
        <v>38</v>
      </c>
      <c r="B24">
        <v>4036</v>
      </c>
      <c r="C24">
        <v>93.128</v>
      </c>
      <c r="D24">
        <v>23.106000000000002</v>
      </c>
      <c r="E24">
        <v>4.4109999999999996</v>
      </c>
      <c r="F24">
        <v>163.97800000000001</v>
      </c>
      <c r="G24">
        <v>2.7330000000000001</v>
      </c>
      <c r="H24">
        <v>13.999000000000001</v>
      </c>
      <c r="I24">
        <v>3.0939999999999999</v>
      </c>
      <c r="J24">
        <v>466.56200000000001</v>
      </c>
      <c r="K24">
        <v>494.56799999999998</v>
      </c>
      <c r="L24">
        <v>0</v>
      </c>
      <c r="M24">
        <v>0</v>
      </c>
      <c r="N24">
        <v>100</v>
      </c>
      <c r="O24">
        <v>0.622</v>
      </c>
      <c r="P24">
        <v>0.32600000000000001</v>
      </c>
      <c r="Q24">
        <v>0.37</v>
      </c>
      <c r="R24">
        <v>0.64400000000000002</v>
      </c>
      <c r="S24">
        <v>0.80300000000000005</v>
      </c>
      <c r="U24" t="s">
        <v>33</v>
      </c>
      <c r="V24" s="3" t="s">
        <v>35</v>
      </c>
      <c r="Y24">
        <f t="shared" si="0"/>
        <v>-0.27400000000000002</v>
      </c>
      <c r="Z24">
        <f t="shared" si="1"/>
        <v>0.29599999999999999</v>
      </c>
    </row>
    <row r="25" spans="1:26" x14ac:dyDescent="0.2">
      <c r="A25" t="s">
        <v>38</v>
      </c>
      <c r="B25">
        <v>4036.125</v>
      </c>
      <c r="C25">
        <v>74.933999999999997</v>
      </c>
      <c r="D25">
        <v>23.67</v>
      </c>
      <c r="E25">
        <v>4.0069999999999997</v>
      </c>
      <c r="F25">
        <v>161.935</v>
      </c>
      <c r="G25">
        <v>2.7519999999999998</v>
      </c>
      <c r="H25">
        <v>13.048</v>
      </c>
      <c r="I25">
        <v>3.1509999999999998</v>
      </c>
      <c r="J25">
        <v>505.76299999999998</v>
      </c>
      <c r="K25">
        <v>545.90599999999995</v>
      </c>
      <c r="L25">
        <v>0</v>
      </c>
      <c r="M25">
        <v>0</v>
      </c>
      <c r="N25">
        <v>100</v>
      </c>
      <c r="O25">
        <v>0.48699999999999999</v>
      </c>
      <c r="P25">
        <v>0.35799999999999998</v>
      </c>
      <c r="Q25">
        <v>0.28499999999999998</v>
      </c>
      <c r="R25">
        <v>0.71299999999999997</v>
      </c>
      <c r="S25">
        <v>0.73399999999999999</v>
      </c>
      <c r="U25" t="s">
        <v>33</v>
      </c>
      <c r="V25" s="3" t="s">
        <v>35</v>
      </c>
      <c r="Y25">
        <f t="shared" si="0"/>
        <v>-0.42799999999999999</v>
      </c>
      <c r="Z25">
        <f t="shared" si="1"/>
        <v>0.129</v>
      </c>
    </row>
    <row r="26" spans="1:26" x14ac:dyDescent="0.2">
      <c r="A26" t="s">
        <v>38</v>
      </c>
      <c r="B26">
        <v>4036.25</v>
      </c>
      <c r="C26">
        <v>57.000999999999998</v>
      </c>
      <c r="D26">
        <v>23.414999999999999</v>
      </c>
      <c r="E26">
        <v>3.4140000000000001</v>
      </c>
      <c r="F26">
        <v>160.56899999999999</v>
      </c>
      <c r="G26">
        <v>2.7730000000000001</v>
      </c>
      <c r="H26">
        <v>11.542</v>
      </c>
      <c r="I26">
        <v>3.1930000000000001</v>
      </c>
      <c r="J26">
        <v>545.32799999999997</v>
      </c>
      <c r="K26">
        <v>590.625</v>
      </c>
      <c r="L26">
        <v>0</v>
      </c>
      <c r="M26">
        <v>0</v>
      </c>
      <c r="N26">
        <v>100</v>
      </c>
      <c r="O26">
        <v>0.34100000000000003</v>
      </c>
      <c r="P26">
        <v>0.38900000000000001</v>
      </c>
      <c r="Q26">
        <v>0.23599999999999999</v>
      </c>
      <c r="R26">
        <v>0.79700000000000004</v>
      </c>
      <c r="S26">
        <v>0.61499999999999999</v>
      </c>
      <c r="U26" t="s">
        <v>33</v>
      </c>
      <c r="V26" s="3" t="s">
        <v>35</v>
      </c>
      <c r="Y26">
        <f t="shared" si="0"/>
        <v>-0.56100000000000005</v>
      </c>
      <c r="Z26">
        <f t="shared" si="1"/>
        <v>-4.7999999999999987E-2</v>
      </c>
    </row>
    <row r="27" spans="1:26" x14ac:dyDescent="0.2">
      <c r="A27" t="s">
        <v>43</v>
      </c>
      <c r="B27">
        <v>3885.75</v>
      </c>
      <c r="C27">
        <v>54.947000000000003</v>
      </c>
      <c r="D27">
        <v>23.436</v>
      </c>
      <c r="E27">
        <v>5.4649999999999999</v>
      </c>
      <c r="F27">
        <v>170.322</v>
      </c>
      <c r="G27">
        <v>2.7890000000000001</v>
      </c>
      <c r="H27">
        <v>9.3420000000000005</v>
      </c>
      <c r="I27">
        <v>3.2210000000000001</v>
      </c>
      <c r="J27">
        <v>167.45699999999999</v>
      </c>
      <c r="K27">
        <v>182.49700000000001</v>
      </c>
      <c r="L27">
        <v>5.1020000000000003</v>
      </c>
      <c r="M27">
        <v>2.1999999999999999E-2</v>
      </c>
      <c r="N27">
        <v>41</v>
      </c>
      <c r="O27">
        <v>0.33500000000000002</v>
      </c>
      <c r="P27">
        <v>0.67700000000000005</v>
      </c>
      <c r="Q27">
        <v>3.4000000000000002E-2</v>
      </c>
      <c r="R27">
        <v>0.97499999999999998</v>
      </c>
      <c r="S27">
        <v>0.31</v>
      </c>
      <c r="T27" t="s">
        <v>23</v>
      </c>
      <c r="U27" t="s">
        <v>22</v>
      </c>
      <c r="V27" s="3" t="s">
        <v>35</v>
      </c>
      <c r="Y27">
        <f t="shared" si="0"/>
        <v>-0.94099999999999995</v>
      </c>
      <c r="Z27">
        <f t="shared" si="1"/>
        <v>-0.34200000000000003</v>
      </c>
    </row>
    <row r="28" spans="1:26" x14ac:dyDescent="0.2">
      <c r="A28" t="s">
        <v>43</v>
      </c>
      <c r="B28">
        <v>3885.875</v>
      </c>
      <c r="C28">
        <v>70.066999999999993</v>
      </c>
      <c r="D28">
        <v>23.423999999999999</v>
      </c>
      <c r="E28">
        <v>6.23</v>
      </c>
      <c r="F28">
        <v>172.93799999999999</v>
      </c>
      <c r="G28">
        <v>2.7919999999999998</v>
      </c>
      <c r="H28">
        <v>9.6560000000000006</v>
      </c>
      <c r="I28">
        <v>3.262</v>
      </c>
      <c r="J28">
        <v>156.01400000000001</v>
      </c>
      <c r="K28">
        <v>170.02500000000001</v>
      </c>
      <c r="L28">
        <v>0.01</v>
      </c>
      <c r="M28">
        <v>1E-3</v>
      </c>
      <c r="N28">
        <v>100</v>
      </c>
      <c r="O28">
        <v>0.48</v>
      </c>
      <c r="P28">
        <v>0.70399999999999996</v>
      </c>
      <c r="Q28">
        <v>4.5999999999999999E-2</v>
      </c>
      <c r="R28">
        <v>0.98399999999999999</v>
      </c>
      <c r="S28">
        <v>0.32800000000000001</v>
      </c>
      <c r="U28" t="s">
        <v>33</v>
      </c>
      <c r="V28" s="3" t="s">
        <v>35</v>
      </c>
      <c r="Y28">
        <f t="shared" si="0"/>
        <v>-0.93799999999999994</v>
      </c>
      <c r="Z28">
        <f t="shared" si="1"/>
        <v>-0.22399999999999998</v>
      </c>
    </row>
    <row r="29" spans="1:26" x14ac:dyDescent="0.2">
      <c r="A29" t="s">
        <v>43</v>
      </c>
      <c r="B29">
        <v>3886</v>
      </c>
      <c r="C29">
        <v>84.016000000000005</v>
      </c>
      <c r="D29">
        <v>23.417000000000002</v>
      </c>
      <c r="E29">
        <v>6.3239999999999998</v>
      </c>
      <c r="F29">
        <v>176.691</v>
      </c>
      <c r="G29">
        <v>2.7909999999999999</v>
      </c>
      <c r="H29">
        <v>10.082000000000001</v>
      </c>
      <c r="I29">
        <v>3.3029999999999999</v>
      </c>
      <c r="J29">
        <v>139.41999999999999</v>
      </c>
      <c r="K29">
        <v>151.94300000000001</v>
      </c>
      <c r="L29">
        <v>0.01</v>
      </c>
      <c r="M29">
        <v>1E-3</v>
      </c>
      <c r="N29">
        <v>100</v>
      </c>
      <c r="O29">
        <v>0.64</v>
      </c>
      <c r="P29">
        <v>0.74099999999999999</v>
      </c>
      <c r="Q29">
        <v>6.7000000000000004E-2</v>
      </c>
      <c r="R29">
        <v>0.98599999999999999</v>
      </c>
      <c r="S29">
        <v>0.35199999999999998</v>
      </c>
      <c r="U29" t="s">
        <v>33</v>
      </c>
      <c r="V29" s="3" t="s">
        <v>35</v>
      </c>
      <c r="Y29">
        <f t="shared" si="0"/>
        <v>-0.91900000000000004</v>
      </c>
      <c r="Z29">
        <f t="shared" si="1"/>
        <v>-0.10099999999999998</v>
      </c>
    </row>
    <row r="30" spans="1:26" x14ac:dyDescent="0.2">
      <c r="A30" t="s">
        <v>43</v>
      </c>
      <c r="B30">
        <v>3886.125</v>
      </c>
      <c r="C30">
        <v>91.62</v>
      </c>
      <c r="D30">
        <v>23.414000000000001</v>
      </c>
      <c r="E30">
        <v>6.2619999999999996</v>
      </c>
      <c r="F30">
        <v>180.321</v>
      </c>
      <c r="G30">
        <v>2.7839999999999998</v>
      </c>
      <c r="H30">
        <v>10.613</v>
      </c>
      <c r="I30">
        <v>3.3439999999999999</v>
      </c>
      <c r="J30">
        <v>123.709</v>
      </c>
      <c r="K30">
        <v>134.82599999999999</v>
      </c>
      <c r="L30">
        <v>0.01</v>
      </c>
      <c r="M30">
        <v>1E-3</v>
      </c>
      <c r="N30">
        <v>100</v>
      </c>
      <c r="O30">
        <v>0.75800000000000001</v>
      </c>
      <c r="P30">
        <v>0.77900000000000003</v>
      </c>
      <c r="Q30">
        <v>0.09</v>
      </c>
      <c r="R30">
        <v>0.97899999999999998</v>
      </c>
      <c r="S30">
        <v>0.38200000000000001</v>
      </c>
      <c r="U30" t="s">
        <v>33</v>
      </c>
      <c r="V30" s="3" t="s">
        <v>35</v>
      </c>
      <c r="Y30">
        <f t="shared" si="0"/>
        <v>-0.88900000000000001</v>
      </c>
      <c r="Z30">
        <f t="shared" si="1"/>
        <v>-2.1000000000000019E-2</v>
      </c>
    </row>
    <row r="31" spans="1:26" x14ac:dyDescent="0.2">
      <c r="A31" t="s">
        <v>43</v>
      </c>
      <c r="B31">
        <v>3886.25</v>
      </c>
      <c r="C31">
        <v>88.79</v>
      </c>
      <c r="D31">
        <v>23.414000000000001</v>
      </c>
      <c r="E31">
        <v>5.9550000000000001</v>
      </c>
      <c r="F31">
        <v>182.36799999999999</v>
      </c>
      <c r="G31">
        <v>2.7749999999999999</v>
      </c>
      <c r="H31">
        <v>11.157</v>
      </c>
      <c r="I31">
        <v>3.371</v>
      </c>
      <c r="J31">
        <v>114.157</v>
      </c>
      <c r="K31">
        <v>124.426</v>
      </c>
      <c r="L31">
        <v>0.01</v>
      </c>
      <c r="M31">
        <v>1E-3</v>
      </c>
      <c r="N31">
        <v>100</v>
      </c>
      <c r="O31">
        <v>0.78300000000000003</v>
      </c>
      <c r="P31">
        <v>0.81</v>
      </c>
      <c r="Q31">
        <v>0.109</v>
      </c>
      <c r="R31">
        <v>0.96399999999999997</v>
      </c>
      <c r="S31">
        <v>0.41699999999999998</v>
      </c>
      <c r="U31" t="s">
        <v>33</v>
      </c>
      <c r="V31" s="3" t="s">
        <v>35</v>
      </c>
      <c r="Y31">
        <f t="shared" si="0"/>
        <v>-0.85499999999999998</v>
      </c>
      <c r="Z31">
        <f t="shared" si="1"/>
        <v>-2.7000000000000024E-2</v>
      </c>
    </row>
    <row r="32" spans="1:26" x14ac:dyDescent="0.2">
      <c r="A32" t="s">
        <v>43</v>
      </c>
      <c r="B32">
        <v>3886.375</v>
      </c>
      <c r="C32">
        <v>78.683000000000007</v>
      </c>
      <c r="D32">
        <v>23.416</v>
      </c>
      <c r="E32">
        <v>4.9020000000000001</v>
      </c>
      <c r="F32">
        <v>181.97499999999999</v>
      </c>
      <c r="G32">
        <v>2.7650000000000001</v>
      </c>
      <c r="H32">
        <v>11.513999999999999</v>
      </c>
      <c r="I32">
        <v>3.3730000000000002</v>
      </c>
      <c r="J32">
        <v>112.80800000000001</v>
      </c>
      <c r="K32">
        <v>122.973</v>
      </c>
      <c r="L32">
        <v>0.01</v>
      </c>
      <c r="M32">
        <v>1E-3</v>
      </c>
      <c r="N32">
        <v>100</v>
      </c>
      <c r="O32">
        <v>0.71199999999999997</v>
      </c>
      <c r="P32">
        <v>0.82399999999999995</v>
      </c>
      <c r="Q32">
        <v>0.114</v>
      </c>
      <c r="R32">
        <v>0.94699999999999995</v>
      </c>
      <c r="S32">
        <v>0.44600000000000001</v>
      </c>
      <c r="U32" t="s">
        <v>33</v>
      </c>
      <c r="V32" s="3" t="s">
        <v>35</v>
      </c>
      <c r="Y32">
        <f t="shared" si="0"/>
        <v>-0.83299999999999996</v>
      </c>
      <c r="Z32">
        <f t="shared" si="1"/>
        <v>-0.11199999999999999</v>
      </c>
    </row>
    <row r="33" spans="1:26" x14ac:dyDescent="0.2">
      <c r="A33" t="s">
        <v>43</v>
      </c>
      <c r="B33">
        <v>3886.5</v>
      </c>
      <c r="C33">
        <v>64.451999999999998</v>
      </c>
      <c r="D33">
        <v>23.416</v>
      </c>
      <c r="E33">
        <v>3.71</v>
      </c>
      <c r="F33">
        <v>179.22499999999999</v>
      </c>
      <c r="G33">
        <v>2.7570000000000001</v>
      </c>
      <c r="H33">
        <v>11.478999999999999</v>
      </c>
      <c r="I33">
        <v>3.35</v>
      </c>
      <c r="J33">
        <v>120.952</v>
      </c>
      <c r="K33">
        <v>131.87299999999999</v>
      </c>
      <c r="L33">
        <v>0.01</v>
      </c>
      <c r="M33">
        <v>1E-3</v>
      </c>
      <c r="N33">
        <v>100</v>
      </c>
      <c r="O33">
        <v>0.57799999999999996</v>
      </c>
      <c r="P33">
        <v>0.81399999999999995</v>
      </c>
      <c r="Q33">
        <v>0.104</v>
      </c>
      <c r="R33">
        <v>0.93</v>
      </c>
      <c r="S33">
        <v>0.45600000000000002</v>
      </c>
      <c r="T33" t="s">
        <v>23</v>
      </c>
      <c r="U33" t="s">
        <v>33</v>
      </c>
      <c r="V33" s="3" t="s">
        <v>35</v>
      </c>
      <c r="Y33">
        <f t="shared" si="0"/>
        <v>-0.82600000000000007</v>
      </c>
      <c r="Z33">
        <f t="shared" si="1"/>
        <v>-0.23599999999999999</v>
      </c>
    </row>
    <row r="34" spans="1:26" x14ac:dyDescent="0.2">
      <c r="A34" t="s">
        <v>43</v>
      </c>
      <c r="B34">
        <v>3886.625</v>
      </c>
      <c r="C34">
        <v>49.085000000000001</v>
      </c>
      <c r="D34">
        <v>23.414000000000001</v>
      </c>
      <c r="E34">
        <v>2.9159999999999999</v>
      </c>
      <c r="F34">
        <v>175.029</v>
      </c>
      <c r="G34">
        <v>2.75</v>
      </c>
      <c r="H34">
        <v>10.986000000000001</v>
      </c>
      <c r="I34">
        <v>3.3159999999999998</v>
      </c>
      <c r="J34">
        <v>138.64099999999999</v>
      </c>
      <c r="K34">
        <v>151.184</v>
      </c>
      <c r="L34">
        <v>7.1429999999999998</v>
      </c>
      <c r="M34">
        <v>9.6000000000000002E-2</v>
      </c>
      <c r="N34">
        <v>23.795000000000002</v>
      </c>
      <c r="O34">
        <v>0.41599999999999998</v>
      </c>
      <c r="P34">
        <v>0.78800000000000003</v>
      </c>
      <c r="Q34">
        <v>8.1000000000000003E-2</v>
      </c>
      <c r="R34">
        <v>0.91600000000000004</v>
      </c>
      <c r="S34">
        <v>0.439</v>
      </c>
      <c r="T34" t="s">
        <v>23</v>
      </c>
      <c r="U34" t="s">
        <v>33</v>
      </c>
      <c r="V34" s="3" t="s">
        <v>35</v>
      </c>
      <c r="Y34">
        <f t="shared" si="0"/>
        <v>-0.83500000000000008</v>
      </c>
      <c r="Z34">
        <f t="shared" si="1"/>
        <v>-0.37200000000000005</v>
      </c>
    </row>
    <row r="35" spans="1:26" x14ac:dyDescent="0.2">
      <c r="A35" t="s">
        <v>44</v>
      </c>
      <c r="B35">
        <v>3892</v>
      </c>
      <c r="C35">
        <v>51.622</v>
      </c>
      <c r="D35">
        <v>21.797999999999998</v>
      </c>
      <c r="E35">
        <v>2.8170000000000002</v>
      </c>
      <c r="F35">
        <v>171.21600000000001</v>
      </c>
      <c r="G35">
        <v>2.58</v>
      </c>
      <c r="H35">
        <v>8.0470000000000006</v>
      </c>
      <c r="I35">
        <v>3.5009999999999999</v>
      </c>
      <c r="J35">
        <v>717.24800000000005</v>
      </c>
      <c r="K35">
        <v>776.83799999999997</v>
      </c>
      <c r="L35">
        <v>7.4999999999999997E-2</v>
      </c>
      <c r="M35">
        <v>1E-3</v>
      </c>
      <c r="N35">
        <v>100</v>
      </c>
      <c r="O35">
        <v>0.25800000000000001</v>
      </c>
      <c r="P35">
        <v>0.30399999999999999</v>
      </c>
      <c r="Q35">
        <v>0.47</v>
      </c>
      <c r="R35">
        <v>0.221</v>
      </c>
      <c r="S35">
        <v>0.38100000000000001</v>
      </c>
      <c r="U35" t="s">
        <v>22</v>
      </c>
      <c r="V35" s="3" t="s">
        <v>35</v>
      </c>
      <c r="Y35">
        <f t="shared" si="0"/>
        <v>0.24899999999999997</v>
      </c>
      <c r="Z35">
        <f t="shared" si="1"/>
        <v>-4.5999999999999985E-2</v>
      </c>
    </row>
    <row r="36" spans="1:26" x14ac:dyDescent="0.2">
      <c r="A36" t="s">
        <v>44</v>
      </c>
      <c r="B36">
        <v>3892.125</v>
      </c>
      <c r="C36">
        <v>68.441000000000003</v>
      </c>
      <c r="D36">
        <v>21.835999999999999</v>
      </c>
      <c r="E36">
        <v>3.6440000000000001</v>
      </c>
      <c r="F36">
        <v>176.024</v>
      </c>
      <c r="G36">
        <v>2.5649999999999999</v>
      </c>
      <c r="H36">
        <v>9.4489999999999998</v>
      </c>
      <c r="I36">
        <v>3.488</v>
      </c>
      <c r="J36">
        <v>523.452</v>
      </c>
      <c r="K36">
        <v>566.94000000000005</v>
      </c>
      <c r="L36">
        <v>6.8000000000000005E-2</v>
      </c>
      <c r="M36">
        <v>1E-3</v>
      </c>
      <c r="N36">
        <v>100</v>
      </c>
      <c r="O36">
        <v>0.38700000000000001</v>
      </c>
      <c r="P36">
        <v>0.28499999999999998</v>
      </c>
      <c r="Q36">
        <v>0.57299999999999995</v>
      </c>
      <c r="R36">
        <v>0.14299999999999999</v>
      </c>
      <c r="S36">
        <v>0.44600000000000001</v>
      </c>
      <c r="U36" t="s">
        <v>33</v>
      </c>
      <c r="V36" s="3" t="s">
        <v>35</v>
      </c>
      <c r="Y36">
        <f t="shared" si="0"/>
        <v>0.42999999999999994</v>
      </c>
      <c r="Z36">
        <f t="shared" si="1"/>
        <v>0.10200000000000004</v>
      </c>
    </row>
    <row r="37" spans="1:26" x14ac:dyDescent="0.2">
      <c r="A37" t="s">
        <v>44</v>
      </c>
      <c r="B37">
        <v>3892.25</v>
      </c>
      <c r="C37">
        <v>84.772999999999996</v>
      </c>
      <c r="D37">
        <v>21.978999999999999</v>
      </c>
      <c r="E37">
        <v>4.1829999999999998</v>
      </c>
      <c r="F37">
        <v>180.84</v>
      </c>
      <c r="G37">
        <v>2.552</v>
      </c>
      <c r="H37">
        <v>11.14</v>
      </c>
      <c r="I37">
        <v>3.4809999999999999</v>
      </c>
      <c r="J37">
        <v>372.39100000000002</v>
      </c>
      <c r="K37">
        <v>403.33</v>
      </c>
      <c r="L37">
        <v>5.8999999999999997E-2</v>
      </c>
      <c r="M37">
        <v>1E-3</v>
      </c>
      <c r="N37">
        <v>100</v>
      </c>
      <c r="O37">
        <v>0.53</v>
      </c>
      <c r="P37">
        <v>0.28100000000000003</v>
      </c>
      <c r="Q37">
        <v>0.68400000000000005</v>
      </c>
      <c r="R37">
        <v>0.09</v>
      </c>
      <c r="S37">
        <v>0.53100000000000003</v>
      </c>
      <c r="U37" t="s">
        <v>33</v>
      </c>
      <c r="V37" s="3" t="s">
        <v>35</v>
      </c>
      <c r="Y37">
        <f t="shared" si="0"/>
        <v>0.59400000000000008</v>
      </c>
      <c r="Z37">
        <f t="shared" si="1"/>
        <v>0.249</v>
      </c>
    </row>
    <row r="38" spans="1:26" x14ac:dyDescent="0.2">
      <c r="A38" t="s">
        <v>44</v>
      </c>
      <c r="B38">
        <v>3892.375</v>
      </c>
      <c r="C38">
        <v>96.653000000000006</v>
      </c>
      <c r="D38">
        <v>22.260999999999999</v>
      </c>
      <c r="E38">
        <v>4.3319999999999999</v>
      </c>
      <c r="F38">
        <v>184.297</v>
      </c>
      <c r="G38">
        <v>2.54</v>
      </c>
      <c r="H38">
        <v>12.82</v>
      </c>
      <c r="I38">
        <v>3.4580000000000002</v>
      </c>
      <c r="J38">
        <v>289.238</v>
      </c>
      <c r="K38">
        <v>313.26799999999997</v>
      </c>
      <c r="L38">
        <v>5.2999999999999999E-2</v>
      </c>
      <c r="M38">
        <v>1E-3</v>
      </c>
      <c r="N38">
        <v>100</v>
      </c>
      <c r="O38">
        <v>0.64800000000000002</v>
      </c>
      <c r="P38">
        <v>0.27500000000000002</v>
      </c>
      <c r="Q38">
        <v>0.77700000000000002</v>
      </c>
      <c r="R38">
        <v>4.2000000000000003E-2</v>
      </c>
      <c r="S38">
        <v>0.623</v>
      </c>
      <c r="U38" t="s">
        <v>33</v>
      </c>
      <c r="V38" s="3" t="s">
        <v>35</v>
      </c>
      <c r="Y38">
        <f t="shared" si="0"/>
        <v>0.73499999999999999</v>
      </c>
      <c r="Z38">
        <f t="shared" si="1"/>
        <v>0.373</v>
      </c>
    </row>
    <row r="39" spans="1:26" x14ac:dyDescent="0.2">
      <c r="A39" t="s">
        <v>44</v>
      </c>
      <c r="B39">
        <v>3892.5</v>
      </c>
      <c r="C39">
        <v>100.02</v>
      </c>
      <c r="D39">
        <v>22.367000000000001</v>
      </c>
      <c r="E39">
        <v>3.9929999999999999</v>
      </c>
      <c r="F39">
        <v>185.33</v>
      </c>
      <c r="G39">
        <v>2.5339999999999998</v>
      </c>
      <c r="H39">
        <v>13.91</v>
      </c>
      <c r="I39">
        <v>3.4390000000000001</v>
      </c>
      <c r="J39">
        <v>258.88600000000002</v>
      </c>
      <c r="K39">
        <v>280.39400000000001</v>
      </c>
      <c r="L39">
        <v>5.0999999999999997E-2</v>
      </c>
      <c r="M39">
        <v>1E-3</v>
      </c>
      <c r="N39">
        <v>100</v>
      </c>
      <c r="O39">
        <v>0.70599999999999996</v>
      </c>
      <c r="P39">
        <v>0.26700000000000002</v>
      </c>
      <c r="Q39">
        <v>0.82299999999999995</v>
      </c>
      <c r="R39">
        <v>8.9999999999999993E-3</v>
      </c>
      <c r="S39">
        <v>0.69499999999999995</v>
      </c>
      <c r="U39" t="s">
        <v>33</v>
      </c>
      <c r="V39" s="3" t="s">
        <v>35</v>
      </c>
      <c r="Y39">
        <f t="shared" si="0"/>
        <v>0.81399999999999995</v>
      </c>
      <c r="Z39">
        <f t="shared" si="1"/>
        <v>0.43899999999999995</v>
      </c>
    </row>
    <row r="40" spans="1:26" x14ac:dyDescent="0.2">
      <c r="A40" t="s">
        <v>44</v>
      </c>
      <c r="B40">
        <v>3892.625</v>
      </c>
      <c r="C40">
        <v>94.320999999999998</v>
      </c>
      <c r="D40">
        <v>22.616</v>
      </c>
      <c r="E40">
        <v>3.3180000000000001</v>
      </c>
      <c r="F40">
        <v>183.14500000000001</v>
      </c>
      <c r="G40">
        <v>2.5369999999999999</v>
      </c>
      <c r="H40">
        <v>13.446999999999999</v>
      </c>
      <c r="I40">
        <v>3.4319999999999999</v>
      </c>
      <c r="J40">
        <v>278.38</v>
      </c>
      <c r="K40">
        <v>301.50700000000001</v>
      </c>
      <c r="L40">
        <v>5.3999999999999999E-2</v>
      </c>
      <c r="M40">
        <v>1E-3</v>
      </c>
      <c r="N40">
        <v>100</v>
      </c>
      <c r="O40">
        <v>0.68799999999999994</v>
      </c>
      <c r="P40">
        <v>0.26300000000000001</v>
      </c>
      <c r="Q40">
        <v>0.80200000000000005</v>
      </c>
      <c r="R40">
        <v>7.0000000000000001E-3</v>
      </c>
      <c r="S40">
        <v>0.70299999999999996</v>
      </c>
      <c r="U40" t="s">
        <v>33</v>
      </c>
      <c r="V40" s="3" t="s">
        <v>35</v>
      </c>
      <c r="Y40">
        <f t="shared" si="0"/>
        <v>0.79500000000000004</v>
      </c>
      <c r="Z40">
        <f t="shared" si="1"/>
        <v>0.42499999999999993</v>
      </c>
    </row>
    <row r="41" spans="1:26" x14ac:dyDescent="0.2">
      <c r="A41" t="s">
        <v>44</v>
      </c>
      <c r="B41">
        <v>3892.75</v>
      </c>
      <c r="C41">
        <v>80.3</v>
      </c>
      <c r="D41">
        <v>22.67</v>
      </c>
      <c r="E41">
        <v>2.863</v>
      </c>
      <c r="F41">
        <v>177.828</v>
      </c>
      <c r="G41">
        <v>2.56</v>
      </c>
      <c r="H41">
        <v>10.875999999999999</v>
      </c>
      <c r="I41">
        <v>3.4340000000000002</v>
      </c>
      <c r="J41">
        <v>361.42500000000001</v>
      </c>
      <c r="K41">
        <v>391.45299999999997</v>
      </c>
      <c r="L41">
        <v>6.0999999999999999E-2</v>
      </c>
      <c r="M41">
        <v>1E-3</v>
      </c>
      <c r="N41">
        <v>100</v>
      </c>
      <c r="O41">
        <v>0.59599999999999997</v>
      </c>
      <c r="P41">
        <v>0.26200000000000001</v>
      </c>
      <c r="Q41">
        <v>0.70799999999999996</v>
      </c>
      <c r="R41">
        <v>6.5000000000000002E-2</v>
      </c>
      <c r="S41">
        <v>0.61</v>
      </c>
      <c r="U41" t="s">
        <v>33</v>
      </c>
      <c r="V41" s="3" t="s">
        <v>35</v>
      </c>
      <c r="Y41">
        <f t="shared" si="0"/>
        <v>0.64300000000000002</v>
      </c>
      <c r="Z41">
        <f t="shared" si="1"/>
        <v>0.33399999999999996</v>
      </c>
    </row>
    <row r="42" spans="1:26" x14ac:dyDescent="0.2">
      <c r="A42" t="s">
        <v>44</v>
      </c>
      <c r="B42">
        <v>3892.875</v>
      </c>
      <c r="C42">
        <v>62.110999999999997</v>
      </c>
      <c r="D42">
        <v>22.649000000000001</v>
      </c>
      <c r="E42">
        <v>2.7759999999999998</v>
      </c>
      <c r="F42">
        <v>171.37299999999999</v>
      </c>
      <c r="G42">
        <v>2.6040000000000001</v>
      </c>
      <c r="H42">
        <v>7.8460000000000001</v>
      </c>
      <c r="I42">
        <v>3.4350000000000001</v>
      </c>
      <c r="J42">
        <v>510.452</v>
      </c>
      <c r="K42">
        <v>552.86</v>
      </c>
      <c r="L42">
        <v>7.3999999999999996E-2</v>
      </c>
      <c r="M42">
        <v>1E-3</v>
      </c>
      <c r="N42">
        <v>100</v>
      </c>
      <c r="O42">
        <v>0.45400000000000001</v>
      </c>
      <c r="P42">
        <v>0.26300000000000001</v>
      </c>
      <c r="Q42">
        <v>0.56999999999999995</v>
      </c>
      <c r="R42">
        <v>0.20200000000000001</v>
      </c>
      <c r="S42">
        <v>0.45500000000000002</v>
      </c>
      <c r="U42" t="s">
        <v>33</v>
      </c>
      <c r="V42" s="3" t="s">
        <v>35</v>
      </c>
      <c r="Y42">
        <f t="shared" si="0"/>
        <v>0.36799999999999994</v>
      </c>
      <c r="Z42">
        <f t="shared" si="1"/>
        <v>0.191</v>
      </c>
    </row>
    <row r="43" spans="1:26" x14ac:dyDescent="0.2">
      <c r="A43" t="s">
        <v>44</v>
      </c>
      <c r="B43">
        <v>3893</v>
      </c>
      <c r="C43">
        <v>45.585000000000001</v>
      </c>
      <c r="D43">
        <v>22.67</v>
      </c>
      <c r="E43">
        <v>2.726</v>
      </c>
      <c r="F43">
        <v>166.024</v>
      </c>
      <c r="G43">
        <v>2.6629999999999998</v>
      </c>
      <c r="H43">
        <v>5.6550000000000002</v>
      </c>
      <c r="I43">
        <v>3.4409999999999998</v>
      </c>
      <c r="J43">
        <v>704.56899999999996</v>
      </c>
      <c r="K43">
        <v>763.10400000000004</v>
      </c>
      <c r="L43">
        <v>8.5000000000000006E-2</v>
      </c>
      <c r="M43">
        <v>1E-3</v>
      </c>
      <c r="N43">
        <v>100</v>
      </c>
      <c r="O43">
        <v>0.30599999999999999</v>
      </c>
      <c r="P43">
        <v>0.26400000000000001</v>
      </c>
      <c r="Q43">
        <v>0.437</v>
      </c>
      <c r="R43">
        <v>0.40699999999999997</v>
      </c>
      <c r="S43">
        <v>0.318</v>
      </c>
      <c r="U43" t="s">
        <v>33</v>
      </c>
      <c r="V43" s="3" t="s">
        <v>35</v>
      </c>
      <c r="Y43">
        <f t="shared" si="0"/>
        <v>3.0000000000000027E-2</v>
      </c>
      <c r="Z43">
        <f t="shared" si="1"/>
        <v>4.1999999999999982E-2</v>
      </c>
    </row>
    <row r="44" spans="1:26" x14ac:dyDescent="0.2">
      <c r="A44" t="s">
        <v>45</v>
      </c>
      <c r="B44">
        <v>3805.625</v>
      </c>
      <c r="C44">
        <v>36.231000000000002</v>
      </c>
      <c r="D44">
        <v>21.986999999999998</v>
      </c>
      <c r="E44">
        <v>2.1040000000000001</v>
      </c>
      <c r="F44">
        <v>175.238</v>
      </c>
      <c r="G44">
        <v>2.7229999999999999</v>
      </c>
      <c r="H44">
        <v>8.9109999999999996</v>
      </c>
      <c r="I44">
        <v>2.7989999999999999</v>
      </c>
      <c r="J44">
        <v>382.95100000000002</v>
      </c>
      <c r="K44">
        <v>420.82600000000002</v>
      </c>
      <c r="L44">
        <v>5.6470000000000002</v>
      </c>
      <c r="M44">
        <v>9.0999999999999998E-2</v>
      </c>
      <c r="N44">
        <v>14.984999999999999</v>
      </c>
      <c r="O44">
        <v>0.14000000000000001</v>
      </c>
      <c r="P44">
        <v>0.39100000000000001</v>
      </c>
      <c r="Q44">
        <v>0.22800000000000001</v>
      </c>
      <c r="R44">
        <v>0.73099999999999998</v>
      </c>
      <c r="S44">
        <v>0.27800000000000002</v>
      </c>
      <c r="T44" t="s">
        <v>23</v>
      </c>
      <c r="U44" t="s">
        <v>22</v>
      </c>
      <c r="V44" s="3" t="s">
        <v>35</v>
      </c>
      <c r="Y44">
        <f t="shared" si="0"/>
        <v>-0.503</v>
      </c>
      <c r="Z44">
        <f t="shared" si="1"/>
        <v>-0.251</v>
      </c>
    </row>
    <row r="45" spans="1:26" x14ac:dyDescent="0.2">
      <c r="A45" t="s">
        <v>45</v>
      </c>
      <c r="B45">
        <v>3805.75</v>
      </c>
      <c r="C45">
        <v>44.789000000000001</v>
      </c>
      <c r="D45">
        <v>22.2</v>
      </c>
      <c r="E45">
        <v>2.5609999999999999</v>
      </c>
      <c r="F45">
        <v>178.19499999999999</v>
      </c>
      <c r="G45">
        <v>2.722</v>
      </c>
      <c r="H45">
        <v>9.74</v>
      </c>
      <c r="I45">
        <v>2.677</v>
      </c>
      <c r="J45">
        <v>305.08199999999999</v>
      </c>
      <c r="K45">
        <v>335.255</v>
      </c>
      <c r="L45">
        <v>5.3029999999999999</v>
      </c>
      <c r="M45">
        <v>7.0999999999999994E-2</v>
      </c>
      <c r="N45">
        <v>18.027000000000001</v>
      </c>
      <c r="O45">
        <v>0.21</v>
      </c>
      <c r="P45">
        <v>0.26100000000000001</v>
      </c>
      <c r="Q45">
        <v>0.26100000000000001</v>
      </c>
      <c r="R45">
        <v>0.73299999999999998</v>
      </c>
      <c r="S45">
        <v>0.313</v>
      </c>
      <c r="T45" t="s">
        <v>23</v>
      </c>
      <c r="U45" t="s">
        <v>33</v>
      </c>
      <c r="V45" s="3" t="s">
        <v>35</v>
      </c>
      <c r="Y45">
        <f t="shared" si="0"/>
        <v>-0.47199999999999998</v>
      </c>
      <c r="Z45">
        <f t="shared" si="1"/>
        <v>-5.1000000000000018E-2</v>
      </c>
    </row>
    <row r="46" spans="1:26" x14ac:dyDescent="0.2">
      <c r="A46" t="s">
        <v>45</v>
      </c>
      <c r="B46">
        <v>3805.875</v>
      </c>
      <c r="C46">
        <v>59.119</v>
      </c>
      <c r="D46">
        <v>22.678000000000001</v>
      </c>
      <c r="E46">
        <v>2.899</v>
      </c>
      <c r="F46">
        <v>179.46</v>
      </c>
      <c r="G46">
        <v>2.7309999999999999</v>
      </c>
      <c r="H46">
        <v>10.257</v>
      </c>
      <c r="I46">
        <v>2.5569999999999999</v>
      </c>
      <c r="J46">
        <v>245.482</v>
      </c>
      <c r="K46">
        <v>269.76100000000002</v>
      </c>
      <c r="L46">
        <v>1.2529999999999999</v>
      </c>
      <c r="M46">
        <v>1.2999999999999999E-2</v>
      </c>
      <c r="N46">
        <v>79.861000000000004</v>
      </c>
      <c r="O46">
        <v>0.318</v>
      </c>
      <c r="P46">
        <v>0.14000000000000001</v>
      </c>
      <c r="Q46">
        <v>0.26900000000000002</v>
      </c>
      <c r="R46">
        <v>0.752</v>
      </c>
      <c r="S46">
        <v>0.33400000000000002</v>
      </c>
      <c r="T46" t="s">
        <v>23</v>
      </c>
      <c r="U46" t="s">
        <v>33</v>
      </c>
      <c r="V46" s="3" t="s">
        <v>35</v>
      </c>
      <c r="Y46">
        <f t="shared" si="0"/>
        <v>-0.48299999999999998</v>
      </c>
      <c r="Z46">
        <f t="shared" si="1"/>
        <v>0.17799999999999999</v>
      </c>
    </row>
    <row r="47" spans="1:26" x14ac:dyDescent="0.2">
      <c r="A47" t="s">
        <v>45</v>
      </c>
      <c r="B47">
        <v>3806</v>
      </c>
      <c r="C47">
        <v>76.686999999999998</v>
      </c>
      <c r="D47">
        <v>23.361999999999998</v>
      </c>
      <c r="E47">
        <v>2.9409999999999998</v>
      </c>
      <c r="F47">
        <v>177.63300000000001</v>
      </c>
      <c r="G47">
        <v>2.734</v>
      </c>
      <c r="H47">
        <v>10.428000000000001</v>
      </c>
      <c r="I47">
        <v>2.476</v>
      </c>
      <c r="J47">
        <v>212.95</v>
      </c>
      <c r="K47">
        <v>234.011</v>
      </c>
      <c r="L47">
        <v>0</v>
      </c>
      <c r="M47">
        <v>0</v>
      </c>
      <c r="N47">
        <v>100</v>
      </c>
      <c r="O47">
        <v>0.435</v>
      </c>
      <c r="P47">
        <v>5.8000000000000003E-2</v>
      </c>
      <c r="Q47">
        <v>0.251</v>
      </c>
      <c r="R47">
        <v>0.754</v>
      </c>
      <c r="S47">
        <v>0.33700000000000002</v>
      </c>
      <c r="U47" t="s">
        <v>33</v>
      </c>
      <c r="V47" s="3" t="s">
        <v>35</v>
      </c>
      <c r="Y47">
        <f t="shared" si="0"/>
        <v>-0.503</v>
      </c>
      <c r="Z47">
        <f t="shared" si="1"/>
        <v>0.377</v>
      </c>
    </row>
    <row r="48" spans="1:26" x14ac:dyDescent="0.2">
      <c r="A48" t="s">
        <v>45</v>
      </c>
      <c r="B48">
        <v>3806.125</v>
      </c>
      <c r="C48">
        <v>87.325999999999993</v>
      </c>
      <c r="D48">
        <v>24.009</v>
      </c>
      <c r="E48">
        <v>2.8029999999999999</v>
      </c>
      <c r="F48">
        <v>177.79599999999999</v>
      </c>
      <c r="G48">
        <v>2.726</v>
      </c>
      <c r="H48">
        <v>10.032999999999999</v>
      </c>
      <c r="I48">
        <v>2.419</v>
      </c>
      <c r="J48">
        <v>210.14099999999999</v>
      </c>
      <c r="K48">
        <v>230.92400000000001</v>
      </c>
      <c r="L48">
        <v>0</v>
      </c>
      <c r="M48">
        <v>0</v>
      </c>
      <c r="N48">
        <v>100</v>
      </c>
      <c r="O48">
        <v>0.495</v>
      </c>
      <c r="P48">
        <v>7.0000000000000001E-3</v>
      </c>
      <c r="Q48">
        <v>0.251</v>
      </c>
      <c r="R48">
        <v>0.72699999999999998</v>
      </c>
      <c r="S48">
        <v>0.318</v>
      </c>
      <c r="U48" t="s">
        <v>33</v>
      </c>
      <c r="V48" s="3" t="s">
        <v>35</v>
      </c>
      <c r="Y48">
        <f t="shared" si="0"/>
        <v>-0.47599999999999998</v>
      </c>
      <c r="Z48">
        <f t="shared" si="1"/>
        <v>0.48799999999999999</v>
      </c>
    </row>
    <row r="49" spans="1:26" x14ac:dyDescent="0.2">
      <c r="A49" t="s">
        <v>45</v>
      </c>
      <c r="B49">
        <v>3806.25</v>
      </c>
      <c r="C49">
        <v>86.16</v>
      </c>
      <c r="D49">
        <v>24.475000000000001</v>
      </c>
      <c r="E49">
        <v>2.6749999999999998</v>
      </c>
      <c r="F49">
        <v>177.321</v>
      </c>
      <c r="G49">
        <v>2.7029999999999998</v>
      </c>
      <c r="H49">
        <v>9.5670000000000002</v>
      </c>
      <c r="I49">
        <v>2.411</v>
      </c>
      <c r="J49">
        <v>221.13</v>
      </c>
      <c r="K49">
        <v>243</v>
      </c>
      <c r="L49">
        <v>0</v>
      </c>
      <c r="M49">
        <v>0</v>
      </c>
      <c r="N49">
        <v>100</v>
      </c>
      <c r="O49">
        <v>0.47199999999999998</v>
      </c>
      <c r="P49">
        <v>1.4999999999999999E-2</v>
      </c>
      <c r="Q49">
        <v>0.245</v>
      </c>
      <c r="R49">
        <v>0.66500000000000004</v>
      </c>
      <c r="S49">
        <v>0.29699999999999999</v>
      </c>
      <c r="U49" t="s">
        <v>33</v>
      </c>
      <c r="V49" s="3" t="s">
        <v>35</v>
      </c>
      <c r="Y49">
        <f t="shared" si="0"/>
        <v>-0.42000000000000004</v>
      </c>
      <c r="Z49">
        <f t="shared" si="1"/>
        <v>0.45699999999999996</v>
      </c>
    </row>
    <row r="50" spans="1:26" x14ac:dyDescent="0.2">
      <c r="A50" t="s">
        <v>45</v>
      </c>
      <c r="B50">
        <v>3806.375</v>
      </c>
      <c r="C50">
        <v>75.006</v>
      </c>
      <c r="D50">
        <v>24.821999999999999</v>
      </c>
      <c r="E50">
        <v>2.62</v>
      </c>
      <c r="F50">
        <v>176.589</v>
      </c>
      <c r="G50">
        <v>2.6669999999999998</v>
      </c>
      <c r="H50">
        <v>9.1660000000000004</v>
      </c>
      <c r="I50">
        <v>2.4809999999999999</v>
      </c>
      <c r="J50">
        <v>238.434</v>
      </c>
      <c r="K50">
        <v>262.01499999999999</v>
      </c>
      <c r="L50">
        <v>0</v>
      </c>
      <c r="M50">
        <v>0</v>
      </c>
      <c r="N50">
        <v>100</v>
      </c>
      <c r="O50">
        <v>0.38500000000000001</v>
      </c>
      <c r="P50">
        <v>7.9000000000000001E-2</v>
      </c>
      <c r="Q50">
        <v>0.23599999999999999</v>
      </c>
      <c r="R50">
        <v>0.58099999999999996</v>
      </c>
      <c r="S50">
        <v>0.27700000000000002</v>
      </c>
      <c r="U50" t="s">
        <v>33</v>
      </c>
      <c r="V50" s="3" t="s">
        <v>35</v>
      </c>
      <c r="Y50">
        <f t="shared" si="0"/>
        <v>-0.34499999999999997</v>
      </c>
      <c r="Z50">
        <f t="shared" si="1"/>
        <v>0.30599999999999999</v>
      </c>
    </row>
    <row r="51" spans="1:26" x14ac:dyDescent="0.2">
      <c r="A51" t="s">
        <v>45</v>
      </c>
      <c r="B51">
        <v>3806.5</v>
      </c>
      <c r="C51">
        <v>59.232999999999997</v>
      </c>
      <c r="D51">
        <v>25.401</v>
      </c>
      <c r="E51">
        <v>2.5910000000000002</v>
      </c>
      <c r="F51">
        <v>175.99799999999999</v>
      </c>
      <c r="G51">
        <v>2.64</v>
      </c>
      <c r="H51">
        <v>8.6240000000000006</v>
      </c>
      <c r="I51">
        <v>2.4990000000000001</v>
      </c>
      <c r="J51">
        <v>256.52199999999999</v>
      </c>
      <c r="K51">
        <v>281.892</v>
      </c>
      <c r="L51">
        <v>0</v>
      </c>
      <c r="M51">
        <v>0</v>
      </c>
      <c r="N51">
        <v>100</v>
      </c>
      <c r="O51">
        <v>0.27200000000000002</v>
      </c>
      <c r="P51">
        <v>0.105</v>
      </c>
      <c r="Q51">
        <v>0.22900000000000001</v>
      </c>
      <c r="R51">
        <v>0.51300000000000001</v>
      </c>
      <c r="S51">
        <v>0.253</v>
      </c>
      <c r="U51" t="s">
        <v>33</v>
      </c>
      <c r="V51" s="3" t="s">
        <v>35</v>
      </c>
      <c r="Y51">
        <f t="shared" si="0"/>
        <v>-0.28400000000000003</v>
      </c>
      <c r="Z51">
        <f t="shared" si="1"/>
        <v>0.16700000000000004</v>
      </c>
    </row>
    <row r="52" spans="1:26" x14ac:dyDescent="0.2">
      <c r="A52" t="s">
        <v>46</v>
      </c>
      <c r="B52">
        <v>3477.625</v>
      </c>
      <c r="C52">
        <v>50.207999999999998</v>
      </c>
      <c r="D52">
        <v>21.873000000000001</v>
      </c>
      <c r="E52">
        <v>2.5459999999999998</v>
      </c>
      <c r="F52">
        <v>166.773</v>
      </c>
      <c r="G52">
        <v>2.782</v>
      </c>
      <c r="H52">
        <v>4.3079999999999998</v>
      </c>
      <c r="I52">
        <v>3.5</v>
      </c>
      <c r="J52">
        <v>294.31799999999998</v>
      </c>
      <c r="K52">
        <v>309.80900000000003</v>
      </c>
      <c r="L52">
        <v>0</v>
      </c>
      <c r="M52">
        <v>0.01</v>
      </c>
      <c r="N52">
        <v>0</v>
      </c>
      <c r="O52">
        <v>0.26900000000000002</v>
      </c>
      <c r="P52">
        <v>0.56499999999999995</v>
      </c>
      <c r="Q52">
        <v>0.22</v>
      </c>
      <c r="R52">
        <v>0.53300000000000003</v>
      </c>
      <c r="S52">
        <v>0.36099999999999999</v>
      </c>
      <c r="U52" t="s">
        <v>22</v>
      </c>
      <c r="V52" s="3" t="s">
        <v>35</v>
      </c>
      <c r="Y52">
        <f t="shared" si="0"/>
        <v>-0.31300000000000006</v>
      </c>
      <c r="Z52">
        <f t="shared" si="1"/>
        <v>-0.29599999999999993</v>
      </c>
    </row>
    <row r="53" spans="1:26" x14ac:dyDescent="0.2">
      <c r="A53" t="s">
        <v>46</v>
      </c>
      <c r="B53">
        <v>3477.75</v>
      </c>
      <c r="C53">
        <v>66.998999999999995</v>
      </c>
      <c r="D53">
        <v>21.89</v>
      </c>
      <c r="E53">
        <v>2.5539999999999998</v>
      </c>
      <c r="F53">
        <v>174.19900000000001</v>
      </c>
      <c r="G53">
        <v>2.7890000000000001</v>
      </c>
      <c r="H53">
        <v>4.6639999999999997</v>
      </c>
      <c r="I53">
        <v>3.2189999999999999</v>
      </c>
      <c r="J53">
        <v>210.327</v>
      </c>
      <c r="K53">
        <v>221.39699999999999</v>
      </c>
      <c r="L53">
        <v>0</v>
      </c>
      <c r="M53">
        <v>0.01</v>
      </c>
      <c r="N53">
        <v>0</v>
      </c>
      <c r="O53">
        <v>0.38200000000000001</v>
      </c>
      <c r="P53">
        <v>0.30099999999999999</v>
      </c>
      <c r="Q53">
        <v>0.318</v>
      </c>
      <c r="R53">
        <v>0.56499999999999995</v>
      </c>
      <c r="S53">
        <v>0.39900000000000002</v>
      </c>
      <c r="U53" t="s">
        <v>33</v>
      </c>
      <c r="V53" s="3" t="s">
        <v>35</v>
      </c>
      <c r="Y53">
        <f t="shared" si="0"/>
        <v>-0.24699999999999994</v>
      </c>
      <c r="Z53">
        <f t="shared" si="1"/>
        <v>8.1000000000000016E-2</v>
      </c>
    </row>
    <row r="54" spans="1:26" x14ac:dyDescent="0.2">
      <c r="A54" t="s">
        <v>46</v>
      </c>
      <c r="B54">
        <v>3477.875</v>
      </c>
      <c r="C54">
        <v>78.355999999999995</v>
      </c>
      <c r="D54">
        <v>21.885000000000002</v>
      </c>
      <c r="E54">
        <v>2.54</v>
      </c>
      <c r="F54">
        <v>178.29</v>
      </c>
      <c r="G54">
        <v>2.7919999999999998</v>
      </c>
      <c r="H54">
        <v>4.9020000000000001</v>
      </c>
      <c r="I54">
        <v>3.0569999999999999</v>
      </c>
      <c r="J54">
        <v>168.64</v>
      </c>
      <c r="K54">
        <v>177.51499999999999</v>
      </c>
      <c r="L54">
        <v>0</v>
      </c>
      <c r="M54">
        <v>0.01</v>
      </c>
      <c r="N54">
        <v>0</v>
      </c>
      <c r="O54">
        <v>0.45900000000000002</v>
      </c>
      <c r="P54">
        <v>0.14899999999999999</v>
      </c>
      <c r="Q54">
        <v>0.372</v>
      </c>
      <c r="R54">
        <v>0.57899999999999996</v>
      </c>
      <c r="S54">
        <v>0.42499999999999999</v>
      </c>
      <c r="U54" t="s">
        <v>33</v>
      </c>
      <c r="V54" s="3" t="s">
        <v>35</v>
      </c>
      <c r="Y54">
        <f t="shared" si="0"/>
        <v>-0.20699999999999996</v>
      </c>
      <c r="Z54">
        <f t="shared" si="1"/>
        <v>0.31000000000000005</v>
      </c>
    </row>
    <row r="55" spans="1:26" x14ac:dyDescent="0.2">
      <c r="A55" t="s">
        <v>46</v>
      </c>
      <c r="B55">
        <v>3478</v>
      </c>
      <c r="C55">
        <v>79.27</v>
      </c>
      <c r="D55">
        <v>21.88</v>
      </c>
      <c r="E55">
        <v>2.5979999999999999</v>
      </c>
      <c r="F55">
        <v>179.37799999999999</v>
      </c>
      <c r="G55">
        <v>2.7959999999999998</v>
      </c>
      <c r="H55">
        <v>4.8920000000000003</v>
      </c>
      <c r="I55">
        <v>3.0640000000000001</v>
      </c>
      <c r="J55">
        <v>146.55099999999999</v>
      </c>
      <c r="K55">
        <v>154.26400000000001</v>
      </c>
      <c r="L55">
        <v>0</v>
      </c>
      <c r="M55">
        <v>0.01</v>
      </c>
      <c r="N55">
        <v>0</v>
      </c>
      <c r="O55">
        <v>0.46500000000000002</v>
      </c>
      <c r="P55">
        <v>0.155</v>
      </c>
      <c r="Q55">
        <v>0.38600000000000001</v>
      </c>
      <c r="R55">
        <v>0.59799999999999998</v>
      </c>
      <c r="S55">
        <v>0.42399999999999999</v>
      </c>
      <c r="U55" t="s">
        <v>33</v>
      </c>
      <c r="V55" s="3" t="s">
        <v>35</v>
      </c>
      <c r="Y55">
        <f t="shared" si="0"/>
        <v>-0.21199999999999997</v>
      </c>
      <c r="Z55">
        <f t="shared" si="1"/>
        <v>0.31000000000000005</v>
      </c>
    </row>
    <row r="56" spans="1:26" x14ac:dyDescent="0.2">
      <c r="A56" t="s">
        <v>46</v>
      </c>
      <c r="B56">
        <v>3478.125</v>
      </c>
      <c r="C56">
        <v>74.305999999999997</v>
      </c>
      <c r="D56">
        <v>21.895</v>
      </c>
      <c r="E56">
        <v>2.419</v>
      </c>
      <c r="F56">
        <v>179.036</v>
      </c>
      <c r="G56">
        <v>2.8029999999999999</v>
      </c>
      <c r="H56">
        <v>4.5810000000000004</v>
      </c>
      <c r="I56">
        <v>3.2040000000000002</v>
      </c>
      <c r="J56">
        <v>144.642</v>
      </c>
      <c r="K56">
        <v>152.255</v>
      </c>
      <c r="L56">
        <v>0</v>
      </c>
      <c r="M56">
        <v>0.01</v>
      </c>
      <c r="N56">
        <v>0</v>
      </c>
      <c r="O56">
        <v>0.43099999999999999</v>
      </c>
      <c r="P56">
        <v>0.28699999999999998</v>
      </c>
      <c r="Q56">
        <v>0.38100000000000001</v>
      </c>
      <c r="R56">
        <v>0.63100000000000001</v>
      </c>
      <c r="S56">
        <v>0.39100000000000001</v>
      </c>
      <c r="U56" t="s">
        <v>33</v>
      </c>
      <c r="V56" s="3" t="s">
        <v>35</v>
      </c>
      <c r="Y56">
        <f t="shared" si="0"/>
        <v>-0.25</v>
      </c>
      <c r="Z56">
        <f t="shared" si="1"/>
        <v>0.14400000000000002</v>
      </c>
    </row>
    <row r="57" spans="1:26" x14ac:dyDescent="0.2">
      <c r="A57" t="s">
        <v>46</v>
      </c>
      <c r="B57">
        <v>3478.25</v>
      </c>
      <c r="C57">
        <v>66.037000000000006</v>
      </c>
      <c r="D57">
        <v>21.895</v>
      </c>
      <c r="E57">
        <v>1.798</v>
      </c>
      <c r="F57">
        <v>177.90100000000001</v>
      </c>
      <c r="G57">
        <v>2.8170000000000002</v>
      </c>
      <c r="H57">
        <v>4.2069999999999999</v>
      </c>
      <c r="I57">
        <v>3.3809999999999998</v>
      </c>
      <c r="J57">
        <v>162.57499999999999</v>
      </c>
      <c r="K57">
        <v>171.131</v>
      </c>
      <c r="L57">
        <v>0</v>
      </c>
      <c r="M57">
        <v>0.01</v>
      </c>
      <c r="N57">
        <v>0</v>
      </c>
      <c r="O57">
        <v>0.376</v>
      </c>
      <c r="P57">
        <v>0.45300000000000001</v>
      </c>
      <c r="Q57">
        <v>0.36599999999999999</v>
      </c>
      <c r="R57">
        <v>0.69599999999999995</v>
      </c>
      <c r="S57">
        <v>0.35099999999999998</v>
      </c>
      <c r="U57" t="s">
        <v>33</v>
      </c>
      <c r="V57" s="3" t="s">
        <v>35</v>
      </c>
      <c r="Y57">
        <f t="shared" si="0"/>
        <v>-0.32999999999999996</v>
      </c>
      <c r="Z57">
        <f t="shared" si="1"/>
        <v>-7.7000000000000013E-2</v>
      </c>
    </row>
    <row r="58" spans="1:26" x14ac:dyDescent="0.2">
      <c r="A58" t="s">
        <v>47</v>
      </c>
      <c r="B58">
        <v>3245.75</v>
      </c>
      <c r="C58">
        <v>70.216999999999999</v>
      </c>
      <c r="D58">
        <v>23.294</v>
      </c>
      <c r="E58">
        <v>4.0119999999999996</v>
      </c>
      <c r="F58">
        <v>172.15199999999999</v>
      </c>
      <c r="G58">
        <v>2.52</v>
      </c>
      <c r="H58">
        <v>7.4450000000000003</v>
      </c>
      <c r="I58">
        <v>3.7839999999999998</v>
      </c>
      <c r="J58">
        <v>132.77600000000001</v>
      </c>
      <c r="K58">
        <v>140.00299999999999</v>
      </c>
      <c r="L58">
        <v>0</v>
      </c>
      <c r="M58">
        <v>0</v>
      </c>
      <c r="N58">
        <v>100</v>
      </c>
      <c r="O58">
        <v>0.35899999999999999</v>
      </c>
      <c r="P58">
        <v>0.89900000000000002</v>
      </c>
      <c r="Q58">
        <v>0.28799999999999998</v>
      </c>
      <c r="R58">
        <v>8.4000000000000005E-2</v>
      </c>
      <c r="S58">
        <v>0.20899999999999999</v>
      </c>
      <c r="U58" t="s">
        <v>22</v>
      </c>
      <c r="V58" s="3" t="s">
        <v>35</v>
      </c>
      <c r="Y58">
        <f t="shared" si="0"/>
        <v>0.20399999999999996</v>
      </c>
      <c r="Z58">
        <f t="shared" si="1"/>
        <v>-0.54</v>
      </c>
    </row>
    <row r="59" spans="1:26" x14ac:dyDescent="0.2">
      <c r="A59" t="s">
        <v>47</v>
      </c>
      <c r="B59">
        <v>3245.875</v>
      </c>
      <c r="C59">
        <v>107.663</v>
      </c>
      <c r="D59">
        <v>23.116</v>
      </c>
      <c r="E59">
        <v>4.4009999999999998</v>
      </c>
      <c r="F59">
        <v>171.87700000000001</v>
      </c>
      <c r="G59">
        <v>2.5</v>
      </c>
      <c r="H59">
        <v>6.8769999999999998</v>
      </c>
      <c r="I59">
        <v>3.7280000000000002</v>
      </c>
      <c r="J59">
        <v>126.542</v>
      </c>
      <c r="K59">
        <v>134.51599999999999</v>
      </c>
      <c r="L59">
        <v>0</v>
      </c>
      <c r="M59">
        <v>0</v>
      </c>
      <c r="N59">
        <v>100</v>
      </c>
      <c r="O59">
        <v>0.58199999999999996</v>
      </c>
      <c r="P59">
        <v>0.83</v>
      </c>
      <c r="Q59">
        <v>0.27300000000000002</v>
      </c>
      <c r="R59">
        <v>2.8000000000000001E-2</v>
      </c>
      <c r="S59">
        <v>0.124</v>
      </c>
      <c r="U59" t="s">
        <v>33</v>
      </c>
      <c r="V59" s="3" t="s">
        <v>35</v>
      </c>
      <c r="Y59">
        <f t="shared" si="0"/>
        <v>0.24500000000000002</v>
      </c>
      <c r="Z59">
        <f t="shared" si="1"/>
        <v>-0.248</v>
      </c>
    </row>
    <row r="60" spans="1:26" x14ac:dyDescent="0.2">
      <c r="A60" t="s">
        <v>47</v>
      </c>
      <c r="B60">
        <v>3246</v>
      </c>
      <c r="C60">
        <v>135.864</v>
      </c>
      <c r="D60">
        <v>22.800999999999998</v>
      </c>
      <c r="E60">
        <v>4.7249999999999996</v>
      </c>
      <c r="F60">
        <v>167.572</v>
      </c>
      <c r="G60">
        <v>2.4889999999999999</v>
      </c>
      <c r="H60">
        <v>6.4560000000000004</v>
      </c>
      <c r="I60">
        <v>3.6080000000000001</v>
      </c>
      <c r="J60">
        <v>128.226</v>
      </c>
      <c r="K60">
        <v>138.517</v>
      </c>
      <c r="L60">
        <v>0</v>
      </c>
      <c r="M60">
        <v>0</v>
      </c>
      <c r="N60">
        <v>100</v>
      </c>
      <c r="O60">
        <v>0.72</v>
      </c>
      <c r="P60">
        <v>0.69799999999999995</v>
      </c>
      <c r="Q60">
        <v>0.19900000000000001</v>
      </c>
      <c r="R60">
        <v>6.0000000000000001E-3</v>
      </c>
      <c r="S60">
        <v>6.0999999999999999E-2</v>
      </c>
      <c r="U60" t="s">
        <v>33</v>
      </c>
      <c r="V60" s="3" t="s">
        <v>35</v>
      </c>
      <c r="Y60">
        <f t="shared" si="0"/>
        <v>0.193</v>
      </c>
      <c r="Z60">
        <f t="shared" si="1"/>
        <v>2.200000000000002E-2</v>
      </c>
    </row>
    <row r="61" spans="1:26" x14ac:dyDescent="0.2">
      <c r="A61" t="s">
        <v>47</v>
      </c>
      <c r="B61">
        <v>3246.125</v>
      </c>
      <c r="C61">
        <v>125.937</v>
      </c>
      <c r="D61">
        <v>22.36</v>
      </c>
      <c r="E61">
        <v>5.0629999999999997</v>
      </c>
      <c r="F61">
        <v>160.90299999999999</v>
      </c>
      <c r="G61">
        <v>2.5009999999999999</v>
      </c>
      <c r="H61">
        <v>6.1779999999999999</v>
      </c>
      <c r="I61">
        <v>3.444</v>
      </c>
      <c r="J61">
        <v>150.06200000000001</v>
      </c>
      <c r="K61">
        <v>163.93100000000001</v>
      </c>
      <c r="L61">
        <v>0</v>
      </c>
      <c r="M61">
        <v>0</v>
      </c>
      <c r="N61">
        <v>100</v>
      </c>
      <c r="O61">
        <v>0.63600000000000001</v>
      </c>
      <c r="P61">
        <v>0.53500000000000003</v>
      </c>
      <c r="Q61">
        <v>9.6000000000000002E-2</v>
      </c>
      <c r="R61">
        <v>5.5E-2</v>
      </c>
      <c r="S61">
        <v>2.1000000000000001E-2</v>
      </c>
      <c r="U61" t="s">
        <v>33</v>
      </c>
      <c r="V61" s="3" t="s">
        <v>35</v>
      </c>
      <c r="Y61">
        <f t="shared" si="0"/>
        <v>4.1000000000000002E-2</v>
      </c>
      <c r="Z61">
        <f t="shared" si="1"/>
        <v>0.10099999999999998</v>
      </c>
    </row>
    <row r="62" spans="1:26" x14ac:dyDescent="0.2">
      <c r="A62" t="s">
        <v>47</v>
      </c>
      <c r="B62">
        <v>3246.25</v>
      </c>
      <c r="C62">
        <v>93.796000000000006</v>
      </c>
      <c r="D62">
        <v>22.096</v>
      </c>
      <c r="E62">
        <v>5.2679999999999998</v>
      </c>
      <c r="F62">
        <v>155.71600000000001</v>
      </c>
      <c r="G62">
        <v>2.5390000000000001</v>
      </c>
      <c r="H62">
        <v>6.0209999999999999</v>
      </c>
      <c r="I62">
        <v>3.327</v>
      </c>
      <c r="J62">
        <v>163.48099999999999</v>
      </c>
      <c r="K62">
        <v>201.904</v>
      </c>
      <c r="L62">
        <v>0</v>
      </c>
      <c r="M62">
        <v>0</v>
      </c>
      <c r="N62">
        <v>100</v>
      </c>
      <c r="O62">
        <v>0.436</v>
      </c>
      <c r="P62">
        <v>0.42499999999999999</v>
      </c>
      <c r="Q62">
        <v>2.1999999999999999E-2</v>
      </c>
      <c r="R62">
        <v>0.18</v>
      </c>
      <c r="S62">
        <v>1E-3</v>
      </c>
      <c r="U62" t="s">
        <v>33</v>
      </c>
      <c r="V62" s="3" t="s">
        <v>35</v>
      </c>
      <c r="Y62">
        <f t="shared" si="0"/>
        <v>-0.158</v>
      </c>
      <c r="Z62">
        <f t="shared" si="1"/>
        <v>1.100000000000001E-2</v>
      </c>
    </row>
    <row r="63" spans="1:26" x14ac:dyDescent="0.2">
      <c r="A63" t="s">
        <v>47</v>
      </c>
      <c r="B63">
        <v>3246.375</v>
      </c>
      <c r="C63">
        <v>62.017000000000003</v>
      </c>
      <c r="D63">
        <v>22.096</v>
      </c>
      <c r="E63">
        <v>5.1440000000000001</v>
      </c>
      <c r="F63">
        <v>154.06100000000001</v>
      </c>
      <c r="G63">
        <v>2.5979999999999999</v>
      </c>
      <c r="H63">
        <v>6.0449999999999999</v>
      </c>
      <c r="I63">
        <v>3.286</v>
      </c>
      <c r="J63">
        <v>208.61600000000001</v>
      </c>
      <c r="K63">
        <v>291.24599999999998</v>
      </c>
      <c r="L63">
        <v>0</v>
      </c>
      <c r="M63">
        <v>0</v>
      </c>
      <c r="N63">
        <v>100</v>
      </c>
      <c r="O63">
        <v>0.252</v>
      </c>
      <c r="P63">
        <v>0.39500000000000002</v>
      </c>
      <c r="Q63">
        <v>5.0000000000000001E-3</v>
      </c>
      <c r="R63">
        <v>0.36399999999999999</v>
      </c>
      <c r="S63">
        <v>8.9999999999999993E-3</v>
      </c>
      <c r="U63" t="s">
        <v>33</v>
      </c>
      <c r="V63" s="3" t="s">
        <v>35</v>
      </c>
      <c r="Y63">
        <f t="shared" si="0"/>
        <v>-0.35899999999999999</v>
      </c>
      <c r="Z63">
        <f t="shared" si="1"/>
        <v>-0.14300000000000002</v>
      </c>
    </row>
    <row r="64" spans="1:26" x14ac:dyDescent="0.2">
      <c r="A64" t="s">
        <v>48</v>
      </c>
      <c r="B64">
        <v>3288.75</v>
      </c>
      <c r="C64">
        <v>61.16</v>
      </c>
      <c r="D64">
        <v>22.696000000000002</v>
      </c>
      <c r="E64">
        <v>2.9279999999999999</v>
      </c>
      <c r="F64">
        <v>172.596</v>
      </c>
      <c r="G64">
        <v>2.8090000000000002</v>
      </c>
      <c r="H64">
        <v>7.7370000000000001</v>
      </c>
      <c r="I64">
        <v>3.2839999999999998</v>
      </c>
      <c r="J64">
        <v>368.42599999999999</v>
      </c>
      <c r="K64">
        <v>379.82100000000003</v>
      </c>
      <c r="L64">
        <v>0.01</v>
      </c>
      <c r="M64">
        <v>1E-3</v>
      </c>
      <c r="N64">
        <v>100</v>
      </c>
      <c r="O64">
        <v>0.26100000000000001</v>
      </c>
      <c r="P64">
        <v>0.22900000000000001</v>
      </c>
      <c r="Q64">
        <v>0.189</v>
      </c>
      <c r="R64">
        <v>0.78700000000000003</v>
      </c>
      <c r="S64">
        <v>0.52900000000000003</v>
      </c>
      <c r="U64" t="s">
        <v>33</v>
      </c>
      <c r="V64" s="3" t="s">
        <v>35</v>
      </c>
      <c r="Y64">
        <f t="shared" si="0"/>
        <v>-0.59800000000000009</v>
      </c>
      <c r="Z64">
        <f t="shared" si="1"/>
        <v>3.2000000000000001E-2</v>
      </c>
    </row>
    <row r="65" spans="1:26" x14ac:dyDescent="0.2">
      <c r="A65" t="s">
        <v>48</v>
      </c>
      <c r="B65">
        <v>3288.875</v>
      </c>
      <c r="C65">
        <v>73.715999999999994</v>
      </c>
      <c r="D65">
        <v>22.696000000000002</v>
      </c>
      <c r="E65">
        <v>3.36</v>
      </c>
      <c r="F65">
        <v>174.38800000000001</v>
      </c>
      <c r="G65">
        <v>2.859</v>
      </c>
      <c r="H65">
        <v>8.2569999999999997</v>
      </c>
      <c r="I65">
        <v>3.2839999999999998</v>
      </c>
      <c r="J65">
        <v>360.274</v>
      </c>
      <c r="K65">
        <v>371.41699999999997</v>
      </c>
      <c r="L65">
        <v>0.01</v>
      </c>
      <c r="M65">
        <v>1E-3</v>
      </c>
      <c r="N65">
        <v>100</v>
      </c>
      <c r="O65">
        <v>0.36699999999999999</v>
      </c>
      <c r="P65">
        <v>0.22900000000000001</v>
      </c>
      <c r="Q65">
        <v>0.215</v>
      </c>
      <c r="R65">
        <v>0.86099999999999999</v>
      </c>
      <c r="S65">
        <v>0.55500000000000005</v>
      </c>
      <c r="U65" t="s">
        <v>33</v>
      </c>
      <c r="V65" s="3" t="s">
        <v>35</v>
      </c>
      <c r="Y65">
        <f t="shared" si="0"/>
        <v>-0.64600000000000002</v>
      </c>
      <c r="Z65">
        <f t="shared" si="1"/>
        <v>0.13799999999999998</v>
      </c>
    </row>
    <row r="66" spans="1:26" x14ac:dyDescent="0.2">
      <c r="A66" t="s">
        <v>48</v>
      </c>
      <c r="B66">
        <v>3289</v>
      </c>
      <c r="C66">
        <v>96.622</v>
      </c>
      <c r="D66">
        <v>22.696000000000002</v>
      </c>
      <c r="E66">
        <v>4.2220000000000004</v>
      </c>
      <c r="F66">
        <v>177.024</v>
      </c>
      <c r="G66">
        <v>2.8730000000000002</v>
      </c>
      <c r="H66">
        <v>8.7230000000000008</v>
      </c>
      <c r="I66">
        <v>3.2839999999999998</v>
      </c>
      <c r="J66">
        <v>300.76100000000002</v>
      </c>
      <c r="K66">
        <v>310.06299999999999</v>
      </c>
      <c r="L66">
        <v>0.01</v>
      </c>
      <c r="M66">
        <v>1E-3</v>
      </c>
      <c r="N66">
        <v>100</v>
      </c>
      <c r="O66">
        <v>0.48899999999999999</v>
      </c>
      <c r="P66">
        <v>0.22900000000000001</v>
      </c>
      <c r="Q66">
        <v>0.24099999999999999</v>
      </c>
      <c r="R66">
        <v>0.94199999999999995</v>
      </c>
      <c r="S66">
        <v>0.59099999999999997</v>
      </c>
      <c r="U66" t="s">
        <v>33</v>
      </c>
      <c r="V66" s="3" t="s">
        <v>35</v>
      </c>
      <c r="Y66">
        <f t="shared" si="0"/>
        <v>-0.70099999999999996</v>
      </c>
      <c r="Z66">
        <f t="shared" si="1"/>
        <v>0.26</v>
      </c>
    </row>
    <row r="67" spans="1:26" x14ac:dyDescent="0.2">
      <c r="A67" t="s">
        <v>48</v>
      </c>
      <c r="B67">
        <v>3289.125</v>
      </c>
      <c r="C67">
        <v>101.001</v>
      </c>
      <c r="D67">
        <v>22.696000000000002</v>
      </c>
      <c r="E67">
        <v>4.5060000000000002</v>
      </c>
      <c r="F67">
        <v>176.96199999999999</v>
      </c>
      <c r="G67">
        <v>2.8730000000000002</v>
      </c>
      <c r="H67">
        <v>8.843</v>
      </c>
      <c r="I67">
        <v>3.2839999999999998</v>
      </c>
      <c r="J67">
        <v>228.43600000000001</v>
      </c>
      <c r="K67">
        <v>235.501</v>
      </c>
      <c r="L67">
        <v>0.01</v>
      </c>
      <c r="M67">
        <v>1E-3</v>
      </c>
      <c r="N67">
        <v>100</v>
      </c>
      <c r="O67">
        <v>0.58199999999999996</v>
      </c>
      <c r="P67">
        <v>0.22900000000000001</v>
      </c>
      <c r="Q67">
        <v>0.25700000000000001</v>
      </c>
      <c r="R67">
        <v>0.95899999999999996</v>
      </c>
      <c r="S67">
        <v>0.61199999999999999</v>
      </c>
      <c r="U67" t="s">
        <v>33</v>
      </c>
      <c r="V67" s="3" t="s">
        <v>35</v>
      </c>
      <c r="Y67">
        <f t="shared" ref="Y67:Y97" si="2">Q67-R67</f>
        <v>-0.70199999999999996</v>
      </c>
      <c r="Z67">
        <f t="shared" ref="Z67:Z97" si="3">O67-P67</f>
        <v>0.35299999999999998</v>
      </c>
    </row>
    <row r="68" spans="1:26" x14ac:dyDescent="0.2">
      <c r="A68" t="s">
        <v>48</v>
      </c>
      <c r="B68">
        <v>3289.25</v>
      </c>
      <c r="C68">
        <v>94.64</v>
      </c>
      <c r="D68">
        <v>22.696000000000002</v>
      </c>
      <c r="E68">
        <v>4.29</v>
      </c>
      <c r="F68">
        <v>176.74299999999999</v>
      </c>
      <c r="G68">
        <v>2.8690000000000002</v>
      </c>
      <c r="H68">
        <v>8.8059999999999992</v>
      </c>
      <c r="I68">
        <v>3.331</v>
      </c>
      <c r="J68">
        <v>203.042</v>
      </c>
      <c r="K68">
        <v>209.321</v>
      </c>
      <c r="L68">
        <v>0.01</v>
      </c>
      <c r="M68">
        <v>1E-3</v>
      </c>
      <c r="N68">
        <v>100</v>
      </c>
      <c r="O68">
        <v>0.57399999999999995</v>
      </c>
      <c r="P68">
        <v>0.24199999999999999</v>
      </c>
      <c r="Q68">
        <v>0.255</v>
      </c>
      <c r="R68">
        <v>0.95399999999999996</v>
      </c>
      <c r="S68">
        <v>0.61499999999999999</v>
      </c>
      <c r="U68" t="s">
        <v>33</v>
      </c>
      <c r="V68" s="3" t="s">
        <v>35</v>
      </c>
      <c r="Y68">
        <f t="shared" si="2"/>
        <v>-0.69899999999999995</v>
      </c>
      <c r="Z68">
        <f t="shared" si="3"/>
        <v>0.33199999999999996</v>
      </c>
    </row>
    <row r="69" spans="1:26" x14ac:dyDescent="0.2">
      <c r="A69" t="s">
        <v>48</v>
      </c>
      <c r="B69">
        <v>3289.375</v>
      </c>
      <c r="C69">
        <v>75.616</v>
      </c>
      <c r="D69">
        <v>22.696000000000002</v>
      </c>
      <c r="E69">
        <v>3.5920000000000001</v>
      </c>
      <c r="F69">
        <v>177.29</v>
      </c>
      <c r="G69">
        <v>2.867</v>
      </c>
      <c r="H69">
        <v>8.6829999999999998</v>
      </c>
      <c r="I69">
        <v>3.4710000000000001</v>
      </c>
      <c r="J69">
        <v>178.654</v>
      </c>
      <c r="K69">
        <v>184.179</v>
      </c>
      <c r="L69">
        <v>0.01</v>
      </c>
      <c r="M69">
        <v>1E-3</v>
      </c>
      <c r="N69">
        <v>100</v>
      </c>
      <c r="O69">
        <v>0.48699999999999999</v>
      </c>
      <c r="P69">
        <v>0.29499999999999998</v>
      </c>
      <c r="Q69">
        <v>0.25700000000000001</v>
      </c>
      <c r="R69">
        <v>0.94699999999999995</v>
      </c>
      <c r="S69">
        <v>0.60899999999999999</v>
      </c>
      <c r="U69" t="s">
        <v>33</v>
      </c>
      <c r="V69" s="3" t="s">
        <v>35</v>
      </c>
      <c r="Y69">
        <f t="shared" si="2"/>
        <v>-0.69</v>
      </c>
      <c r="Z69">
        <f t="shared" si="3"/>
        <v>0.192</v>
      </c>
    </row>
    <row r="70" spans="1:26" x14ac:dyDescent="0.2">
      <c r="A70" t="s">
        <v>49</v>
      </c>
      <c r="B70">
        <v>3467.75</v>
      </c>
      <c r="C70">
        <v>57.581000000000003</v>
      </c>
      <c r="D70">
        <v>24.312999999999999</v>
      </c>
      <c r="E70">
        <v>3.5270000000000001</v>
      </c>
      <c r="F70">
        <v>174.16800000000001</v>
      </c>
      <c r="G70">
        <v>2.718</v>
      </c>
      <c r="H70">
        <v>10.379</v>
      </c>
      <c r="I70">
        <v>3.5649999999999999</v>
      </c>
      <c r="J70">
        <v>301.89400000000001</v>
      </c>
      <c r="K70">
        <v>286.46100000000001</v>
      </c>
      <c r="L70">
        <v>0.01</v>
      </c>
      <c r="M70">
        <v>1E-3</v>
      </c>
      <c r="N70">
        <v>100</v>
      </c>
      <c r="O70">
        <v>0.29899999999999999</v>
      </c>
      <c r="P70">
        <v>0.41</v>
      </c>
      <c r="Q70">
        <v>0.253</v>
      </c>
      <c r="R70">
        <v>0.52700000000000002</v>
      </c>
      <c r="S70">
        <v>0.71599999999999997</v>
      </c>
      <c r="U70" t="s">
        <v>33</v>
      </c>
      <c r="V70" s="3" t="s">
        <v>35</v>
      </c>
      <c r="Y70">
        <f t="shared" si="2"/>
        <v>-0.27400000000000002</v>
      </c>
      <c r="Z70">
        <f t="shared" si="3"/>
        <v>-0.11099999999999999</v>
      </c>
    </row>
    <row r="71" spans="1:26" x14ac:dyDescent="0.2">
      <c r="A71" t="s">
        <v>49</v>
      </c>
      <c r="B71">
        <v>3467.875</v>
      </c>
      <c r="C71">
        <v>91.994</v>
      </c>
      <c r="D71">
        <v>24.358000000000001</v>
      </c>
      <c r="E71">
        <v>4.1760000000000002</v>
      </c>
      <c r="F71">
        <v>181.56299999999999</v>
      </c>
      <c r="G71">
        <v>2.6949999999999998</v>
      </c>
      <c r="H71">
        <v>11.041</v>
      </c>
      <c r="I71">
        <v>3.58</v>
      </c>
      <c r="J71">
        <v>185.23099999999999</v>
      </c>
      <c r="K71">
        <v>166.36199999999999</v>
      </c>
      <c r="L71">
        <v>0.01</v>
      </c>
      <c r="M71">
        <v>1E-3</v>
      </c>
      <c r="N71">
        <v>100</v>
      </c>
      <c r="O71">
        <v>0.50600000000000001</v>
      </c>
      <c r="P71">
        <v>0.41499999999999998</v>
      </c>
      <c r="Q71">
        <v>0.34300000000000003</v>
      </c>
      <c r="R71">
        <v>0.46800000000000003</v>
      </c>
      <c r="S71">
        <v>0.77100000000000002</v>
      </c>
      <c r="U71" t="s">
        <v>33</v>
      </c>
      <c r="V71" s="3" t="s">
        <v>35</v>
      </c>
      <c r="Y71">
        <f t="shared" si="2"/>
        <v>-0.125</v>
      </c>
      <c r="Z71">
        <f t="shared" si="3"/>
        <v>9.1000000000000025E-2</v>
      </c>
    </row>
    <row r="72" spans="1:26" x14ac:dyDescent="0.2">
      <c r="A72" t="s">
        <v>49</v>
      </c>
      <c r="B72">
        <v>3468</v>
      </c>
      <c r="C72">
        <v>125.687</v>
      </c>
      <c r="D72">
        <v>24.33</v>
      </c>
      <c r="E72">
        <v>4.8029999999999999</v>
      </c>
      <c r="F72">
        <v>187.77699999999999</v>
      </c>
      <c r="G72">
        <v>2.6859999999999999</v>
      </c>
      <c r="H72">
        <v>11.686999999999999</v>
      </c>
      <c r="I72">
        <v>3.5139999999999998</v>
      </c>
      <c r="J72">
        <v>132.55600000000001</v>
      </c>
      <c r="K72">
        <v>118.291</v>
      </c>
      <c r="L72">
        <v>0.01</v>
      </c>
      <c r="M72">
        <v>1E-3</v>
      </c>
      <c r="N72">
        <v>100</v>
      </c>
      <c r="O72">
        <v>0.72699999999999998</v>
      </c>
      <c r="P72">
        <v>0.4</v>
      </c>
      <c r="Q72">
        <v>0.41899999999999998</v>
      </c>
      <c r="R72">
        <v>0.44</v>
      </c>
      <c r="S72">
        <v>0.81499999999999995</v>
      </c>
      <c r="U72" t="s">
        <v>33</v>
      </c>
      <c r="V72" s="3" t="s">
        <v>35</v>
      </c>
      <c r="Y72">
        <f t="shared" si="2"/>
        <v>-2.1000000000000019E-2</v>
      </c>
      <c r="Z72">
        <f t="shared" si="3"/>
        <v>0.32699999999999996</v>
      </c>
    </row>
    <row r="73" spans="1:26" x14ac:dyDescent="0.2">
      <c r="A73" t="s">
        <v>49</v>
      </c>
      <c r="B73">
        <v>3468.125</v>
      </c>
      <c r="C73">
        <v>138.62200000000001</v>
      </c>
      <c r="D73">
        <v>24.212</v>
      </c>
      <c r="E73">
        <v>5.1189999999999998</v>
      </c>
      <c r="F73">
        <v>189.15700000000001</v>
      </c>
      <c r="G73">
        <v>2.6949999999999998</v>
      </c>
      <c r="H73">
        <v>10.69</v>
      </c>
      <c r="I73">
        <v>3.4390000000000001</v>
      </c>
      <c r="J73">
        <v>106.553</v>
      </c>
      <c r="K73">
        <v>94.725999999999999</v>
      </c>
      <c r="L73">
        <v>0.01</v>
      </c>
      <c r="M73">
        <v>1E-3</v>
      </c>
      <c r="N73">
        <v>100</v>
      </c>
      <c r="O73">
        <v>0.83899999999999997</v>
      </c>
      <c r="P73">
        <v>0.378</v>
      </c>
      <c r="Q73">
        <v>0.44700000000000001</v>
      </c>
      <c r="R73">
        <v>0.45300000000000001</v>
      </c>
      <c r="S73">
        <v>0.77</v>
      </c>
      <c r="U73" t="s">
        <v>33</v>
      </c>
      <c r="V73" s="3" t="s">
        <v>35</v>
      </c>
      <c r="Y73">
        <f t="shared" si="2"/>
        <v>-6.0000000000000053E-3</v>
      </c>
      <c r="Z73">
        <f t="shared" si="3"/>
        <v>0.46099999999999997</v>
      </c>
    </row>
    <row r="74" spans="1:26" x14ac:dyDescent="0.2">
      <c r="A74" t="s">
        <v>49</v>
      </c>
      <c r="B74">
        <v>3468.25</v>
      </c>
      <c r="C74">
        <v>133.53200000000001</v>
      </c>
      <c r="D74">
        <v>24.091999999999999</v>
      </c>
      <c r="E74">
        <v>5.1559999999999997</v>
      </c>
      <c r="F74">
        <v>184.06899999999999</v>
      </c>
      <c r="G74">
        <v>2.722</v>
      </c>
      <c r="H74">
        <v>9.3420000000000005</v>
      </c>
      <c r="I74">
        <v>3.577</v>
      </c>
      <c r="J74">
        <v>96.134</v>
      </c>
      <c r="K74">
        <v>85.468000000000004</v>
      </c>
      <c r="L74">
        <v>0.01</v>
      </c>
      <c r="M74">
        <v>1E-3</v>
      </c>
      <c r="N74">
        <v>100</v>
      </c>
      <c r="O74">
        <v>0.82899999999999996</v>
      </c>
      <c r="P74">
        <v>0.40699999999999997</v>
      </c>
      <c r="Q74">
        <v>0.40200000000000002</v>
      </c>
      <c r="R74">
        <v>0.51</v>
      </c>
      <c r="S74">
        <v>0.68300000000000005</v>
      </c>
      <c r="U74" t="s">
        <v>33</v>
      </c>
      <c r="V74" s="3" t="s">
        <v>35</v>
      </c>
      <c r="Y74">
        <f t="shared" si="2"/>
        <v>-0.10799999999999998</v>
      </c>
      <c r="Z74">
        <f t="shared" si="3"/>
        <v>0.42199999999999999</v>
      </c>
    </row>
    <row r="75" spans="1:26" x14ac:dyDescent="0.2">
      <c r="A75" t="s">
        <v>49</v>
      </c>
      <c r="B75">
        <v>3468.375</v>
      </c>
      <c r="C75">
        <v>119.374</v>
      </c>
      <c r="D75">
        <v>23.963999999999999</v>
      </c>
      <c r="E75">
        <v>4.8570000000000002</v>
      </c>
      <c r="F75">
        <v>176.76499999999999</v>
      </c>
      <c r="G75">
        <v>2.7589999999999999</v>
      </c>
      <c r="H75">
        <v>6.48</v>
      </c>
      <c r="I75">
        <v>3.9220000000000002</v>
      </c>
      <c r="J75">
        <v>106.34699999999999</v>
      </c>
      <c r="K75">
        <v>94.765000000000001</v>
      </c>
      <c r="L75">
        <v>0.01</v>
      </c>
      <c r="M75">
        <v>1E-3</v>
      </c>
      <c r="N75">
        <v>100</v>
      </c>
      <c r="O75">
        <v>0.748</v>
      </c>
      <c r="P75">
        <v>0.5</v>
      </c>
      <c r="Q75">
        <v>0.32</v>
      </c>
      <c r="R75">
        <v>0.59599999999999997</v>
      </c>
      <c r="S75">
        <v>0.51</v>
      </c>
      <c r="U75" t="s">
        <v>33</v>
      </c>
      <c r="V75" s="3" t="s">
        <v>35</v>
      </c>
      <c r="Y75">
        <f t="shared" si="2"/>
        <v>-0.27599999999999997</v>
      </c>
      <c r="Z75">
        <f t="shared" si="3"/>
        <v>0.248</v>
      </c>
    </row>
    <row r="76" spans="1:26" x14ac:dyDescent="0.2">
      <c r="A76" t="s">
        <v>50</v>
      </c>
      <c r="B76">
        <v>3473.5</v>
      </c>
      <c r="C76">
        <v>76.632999999999996</v>
      </c>
      <c r="D76">
        <v>22.478000000000002</v>
      </c>
      <c r="E76">
        <v>4.8789999999999996</v>
      </c>
      <c r="F76">
        <v>170.328</v>
      </c>
      <c r="G76">
        <v>2.7709999999999999</v>
      </c>
      <c r="H76">
        <v>10.315</v>
      </c>
      <c r="I76">
        <v>3.7570000000000001</v>
      </c>
      <c r="J76">
        <v>162.07300000000001</v>
      </c>
      <c r="K76">
        <v>179.489</v>
      </c>
      <c r="L76">
        <v>0.01</v>
      </c>
      <c r="M76">
        <v>1E-3</v>
      </c>
      <c r="N76">
        <v>100</v>
      </c>
      <c r="O76">
        <v>0.435</v>
      </c>
      <c r="P76">
        <v>0.35599999999999998</v>
      </c>
      <c r="Q76">
        <v>0.23400000000000001</v>
      </c>
      <c r="R76">
        <v>0.46899999999999997</v>
      </c>
      <c r="S76">
        <v>0.56100000000000005</v>
      </c>
      <c r="U76" t="s">
        <v>33</v>
      </c>
      <c r="V76" s="3" t="s">
        <v>35</v>
      </c>
      <c r="Y76">
        <f t="shared" si="2"/>
        <v>-0.23499999999999996</v>
      </c>
      <c r="Z76">
        <f t="shared" si="3"/>
        <v>7.9000000000000015E-2</v>
      </c>
    </row>
    <row r="77" spans="1:26" x14ac:dyDescent="0.2">
      <c r="A77" t="s">
        <v>50</v>
      </c>
      <c r="B77">
        <v>3473.625</v>
      </c>
      <c r="C77">
        <v>100.631</v>
      </c>
      <c r="D77">
        <v>22.477</v>
      </c>
      <c r="E77">
        <v>6.1689999999999996</v>
      </c>
      <c r="F77">
        <v>175.833</v>
      </c>
      <c r="G77">
        <v>2.7679999999999998</v>
      </c>
      <c r="H77">
        <v>10.888</v>
      </c>
      <c r="I77">
        <v>3.7719999999999998</v>
      </c>
      <c r="J77">
        <v>129.06299999999999</v>
      </c>
      <c r="K77">
        <v>146.31100000000001</v>
      </c>
      <c r="L77">
        <v>0.01</v>
      </c>
      <c r="M77">
        <v>1E-3</v>
      </c>
      <c r="N77">
        <v>100</v>
      </c>
      <c r="O77">
        <v>0.59499999999999997</v>
      </c>
      <c r="P77">
        <v>0.36899999999999999</v>
      </c>
      <c r="Q77">
        <v>0.314</v>
      </c>
      <c r="R77">
        <v>0.46899999999999997</v>
      </c>
      <c r="S77">
        <v>0.60199999999999998</v>
      </c>
      <c r="U77" t="s">
        <v>33</v>
      </c>
      <c r="V77" s="3" t="s">
        <v>35</v>
      </c>
      <c r="Y77">
        <f t="shared" si="2"/>
        <v>-0.15499999999999997</v>
      </c>
      <c r="Z77">
        <f t="shared" si="3"/>
        <v>0.22599999999999998</v>
      </c>
    </row>
    <row r="78" spans="1:26" x14ac:dyDescent="0.2">
      <c r="A78" t="s">
        <v>50</v>
      </c>
      <c r="B78">
        <v>3473.75</v>
      </c>
      <c r="C78">
        <v>126.401</v>
      </c>
      <c r="D78">
        <v>22.469000000000001</v>
      </c>
      <c r="E78">
        <v>7.0359999999999996</v>
      </c>
      <c r="F78">
        <v>182.20599999999999</v>
      </c>
      <c r="G78">
        <v>2.7719999999999998</v>
      </c>
      <c r="H78">
        <v>11.683999999999999</v>
      </c>
      <c r="I78">
        <v>3.7959999999999998</v>
      </c>
      <c r="J78">
        <v>101.36</v>
      </c>
      <c r="K78">
        <v>115.17</v>
      </c>
      <c r="L78">
        <v>0.01</v>
      </c>
      <c r="M78">
        <v>1E-3</v>
      </c>
      <c r="N78">
        <v>100</v>
      </c>
      <c r="O78">
        <v>0.71699999999999997</v>
      </c>
      <c r="P78">
        <v>0.38700000000000001</v>
      </c>
      <c r="Q78">
        <v>0.38200000000000001</v>
      </c>
      <c r="R78">
        <v>0.496</v>
      </c>
      <c r="S78">
        <v>0.64</v>
      </c>
      <c r="U78" t="s">
        <v>33</v>
      </c>
      <c r="V78" s="3" t="s">
        <v>35</v>
      </c>
      <c r="Y78">
        <f t="shared" si="2"/>
        <v>-0.11399999999999999</v>
      </c>
      <c r="Z78">
        <f t="shared" si="3"/>
        <v>0.32999999999999996</v>
      </c>
    </row>
    <row r="79" spans="1:26" x14ac:dyDescent="0.2">
      <c r="A79" t="s">
        <v>50</v>
      </c>
      <c r="B79">
        <v>3473.875</v>
      </c>
      <c r="C79">
        <v>134.685</v>
      </c>
      <c r="D79">
        <v>22.466999999999999</v>
      </c>
      <c r="E79">
        <v>6.851</v>
      </c>
      <c r="F79">
        <v>185.16499999999999</v>
      </c>
      <c r="G79">
        <v>2.79</v>
      </c>
      <c r="H79">
        <v>12.013999999999999</v>
      </c>
      <c r="I79">
        <v>3.8250000000000002</v>
      </c>
      <c r="J79">
        <v>83.94</v>
      </c>
      <c r="K79">
        <v>95.933000000000007</v>
      </c>
      <c r="L79">
        <v>0.01</v>
      </c>
      <c r="M79">
        <v>1E-3</v>
      </c>
      <c r="N79">
        <v>100</v>
      </c>
      <c r="O79">
        <v>0.72799999999999998</v>
      </c>
      <c r="P79">
        <v>0.40500000000000003</v>
      </c>
      <c r="Q79">
        <v>0.4</v>
      </c>
      <c r="R79">
        <v>0.54800000000000004</v>
      </c>
      <c r="S79">
        <v>0.64200000000000002</v>
      </c>
      <c r="U79" t="s">
        <v>33</v>
      </c>
      <c r="V79" s="3" t="s">
        <v>35</v>
      </c>
      <c r="Y79">
        <f t="shared" si="2"/>
        <v>-0.14800000000000002</v>
      </c>
      <c r="Z79">
        <f t="shared" si="3"/>
        <v>0.32299999999999995</v>
      </c>
    </row>
    <row r="80" spans="1:26" x14ac:dyDescent="0.2">
      <c r="A80" t="s">
        <v>50</v>
      </c>
      <c r="B80">
        <v>3474</v>
      </c>
      <c r="C80">
        <v>126.343</v>
      </c>
      <c r="D80">
        <v>22.47</v>
      </c>
      <c r="E80">
        <v>6.0430000000000001</v>
      </c>
      <c r="F80">
        <v>183.92500000000001</v>
      </c>
      <c r="G80">
        <v>2.8079999999999998</v>
      </c>
      <c r="H80">
        <v>11.62</v>
      </c>
      <c r="I80">
        <v>3.8460000000000001</v>
      </c>
      <c r="J80">
        <v>81.593999999999994</v>
      </c>
      <c r="K80">
        <v>94.242000000000004</v>
      </c>
      <c r="L80">
        <v>0.01</v>
      </c>
      <c r="M80">
        <v>1E-3</v>
      </c>
      <c r="N80">
        <v>100</v>
      </c>
      <c r="O80">
        <v>0.625</v>
      </c>
      <c r="P80">
        <v>0.42299999999999999</v>
      </c>
      <c r="Q80">
        <v>0.35599999999999998</v>
      </c>
      <c r="R80">
        <v>0.60299999999999998</v>
      </c>
      <c r="S80">
        <v>0.58599999999999997</v>
      </c>
      <c r="U80" t="s">
        <v>33</v>
      </c>
      <c r="V80" s="3" t="s">
        <v>35</v>
      </c>
      <c r="Y80">
        <f t="shared" si="2"/>
        <v>-0.247</v>
      </c>
      <c r="Z80">
        <f t="shared" si="3"/>
        <v>0.20200000000000001</v>
      </c>
    </row>
    <row r="81" spans="1:26" x14ac:dyDescent="0.2">
      <c r="A81" t="s">
        <v>50</v>
      </c>
      <c r="B81">
        <v>3474.125</v>
      </c>
      <c r="C81">
        <v>99.227000000000004</v>
      </c>
      <c r="D81">
        <v>22.481000000000002</v>
      </c>
      <c r="E81">
        <v>4.5819999999999999</v>
      </c>
      <c r="F81">
        <v>177.828</v>
      </c>
      <c r="G81">
        <v>2.8290000000000002</v>
      </c>
      <c r="H81">
        <v>9.9169999999999998</v>
      </c>
      <c r="I81">
        <v>3.879</v>
      </c>
      <c r="J81">
        <v>104.279</v>
      </c>
      <c r="K81">
        <v>129.215</v>
      </c>
      <c r="L81">
        <v>0.01</v>
      </c>
      <c r="M81">
        <v>1E-3</v>
      </c>
      <c r="N81">
        <v>100</v>
      </c>
      <c r="O81">
        <v>0.434</v>
      </c>
      <c r="P81">
        <v>0.45300000000000001</v>
      </c>
      <c r="Q81">
        <v>0.26</v>
      </c>
      <c r="R81">
        <v>0.65400000000000003</v>
      </c>
      <c r="S81">
        <v>0.46400000000000002</v>
      </c>
      <c r="U81" t="s">
        <v>33</v>
      </c>
      <c r="V81" s="3" t="s">
        <v>35</v>
      </c>
      <c r="Y81">
        <f t="shared" si="2"/>
        <v>-0.39400000000000002</v>
      </c>
      <c r="Z81">
        <f t="shared" si="3"/>
        <v>-1.9000000000000017E-2</v>
      </c>
    </row>
    <row r="82" spans="1:26" x14ac:dyDescent="0.2">
      <c r="A82" t="s">
        <v>51</v>
      </c>
      <c r="B82">
        <v>3478.75</v>
      </c>
      <c r="C82">
        <v>44.32</v>
      </c>
      <c r="D82">
        <v>22.117000000000001</v>
      </c>
      <c r="E82">
        <v>3.1989999999999998</v>
      </c>
      <c r="F82">
        <v>165.26599999999999</v>
      </c>
      <c r="G82">
        <v>2.835</v>
      </c>
      <c r="H82">
        <v>5.4119999999999999</v>
      </c>
      <c r="I82">
        <v>3.3849999999999998</v>
      </c>
      <c r="J82">
        <v>714.57799999999997</v>
      </c>
      <c r="K82">
        <v>841.20100000000002</v>
      </c>
      <c r="L82">
        <v>1.615</v>
      </c>
      <c r="M82">
        <v>0.01</v>
      </c>
      <c r="N82">
        <v>77.265000000000001</v>
      </c>
      <c r="O82">
        <v>0.23200000000000001</v>
      </c>
      <c r="P82">
        <v>0.2</v>
      </c>
      <c r="Q82">
        <v>0.129</v>
      </c>
      <c r="R82">
        <v>0.69499999999999995</v>
      </c>
      <c r="S82">
        <v>0.26300000000000001</v>
      </c>
      <c r="U82" t="s">
        <v>22</v>
      </c>
      <c r="V82" s="3" t="s">
        <v>35</v>
      </c>
      <c r="Y82">
        <f t="shared" si="2"/>
        <v>-0.56599999999999995</v>
      </c>
      <c r="Z82">
        <f t="shared" si="3"/>
        <v>3.2000000000000001E-2</v>
      </c>
    </row>
    <row r="83" spans="1:26" x14ac:dyDescent="0.2">
      <c r="A83" t="s">
        <v>51</v>
      </c>
      <c r="B83">
        <v>3478.875</v>
      </c>
      <c r="C83">
        <v>59.213000000000001</v>
      </c>
      <c r="D83">
        <v>22.18</v>
      </c>
      <c r="E83">
        <v>3.2679999999999998</v>
      </c>
      <c r="F83">
        <v>170.13200000000001</v>
      </c>
      <c r="G83">
        <v>2.84</v>
      </c>
      <c r="H83">
        <v>5.5510000000000002</v>
      </c>
      <c r="I83">
        <v>3.4169999999999998</v>
      </c>
      <c r="J83">
        <v>588.83799999999997</v>
      </c>
      <c r="K83">
        <v>691.08699999999999</v>
      </c>
      <c r="L83">
        <v>1.675</v>
      </c>
      <c r="M83">
        <v>0.01</v>
      </c>
      <c r="N83">
        <v>73.02</v>
      </c>
      <c r="O83">
        <v>0.34599999999999997</v>
      </c>
      <c r="P83">
        <v>0.21299999999999999</v>
      </c>
      <c r="Q83">
        <v>0.191</v>
      </c>
      <c r="R83">
        <v>0.70499999999999996</v>
      </c>
      <c r="S83">
        <v>0.27400000000000002</v>
      </c>
      <c r="U83" t="s">
        <v>33</v>
      </c>
      <c r="V83" s="3" t="s">
        <v>35</v>
      </c>
      <c r="Y83">
        <f t="shared" si="2"/>
        <v>-0.51400000000000001</v>
      </c>
      <c r="Z83">
        <f t="shared" si="3"/>
        <v>0.13299999999999998</v>
      </c>
    </row>
    <row r="84" spans="1:26" x14ac:dyDescent="0.2">
      <c r="A84" t="s">
        <v>51</v>
      </c>
      <c r="B84">
        <v>3479</v>
      </c>
      <c r="C84">
        <v>72.742999999999995</v>
      </c>
      <c r="D84">
        <v>22.276</v>
      </c>
      <c r="E84">
        <v>3.1379999999999999</v>
      </c>
      <c r="F84">
        <v>174.614</v>
      </c>
      <c r="G84">
        <v>2.8479999999999999</v>
      </c>
      <c r="H84">
        <v>5.5110000000000001</v>
      </c>
      <c r="I84">
        <v>3.4950000000000001</v>
      </c>
      <c r="J84">
        <v>439.4</v>
      </c>
      <c r="K84">
        <v>510.839</v>
      </c>
      <c r="L84">
        <v>0.01</v>
      </c>
      <c r="M84">
        <v>1E-3</v>
      </c>
      <c r="N84">
        <v>100</v>
      </c>
      <c r="O84">
        <v>0.45400000000000001</v>
      </c>
      <c r="P84">
        <v>0.24199999999999999</v>
      </c>
      <c r="Q84">
        <v>0.25</v>
      </c>
      <c r="R84">
        <v>0.72099999999999997</v>
      </c>
      <c r="S84">
        <v>0.27400000000000002</v>
      </c>
      <c r="U84" t="s">
        <v>33</v>
      </c>
      <c r="V84" s="3" t="s">
        <v>35</v>
      </c>
      <c r="Y84">
        <f t="shared" si="2"/>
        <v>-0.47099999999999997</v>
      </c>
      <c r="Z84">
        <f t="shared" si="3"/>
        <v>0.21200000000000002</v>
      </c>
    </row>
    <row r="85" spans="1:26" x14ac:dyDescent="0.2">
      <c r="A85" t="s">
        <v>51</v>
      </c>
      <c r="B85">
        <v>3479.125</v>
      </c>
      <c r="C85">
        <v>81.572999999999993</v>
      </c>
      <c r="D85">
        <v>22.396000000000001</v>
      </c>
      <c r="E85">
        <v>2.9079999999999999</v>
      </c>
      <c r="F85">
        <v>177.98500000000001</v>
      </c>
      <c r="G85">
        <v>2.8610000000000002</v>
      </c>
      <c r="H85">
        <v>5.2809999999999997</v>
      </c>
      <c r="I85">
        <v>3.621</v>
      </c>
      <c r="J85">
        <v>349.94799999999998</v>
      </c>
      <c r="K85">
        <v>403.46899999999999</v>
      </c>
      <c r="L85">
        <v>0.01</v>
      </c>
      <c r="M85">
        <v>1E-3</v>
      </c>
      <c r="N85">
        <v>100</v>
      </c>
      <c r="O85">
        <v>0.53</v>
      </c>
      <c r="P85">
        <v>0.29199999999999998</v>
      </c>
      <c r="Q85">
        <v>0.29599999999999999</v>
      </c>
      <c r="R85">
        <v>0.749</v>
      </c>
      <c r="S85">
        <v>0.26100000000000001</v>
      </c>
      <c r="U85" t="s">
        <v>33</v>
      </c>
      <c r="V85" s="3" t="s">
        <v>35</v>
      </c>
      <c r="Y85">
        <f t="shared" si="2"/>
        <v>-0.45300000000000001</v>
      </c>
      <c r="Z85">
        <f t="shared" si="3"/>
        <v>0.23800000000000004</v>
      </c>
    </row>
    <row r="86" spans="1:26" x14ac:dyDescent="0.2">
      <c r="A86" t="s">
        <v>51</v>
      </c>
      <c r="B86">
        <v>3479.25</v>
      </c>
      <c r="C86">
        <v>80.036000000000001</v>
      </c>
      <c r="D86">
        <v>22.518999999999998</v>
      </c>
      <c r="E86">
        <v>2.65</v>
      </c>
      <c r="F86">
        <v>179.90600000000001</v>
      </c>
      <c r="G86">
        <v>2.8759999999999999</v>
      </c>
      <c r="H86">
        <v>4.8929999999999998</v>
      </c>
      <c r="I86">
        <v>3.746</v>
      </c>
      <c r="J86">
        <v>297.73200000000003</v>
      </c>
      <c r="K86">
        <v>342.00599999999997</v>
      </c>
      <c r="L86">
        <v>0.01</v>
      </c>
      <c r="M86">
        <v>1E-3</v>
      </c>
      <c r="N86">
        <v>100</v>
      </c>
      <c r="O86">
        <v>0.53400000000000003</v>
      </c>
      <c r="P86">
        <v>0.34599999999999997</v>
      </c>
      <c r="Q86">
        <v>0.32500000000000001</v>
      </c>
      <c r="R86">
        <v>0.78200000000000003</v>
      </c>
      <c r="S86">
        <v>0.23799999999999999</v>
      </c>
      <c r="U86" t="s">
        <v>33</v>
      </c>
      <c r="V86" s="3" t="s">
        <v>35</v>
      </c>
      <c r="Y86">
        <f t="shared" si="2"/>
        <v>-0.45700000000000002</v>
      </c>
      <c r="Z86">
        <f t="shared" si="3"/>
        <v>0.18800000000000006</v>
      </c>
    </row>
    <row r="87" spans="1:26" x14ac:dyDescent="0.2">
      <c r="A87" t="s">
        <v>51</v>
      </c>
      <c r="B87">
        <v>3479.375</v>
      </c>
      <c r="C87">
        <v>73.814999999999998</v>
      </c>
      <c r="D87">
        <v>22.625</v>
      </c>
      <c r="E87">
        <v>2.379</v>
      </c>
      <c r="F87">
        <v>180.46600000000001</v>
      </c>
      <c r="G87">
        <v>2.8940000000000001</v>
      </c>
      <c r="H87">
        <v>4.4169999999999998</v>
      </c>
      <c r="I87">
        <v>3.827</v>
      </c>
      <c r="J87">
        <v>276.42700000000002</v>
      </c>
      <c r="K87">
        <v>316.97399999999999</v>
      </c>
      <c r="L87">
        <v>0.01</v>
      </c>
      <c r="M87">
        <v>1E-3</v>
      </c>
      <c r="N87">
        <v>100</v>
      </c>
      <c r="O87">
        <v>0.49299999999999999</v>
      </c>
      <c r="P87">
        <v>0.38400000000000001</v>
      </c>
      <c r="Q87">
        <v>0.33600000000000002</v>
      </c>
      <c r="R87">
        <v>0.82099999999999995</v>
      </c>
      <c r="S87">
        <v>0.20799999999999999</v>
      </c>
      <c r="U87" t="s">
        <v>33</v>
      </c>
      <c r="V87" s="3" t="s">
        <v>35</v>
      </c>
      <c r="Y87">
        <f t="shared" si="2"/>
        <v>-0.48499999999999993</v>
      </c>
      <c r="Z87">
        <f t="shared" si="3"/>
        <v>0.10899999999999999</v>
      </c>
    </row>
    <row r="88" spans="1:26" x14ac:dyDescent="0.2">
      <c r="A88" t="s">
        <v>51</v>
      </c>
      <c r="B88">
        <v>3479.5</v>
      </c>
      <c r="C88">
        <v>69.454999999999998</v>
      </c>
      <c r="D88">
        <v>22.698</v>
      </c>
      <c r="E88">
        <v>2.0990000000000002</v>
      </c>
      <c r="F88">
        <v>179.404</v>
      </c>
      <c r="G88">
        <v>2.9119999999999999</v>
      </c>
      <c r="H88">
        <v>3.9430000000000001</v>
      </c>
      <c r="I88">
        <v>3.8559999999999999</v>
      </c>
      <c r="J88">
        <v>309.339</v>
      </c>
      <c r="K88">
        <v>355.30399999999997</v>
      </c>
      <c r="L88">
        <v>0.01</v>
      </c>
      <c r="M88">
        <v>1E-3</v>
      </c>
      <c r="N88">
        <v>100</v>
      </c>
      <c r="O88">
        <v>0.45600000000000002</v>
      </c>
      <c r="P88">
        <v>0.40100000000000002</v>
      </c>
      <c r="Q88">
        <v>0.32600000000000001</v>
      </c>
      <c r="R88">
        <v>0.86199999999999999</v>
      </c>
      <c r="S88">
        <v>0.17699999999999999</v>
      </c>
      <c r="U88" t="s">
        <v>33</v>
      </c>
      <c r="V88" s="3" t="s">
        <v>35</v>
      </c>
      <c r="Y88">
        <f t="shared" si="2"/>
        <v>-0.53600000000000003</v>
      </c>
      <c r="Z88">
        <f t="shared" si="3"/>
        <v>5.4999999999999993E-2</v>
      </c>
    </row>
    <row r="89" spans="1:26" x14ac:dyDescent="0.2">
      <c r="A89" t="s">
        <v>51</v>
      </c>
      <c r="B89">
        <v>3479.625</v>
      </c>
      <c r="C89">
        <v>67.518000000000001</v>
      </c>
      <c r="D89">
        <v>22.728000000000002</v>
      </c>
      <c r="E89">
        <v>1.8149999999999999</v>
      </c>
      <c r="F89">
        <v>176.482</v>
      </c>
      <c r="G89">
        <v>2.9249999999999998</v>
      </c>
      <c r="H89">
        <v>3.5529999999999999</v>
      </c>
      <c r="I89">
        <v>3.8580000000000001</v>
      </c>
      <c r="J89">
        <v>396.07</v>
      </c>
      <c r="K89">
        <v>457.697</v>
      </c>
      <c r="L89">
        <v>0.01</v>
      </c>
      <c r="M89">
        <v>1E-3</v>
      </c>
      <c r="N89">
        <v>100</v>
      </c>
      <c r="O89">
        <v>0.437</v>
      </c>
      <c r="P89">
        <v>0.40400000000000003</v>
      </c>
      <c r="Q89">
        <v>0.29299999999999998</v>
      </c>
      <c r="R89">
        <v>0.89400000000000002</v>
      </c>
      <c r="S89">
        <v>0.151</v>
      </c>
      <c r="U89" t="s">
        <v>33</v>
      </c>
      <c r="V89" s="3" t="s">
        <v>35</v>
      </c>
      <c r="Y89">
        <f t="shared" si="2"/>
        <v>-0.60099999999999998</v>
      </c>
      <c r="Z89">
        <f t="shared" si="3"/>
        <v>3.2999999999999974E-2</v>
      </c>
    </row>
    <row r="90" spans="1:26" x14ac:dyDescent="0.2">
      <c r="A90" t="s">
        <v>51</v>
      </c>
      <c r="B90">
        <v>3479.75</v>
      </c>
      <c r="C90">
        <v>59.389000000000003</v>
      </c>
      <c r="D90">
        <v>22.712</v>
      </c>
      <c r="E90">
        <v>1.5640000000000001</v>
      </c>
      <c r="F90">
        <v>172.04599999999999</v>
      </c>
      <c r="G90">
        <v>2.93</v>
      </c>
      <c r="H90">
        <v>3.286</v>
      </c>
      <c r="I90">
        <v>3.8450000000000002</v>
      </c>
      <c r="J90">
        <v>545.69299999999998</v>
      </c>
      <c r="K90">
        <v>634.84299999999996</v>
      </c>
      <c r="L90">
        <v>0.01</v>
      </c>
      <c r="M90">
        <v>1E-3</v>
      </c>
      <c r="N90">
        <v>100</v>
      </c>
      <c r="O90">
        <v>0.38300000000000001</v>
      </c>
      <c r="P90">
        <v>0.4</v>
      </c>
      <c r="Q90">
        <v>0.24</v>
      </c>
      <c r="R90">
        <v>0.90900000000000003</v>
      </c>
      <c r="S90">
        <v>0.13200000000000001</v>
      </c>
      <c r="U90" t="s">
        <v>33</v>
      </c>
      <c r="V90" s="3" t="s">
        <v>35</v>
      </c>
      <c r="Y90">
        <f t="shared" si="2"/>
        <v>-0.66900000000000004</v>
      </c>
      <c r="Z90">
        <f t="shared" si="3"/>
        <v>-1.7000000000000015E-2</v>
      </c>
    </row>
    <row r="91" spans="1:26" x14ac:dyDescent="0.2">
      <c r="A91" t="s">
        <v>52</v>
      </c>
      <c r="B91">
        <v>3845.375</v>
      </c>
      <c r="C91">
        <v>70.471999999999994</v>
      </c>
      <c r="D91">
        <v>22.234000000000002</v>
      </c>
      <c r="E91">
        <v>1.996</v>
      </c>
      <c r="F91">
        <v>165.76599999999999</v>
      </c>
      <c r="G91">
        <v>2.7890000000000001</v>
      </c>
      <c r="H91">
        <v>8.3049999999999997</v>
      </c>
      <c r="I91">
        <v>3.1960000000000002</v>
      </c>
      <c r="J91">
        <v>378.87200000000001</v>
      </c>
      <c r="K91">
        <v>424.44400000000002</v>
      </c>
      <c r="L91">
        <v>0.01</v>
      </c>
      <c r="M91">
        <v>1E-3</v>
      </c>
      <c r="N91">
        <v>100</v>
      </c>
      <c r="O91">
        <v>0.49099999999999999</v>
      </c>
      <c r="P91">
        <v>0.51300000000000001</v>
      </c>
      <c r="Q91">
        <v>0.13300000000000001</v>
      </c>
      <c r="R91">
        <v>0.63600000000000001</v>
      </c>
      <c r="S91">
        <v>0.34799999999999998</v>
      </c>
      <c r="U91" t="s">
        <v>33</v>
      </c>
      <c r="V91" s="3" t="s">
        <v>35</v>
      </c>
      <c r="Y91">
        <f t="shared" si="2"/>
        <v>-0.503</v>
      </c>
      <c r="Z91">
        <f t="shared" si="3"/>
        <v>-2.200000000000002E-2</v>
      </c>
    </row>
    <row r="92" spans="1:26" x14ac:dyDescent="0.2">
      <c r="A92" t="s">
        <v>52</v>
      </c>
      <c r="B92">
        <v>3845.5</v>
      </c>
      <c r="C92">
        <v>79.111999999999995</v>
      </c>
      <c r="D92">
        <v>22.292999999999999</v>
      </c>
      <c r="E92">
        <v>2.15</v>
      </c>
      <c r="F92">
        <v>169.922</v>
      </c>
      <c r="G92">
        <v>2.778</v>
      </c>
      <c r="H92">
        <v>8.6869999999999994</v>
      </c>
      <c r="I92">
        <v>3.3820000000000001</v>
      </c>
      <c r="J92">
        <v>298.61099999999999</v>
      </c>
      <c r="K92">
        <v>332.28699999999998</v>
      </c>
      <c r="L92">
        <v>0.01</v>
      </c>
      <c r="M92">
        <v>1E-3</v>
      </c>
      <c r="N92">
        <v>100</v>
      </c>
      <c r="O92">
        <v>0.54700000000000004</v>
      </c>
      <c r="P92">
        <v>0.64100000000000001</v>
      </c>
      <c r="Q92">
        <v>0.17799999999999999</v>
      </c>
      <c r="R92">
        <v>0.57099999999999995</v>
      </c>
      <c r="S92">
        <v>0.378</v>
      </c>
      <c r="U92" t="s">
        <v>33</v>
      </c>
      <c r="V92" s="3" t="s">
        <v>35</v>
      </c>
      <c r="Y92">
        <f t="shared" si="2"/>
        <v>-0.39299999999999996</v>
      </c>
      <c r="Z92">
        <f t="shared" si="3"/>
        <v>-9.3999999999999972E-2</v>
      </c>
    </row>
    <row r="93" spans="1:26" x14ac:dyDescent="0.2">
      <c r="A93" t="s">
        <v>52</v>
      </c>
      <c r="B93">
        <v>3845.625</v>
      </c>
      <c r="C93">
        <v>81.828999999999994</v>
      </c>
      <c r="D93">
        <v>22.356999999999999</v>
      </c>
      <c r="E93">
        <v>2.2389999999999999</v>
      </c>
      <c r="F93">
        <v>174.84</v>
      </c>
      <c r="G93">
        <v>2.7610000000000001</v>
      </c>
      <c r="H93">
        <v>8.7189999999999994</v>
      </c>
      <c r="I93">
        <v>3.5539999999999998</v>
      </c>
      <c r="J93">
        <v>247.071</v>
      </c>
      <c r="K93">
        <v>273.97199999999998</v>
      </c>
      <c r="L93">
        <v>0.01</v>
      </c>
      <c r="M93">
        <v>1E-3</v>
      </c>
      <c r="N93">
        <v>100</v>
      </c>
      <c r="O93">
        <v>0.55900000000000005</v>
      </c>
      <c r="P93">
        <v>0.75600000000000001</v>
      </c>
      <c r="Q93">
        <v>0.22900000000000001</v>
      </c>
      <c r="R93">
        <v>0.48899999999999999</v>
      </c>
      <c r="S93">
        <v>0.373</v>
      </c>
      <c r="U93" t="s">
        <v>33</v>
      </c>
      <c r="V93" s="3" t="s">
        <v>35</v>
      </c>
      <c r="Y93">
        <f t="shared" si="2"/>
        <v>-0.26</v>
      </c>
      <c r="Z93">
        <f t="shared" si="3"/>
        <v>-0.19699999999999995</v>
      </c>
    </row>
    <row r="94" spans="1:26" x14ac:dyDescent="0.2">
      <c r="A94" t="s">
        <v>52</v>
      </c>
      <c r="B94">
        <v>3845.75</v>
      </c>
      <c r="C94">
        <v>81.063999999999993</v>
      </c>
      <c r="D94">
        <v>22.46</v>
      </c>
      <c r="E94">
        <v>2.2320000000000002</v>
      </c>
      <c r="F94">
        <v>179.70699999999999</v>
      </c>
      <c r="G94">
        <v>2.7450000000000001</v>
      </c>
      <c r="H94">
        <v>8.5410000000000004</v>
      </c>
      <c r="I94">
        <v>3.694</v>
      </c>
      <c r="J94">
        <v>215.642</v>
      </c>
      <c r="K94">
        <v>238.76</v>
      </c>
      <c r="L94">
        <v>0.01</v>
      </c>
      <c r="M94">
        <v>1E-3</v>
      </c>
      <c r="N94">
        <v>100</v>
      </c>
      <c r="O94">
        <v>0.55400000000000005</v>
      </c>
      <c r="P94">
        <v>0.84099999999999997</v>
      </c>
      <c r="Q94">
        <v>0.27300000000000002</v>
      </c>
      <c r="R94">
        <v>0.42799999999999999</v>
      </c>
      <c r="S94">
        <v>0.35899999999999999</v>
      </c>
      <c r="U94" t="s">
        <v>33</v>
      </c>
      <c r="V94" s="3" t="s">
        <v>35</v>
      </c>
      <c r="Y94">
        <f t="shared" si="2"/>
        <v>-0.15499999999999997</v>
      </c>
      <c r="Z94">
        <f t="shared" si="3"/>
        <v>-0.28699999999999992</v>
      </c>
    </row>
    <row r="95" spans="1:26" x14ac:dyDescent="0.2">
      <c r="A95" t="s">
        <v>52</v>
      </c>
      <c r="B95">
        <v>3845.875</v>
      </c>
      <c r="C95">
        <v>80.626000000000005</v>
      </c>
      <c r="D95">
        <v>22.609000000000002</v>
      </c>
      <c r="E95">
        <v>2.238</v>
      </c>
      <c r="F95">
        <v>182.952</v>
      </c>
      <c r="G95">
        <v>2.7389999999999999</v>
      </c>
      <c r="H95">
        <v>8.532</v>
      </c>
      <c r="I95">
        <v>3.778</v>
      </c>
      <c r="J95">
        <v>201.733</v>
      </c>
      <c r="K95">
        <v>223.19900000000001</v>
      </c>
      <c r="L95">
        <v>0.01</v>
      </c>
      <c r="M95">
        <v>1E-3</v>
      </c>
      <c r="N95">
        <v>100</v>
      </c>
      <c r="O95">
        <v>0.55000000000000004</v>
      </c>
      <c r="P95">
        <v>0.88100000000000001</v>
      </c>
      <c r="Q95">
        <v>0.29499999999999998</v>
      </c>
      <c r="R95">
        <v>0.42799999999999999</v>
      </c>
      <c r="S95">
        <v>0.374</v>
      </c>
      <c r="U95" t="s">
        <v>33</v>
      </c>
      <c r="V95" s="3" t="s">
        <v>35</v>
      </c>
      <c r="Y95">
        <f t="shared" si="2"/>
        <v>-0.13300000000000001</v>
      </c>
      <c r="Z95">
        <f t="shared" si="3"/>
        <v>-0.33099999999999996</v>
      </c>
    </row>
    <row r="96" spans="1:26" x14ac:dyDescent="0.2">
      <c r="A96" t="s">
        <v>52</v>
      </c>
      <c r="B96">
        <v>3846</v>
      </c>
      <c r="C96">
        <v>80.228999999999999</v>
      </c>
      <c r="D96">
        <v>22.704999999999998</v>
      </c>
      <c r="E96">
        <v>2.2090000000000001</v>
      </c>
      <c r="F96">
        <v>183.22300000000001</v>
      </c>
      <c r="G96">
        <v>2.75</v>
      </c>
      <c r="H96">
        <v>8.9109999999999996</v>
      </c>
      <c r="I96">
        <v>3.786</v>
      </c>
      <c r="J96">
        <v>205.029</v>
      </c>
      <c r="K96">
        <v>226.78899999999999</v>
      </c>
      <c r="L96">
        <v>0.01</v>
      </c>
      <c r="M96">
        <v>1E-3</v>
      </c>
      <c r="N96">
        <v>100</v>
      </c>
      <c r="O96">
        <v>0.53300000000000003</v>
      </c>
      <c r="P96">
        <v>0.86699999999999999</v>
      </c>
      <c r="Q96">
        <v>0.28899999999999998</v>
      </c>
      <c r="R96">
        <v>0.497</v>
      </c>
      <c r="S96">
        <v>0.42399999999999999</v>
      </c>
      <c r="U96" t="s">
        <v>33</v>
      </c>
      <c r="V96" s="3" t="s">
        <v>35</v>
      </c>
      <c r="Y96">
        <f t="shared" si="2"/>
        <v>-0.20800000000000002</v>
      </c>
      <c r="Z96">
        <f t="shared" si="3"/>
        <v>-0.33399999999999996</v>
      </c>
    </row>
    <row r="97" spans="1:26" x14ac:dyDescent="0.2">
      <c r="A97" t="s">
        <v>52</v>
      </c>
      <c r="B97">
        <v>3846.125</v>
      </c>
      <c r="C97">
        <v>75.188000000000002</v>
      </c>
      <c r="D97">
        <v>22.667999999999999</v>
      </c>
      <c r="E97">
        <v>1.954</v>
      </c>
      <c r="F97">
        <v>180.90299999999999</v>
      </c>
      <c r="G97">
        <v>2.7690000000000001</v>
      </c>
      <c r="H97">
        <v>9.4480000000000004</v>
      </c>
      <c r="I97">
        <v>3.718</v>
      </c>
      <c r="J97">
        <v>223.21799999999999</v>
      </c>
      <c r="K97">
        <v>247.078</v>
      </c>
      <c r="L97">
        <v>0.01</v>
      </c>
      <c r="M97">
        <v>1E-3</v>
      </c>
      <c r="N97">
        <v>100</v>
      </c>
      <c r="O97">
        <v>0.46300000000000002</v>
      </c>
      <c r="P97">
        <v>0.80600000000000005</v>
      </c>
      <c r="Q97">
        <v>0.25700000000000001</v>
      </c>
      <c r="R97">
        <v>0.58699999999999997</v>
      </c>
      <c r="S97">
        <v>0.47099999999999997</v>
      </c>
      <c r="T97" t="s">
        <v>23</v>
      </c>
      <c r="U97" t="s">
        <v>33</v>
      </c>
      <c r="V97" s="3" t="s">
        <v>35</v>
      </c>
      <c r="Y97">
        <f t="shared" si="2"/>
        <v>-0.32999999999999996</v>
      </c>
      <c r="Z97">
        <f t="shared" si="3"/>
        <v>-0.34300000000000003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13BE-C9F1-43D6-8E91-BD939F2DC058}">
  <dimension ref="A3:B18"/>
  <sheetViews>
    <sheetView tabSelected="1" workbookViewId="0">
      <selection activeCell="B4" sqref="B4"/>
    </sheetView>
  </sheetViews>
  <sheetFormatPr defaultRowHeight="14.25" x14ac:dyDescent="0.2"/>
  <cols>
    <col min="1" max="1" width="11" bestFit="1" customWidth="1"/>
    <col min="2" max="2" width="11.5" bestFit="1" customWidth="1"/>
  </cols>
  <sheetData>
    <row r="3" spans="1:2" x14ac:dyDescent="0.2">
      <c r="A3" s="17" t="s">
        <v>121</v>
      </c>
      <c r="B3" t="s">
        <v>122</v>
      </c>
    </row>
    <row r="4" spans="1:2" x14ac:dyDescent="0.2">
      <c r="A4" t="s">
        <v>29</v>
      </c>
      <c r="B4" s="18">
        <v>540</v>
      </c>
    </row>
    <row r="5" spans="1:2" x14ac:dyDescent="0.2">
      <c r="A5" t="s">
        <v>99</v>
      </c>
      <c r="B5" s="18">
        <v>63</v>
      </c>
    </row>
    <row r="6" spans="1:2" x14ac:dyDescent="0.2">
      <c r="A6" t="s">
        <v>123</v>
      </c>
      <c r="B6" s="18">
        <v>5</v>
      </c>
    </row>
    <row r="7" spans="1:2" x14ac:dyDescent="0.2">
      <c r="A7" t="s">
        <v>100</v>
      </c>
      <c r="B7" s="18">
        <v>39</v>
      </c>
    </row>
    <row r="8" spans="1:2" x14ac:dyDescent="0.2">
      <c r="A8" t="s">
        <v>124</v>
      </c>
      <c r="B8" s="18">
        <v>4</v>
      </c>
    </row>
    <row r="9" spans="1:2" x14ac:dyDescent="0.2">
      <c r="A9" t="s">
        <v>125</v>
      </c>
      <c r="B9" s="18">
        <v>4</v>
      </c>
    </row>
    <row r="10" spans="1:2" x14ac:dyDescent="0.2">
      <c r="A10" t="s">
        <v>89</v>
      </c>
      <c r="B10" s="18">
        <v>163</v>
      </c>
    </row>
    <row r="11" spans="1:2" x14ac:dyDescent="0.2">
      <c r="A11" t="s">
        <v>126</v>
      </c>
      <c r="B11" s="18">
        <v>5</v>
      </c>
    </row>
    <row r="12" spans="1:2" x14ac:dyDescent="0.2">
      <c r="A12" t="s">
        <v>96</v>
      </c>
      <c r="B12" s="18">
        <v>91</v>
      </c>
    </row>
    <row r="13" spans="1:2" x14ac:dyDescent="0.2">
      <c r="A13" t="s">
        <v>92</v>
      </c>
      <c r="B13" s="18">
        <v>116</v>
      </c>
    </row>
    <row r="14" spans="1:2" x14ac:dyDescent="0.2">
      <c r="A14" t="s">
        <v>127</v>
      </c>
      <c r="B14" s="18">
        <v>7</v>
      </c>
    </row>
    <row r="15" spans="1:2" x14ac:dyDescent="0.2">
      <c r="A15" t="s">
        <v>34</v>
      </c>
      <c r="B15" s="18">
        <v>236</v>
      </c>
    </row>
    <row r="16" spans="1:2" x14ac:dyDescent="0.2">
      <c r="A16" t="s">
        <v>118</v>
      </c>
      <c r="B16" s="18">
        <v>61</v>
      </c>
    </row>
    <row r="17" spans="1:2" x14ac:dyDescent="0.2">
      <c r="A17" t="s">
        <v>36</v>
      </c>
      <c r="B17" s="18">
        <v>100</v>
      </c>
    </row>
    <row r="18" spans="1:2" x14ac:dyDescent="0.2">
      <c r="A18" t="s">
        <v>128</v>
      </c>
      <c r="B18" s="18">
        <v>43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7411-5D9D-49E0-9C34-66ED31AE8DDC}">
  <dimension ref="A1:AA1495"/>
  <sheetViews>
    <sheetView zoomScale="55" zoomScaleNormal="55" workbookViewId="0">
      <pane ySplit="1" topLeftCell="A2" activePane="bottomLeft" state="frozen"/>
      <selection pane="bottomLeft" activeCell="V1" sqref="V1:V1048576"/>
    </sheetView>
  </sheetViews>
  <sheetFormatPr defaultRowHeight="14.25" x14ac:dyDescent="0.2"/>
  <cols>
    <col min="1" max="4" width="9" style="12"/>
    <col min="5" max="5" width="0" style="12" hidden="1" customWidth="1"/>
    <col min="6" max="11" width="9" style="12"/>
    <col min="12" max="14" width="0" style="12" hidden="1" customWidth="1"/>
    <col min="15" max="19" width="9" style="12"/>
    <col min="20" max="21" width="0" style="12" hidden="1" customWidth="1"/>
    <col min="22" max="22" width="11.25" style="12" customWidth="1"/>
    <col min="23" max="23" width="0" style="12" hidden="1" customWidth="1"/>
    <col min="24" max="26" width="9" style="12"/>
  </cols>
  <sheetData>
    <row r="1" spans="1:26" x14ac:dyDescent="0.2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63</v>
      </c>
      <c r="L1" s="8" t="s">
        <v>64</v>
      </c>
      <c r="M1" s="8" t="s">
        <v>65</v>
      </c>
      <c r="N1" s="8" t="s">
        <v>66</v>
      </c>
      <c r="O1" s="8" t="s">
        <v>67</v>
      </c>
      <c r="P1" s="8" t="s">
        <v>68</v>
      </c>
      <c r="Q1" s="8" t="s">
        <v>69</v>
      </c>
      <c r="R1" s="8" t="s">
        <v>70</v>
      </c>
      <c r="S1" s="8" t="s">
        <v>71</v>
      </c>
      <c r="T1" s="8" t="s">
        <v>72</v>
      </c>
      <c r="U1" s="8" t="s">
        <v>73</v>
      </c>
      <c r="V1" s="8" t="s">
        <v>24</v>
      </c>
      <c r="W1" s="8" t="s">
        <v>25</v>
      </c>
      <c r="X1" s="8" t="s">
        <v>26</v>
      </c>
      <c r="Y1" s="8" t="s">
        <v>27</v>
      </c>
      <c r="Z1" s="8" t="s">
        <v>28</v>
      </c>
    </row>
    <row r="2" spans="1:26" x14ac:dyDescent="0.2">
      <c r="A2" s="12" t="s">
        <v>42</v>
      </c>
      <c r="B2" s="12">
        <v>3936.5</v>
      </c>
      <c r="C2" s="12">
        <v>76.724000000000004</v>
      </c>
      <c r="D2" s="12">
        <v>23.117000000000001</v>
      </c>
      <c r="E2" s="12">
        <v>3.887</v>
      </c>
      <c r="F2" s="12">
        <v>203.886</v>
      </c>
      <c r="G2" s="12">
        <v>2.6469999999999998</v>
      </c>
      <c r="H2" s="12">
        <v>13.337</v>
      </c>
      <c r="I2" s="12">
        <v>3.0390000000000001</v>
      </c>
      <c r="J2" s="12">
        <v>120.794</v>
      </c>
      <c r="K2" s="12">
        <v>130.11099999999999</v>
      </c>
      <c r="L2" s="12">
        <v>0.01</v>
      </c>
      <c r="M2" s="12">
        <v>1E-3</v>
      </c>
      <c r="N2" s="12">
        <v>100</v>
      </c>
      <c r="O2" s="12">
        <v>0.48699999999999999</v>
      </c>
      <c r="P2" s="12">
        <v>0.29599999999999999</v>
      </c>
      <c r="Q2" s="12">
        <v>0.995</v>
      </c>
      <c r="R2" s="12">
        <v>0.14199999999999999</v>
      </c>
      <c r="S2" s="12">
        <v>0.99299999999999999</v>
      </c>
      <c r="U2" s="12" t="s">
        <v>33</v>
      </c>
      <c r="V2" s="12" t="s">
        <v>37</v>
      </c>
      <c r="Y2" s="12">
        <f>O2+Q2</f>
        <v>1.482</v>
      </c>
      <c r="Z2" s="12">
        <f t="shared" ref="Z2:Z23" si="0">O2-P2</f>
        <v>0.191</v>
      </c>
    </row>
    <row r="3" spans="1:26" x14ac:dyDescent="0.2">
      <c r="A3" s="12" t="s">
        <v>42</v>
      </c>
      <c r="B3" s="12">
        <v>3936.625</v>
      </c>
      <c r="C3" s="12">
        <v>107.634</v>
      </c>
      <c r="D3" s="12">
        <v>23.033999999999999</v>
      </c>
      <c r="E3" s="12">
        <v>3.9430000000000001</v>
      </c>
      <c r="F3" s="12">
        <v>201.137</v>
      </c>
      <c r="G3" s="12">
        <v>2.6850000000000001</v>
      </c>
      <c r="H3" s="12">
        <v>13.131</v>
      </c>
      <c r="I3" s="12">
        <v>3.1230000000000002</v>
      </c>
      <c r="J3" s="12">
        <v>105.94</v>
      </c>
      <c r="K3" s="12">
        <v>114.10899999999999</v>
      </c>
      <c r="L3" s="12">
        <v>0.01</v>
      </c>
      <c r="M3" s="12">
        <v>1E-3</v>
      </c>
      <c r="N3" s="12">
        <v>100</v>
      </c>
      <c r="O3" s="12">
        <v>0.72199999999999998</v>
      </c>
      <c r="P3" s="12">
        <v>0.38700000000000001</v>
      </c>
      <c r="Q3" s="12">
        <v>0.95799999999999996</v>
      </c>
      <c r="R3" s="12">
        <v>0.27800000000000002</v>
      </c>
      <c r="S3" s="12">
        <v>0.98399999999999999</v>
      </c>
      <c r="U3" s="12" t="s">
        <v>33</v>
      </c>
      <c r="V3" s="12" t="s">
        <v>37</v>
      </c>
      <c r="Y3" s="12">
        <f t="shared" ref="Y3:Y66" si="1">O3+Q3</f>
        <v>1.68</v>
      </c>
      <c r="Z3" s="12">
        <f t="shared" si="0"/>
        <v>0.33499999999999996</v>
      </c>
    </row>
    <row r="4" spans="1:26" x14ac:dyDescent="0.2">
      <c r="A4" s="12" t="s">
        <v>42</v>
      </c>
      <c r="B4" s="12">
        <v>3936.75</v>
      </c>
      <c r="C4" s="12">
        <v>128.381</v>
      </c>
      <c r="D4" s="12">
        <v>22.913</v>
      </c>
      <c r="E4" s="12">
        <v>4.3449999999999998</v>
      </c>
      <c r="F4" s="12">
        <v>197.09399999999999</v>
      </c>
      <c r="G4" s="12">
        <v>2.7229999999999999</v>
      </c>
      <c r="H4" s="12">
        <v>12.595000000000001</v>
      </c>
      <c r="I4" s="12">
        <v>3.194</v>
      </c>
      <c r="J4" s="12">
        <v>105.033</v>
      </c>
      <c r="K4" s="12">
        <v>113.17</v>
      </c>
      <c r="L4" s="12">
        <v>0.01</v>
      </c>
      <c r="M4" s="12">
        <v>1E-3</v>
      </c>
      <c r="N4" s="12">
        <v>100</v>
      </c>
      <c r="O4" s="12">
        <v>0.92200000000000004</v>
      </c>
      <c r="P4" s="12">
        <v>0.46500000000000002</v>
      </c>
      <c r="Q4" s="12">
        <v>0.88300000000000001</v>
      </c>
      <c r="R4" s="12">
        <v>0.42299999999999999</v>
      </c>
      <c r="S4" s="12">
        <v>0.93899999999999995</v>
      </c>
      <c r="U4" s="12" t="s">
        <v>33</v>
      </c>
      <c r="V4" s="12" t="s">
        <v>37</v>
      </c>
      <c r="Y4" s="12">
        <f t="shared" si="1"/>
        <v>1.8050000000000002</v>
      </c>
      <c r="Z4" s="12">
        <f t="shared" si="0"/>
        <v>0.45700000000000002</v>
      </c>
    </row>
    <row r="5" spans="1:26" x14ac:dyDescent="0.2">
      <c r="A5" s="12" t="s">
        <v>42</v>
      </c>
      <c r="B5" s="12">
        <v>3936.875</v>
      </c>
      <c r="C5" s="12">
        <v>128.87700000000001</v>
      </c>
      <c r="D5" s="12">
        <v>22.802</v>
      </c>
      <c r="E5" s="12">
        <v>4.3860000000000001</v>
      </c>
      <c r="F5" s="12">
        <v>193.38399999999999</v>
      </c>
      <c r="G5" s="12">
        <v>2.7549999999999999</v>
      </c>
      <c r="H5" s="12">
        <v>11.945</v>
      </c>
      <c r="I5" s="12">
        <v>3.2509999999999999</v>
      </c>
      <c r="J5" s="12">
        <v>123.167</v>
      </c>
      <c r="K5" s="12">
        <v>132.78700000000001</v>
      </c>
      <c r="L5" s="12">
        <v>0.01</v>
      </c>
      <c r="M5" s="12">
        <v>1E-3</v>
      </c>
      <c r="N5" s="12">
        <v>100</v>
      </c>
      <c r="O5" s="12">
        <v>0.96799999999999997</v>
      </c>
      <c r="P5" s="12">
        <v>0.52900000000000003</v>
      </c>
      <c r="Q5" s="12">
        <v>0.80700000000000005</v>
      </c>
      <c r="R5" s="12">
        <v>0.55000000000000004</v>
      </c>
      <c r="S5" s="12">
        <v>0.878</v>
      </c>
      <c r="U5" s="12" t="s">
        <v>33</v>
      </c>
      <c r="V5" s="12" t="s">
        <v>37</v>
      </c>
      <c r="Y5" s="12">
        <f t="shared" si="1"/>
        <v>1.7749999999999999</v>
      </c>
      <c r="Z5" s="12">
        <f t="shared" si="0"/>
        <v>0.43899999999999995</v>
      </c>
    </row>
    <row r="6" spans="1:26" x14ac:dyDescent="0.2">
      <c r="A6" s="12" t="s">
        <v>43</v>
      </c>
      <c r="B6" s="12">
        <v>3893.125</v>
      </c>
      <c r="C6" s="12">
        <v>77.641999999999996</v>
      </c>
      <c r="D6" s="12">
        <v>34.194000000000003</v>
      </c>
      <c r="E6" s="12">
        <v>4.7240000000000002</v>
      </c>
      <c r="F6" s="12">
        <v>277.44400000000002</v>
      </c>
      <c r="G6" s="12">
        <v>2.3130000000000002</v>
      </c>
      <c r="H6" s="12">
        <v>15.52</v>
      </c>
      <c r="I6" s="12">
        <v>2.6669999999999998</v>
      </c>
      <c r="J6" s="12">
        <v>259.59300000000002</v>
      </c>
      <c r="K6" s="12">
        <v>282.48099999999999</v>
      </c>
      <c r="L6" s="12">
        <v>0.01</v>
      </c>
      <c r="M6" s="12">
        <v>1E-3</v>
      </c>
      <c r="N6" s="12">
        <v>100</v>
      </c>
      <c r="O6" s="12">
        <v>0.58899999999999997</v>
      </c>
      <c r="P6" s="12">
        <v>0.17299999999999999</v>
      </c>
      <c r="Q6" s="12">
        <v>0.59599999999999997</v>
      </c>
      <c r="R6" s="12">
        <v>0.192</v>
      </c>
      <c r="S6" s="12">
        <v>0.61399999999999999</v>
      </c>
      <c r="U6" s="12" t="s">
        <v>33</v>
      </c>
      <c r="V6" s="12" t="s">
        <v>37</v>
      </c>
      <c r="W6" s="12">
        <v>11</v>
      </c>
      <c r="Y6" s="12">
        <f t="shared" si="1"/>
        <v>1.1850000000000001</v>
      </c>
      <c r="Z6" s="12">
        <f t="shared" si="0"/>
        <v>0.41599999999999998</v>
      </c>
    </row>
    <row r="7" spans="1:26" x14ac:dyDescent="0.2">
      <c r="A7" s="12" t="s">
        <v>43</v>
      </c>
      <c r="B7" s="12">
        <v>3893.25</v>
      </c>
      <c r="C7" s="12">
        <v>90.778000000000006</v>
      </c>
      <c r="D7" s="12">
        <v>32.795999999999999</v>
      </c>
      <c r="E7" s="12">
        <v>5.1749999999999998</v>
      </c>
      <c r="F7" s="12">
        <v>308.98399999999998</v>
      </c>
      <c r="G7" s="12">
        <v>2.2869999999999999</v>
      </c>
      <c r="H7" s="12">
        <v>18.37</v>
      </c>
      <c r="I7" s="12">
        <v>2.7010000000000001</v>
      </c>
      <c r="J7" s="12">
        <v>175.45400000000001</v>
      </c>
      <c r="K7" s="12">
        <v>190.91</v>
      </c>
      <c r="L7" s="12">
        <v>0.01</v>
      </c>
      <c r="M7" s="12">
        <v>1E-3</v>
      </c>
      <c r="N7" s="12">
        <v>100</v>
      </c>
      <c r="O7" s="12">
        <v>0.71799999999999997</v>
      </c>
      <c r="P7" s="12">
        <v>0.191</v>
      </c>
      <c r="Q7" s="12">
        <v>0.83399999999999996</v>
      </c>
      <c r="R7" s="12">
        <v>8.1000000000000003E-2</v>
      </c>
      <c r="S7" s="12">
        <v>0.80800000000000005</v>
      </c>
      <c r="U7" s="12" t="s">
        <v>33</v>
      </c>
      <c r="V7" s="12" t="s">
        <v>37</v>
      </c>
      <c r="W7" s="12">
        <v>11</v>
      </c>
      <c r="Y7" s="12">
        <f t="shared" si="1"/>
        <v>1.552</v>
      </c>
      <c r="Z7" s="12">
        <f t="shared" si="0"/>
        <v>0.52699999999999991</v>
      </c>
    </row>
    <row r="8" spans="1:26" x14ac:dyDescent="0.2">
      <c r="A8" s="12" t="s">
        <v>43</v>
      </c>
      <c r="B8" s="12">
        <v>3893.375</v>
      </c>
      <c r="C8" s="12">
        <v>101.339</v>
      </c>
      <c r="D8" s="12">
        <v>30.614000000000001</v>
      </c>
      <c r="E8" s="12">
        <v>5.431</v>
      </c>
      <c r="F8" s="12">
        <v>319.05700000000002</v>
      </c>
      <c r="G8" s="12">
        <v>2.2610000000000001</v>
      </c>
      <c r="H8" s="12">
        <v>19.928999999999998</v>
      </c>
      <c r="I8" s="12">
        <v>2.7040000000000002</v>
      </c>
      <c r="J8" s="12">
        <v>133.70599999999999</v>
      </c>
      <c r="K8" s="12">
        <v>145.446</v>
      </c>
      <c r="L8" s="12">
        <v>0.01</v>
      </c>
      <c r="M8" s="12">
        <v>1E-3</v>
      </c>
      <c r="N8" s="12">
        <v>100</v>
      </c>
      <c r="O8" s="12">
        <v>0.84799999999999998</v>
      </c>
      <c r="P8" s="12">
        <v>0.20799999999999999</v>
      </c>
      <c r="Q8" s="12">
        <v>0.96799999999999997</v>
      </c>
      <c r="R8" s="12">
        <v>3.3000000000000002E-2</v>
      </c>
      <c r="S8" s="12">
        <v>0.95</v>
      </c>
      <c r="U8" s="12" t="s">
        <v>33</v>
      </c>
      <c r="V8" s="12" t="s">
        <v>37</v>
      </c>
      <c r="W8" s="12">
        <v>11</v>
      </c>
      <c r="Y8" s="12">
        <f t="shared" si="1"/>
        <v>1.8159999999999998</v>
      </c>
      <c r="Z8" s="12">
        <f t="shared" si="0"/>
        <v>0.64</v>
      </c>
    </row>
    <row r="9" spans="1:26" x14ac:dyDescent="0.2">
      <c r="A9" s="12" t="s">
        <v>43</v>
      </c>
      <c r="B9" s="12">
        <v>3893.5</v>
      </c>
      <c r="C9" s="12">
        <v>104.98699999999999</v>
      </c>
      <c r="D9" s="12">
        <v>28.292000000000002</v>
      </c>
      <c r="E9" s="12">
        <v>5.4290000000000003</v>
      </c>
      <c r="F9" s="12">
        <v>305.64100000000002</v>
      </c>
      <c r="G9" s="12">
        <v>2.2610000000000001</v>
      </c>
      <c r="H9" s="12">
        <v>19.8</v>
      </c>
      <c r="I9" s="12">
        <v>2.6749999999999998</v>
      </c>
      <c r="J9" s="12">
        <v>125.541</v>
      </c>
      <c r="K9" s="12">
        <v>136.529</v>
      </c>
      <c r="L9" s="12">
        <v>0.01</v>
      </c>
      <c r="M9" s="12">
        <v>1E-3</v>
      </c>
      <c r="N9" s="12">
        <v>100</v>
      </c>
      <c r="O9" s="12">
        <v>0.92600000000000005</v>
      </c>
      <c r="P9" s="12">
        <v>0.19600000000000001</v>
      </c>
      <c r="Q9" s="12">
        <v>0.95599999999999996</v>
      </c>
      <c r="R9" s="12">
        <v>8.9999999999999993E-3</v>
      </c>
      <c r="S9" s="12">
        <v>0.996</v>
      </c>
      <c r="U9" s="12" t="s">
        <v>33</v>
      </c>
      <c r="V9" s="12" t="s">
        <v>37</v>
      </c>
      <c r="W9" s="12">
        <v>11</v>
      </c>
      <c r="Y9" s="12">
        <f t="shared" si="1"/>
        <v>1.8820000000000001</v>
      </c>
      <c r="Z9" s="12">
        <f t="shared" si="0"/>
        <v>0.73</v>
      </c>
    </row>
    <row r="10" spans="1:26" x14ac:dyDescent="0.2">
      <c r="A10" s="12" t="s">
        <v>43</v>
      </c>
      <c r="B10" s="12">
        <v>3893.625</v>
      </c>
      <c r="C10" s="12">
        <v>103.24</v>
      </c>
      <c r="D10" s="12">
        <v>26.28</v>
      </c>
      <c r="E10" s="12">
        <v>5.3470000000000004</v>
      </c>
      <c r="F10" s="12">
        <v>276.85399999999998</v>
      </c>
      <c r="G10" s="12">
        <v>2.2559999999999998</v>
      </c>
      <c r="H10" s="12">
        <v>18.468</v>
      </c>
      <c r="I10" s="12">
        <v>2.6320000000000001</v>
      </c>
      <c r="J10" s="12">
        <v>137.291</v>
      </c>
      <c r="K10" s="12">
        <v>149.28899999999999</v>
      </c>
      <c r="L10" s="12">
        <v>0.01</v>
      </c>
      <c r="M10" s="12">
        <v>1E-3</v>
      </c>
      <c r="N10" s="12">
        <v>100</v>
      </c>
      <c r="O10" s="12">
        <v>0.93600000000000005</v>
      </c>
      <c r="P10" s="12">
        <v>0.16300000000000001</v>
      </c>
      <c r="Q10" s="12">
        <v>0.81899999999999995</v>
      </c>
      <c r="R10" s="12">
        <v>5.0000000000000001E-3</v>
      </c>
      <c r="S10" s="12">
        <v>0.94799999999999995</v>
      </c>
      <c r="U10" s="12" t="s">
        <v>33</v>
      </c>
      <c r="V10" s="12" t="s">
        <v>37</v>
      </c>
      <c r="W10" s="12">
        <v>11</v>
      </c>
      <c r="Y10" s="12">
        <f t="shared" si="1"/>
        <v>1.7549999999999999</v>
      </c>
      <c r="Z10" s="12">
        <f t="shared" si="0"/>
        <v>0.77300000000000002</v>
      </c>
    </row>
    <row r="11" spans="1:26" x14ac:dyDescent="0.2">
      <c r="A11" s="12" t="s">
        <v>43</v>
      </c>
      <c r="B11" s="12">
        <v>3893.75</v>
      </c>
      <c r="C11" s="12">
        <v>101.596</v>
      </c>
      <c r="D11" s="12">
        <v>24.382999999999999</v>
      </c>
      <c r="E11" s="12">
        <v>5.2389999999999999</v>
      </c>
      <c r="F11" s="12">
        <v>246.869</v>
      </c>
      <c r="G11" s="12">
        <v>2.3050000000000002</v>
      </c>
      <c r="H11" s="12">
        <v>16.890999999999998</v>
      </c>
      <c r="I11" s="12">
        <v>2.59</v>
      </c>
      <c r="J11" s="12">
        <v>161.97900000000001</v>
      </c>
      <c r="K11" s="12">
        <v>176.13300000000001</v>
      </c>
      <c r="L11" s="12">
        <v>0.01</v>
      </c>
      <c r="M11" s="12">
        <v>1E-3</v>
      </c>
      <c r="N11" s="12">
        <v>100</v>
      </c>
      <c r="O11" s="12">
        <v>0.91700000000000004</v>
      </c>
      <c r="P11" s="12">
        <v>0.124</v>
      </c>
      <c r="Q11" s="12">
        <v>0.629</v>
      </c>
      <c r="R11" s="12">
        <v>4.4999999999999998E-2</v>
      </c>
      <c r="S11" s="12">
        <v>0.85499999999999998</v>
      </c>
      <c r="U11" s="12" t="s">
        <v>33</v>
      </c>
      <c r="V11" s="12" t="s">
        <v>37</v>
      </c>
      <c r="W11" s="12">
        <v>11</v>
      </c>
      <c r="Y11" s="12">
        <f t="shared" si="1"/>
        <v>1.546</v>
      </c>
      <c r="Z11" s="12">
        <f t="shared" si="0"/>
        <v>0.79300000000000004</v>
      </c>
    </row>
    <row r="12" spans="1:26" x14ac:dyDescent="0.2">
      <c r="A12" s="12" t="s">
        <v>45</v>
      </c>
      <c r="B12" s="12">
        <v>3811.25</v>
      </c>
      <c r="C12" s="12">
        <v>118.215</v>
      </c>
      <c r="D12" s="12">
        <v>26.509</v>
      </c>
      <c r="E12" s="12">
        <v>2.8450000000000002</v>
      </c>
      <c r="F12" s="12">
        <v>222.47499999999999</v>
      </c>
      <c r="G12" s="12">
        <v>2.5070000000000001</v>
      </c>
      <c r="H12" s="12">
        <v>18.725999999999999</v>
      </c>
      <c r="I12" s="12">
        <v>2.5830000000000002</v>
      </c>
      <c r="J12" s="12">
        <v>50.438000000000002</v>
      </c>
      <c r="K12" s="12">
        <v>55.426000000000002</v>
      </c>
      <c r="L12" s="12">
        <v>0</v>
      </c>
      <c r="M12" s="12">
        <v>0</v>
      </c>
      <c r="N12" s="12">
        <v>100</v>
      </c>
      <c r="O12" s="12">
        <v>0.75600000000000001</v>
      </c>
      <c r="P12" s="12">
        <v>0.17499999999999999</v>
      </c>
      <c r="Q12" s="12">
        <v>0.84799999999999998</v>
      </c>
      <c r="R12" s="12">
        <v>0.17599999999999999</v>
      </c>
      <c r="S12" s="12">
        <v>0.752</v>
      </c>
      <c r="U12" s="12" t="s">
        <v>33</v>
      </c>
      <c r="V12" s="12" t="s">
        <v>37</v>
      </c>
      <c r="W12" s="12">
        <v>7</v>
      </c>
      <c r="Y12" s="12">
        <f t="shared" si="1"/>
        <v>1.6040000000000001</v>
      </c>
      <c r="Z12" s="12">
        <f t="shared" si="0"/>
        <v>0.58099999999999996</v>
      </c>
    </row>
    <row r="13" spans="1:26" x14ac:dyDescent="0.2">
      <c r="A13" s="12" t="s">
        <v>45</v>
      </c>
      <c r="B13" s="12">
        <v>3811.375</v>
      </c>
      <c r="C13" s="12">
        <v>143.626</v>
      </c>
      <c r="D13" s="12">
        <v>27.053999999999998</v>
      </c>
      <c r="E13" s="12">
        <v>3.0430000000000001</v>
      </c>
      <c r="F13" s="12">
        <v>233.01</v>
      </c>
      <c r="G13" s="12">
        <v>2.4510000000000001</v>
      </c>
      <c r="H13" s="12">
        <v>21.442</v>
      </c>
      <c r="I13" s="12">
        <v>2.5339999999999998</v>
      </c>
      <c r="J13" s="12">
        <v>35.299999999999997</v>
      </c>
      <c r="K13" s="12">
        <v>38.790999999999997</v>
      </c>
      <c r="L13" s="12">
        <v>0</v>
      </c>
      <c r="M13" s="12">
        <v>0</v>
      </c>
      <c r="N13" s="12">
        <v>100</v>
      </c>
      <c r="O13" s="12">
        <v>0.92300000000000004</v>
      </c>
      <c r="P13" s="12">
        <v>0.13</v>
      </c>
      <c r="Q13" s="12">
        <v>0.96399999999999997</v>
      </c>
      <c r="R13" s="12">
        <v>5.2999999999999999E-2</v>
      </c>
      <c r="S13" s="12">
        <v>0.872</v>
      </c>
      <c r="U13" s="12" t="s">
        <v>33</v>
      </c>
      <c r="V13" s="12" t="s">
        <v>37</v>
      </c>
      <c r="W13" s="12">
        <v>7</v>
      </c>
      <c r="Y13" s="12">
        <f t="shared" si="1"/>
        <v>1.887</v>
      </c>
      <c r="Z13" s="12">
        <f t="shared" si="0"/>
        <v>0.79300000000000004</v>
      </c>
    </row>
    <row r="14" spans="1:26" x14ac:dyDescent="0.2">
      <c r="A14" s="12" t="s">
        <v>45</v>
      </c>
      <c r="B14" s="12">
        <v>3811.5</v>
      </c>
      <c r="C14" s="12">
        <v>156.965</v>
      </c>
      <c r="D14" s="12">
        <v>27.617000000000001</v>
      </c>
      <c r="E14" s="12">
        <v>3.2069999999999999</v>
      </c>
      <c r="F14" s="12">
        <v>236.559</v>
      </c>
      <c r="G14" s="12">
        <v>2.4239999999999999</v>
      </c>
      <c r="H14" s="12">
        <v>23.486000000000001</v>
      </c>
      <c r="I14" s="12">
        <v>2.5249999999999999</v>
      </c>
      <c r="J14" s="12">
        <v>31.306000000000001</v>
      </c>
      <c r="K14" s="12">
        <v>34.402999999999999</v>
      </c>
      <c r="L14" s="12">
        <v>0</v>
      </c>
      <c r="M14" s="12">
        <v>0</v>
      </c>
      <c r="N14" s="12">
        <v>100</v>
      </c>
      <c r="O14" s="12">
        <v>0.999</v>
      </c>
      <c r="P14" s="12">
        <v>0.13500000000000001</v>
      </c>
      <c r="Q14" s="12">
        <v>0.98799999999999999</v>
      </c>
      <c r="R14" s="12">
        <v>6.0000000000000001E-3</v>
      </c>
      <c r="S14" s="12">
        <v>0.95799999999999996</v>
      </c>
      <c r="U14" s="12" t="s">
        <v>33</v>
      </c>
      <c r="V14" s="12" t="s">
        <v>37</v>
      </c>
      <c r="W14" s="12">
        <v>7</v>
      </c>
      <c r="Y14" s="12">
        <f t="shared" si="1"/>
        <v>1.9870000000000001</v>
      </c>
      <c r="Z14" s="12">
        <f t="shared" si="0"/>
        <v>0.86399999999999999</v>
      </c>
    </row>
    <row r="15" spans="1:26" x14ac:dyDescent="0.2">
      <c r="A15" s="12" t="s">
        <v>45</v>
      </c>
      <c r="B15" s="12">
        <v>3811.625</v>
      </c>
      <c r="C15" s="12">
        <v>156.10900000000001</v>
      </c>
      <c r="D15" s="12">
        <v>27.782</v>
      </c>
      <c r="E15" s="12">
        <v>3.319</v>
      </c>
      <c r="F15" s="12">
        <v>231.739</v>
      </c>
      <c r="G15" s="12">
        <v>2.4369999999999998</v>
      </c>
      <c r="H15" s="12">
        <v>24.605</v>
      </c>
      <c r="I15" s="12">
        <v>2.5819999999999999</v>
      </c>
      <c r="J15" s="12">
        <v>32.122999999999998</v>
      </c>
      <c r="K15" s="12">
        <v>35.299999999999997</v>
      </c>
      <c r="L15" s="12">
        <v>0</v>
      </c>
      <c r="M15" s="12">
        <v>0</v>
      </c>
      <c r="N15" s="12">
        <v>100</v>
      </c>
      <c r="O15" s="12">
        <v>0.98199999999999998</v>
      </c>
      <c r="P15" s="12">
        <v>0.20599999999999999</v>
      </c>
      <c r="Q15" s="12">
        <v>0.91400000000000003</v>
      </c>
      <c r="R15" s="12">
        <v>0.05</v>
      </c>
      <c r="S15" s="12">
        <v>0.97</v>
      </c>
      <c r="U15" s="12" t="s">
        <v>33</v>
      </c>
      <c r="V15" s="12" t="s">
        <v>37</v>
      </c>
      <c r="W15" s="12">
        <v>7</v>
      </c>
      <c r="Y15" s="12">
        <f t="shared" si="1"/>
        <v>1.8959999999999999</v>
      </c>
      <c r="Z15" s="12">
        <f t="shared" si="0"/>
        <v>0.77600000000000002</v>
      </c>
    </row>
    <row r="16" spans="1:26" x14ac:dyDescent="0.2">
      <c r="A16" s="12" t="s">
        <v>45</v>
      </c>
      <c r="B16" s="12">
        <v>3811.75</v>
      </c>
      <c r="C16" s="12">
        <v>147.97900000000001</v>
      </c>
      <c r="D16" s="12">
        <v>26.434999999999999</v>
      </c>
      <c r="E16" s="12">
        <v>3.4089999999999998</v>
      </c>
      <c r="F16" s="12">
        <v>222.15100000000001</v>
      </c>
      <c r="G16" s="12">
        <v>2.4740000000000002</v>
      </c>
      <c r="H16" s="12">
        <v>21.347999999999999</v>
      </c>
      <c r="I16" s="12">
        <v>2.6859999999999999</v>
      </c>
      <c r="J16" s="12">
        <v>36.015999999999998</v>
      </c>
      <c r="K16" s="12">
        <v>39.578000000000003</v>
      </c>
      <c r="L16" s="12">
        <v>0</v>
      </c>
      <c r="M16" s="12">
        <v>0</v>
      </c>
      <c r="N16" s="12">
        <v>100</v>
      </c>
      <c r="O16" s="12">
        <v>0.92200000000000004</v>
      </c>
      <c r="P16" s="12">
        <v>0.31900000000000001</v>
      </c>
      <c r="Q16" s="12">
        <v>0.78800000000000003</v>
      </c>
      <c r="R16" s="12">
        <v>0.14699999999999999</v>
      </c>
      <c r="S16" s="12">
        <v>0.81399999999999995</v>
      </c>
      <c r="U16" s="12" t="s">
        <v>33</v>
      </c>
      <c r="V16" s="12" t="s">
        <v>37</v>
      </c>
      <c r="W16" s="12">
        <v>7</v>
      </c>
      <c r="Y16" s="12">
        <f t="shared" si="1"/>
        <v>1.71</v>
      </c>
      <c r="Z16" s="12">
        <f t="shared" si="0"/>
        <v>0.60299999999999998</v>
      </c>
    </row>
    <row r="17" spans="1:26" x14ac:dyDescent="0.2">
      <c r="A17" s="12" t="s">
        <v>46</v>
      </c>
      <c r="B17" s="12">
        <v>3486.75</v>
      </c>
      <c r="C17" s="12">
        <v>139.85599999999999</v>
      </c>
      <c r="D17" s="12">
        <v>21.925000000000001</v>
      </c>
      <c r="E17" s="12">
        <v>4.6180000000000003</v>
      </c>
      <c r="F17" s="12">
        <v>208.565</v>
      </c>
      <c r="G17" s="12">
        <v>2.6880000000000002</v>
      </c>
      <c r="H17" s="12">
        <v>9.9930000000000003</v>
      </c>
      <c r="I17" s="12">
        <v>2.98</v>
      </c>
      <c r="J17" s="12">
        <v>35.325000000000003</v>
      </c>
      <c r="K17" s="12">
        <v>37.185000000000002</v>
      </c>
      <c r="L17" s="12">
        <v>0</v>
      </c>
      <c r="M17" s="12">
        <v>0.01</v>
      </c>
      <c r="N17" s="12">
        <v>0</v>
      </c>
      <c r="O17" s="12">
        <v>0.874</v>
      </c>
      <c r="P17" s="12">
        <v>0.10100000000000001</v>
      </c>
      <c r="Q17" s="12">
        <v>0.77100000000000002</v>
      </c>
      <c r="R17" s="12">
        <v>9.2999999999999999E-2</v>
      </c>
      <c r="S17" s="12">
        <v>0.97</v>
      </c>
      <c r="U17" s="12" t="s">
        <v>33</v>
      </c>
      <c r="V17" s="12" t="s">
        <v>37</v>
      </c>
      <c r="Y17" s="12">
        <f t="shared" si="1"/>
        <v>1.645</v>
      </c>
      <c r="Z17" s="12">
        <f t="shared" si="0"/>
        <v>0.77300000000000002</v>
      </c>
    </row>
    <row r="18" spans="1:26" x14ac:dyDescent="0.2">
      <c r="A18" s="12" t="s">
        <v>46</v>
      </c>
      <c r="B18" s="12">
        <v>3486.875</v>
      </c>
      <c r="C18" s="12">
        <v>158.54300000000001</v>
      </c>
      <c r="D18" s="12">
        <v>21.876999999999999</v>
      </c>
      <c r="E18" s="12">
        <v>4.4169999999999998</v>
      </c>
      <c r="F18" s="12">
        <v>219.32900000000001</v>
      </c>
      <c r="G18" s="12">
        <v>2.6739999999999999</v>
      </c>
      <c r="H18" s="12">
        <v>10.273999999999999</v>
      </c>
      <c r="I18" s="12">
        <v>2.899</v>
      </c>
      <c r="J18" s="12">
        <v>33.286999999999999</v>
      </c>
      <c r="K18" s="12">
        <v>35.039000000000001</v>
      </c>
      <c r="L18" s="12">
        <v>0</v>
      </c>
      <c r="M18" s="12">
        <v>0.01</v>
      </c>
      <c r="N18" s="12">
        <v>0</v>
      </c>
      <c r="O18" s="12">
        <v>1</v>
      </c>
      <c r="P18" s="12">
        <v>4.7E-2</v>
      </c>
      <c r="Q18" s="12">
        <v>0.91300000000000003</v>
      </c>
      <c r="R18" s="12">
        <v>2.8000000000000001E-2</v>
      </c>
      <c r="S18" s="12">
        <v>1</v>
      </c>
      <c r="U18" s="12" t="s">
        <v>33</v>
      </c>
      <c r="V18" s="12" t="s">
        <v>37</v>
      </c>
      <c r="Y18" s="12">
        <f t="shared" si="1"/>
        <v>1.913</v>
      </c>
      <c r="Z18" s="12">
        <f t="shared" si="0"/>
        <v>0.95299999999999996</v>
      </c>
    </row>
    <row r="19" spans="1:26" x14ac:dyDescent="0.2">
      <c r="A19" s="12" t="s">
        <v>46</v>
      </c>
      <c r="B19" s="12">
        <v>3487</v>
      </c>
      <c r="C19" s="12">
        <v>158.59299999999999</v>
      </c>
      <c r="D19" s="12">
        <v>21.782</v>
      </c>
      <c r="E19" s="12">
        <v>4.22</v>
      </c>
      <c r="F19" s="12">
        <v>225.947</v>
      </c>
      <c r="G19" s="12">
        <v>2.6680000000000001</v>
      </c>
      <c r="H19" s="12">
        <v>10.242000000000001</v>
      </c>
      <c r="I19" s="12">
        <v>2.972</v>
      </c>
      <c r="J19" s="12">
        <v>35.594000000000001</v>
      </c>
      <c r="K19" s="12">
        <v>37.468000000000004</v>
      </c>
      <c r="L19" s="12">
        <v>0</v>
      </c>
      <c r="M19" s="12">
        <v>0.01</v>
      </c>
      <c r="N19" s="12">
        <v>0</v>
      </c>
      <c r="O19" s="12">
        <v>1</v>
      </c>
      <c r="P19" s="12">
        <v>0.10100000000000001</v>
      </c>
      <c r="Q19" s="12">
        <v>1</v>
      </c>
      <c r="R19" s="12">
        <v>0</v>
      </c>
      <c r="S19" s="12">
        <v>0.997</v>
      </c>
      <c r="U19" s="12" t="s">
        <v>33</v>
      </c>
      <c r="V19" s="12" t="s">
        <v>37</v>
      </c>
      <c r="Y19" s="12">
        <f t="shared" si="1"/>
        <v>2</v>
      </c>
      <c r="Z19" s="12">
        <f t="shared" si="0"/>
        <v>0.89900000000000002</v>
      </c>
    </row>
    <row r="20" spans="1:26" x14ac:dyDescent="0.2">
      <c r="A20" s="12" t="s">
        <v>46</v>
      </c>
      <c r="B20" s="12">
        <v>3487.125</v>
      </c>
      <c r="C20" s="12">
        <v>133.50800000000001</v>
      </c>
      <c r="D20" s="12">
        <v>21.831</v>
      </c>
      <c r="E20" s="12">
        <v>4.1100000000000003</v>
      </c>
      <c r="F20" s="12">
        <v>219.84100000000001</v>
      </c>
      <c r="G20" s="12">
        <v>2.6739999999999999</v>
      </c>
      <c r="H20" s="12">
        <v>9.8369999999999997</v>
      </c>
      <c r="I20" s="12">
        <v>3.38</v>
      </c>
      <c r="J20" s="12">
        <v>41.942999999999998</v>
      </c>
      <c r="K20" s="12">
        <v>44.15</v>
      </c>
      <c r="L20" s="12">
        <v>0</v>
      </c>
      <c r="M20" s="12">
        <v>0.01</v>
      </c>
      <c r="N20" s="12">
        <v>0</v>
      </c>
      <c r="O20" s="12">
        <v>0.83099999999999996</v>
      </c>
      <c r="P20" s="12">
        <v>0.45200000000000001</v>
      </c>
      <c r="Q20" s="12">
        <v>0.91900000000000004</v>
      </c>
      <c r="R20" s="12">
        <v>2.8000000000000001E-2</v>
      </c>
      <c r="S20" s="12">
        <v>0.95299999999999996</v>
      </c>
      <c r="U20" s="12" t="s">
        <v>33</v>
      </c>
      <c r="V20" s="12" t="s">
        <v>37</v>
      </c>
      <c r="Y20" s="12">
        <f t="shared" si="1"/>
        <v>1.75</v>
      </c>
      <c r="Z20" s="12">
        <f t="shared" si="0"/>
        <v>0.37899999999999995</v>
      </c>
    </row>
    <row r="21" spans="1:26" x14ac:dyDescent="0.2">
      <c r="A21" s="12" t="s">
        <v>46</v>
      </c>
      <c r="B21" s="12">
        <v>3487.25</v>
      </c>
      <c r="C21" s="12">
        <v>102.256</v>
      </c>
      <c r="D21" s="12">
        <v>21.864999999999998</v>
      </c>
      <c r="E21" s="12">
        <v>3.8559999999999999</v>
      </c>
      <c r="F21" s="12">
        <v>204.48</v>
      </c>
      <c r="G21" s="12">
        <v>2.6960000000000002</v>
      </c>
      <c r="H21" s="12">
        <v>9.1880000000000006</v>
      </c>
      <c r="I21" s="12">
        <v>3.593</v>
      </c>
      <c r="J21" s="12">
        <v>54.124000000000002</v>
      </c>
      <c r="K21" s="12">
        <v>56.972999999999999</v>
      </c>
      <c r="L21" s="12">
        <v>0</v>
      </c>
      <c r="M21" s="12">
        <v>0.01</v>
      </c>
      <c r="N21" s="12">
        <v>0</v>
      </c>
      <c r="O21" s="12">
        <v>0.62</v>
      </c>
      <c r="P21" s="12">
        <v>0.65300000000000002</v>
      </c>
      <c r="Q21" s="12">
        <v>0.71699999999999997</v>
      </c>
      <c r="R21" s="12">
        <v>0.13100000000000001</v>
      </c>
      <c r="S21" s="12">
        <v>0.88400000000000001</v>
      </c>
      <c r="U21" s="12" t="s">
        <v>33</v>
      </c>
      <c r="V21" s="12" t="s">
        <v>37</v>
      </c>
      <c r="Y21" s="12">
        <f t="shared" si="1"/>
        <v>1.337</v>
      </c>
      <c r="Z21" s="12">
        <f t="shared" si="0"/>
        <v>-3.3000000000000029E-2</v>
      </c>
    </row>
    <row r="22" spans="1:26" x14ac:dyDescent="0.2">
      <c r="A22" s="12" t="s">
        <v>47</v>
      </c>
      <c r="B22" s="12">
        <v>3249.75</v>
      </c>
      <c r="C22" s="12">
        <v>171.464</v>
      </c>
      <c r="D22" s="12">
        <v>23.577999999999999</v>
      </c>
      <c r="E22" s="12">
        <v>5.5620000000000003</v>
      </c>
      <c r="F22" s="12">
        <v>215.19300000000001</v>
      </c>
      <c r="G22" s="12">
        <v>2.6760000000000002</v>
      </c>
      <c r="H22" s="12">
        <v>10.782</v>
      </c>
      <c r="I22" s="12">
        <v>3.496</v>
      </c>
      <c r="J22" s="12">
        <v>46.262999999999998</v>
      </c>
      <c r="K22" s="12">
        <v>47.694000000000003</v>
      </c>
      <c r="L22" s="12">
        <v>0</v>
      </c>
      <c r="M22" s="12">
        <v>0</v>
      </c>
      <c r="N22" s="12">
        <v>100</v>
      </c>
      <c r="O22" s="12">
        <v>0.95899999999999996</v>
      </c>
      <c r="P22" s="12">
        <v>0.62</v>
      </c>
      <c r="Q22" s="12">
        <v>0.98</v>
      </c>
      <c r="R22" s="12">
        <v>0.56399999999999995</v>
      </c>
      <c r="S22" s="12">
        <v>0.73299999999999998</v>
      </c>
      <c r="U22" s="12" t="s">
        <v>33</v>
      </c>
      <c r="V22" s="12" t="s">
        <v>37</v>
      </c>
      <c r="Y22" s="12">
        <f t="shared" si="1"/>
        <v>1.9390000000000001</v>
      </c>
      <c r="Z22" s="12">
        <f t="shared" si="0"/>
        <v>0.33899999999999997</v>
      </c>
    </row>
    <row r="23" spans="1:26" x14ac:dyDescent="0.2">
      <c r="A23" s="12" t="s">
        <v>47</v>
      </c>
      <c r="B23" s="12">
        <v>3249.875</v>
      </c>
      <c r="C23" s="12">
        <v>179.303</v>
      </c>
      <c r="D23" s="12">
        <v>23.026</v>
      </c>
      <c r="E23" s="12">
        <v>6.0650000000000004</v>
      </c>
      <c r="F23" s="12">
        <v>216.68100000000001</v>
      </c>
      <c r="G23" s="12">
        <v>2.67</v>
      </c>
      <c r="H23" s="12">
        <v>10.259</v>
      </c>
      <c r="I23" s="12">
        <v>3.5659999999999998</v>
      </c>
      <c r="J23" s="12">
        <v>37.253999999999998</v>
      </c>
      <c r="K23" s="12">
        <v>38.405999999999999</v>
      </c>
      <c r="L23" s="12">
        <v>0</v>
      </c>
      <c r="M23" s="12">
        <v>0</v>
      </c>
      <c r="N23" s="12">
        <v>100</v>
      </c>
      <c r="O23" s="12">
        <v>0.98699999999999999</v>
      </c>
      <c r="P23" s="12">
        <v>0.69</v>
      </c>
      <c r="Q23" s="12">
        <v>0.98899999999999999</v>
      </c>
      <c r="R23" s="12">
        <v>0.56100000000000005</v>
      </c>
      <c r="S23" s="12">
        <v>0.64600000000000002</v>
      </c>
      <c r="U23" s="12" t="s">
        <v>33</v>
      </c>
      <c r="V23" s="12" t="s">
        <v>37</v>
      </c>
      <c r="Y23" s="12">
        <f t="shared" si="1"/>
        <v>1.976</v>
      </c>
      <c r="Z23" s="12">
        <f t="shared" si="0"/>
        <v>0.29700000000000004</v>
      </c>
    </row>
    <row r="24" spans="1:26" x14ac:dyDescent="0.2">
      <c r="A24" s="12" t="s">
        <v>48</v>
      </c>
      <c r="B24" s="12">
        <v>3296.25</v>
      </c>
      <c r="C24" s="12">
        <v>128.036</v>
      </c>
      <c r="D24" s="12">
        <v>24.08</v>
      </c>
      <c r="E24" s="12">
        <v>4.5030000000000001</v>
      </c>
      <c r="F24" s="12">
        <v>212.51300000000001</v>
      </c>
      <c r="G24" s="12">
        <v>2.4950000000000001</v>
      </c>
      <c r="H24" s="12">
        <v>13.191000000000001</v>
      </c>
      <c r="I24" s="12">
        <v>3.1890000000000001</v>
      </c>
      <c r="J24" s="12">
        <v>89.962999999999994</v>
      </c>
      <c r="K24" s="12">
        <v>92.745000000000005</v>
      </c>
      <c r="L24" s="12">
        <v>0.01</v>
      </c>
      <c r="M24" s="12">
        <v>1E-3</v>
      </c>
      <c r="N24" s="12">
        <v>100</v>
      </c>
      <c r="O24" s="12">
        <v>0.67</v>
      </c>
      <c r="P24" s="12">
        <v>0.20300000000000001</v>
      </c>
      <c r="Q24" s="12">
        <v>0.55700000000000005</v>
      </c>
      <c r="R24" s="12">
        <v>6.8000000000000005E-2</v>
      </c>
      <c r="S24" s="12">
        <v>0.83399999999999996</v>
      </c>
      <c r="U24" s="12" t="s">
        <v>33</v>
      </c>
      <c r="V24" s="12" t="s">
        <v>37</v>
      </c>
      <c r="Y24" s="12">
        <f t="shared" si="1"/>
        <v>1.2270000000000001</v>
      </c>
      <c r="Z24" s="12">
        <f t="shared" ref="Z24:Z48" si="2">O24-P24</f>
        <v>0.46700000000000003</v>
      </c>
    </row>
    <row r="25" spans="1:26" x14ac:dyDescent="0.2">
      <c r="A25" s="12" t="s">
        <v>48</v>
      </c>
      <c r="B25" s="12">
        <v>3296.375</v>
      </c>
      <c r="C25" s="12">
        <v>155.21199999999999</v>
      </c>
      <c r="D25" s="12">
        <v>23.664000000000001</v>
      </c>
      <c r="E25" s="12">
        <v>5.0750000000000002</v>
      </c>
      <c r="F25" s="12">
        <v>234.37700000000001</v>
      </c>
      <c r="G25" s="12">
        <v>2.5129999999999999</v>
      </c>
      <c r="H25" s="12">
        <v>14.109</v>
      </c>
      <c r="I25" s="12">
        <v>3.1280000000000001</v>
      </c>
      <c r="J25" s="12">
        <v>56.893000000000001</v>
      </c>
      <c r="K25" s="12">
        <v>58.652000000000001</v>
      </c>
      <c r="L25" s="12">
        <v>0.01</v>
      </c>
      <c r="M25" s="12">
        <v>1E-3</v>
      </c>
      <c r="N25" s="12">
        <v>100</v>
      </c>
      <c r="O25" s="12">
        <v>0.876</v>
      </c>
      <c r="P25" s="12">
        <v>0.158</v>
      </c>
      <c r="Q25" s="12">
        <v>0.81599999999999995</v>
      </c>
      <c r="R25" s="12">
        <v>2.3E-2</v>
      </c>
      <c r="S25" s="12">
        <v>0.96699999999999997</v>
      </c>
      <c r="U25" s="12" t="s">
        <v>33</v>
      </c>
      <c r="V25" s="12" t="s">
        <v>37</v>
      </c>
      <c r="Y25" s="12">
        <f t="shared" si="1"/>
        <v>1.6919999999999999</v>
      </c>
      <c r="Z25" s="12">
        <f t="shared" si="2"/>
        <v>0.71799999999999997</v>
      </c>
    </row>
    <row r="26" spans="1:26" x14ac:dyDescent="0.2">
      <c r="A26" s="12" t="s">
        <v>48</v>
      </c>
      <c r="B26" s="12">
        <v>3296.5</v>
      </c>
      <c r="C26" s="12">
        <v>159.88999999999999</v>
      </c>
      <c r="D26" s="12">
        <v>22.882000000000001</v>
      </c>
      <c r="E26" s="12">
        <v>5.2249999999999996</v>
      </c>
      <c r="F26" s="12">
        <v>238.803</v>
      </c>
      <c r="G26" s="12">
        <v>2.6110000000000002</v>
      </c>
      <c r="H26" s="12">
        <v>13.577</v>
      </c>
      <c r="I26" s="12">
        <v>3.03</v>
      </c>
      <c r="J26" s="12">
        <v>46.841999999999999</v>
      </c>
      <c r="K26" s="12">
        <v>48.290999999999997</v>
      </c>
      <c r="L26" s="12">
        <v>0.01</v>
      </c>
      <c r="M26" s="12">
        <v>1E-3</v>
      </c>
      <c r="N26" s="12">
        <v>100</v>
      </c>
      <c r="O26" s="12">
        <v>0.98399999999999999</v>
      </c>
      <c r="P26" s="12">
        <v>0.114</v>
      </c>
      <c r="Q26" s="12">
        <v>0.97399999999999998</v>
      </c>
      <c r="R26" s="12">
        <v>0.17100000000000001</v>
      </c>
      <c r="S26" s="12">
        <v>0.98</v>
      </c>
      <c r="U26" s="12" t="s">
        <v>33</v>
      </c>
      <c r="V26" s="12" t="s">
        <v>37</v>
      </c>
      <c r="Y26" s="12">
        <f t="shared" si="1"/>
        <v>1.958</v>
      </c>
      <c r="Z26" s="12">
        <f t="shared" si="2"/>
        <v>0.87</v>
      </c>
    </row>
    <row r="27" spans="1:26" x14ac:dyDescent="0.2">
      <c r="A27" s="12" t="s">
        <v>48</v>
      </c>
      <c r="B27" s="12">
        <v>3296.625</v>
      </c>
      <c r="C27" s="12">
        <v>144.23400000000001</v>
      </c>
      <c r="D27" s="12">
        <v>22.497</v>
      </c>
      <c r="E27" s="12">
        <v>5.016</v>
      </c>
      <c r="F27" s="12">
        <v>231.69</v>
      </c>
      <c r="G27" s="12">
        <v>2.7309999999999999</v>
      </c>
      <c r="H27" s="12">
        <v>10.981999999999999</v>
      </c>
      <c r="I27" s="12">
        <v>2.99</v>
      </c>
      <c r="J27" s="12">
        <v>38.142000000000003</v>
      </c>
      <c r="K27" s="12">
        <v>39.322000000000003</v>
      </c>
      <c r="L27" s="12">
        <v>0.01</v>
      </c>
      <c r="M27" s="12">
        <v>1E-3</v>
      </c>
      <c r="N27" s="12">
        <v>100</v>
      </c>
      <c r="O27" s="12">
        <v>0.94599999999999995</v>
      </c>
      <c r="P27" s="12">
        <v>7.4999999999999997E-2</v>
      </c>
      <c r="Q27" s="12">
        <v>0.95699999999999996</v>
      </c>
      <c r="R27" s="12">
        <v>0.44800000000000001</v>
      </c>
      <c r="S27" s="12">
        <v>0.86599999999999999</v>
      </c>
      <c r="U27" s="12" t="s">
        <v>33</v>
      </c>
      <c r="V27" s="12" t="s">
        <v>37</v>
      </c>
      <c r="Y27" s="12">
        <f t="shared" si="1"/>
        <v>1.903</v>
      </c>
      <c r="Z27" s="12">
        <f t="shared" si="2"/>
        <v>0.871</v>
      </c>
    </row>
    <row r="28" spans="1:26" x14ac:dyDescent="0.2">
      <c r="A28" s="12" t="s">
        <v>49</v>
      </c>
      <c r="B28" s="12">
        <v>3475.75</v>
      </c>
      <c r="C28" s="12">
        <v>75.415000000000006</v>
      </c>
      <c r="D28" s="12">
        <v>23.440999999999999</v>
      </c>
      <c r="E28" s="12">
        <v>2.532</v>
      </c>
      <c r="F28" s="12">
        <v>188.62100000000001</v>
      </c>
      <c r="G28" s="12">
        <v>2.6280000000000001</v>
      </c>
      <c r="H28" s="12">
        <v>11.109</v>
      </c>
      <c r="I28" s="12">
        <v>2.544</v>
      </c>
      <c r="J28" s="12">
        <v>121.89700000000001</v>
      </c>
      <c r="K28" s="12">
        <v>107.80200000000001</v>
      </c>
      <c r="L28" s="12">
        <v>0.01</v>
      </c>
      <c r="M28" s="12">
        <v>1E-3</v>
      </c>
      <c r="N28" s="12">
        <v>100</v>
      </c>
      <c r="O28" s="12">
        <v>0.42299999999999999</v>
      </c>
      <c r="P28" s="12">
        <v>0.129</v>
      </c>
      <c r="Q28" s="12">
        <v>0.41199999999999998</v>
      </c>
      <c r="R28" s="12">
        <v>0.318</v>
      </c>
      <c r="S28" s="12">
        <v>0.76600000000000001</v>
      </c>
      <c r="U28" s="12" t="s">
        <v>33</v>
      </c>
      <c r="V28" s="12" t="s">
        <v>37</v>
      </c>
      <c r="Y28" s="12">
        <f t="shared" si="1"/>
        <v>0.83499999999999996</v>
      </c>
      <c r="Z28" s="12">
        <f t="shared" si="2"/>
        <v>0.29399999999999998</v>
      </c>
    </row>
    <row r="29" spans="1:26" x14ac:dyDescent="0.2">
      <c r="A29" s="12" t="s">
        <v>49</v>
      </c>
      <c r="B29" s="12">
        <v>3475.875</v>
      </c>
      <c r="C29" s="12">
        <v>96.472999999999999</v>
      </c>
      <c r="D29" s="12">
        <v>23.853999999999999</v>
      </c>
      <c r="E29" s="12">
        <v>3.0129999999999999</v>
      </c>
      <c r="F29" s="12">
        <v>206.01300000000001</v>
      </c>
      <c r="G29" s="12">
        <v>2.5680000000000001</v>
      </c>
      <c r="H29" s="12">
        <v>12.465</v>
      </c>
      <c r="I29" s="12">
        <v>2.2519999999999998</v>
      </c>
      <c r="J29" s="12">
        <v>81.176000000000002</v>
      </c>
      <c r="K29" s="12">
        <v>69.213999999999999</v>
      </c>
      <c r="L29" s="12">
        <v>0.01</v>
      </c>
      <c r="M29" s="12">
        <v>1E-3</v>
      </c>
      <c r="N29" s="12">
        <v>100</v>
      </c>
      <c r="O29" s="12">
        <v>0.55200000000000005</v>
      </c>
      <c r="P29" s="12">
        <v>2.9000000000000001E-2</v>
      </c>
      <c r="Q29" s="12">
        <v>0.60899999999999999</v>
      </c>
      <c r="R29" s="12">
        <v>0.17599999999999999</v>
      </c>
      <c r="S29" s="12">
        <v>0.85799999999999998</v>
      </c>
      <c r="U29" s="12" t="s">
        <v>33</v>
      </c>
      <c r="V29" s="12" t="s">
        <v>37</v>
      </c>
      <c r="Y29" s="12">
        <f t="shared" si="1"/>
        <v>1.161</v>
      </c>
      <c r="Z29" s="12">
        <f t="shared" si="2"/>
        <v>0.52300000000000002</v>
      </c>
    </row>
    <row r="30" spans="1:26" x14ac:dyDescent="0.2">
      <c r="A30" s="12" t="s">
        <v>49</v>
      </c>
      <c r="B30" s="12">
        <v>3476</v>
      </c>
      <c r="C30" s="12">
        <v>121.154</v>
      </c>
      <c r="D30" s="12">
        <v>24.324999999999999</v>
      </c>
      <c r="E30" s="12">
        <v>4.0730000000000004</v>
      </c>
      <c r="F30" s="12">
        <v>223.10599999999999</v>
      </c>
      <c r="G30" s="12">
        <v>2.516</v>
      </c>
      <c r="H30" s="12">
        <v>13.477</v>
      </c>
      <c r="I30" s="12">
        <v>2.2149999999999999</v>
      </c>
      <c r="J30" s="12">
        <v>52.582000000000001</v>
      </c>
      <c r="K30" s="12">
        <v>43.360999999999997</v>
      </c>
      <c r="L30" s="12">
        <v>0.01</v>
      </c>
      <c r="M30" s="12">
        <v>1E-3</v>
      </c>
      <c r="N30" s="12">
        <v>100</v>
      </c>
      <c r="O30" s="12">
        <v>0.70899999999999996</v>
      </c>
      <c r="P30" s="12">
        <v>2E-3</v>
      </c>
      <c r="Q30" s="12">
        <v>0.81299999999999994</v>
      </c>
      <c r="R30" s="12">
        <v>4.4999999999999998E-2</v>
      </c>
      <c r="S30" s="12">
        <v>0.93100000000000005</v>
      </c>
      <c r="U30" s="12" t="s">
        <v>33</v>
      </c>
      <c r="V30" s="12" t="s">
        <v>37</v>
      </c>
      <c r="Y30" s="12">
        <f t="shared" si="1"/>
        <v>1.5219999999999998</v>
      </c>
      <c r="Z30" s="12">
        <f t="shared" si="2"/>
        <v>0.70699999999999996</v>
      </c>
    </row>
    <row r="31" spans="1:26" x14ac:dyDescent="0.2">
      <c r="A31" s="12" t="s">
        <v>49</v>
      </c>
      <c r="B31" s="12">
        <v>3476.125</v>
      </c>
      <c r="C31" s="12">
        <v>144.292</v>
      </c>
      <c r="D31" s="12">
        <v>24.672000000000001</v>
      </c>
      <c r="E31" s="12">
        <v>4.9610000000000003</v>
      </c>
      <c r="F31" s="12">
        <v>233.839</v>
      </c>
      <c r="G31" s="12">
        <v>2.508</v>
      </c>
      <c r="H31" s="12">
        <v>14.298999999999999</v>
      </c>
      <c r="I31" s="12">
        <v>2.3740000000000001</v>
      </c>
      <c r="J31" s="12">
        <v>37.01</v>
      </c>
      <c r="K31" s="12">
        <v>30.100999999999999</v>
      </c>
      <c r="L31" s="12">
        <v>0.01</v>
      </c>
      <c r="M31" s="12">
        <v>1E-3</v>
      </c>
      <c r="N31" s="12">
        <v>100</v>
      </c>
      <c r="O31" s="12">
        <v>0.86299999999999999</v>
      </c>
      <c r="P31" s="12">
        <v>3.9E-2</v>
      </c>
      <c r="Q31" s="12">
        <v>0.95599999999999996</v>
      </c>
      <c r="R31" s="12">
        <v>4.0000000000000001E-3</v>
      </c>
      <c r="S31" s="12">
        <v>0.98899999999999999</v>
      </c>
      <c r="U31" s="12" t="s">
        <v>33</v>
      </c>
      <c r="V31" s="12" t="s">
        <v>37</v>
      </c>
      <c r="Y31" s="12">
        <f t="shared" si="1"/>
        <v>1.819</v>
      </c>
      <c r="Z31" s="12">
        <f t="shared" si="2"/>
        <v>0.82399999999999995</v>
      </c>
    </row>
    <row r="32" spans="1:26" x14ac:dyDescent="0.2">
      <c r="A32" s="12" t="s">
        <v>49</v>
      </c>
      <c r="B32" s="12">
        <v>3476.25</v>
      </c>
      <c r="C32" s="12">
        <v>160.61799999999999</v>
      </c>
      <c r="D32" s="12">
        <v>24.738</v>
      </c>
      <c r="E32" s="12">
        <v>5.3410000000000002</v>
      </c>
      <c r="F32" s="12">
        <v>235.434</v>
      </c>
      <c r="G32" s="12">
        <v>2.58</v>
      </c>
      <c r="H32" s="12">
        <v>13.973000000000001</v>
      </c>
      <c r="I32" s="12">
        <v>2.7</v>
      </c>
      <c r="J32" s="12">
        <v>30.706</v>
      </c>
      <c r="K32" s="12">
        <v>25.116</v>
      </c>
      <c r="L32" s="12">
        <v>0.01</v>
      </c>
      <c r="M32" s="12">
        <v>1E-3</v>
      </c>
      <c r="N32" s="12">
        <v>100</v>
      </c>
      <c r="O32" s="12">
        <v>0.97899999999999998</v>
      </c>
      <c r="P32" s="12">
        <v>0.128</v>
      </c>
      <c r="Q32" s="12">
        <v>0.996</v>
      </c>
      <c r="R32" s="12">
        <v>0.14099999999999999</v>
      </c>
      <c r="S32" s="12">
        <v>0.98199999999999998</v>
      </c>
      <c r="U32" s="12" t="s">
        <v>33</v>
      </c>
      <c r="V32" s="12" t="s">
        <v>37</v>
      </c>
      <c r="Y32" s="12">
        <f t="shared" si="1"/>
        <v>1.9750000000000001</v>
      </c>
      <c r="Z32" s="12">
        <f t="shared" si="2"/>
        <v>0.85099999999999998</v>
      </c>
    </row>
    <row r="33" spans="1:26" x14ac:dyDescent="0.2">
      <c r="A33" s="12" t="s">
        <v>49</v>
      </c>
      <c r="B33" s="12">
        <v>3476.375</v>
      </c>
      <c r="C33" s="12">
        <v>159.57400000000001</v>
      </c>
      <c r="D33" s="12">
        <v>24.488</v>
      </c>
      <c r="E33" s="12">
        <v>5.3029999999999999</v>
      </c>
      <c r="F33" s="12">
        <v>225.535</v>
      </c>
      <c r="G33" s="12">
        <v>2.669</v>
      </c>
      <c r="H33" s="12">
        <v>12.622999999999999</v>
      </c>
      <c r="I33" s="12">
        <v>3.125</v>
      </c>
      <c r="J33" s="12">
        <v>30.881</v>
      </c>
      <c r="K33" s="12">
        <v>25.559000000000001</v>
      </c>
      <c r="L33" s="12">
        <v>0.01</v>
      </c>
      <c r="M33" s="12">
        <v>1E-3</v>
      </c>
      <c r="N33" s="12">
        <v>100</v>
      </c>
      <c r="O33" s="12">
        <v>0.995</v>
      </c>
      <c r="P33" s="12">
        <v>0.252</v>
      </c>
      <c r="Q33" s="12">
        <v>0.90600000000000003</v>
      </c>
      <c r="R33" s="12">
        <v>0.35</v>
      </c>
      <c r="S33" s="12">
        <v>0.90500000000000003</v>
      </c>
      <c r="U33" s="12" t="s">
        <v>33</v>
      </c>
      <c r="V33" s="12" t="s">
        <v>37</v>
      </c>
      <c r="Y33" s="12">
        <f t="shared" si="1"/>
        <v>1.901</v>
      </c>
      <c r="Z33" s="12">
        <f t="shared" si="2"/>
        <v>0.74299999999999999</v>
      </c>
    </row>
    <row r="34" spans="1:26" x14ac:dyDescent="0.2">
      <c r="A34" s="12" t="s">
        <v>50</v>
      </c>
      <c r="B34" s="12">
        <v>3481.625</v>
      </c>
      <c r="C34" s="12">
        <v>159.649</v>
      </c>
      <c r="D34" s="12">
        <v>22.358000000000001</v>
      </c>
      <c r="E34" s="12">
        <v>8.0229999999999997</v>
      </c>
      <c r="F34" s="12">
        <v>211.73400000000001</v>
      </c>
      <c r="G34" s="12">
        <v>2.734</v>
      </c>
      <c r="H34" s="12">
        <v>15.29</v>
      </c>
      <c r="I34" s="12">
        <v>3.367</v>
      </c>
      <c r="J34" s="12">
        <v>37.500999999999998</v>
      </c>
      <c r="K34" s="12">
        <v>43.465000000000003</v>
      </c>
      <c r="L34" s="12">
        <v>0.01</v>
      </c>
      <c r="M34" s="12">
        <v>1E-3</v>
      </c>
      <c r="N34" s="12">
        <v>100</v>
      </c>
      <c r="O34" s="12">
        <v>0.94699999999999995</v>
      </c>
      <c r="P34" s="12">
        <v>0.11799999999999999</v>
      </c>
      <c r="Q34" s="12">
        <v>0.83399999999999996</v>
      </c>
      <c r="R34" s="12">
        <v>0.314</v>
      </c>
      <c r="S34" s="12">
        <v>0.88400000000000001</v>
      </c>
      <c r="U34" s="12" t="s">
        <v>33</v>
      </c>
      <c r="V34" s="12" t="s">
        <v>37</v>
      </c>
      <c r="W34" s="12">
        <v>10</v>
      </c>
      <c r="Y34" s="12">
        <f t="shared" si="1"/>
        <v>1.7809999999999999</v>
      </c>
      <c r="Z34" s="12">
        <f t="shared" si="2"/>
        <v>0.82899999999999996</v>
      </c>
    </row>
    <row r="35" spans="1:26" x14ac:dyDescent="0.2">
      <c r="A35" s="12" t="s">
        <v>50</v>
      </c>
      <c r="B35" s="12">
        <v>3481.75</v>
      </c>
      <c r="C35" s="12">
        <v>173.285</v>
      </c>
      <c r="D35" s="12">
        <v>22.413</v>
      </c>
      <c r="E35" s="12">
        <v>8.7490000000000006</v>
      </c>
      <c r="F35" s="12">
        <v>223.70699999999999</v>
      </c>
      <c r="G35" s="12">
        <v>2.6880000000000002</v>
      </c>
      <c r="H35" s="12">
        <v>16.536000000000001</v>
      </c>
      <c r="I35" s="12">
        <v>3.4969999999999999</v>
      </c>
      <c r="J35" s="12">
        <v>33.811</v>
      </c>
      <c r="K35" s="12">
        <v>38.503</v>
      </c>
      <c r="L35" s="12">
        <v>0.01</v>
      </c>
      <c r="M35" s="12">
        <v>1E-3</v>
      </c>
      <c r="N35" s="12">
        <v>100</v>
      </c>
      <c r="O35" s="12">
        <v>0.99399999999999999</v>
      </c>
      <c r="P35" s="12">
        <v>0.222</v>
      </c>
      <c r="Q35" s="12">
        <v>0.95899999999999996</v>
      </c>
      <c r="R35" s="12">
        <v>0.17599999999999999</v>
      </c>
      <c r="S35" s="12">
        <v>0.95399999999999996</v>
      </c>
      <c r="U35" s="12" t="s">
        <v>33</v>
      </c>
      <c r="V35" s="12" t="s">
        <v>37</v>
      </c>
      <c r="W35" s="12">
        <v>10</v>
      </c>
      <c r="Y35" s="12">
        <f t="shared" si="1"/>
        <v>1.9529999999999998</v>
      </c>
      <c r="Z35" s="12">
        <f t="shared" si="2"/>
        <v>0.77200000000000002</v>
      </c>
    </row>
    <row r="36" spans="1:26" x14ac:dyDescent="0.2">
      <c r="A36" s="12" t="s">
        <v>50</v>
      </c>
      <c r="B36" s="12">
        <v>3481.875</v>
      </c>
      <c r="C36" s="12">
        <v>171.06200000000001</v>
      </c>
      <c r="D36" s="12">
        <v>22.536999999999999</v>
      </c>
      <c r="E36" s="12">
        <v>8.8800000000000008</v>
      </c>
      <c r="F36" s="12">
        <v>228.69</v>
      </c>
      <c r="G36" s="12">
        <v>2.637</v>
      </c>
      <c r="H36" s="12">
        <v>17.526</v>
      </c>
      <c r="I36" s="12">
        <v>3.6760000000000002</v>
      </c>
      <c r="J36" s="12">
        <v>34.393000000000001</v>
      </c>
      <c r="K36" s="12">
        <v>38.872</v>
      </c>
      <c r="L36" s="12">
        <v>0.01</v>
      </c>
      <c r="M36" s="12">
        <v>1E-3</v>
      </c>
      <c r="N36" s="12">
        <v>100</v>
      </c>
      <c r="O36" s="12">
        <v>0.95199999999999996</v>
      </c>
      <c r="P36" s="12">
        <v>0.32800000000000001</v>
      </c>
      <c r="Q36" s="12">
        <v>0.98799999999999999</v>
      </c>
      <c r="R36" s="12">
        <v>6.0999999999999999E-2</v>
      </c>
      <c r="S36" s="12">
        <v>0.995</v>
      </c>
      <c r="U36" s="12" t="s">
        <v>33</v>
      </c>
      <c r="V36" s="12" t="s">
        <v>37</v>
      </c>
      <c r="W36" s="12">
        <v>10</v>
      </c>
      <c r="Y36" s="12">
        <f t="shared" si="1"/>
        <v>1.94</v>
      </c>
      <c r="Z36" s="12">
        <f t="shared" si="2"/>
        <v>0.62399999999999989</v>
      </c>
    </row>
    <row r="37" spans="1:26" x14ac:dyDescent="0.2">
      <c r="A37" s="12" t="s">
        <v>50</v>
      </c>
      <c r="B37" s="12">
        <v>3482</v>
      </c>
      <c r="C37" s="12">
        <v>158.10900000000001</v>
      </c>
      <c r="D37" s="12">
        <v>22.637</v>
      </c>
      <c r="E37" s="12">
        <v>8.3529999999999998</v>
      </c>
      <c r="F37" s="12">
        <v>226.48099999999999</v>
      </c>
      <c r="G37" s="12">
        <v>2.613</v>
      </c>
      <c r="H37" s="12">
        <v>17.673999999999999</v>
      </c>
      <c r="I37" s="12">
        <v>3.7909999999999999</v>
      </c>
      <c r="J37" s="12">
        <v>36.97</v>
      </c>
      <c r="K37" s="12">
        <v>42.015000000000001</v>
      </c>
      <c r="L37" s="12">
        <v>0.01</v>
      </c>
      <c r="M37" s="12">
        <v>1E-3</v>
      </c>
      <c r="N37" s="12">
        <v>100</v>
      </c>
      <c r="O37" s="12">
        <v>0.83099999999999996</v>
      </c>
      <c r="P37" s="12">
        <v>0.40500000000000003</v>
      </c>
      <c r="Q37" s="12">
        <v>0.91100000000000003</v>
      </c>
      <c r="R37" s="12">
        <v>1.2E-2</v>
      </c>
      <c r="S37" s="12">
        <v>0.97799999999999998</v>
      </c>
      <c r="U37" s="12" t="s">
        <v>33</v>
      </c>
      <c r="V37" s="12" t="s">
        <v>37</v>
      </c>
      <c r="W37" s="12">
        <v>10</v>
      </c>
      <c r="Y37" s="12">
        <f t="shared" si="1"/>
        <v>1.742</v>
      </c>
      <c r="Z37" s="12">
        <f t="shared" si="2"/>
        <v>0.42599999999999993</v>
      </c>
    </row>
    <row r="38" spans="1:26" x14ac:dyDescent="0.2">
      <c r="A38" s="12" t="s">
        <v>50</v>
      </c>
      <c r="B38" s="12">
        <v>3482.125</v>
      </c>
      <c r="C38" s="12">
        <v>130.81</v>
      </c>
      <c r="D38" s="12">
        <v>22.736999999999998</v>
      </c>
      <c r="E38" s="12">
        <v>6.7060000000000004</v>
      </c>
      <c r="F38" s="12">
        <v>215.67400000000001</v>
      </c>
      <c r="G38" s="12">
        <v>2.6059999999999999</v>
      </c>
      <c r="H38" s="12">
        <v>16.789000000000001</v>
      </c>
      <c r="I38" s="12">
        <v>3.8980000000000001</v>
      </c>
      <c r="J38" s="12">
        <v>46.962000000000003</v>
      </c>
      <c r="K38" s="12">
        <v>54.716999999999999</v>
      </c>
      <c r="L38" s="12">
        <v>0.01</v>
      </c>
      <c r="M38" s="12">
        <v>1E-3</v>
      </c>
      <c r="N38" s="12">
        <v>100</v>
      </c>
      <c r="O38" s="12">
        <v>0.66400000000000003</v>
      </c>
      <c r="P38" s="12">
        <v>0.47099999999999997</v>
      </c>
      <c r="Q38" s="12">
        <v>0.73199999999999998</v>
      </c>
      <c r="R38" s="12">
        <v>2.1000000000000001E-2</v>
      </c>
      <c r="S38" s="12">
        <v>0.90500000000000003</v>
      </c>
      <c r="U38" s="12" t="s">
        <v>33</v>
      </c>
      <c r="V38" s="12" t="s">
        <v>37</v>
      </c>
      <c r="W38" s="12">
        <v>10</v>
      </c>
      <c r="Y38" s="12">
        <f t="shared" si="1"/>
        <v>1.3959999999999999</v>
      </c>
      <c r="Z38" s="12">
        <f t="shared" si="2"/>
        <v>0.19300000000000006</v>
      </c>
    </row>
    <row r="39" spans="1:26" x14ac:dyDescent="0.2">
      <c r="A39" s="12" t="s">
        <v>51</v>
      </c>
      <c r="B39" s="12">
        <v>3486.875</v>
      </c>
      <c r="C39" s="12">
        <v>61.442999999999998</v>
      </c>
      <c r="D39" s="12">
        <v>22.652999999999999</v>
      </c>
      <c r="E39" s="12">
        <v>5.2140000000000004</v>
      </c>
      <c r="F39" s="12">
        <v>199.559</v>
      </c>
      <c r="G39" s="12">
        <v>2.581</v>
      </c>
      <c r="H39" s="12">
        <v>10.602</v>
      </c>
      <c r="I39" s="12">
        <v>2.9129999999999998</v>
      </c>
      <c r="J39" s="12">
        <v>282.40600000000001</v>
      </c>
      <c r="K39" s="12">
        <v>337.63</v>
      </c>
      <c r="L39" s="12">
        <v>0.01</v>
      </c>
      <c r="M39" s="12">
        <v>1E-3</v>
      </c>
      <c r="N39" s="12">
        <v>100</v>
      </c>
      <c r="O39" s="12">
        <v>0.371</v>
      </c>
      <c r="P39" s="12">
        <v>7.0000000000000001E-3</v>
      </c>
      <c r="Q39" s="12">
        <v>0.54800000000000004</v>
      </c>
      <c r="R39" s="12">
        <v>0.152</v>
      </c>
      <c r="S39" s="12">
        <v>0.57499999999999996</v>
      </c>
      <c r="U39" s="12" t="s">
        <v>33</v>
      </c>
      <c r="V39" s="12" t="s">
        <v>37</v>
      </c>
      <c r="Y39" s="12">
        <f t="shared" si="1"/>
        <v>0.91900000000000004</v>
      </c>
      <c r="Z39" s="12">
        <f t="shared" si="2"/>
        <v>0.36399999999999999</v>
      </c>
    </row>
    <row r="40" spans="1:26" x14ac:dyDescent="0.2">
      <c r="A40" s="12" t="s">
        <v>51</v>
      </c>
      <c r="B40" s="12">
        <v>3487</v>
      </c>
      <c r="C40" s="12">
        <v>78.638999999999996</v>
      </c>
      <c r="D40" s="12">
        <v>22.875</v>
      </c>
      <c r="E40" s="12">
        <v>7.6559999999999997</v>
      </c>
      <c r="F40" s="12">
        <v>215.166</v>
      </c>
      <c r="G40" s="12">
        <v>2.5310000000000001</v>
      </c>
      <c r="H40" s="12">
        <v>13.173</v>
      </c>
      <c r="I40" s="12">
        <v>2.9420000000000002</v>
      </c>
      <c r="J40" s="12">
        <v>135.31399999999999</v>
      </c>
      <c r="K40" s="12">
        <v>161.40799999999999</v>
      </c>
      <c r="L40" s="12">
        <v>0.01</v>
      </c>
      <c r="M40" s="12">
        <v>1E-3</v>
      </c>
      <c r="N40" s="12">
        <v>100</v>
      </c>
      <c r="O40" s="12">
        <v>0.49399999999999999</v>
      </c>
      <c r="P40" s="12">
        <v>0.01</v>
      </c>
      <c r="Q40" s="12">
        <v>0.748</v>
      </c>
      <c r="R40" s="12">
        <v>2.7E-2</v>
      </c>
      <c r="S40" s="12">
        <v>0.73699999999999999</v>
      </c>
      <c r="U40" s="12" t="s">
        <v>33</v>
      </c>
      <c r="V40" s="12" t="s">
        <v>37</v>
      </c>
      <c r="Y40" s="12">
        <f t="shared" si="1"/>
        <v>1.242</v>
      </c>
      <c r="Z40" s="12">
        <f t="shared" si="2"/>
        <v>0.48399999999999999</v>
      </c>
    </row>
    <row r="41" spans="1:26" x14ac:dyDescent="0.2">
      <c r="A41" s="12" t="s">
        <v>51</v>
      </c>
      <c r="B41" s="12">
        <v>3487.125</v>
      </c>
      <c r="C41" s="12">
        <v>103.795</v>
      </c>
      <c r="D41" s="12">
        <v>23.204000000000001</v>
      </c>
      <c r="E41" s="12">
        <v>9.4350000000000005</v>
      </c>
      <c r="F41" s="12">
        <v>227.31100000000001</v>
      </c>
      <c r="G41" s="12">
        <v>2.5289999999999999</v>
      </c>
      <c r="H41" s="12">
        <v>15.502000000000001</v>
      </c>
      <c r="I41" s="12">
        <v>3.08</v>
      </c>
      <c r="J41" s="12">
        <v>78.906999999999996</v>
      </c>
      <c r="K41" s="12">
        <v>92.784999999999997</v>
      </c>
      <c r="L41" s="12">
        <v>0.01</v>
      </c>
      <c r="M41" s="12">
        <v>1E-3</v>
      </c>
      <c r="N41" s="12">
        <v>100</v>
      </c>
      <c r="O41" s="12">
        <v>0.67700000000000005</v>
      </c>
      <c r="P41" s="12">
        <v>0.06</v>
      </c>
      <c r="Q41" s="12">
        <v>0.91400000000000003</v>
      </c>
      <c r="R41" s="12">
        <v>1E-3</v>
      </c>
      <c r="S41" s="12">
        <v>0.89200000000000002</v>
      </c>
      <c r="U41" s="12" t="s">
        <v>33</v>
      </c>
      <c r="V41" s="12" t="s">
        <v>37</v>
      </c>
      <c r="Y41" s="12">
        <f t="shared" si="1"/>
        <v>1.5910000000000002</v>
      </c>
      <c r="Z41" s="12">
        <f t="shared" si="2"/>
        <v>0.61699999999999999</v>
      </c>
    </row>
    <row r="42" spans="1:26" x14ac:dyDescent="0.2">
      <c r="A42" s="12" t="s">
        <v>51</v>
      </c>
      <c r="B42" s="12">
        <v>3487.25</v>
      </c>
      <c r="C42" s="12">
        <v>128.72399999999999</v>
      </c>
      <c r="D42" s="12">
        <v>23.581</v>
      </c>
      <c r="E42" s="12">
        <v>9.5530000000000008</v>
      </c>
      <c r="F42" s="12">
        <v>231.49600000000001</v>
      </c>
      <c r="G42" s="12">
        <v>2.5819999999999999</v>
      </c>
      <c r="H42" s="12">
        <v>16.707000000000001</v>
      </c>
      <c r="I42" s="12">
        <v>3.3130000000000002</v>
      </c>
      <c r="J42" s="12">
        <v>69.001999999999995</v>
      </c>
      <c r="K42" s="12">
        <v>80.394999999999996</v>
      </c>
      <c r="L42" s="12">
        <v>0.01</v>
      </c>
      <c r="M42" s="12">
        <v>1E-3</v>
      </c>
      <c r="N42" s="12">
        <v>100</v>
      </c>
      <c r="O42" s="12">
        <v>0.872</v>
      </c>
      <c r="P42" s="12">
        <v>0.151</v>
      </c>
      <c r="Q42" s="12">
        <v>0.98899999999999999</v>
      </c>
      <c r="R42" s="12">
        <v>9.6000000000000002E-2</v>
      </c>
      <c r="S42" s="12">
        <v>0.98399999999999999</v>
      </c>
      <c r="U42" s="12" t="s">
        <v>33</v>
      </c>
      <c r="V42" s="12" t="s">
        <v>37</v>
      </c>
      <c r="Y42" s="12">
        <f t="shared" si="1"/>
        <v>1.861</v>
      </c>
      <c r="Z42" s="12">
        <f t="shared" si="2"/>
        <v>0.72099999999999997</v>
      </c>
    </row>
    <row r="43" spans="1:26" x14ac:dyDescent="0.2">
      <c r="A43" s="12" t="s">
        <v>51</v>
      </c>
      <c r="B43" s="12">
        <v>3487.375</v>
      </c>
      <c r="C43" s="12">
        <v>140.24799999999999</v>
      </c>
      <c r="D43" s="12">
        <v>23.91</v>
      </c>
      <c r="E43" s="12">
        <v>8.2370000000000001</v>
      </c>
      <c r="F43" s="12">
        <v>227.11799999999999</v>
      </c>
      <c r="G43" s="12">
        <v>2.6720000000000002</v>
      </c>
      <c r="H43" s="12">
        <v>16.145</v>
      </c>
      <c r="I43" s="12">
        <v>3.5960000000000001</v>
      </c>
      <c r="J43" s="12">
        <v>70.575999999999993</v>
      </c>
      <c r="K43" s="12">
        <v>81.998000000000005</v>
      </c>
      <c r="L43" s="12">
        <v>0.01</v>
      </c>
      <c r="M43" s="12">
        <v>1E-3</v>
      </c>
      <c r="N43" s="12">
        <v>100</v>
      </c>
      <c r="O43" s="12">
        <v>0.98199999999999998</v>
      </c>
      <c r="P43" s="12">
        <v>0.26800000000000002</v>
      </c>
      <c r="Q43" s="12">
        <v>0.95399999999999996</v>
      </c>
      <c r="R43" s="12">
        <v>0.28399999999999997</v>
      </c>
      <c r="S43" s="12">
        <v>0.97099999999999997</v>
      </c>
      <c r="U43" s="12" t="s">
        <v>33</v>
      </c>
      <c r="V43" s="12" t="s">
        <v>37</v>
      </c>
      <c r="Y43" s="12">
        <f t="shared" si="1"/>
        <v>1.9359999999999999</v>
      </c>
      <c r="Z43" s="12">
        <f t="shared" si="2"/>
        <v>0.71399999999999997</v>
      </c>
    </row>
    <row r="44" spans="1:26" x14ac:dyDescent="0.2">
      <c r="A44" s="12" t="s">
        <v>52</v>
      </c>
      <c r="B44" s="12">
        <v>3851.875</v>
      </c>
      <c r="C44" s="12">
        <v>74.878</v>
      </c>
      <c r="D44" s="12">
        <v>22.881</v>
      </c>
      <c r="E44" s="12">
        <v>1.708</v>
      </c>
      <c r="F44" s="12">
        <v>203.18100000000001</v>
      </c>
      <c r="G44" s="12">
        <v>2.6859999999999999</v>
      </c>
      <c r="H44" s="12">
        <v>10.875</v>
      </c>
      <c r="I44" s="12">
        <v>2.9329999999999998</v>
      </c>
      <c r="J44" s="12">
        <v>394.22699999999998</v>
      </c>
      <c r="K44" s="12">
        <v>433.80200000000002</v>
      </c>
      <c r="L44" s="12">
        <v>0.01</v>
      </c>
      <c r="M44" s="12">
        <v>1E-3</v>
      </c>
      <c r="N44" s="12">
        <v>100</v>
      </c>
      <c r="O44" s="12">
        <v>0.59299999999999997</v>
      </c>
      <c r="P44" s="12">
        <v>0.317</v>
      </c>
      <c r="Q44" s="12">
        <v>0.60099999999999998</v>
      </c>
      <c r="R44" s="12">
        <v>0.109</v>
      </c>
      <c r="S44" s="12">
        <v>0.71899999999999997</v>
      </c>
      <c r="U44" s="12" t="s">
        <v>33</v>
      </c>
      <c r="V44" s="12" t="s">
        <v>37</v>
      </c>
      <c r="Y44" s="12">
        <f t="shared" si="1"/>
        <v>1.194</v>
      </c>
      <c r="Z44" s="12">
        <f t="shared" si="2"/>
        <v>0.27599999999999997</v>
      </c>
    </row>
    <row r="45" spans="1:26" x14ac:dyDescent="0.2">
      <c r="A45" s="12" t="s">
        <v>52</v>
      </c>
      <c r="B45" s="12">
        <v>3852</v>
      </c>
      <c r="C45" s="12">
        <v>104.33</v>
      </c>
      <c r="D45" s="12">
        <v>23.47</v>
      </c>
      <c r="E45" s="12">
        <v>2.6120000000000001</v>
      </c>
      <c r="F45" s="12">
        <v>229.65700000000001</v>
      </c>
      <c r="G45" s="12">
        <v>2.6640000000000001</v>
      </c>
      <c r="H45" s="12">
        <v>13.12</v>
      </c>
      <c r="I45" s="12">
        <v>3.085</v>
      </c>
      <c r="J45" s="12">
        <v>139.065</v>
      </c>
      <c r="K45" s="12">
        <v>151.56899999999999</v>
      </c>
      <c r="L45" s="12">
        <v>0.01</v>
      </c>
      <c r="M45" s="12">
        <v>1E-3</v>
      </c>
      <c r="N45" s="12">
        <v>100</v>
      </c>
      <c r="O45" s="12">
        <v>0.81899999999999995</v>
      </c>
      <c r="P45" s="12">
        <v>0.41199999999999998</v>
      </c>
      <c r="Q45" s="12">
        <v>0.83699999999999997</v>
      </c>
      <c r="R45" s="12">
        <v>7.6999999999999999E-2</v>
      </c>
      <c r="S45" s="12">
        <v>0.92600000000000005</v>
      </c>
      <c r="U45" s="12" t="s">
        <v>33</v>
      </c>
      <c r="V45" s="12" t="s">
        <v>37</v>
      </c>
      <c r="Y45" s="12">
        <f t="shared" si="1"/>
        <v>1.6559999999999999</v>
      </c>
      <c r="Z45" s="12">
        <f t="shared" si="2"/>
        <v>0.40699999999999997</v>
      </c>
    </row>
    <row r="46" spans="1:26" x14ac:dyDescent="0.2">
      <c r="A46" s="12" t="s">
        <v>52</v>
      </c>
      <c r="B46" s="12">
        <v>3852.125</v>
      </c>
      <c r="C46" s="12">
        <v>125.288</v>
      </c>
      <c r="D46" s="12">
        <v>23.573</v>
      </c>
      <c r="E46" s="12">
        <v>3.6920000000000002</v>
      </c>
      <c r="F46" s="12">
        <v>245.976</v>
      </c>
      <c r="G46" s="12">
        <v>2.6850000000000001</v>
      </c>
      <c r="H46" s="12">
        <v>14.131</v>
      </c>
      <c r="I46" s="12">
        <v>3.1859999999999999</v>
      </c>
      <c r="J46" s="12">
        <v>64.19</v>
      </c>
      <c r="K46" s="12">
        <v>69.486000000000004</v>
      </c>
      <c r="L46" s="12">
        <v>0.01</v>
      </c>
      <c r="M46" s="12">
        <v>1E-3</v>
      </c>
      <c r="N46" s="12">
        <v>100</v>
      </c>
      <c r="O46" s="12">
        <v>0.95799999999999996</v>
      </c>
      <c r="P46" s="12">
        <v>0.46500000000000002</v>
      </c>
      <c r="Q46" s="12">
        <v>0.96399999999999997</v>
      </c>
      <c r="R46" s="12">
        <v>0.19400000000000001</v>
      </c>
      <c r="S46" s="12">
        <v>0.97899999999999998</v>
      </c>
      <c r="U46" s="12" t="s">
        <v>33</v>
      </c>
      <c r="V46" s="12" t="s">
        <v>37</v>
      </c>
      <c r="Y46" s="12">
        <f t="shared" si="1"/>
        <v>1.9219999999999999</v>
      </c>
      <c r="Z46" s="12">
        <f t="shared" si="2"/>
        <v>0.49299999999999994</v>
      </c>
    </row>
    <row r="47" spans="1:26" x14ac:dyDescent="0.2">
      <c r="A47" s="12" t="s">
        <v>52</v>
      </c>
      <c r="B47" s="12">
        <v>3852.25</v>
      </c>
      <c r="C47" s="12">
        <v>132.965</v>
      </c>
      <c r="D47" s="12">
        <v>23.135999999999999</v>
      </c>
      <c r="E47" s="12">
        <v>4.1859999999999999</v>
      </c>
      <c r="F47" s="12">
        <v>251.36</v>
      </c>
      <c r="G47" s="12">
        <v>2.714</v>
      </c>
      <c r="H47" s="12">
        <v>13.63</v>
      </c>
      <c r="I47" s="12">
        <v>3.2130000000000001</v>
      </c>
      <c r="J47" s="12">
        <v>50.38</v>
      </c>
      <c r="K47" s="12">
        <v>54.45</v>
      </c>
      <c r="L47" s="12">
        <v>0.01</v>
      </c>
      <c r="M47" s="12">
        <v>1E-3</v>
      </c>
      <c r="N47" s="12">
        <v>100</v>
      </c>
      <c r="O47" s="12">
        <v>0.99299999999999999</v>
      </c>
      <c r="P47" s="12">
        <v>0.46500000000000002</v>
      </c>
      <c r="Q47" s="12">
        <v>0.97299999999999998</v>
      </c>
      <c r="R47" s="12">
        <v>0.3</v>
      </c>
      <c r="S47" s="12">
        <v>0.90400000000000003</v>
      </c>
      <c r="U47" s="12" t="s">
        <v>33</v>
      </c>
      <c r="V47" s="12" t="s">
        <v>37</v>
      </c>
      <c r="Y47" s="12">
        <f t="shared" si="1"/>
        <v>1.966</v>
      </c>
      <c r="Z47" s="12">
        <f t="shared" si="2"/>
        <v>0.52800000000000002</v>
      </c>
    </row>
    <row r="48" spans="1:26" x14ac:dyDescent="0.2">
      <c r="A48" s="12" t="s">
        <v>52</v>
      </c>
      <c r="B48" s="12">
        <v>3852.375</v>
      </c>
      <c r="C48" s="12">
        <v>130.78</v>
      </c>
      <c r="D48" s="12">
        <v>22.571999999999999</v>
      </c>
      <c r="E48" s="12">
        <v>4.226</v>
      </c>
      <c r="F48" s="12">
        <v>244.02</v>
      </c>
      <c r="G48" s="12">
        <v>2.722</v>
      </c>
      <c r="H48" s="12">
        <v>12.689</v>
      </c>
      <c r="I48" s="12">
        <v>3.165</v>
      </c>
      <c r="J48" s="12">
        <v>50.942999999999998</v>
      </c>
      <c r="K48" s="12">
        <v>54.976999999999997</v>
      </c>
      <c r="L48" s="12">
        <v>0.01</v>
      </c>
      <c r="M48" s="12">
        <v>1E-3</v>
      </c>
      <c r="N48" s="12">
        <v>100</v>
      </c>
      <c r="O48" s="12">
        <v>0.95299999999999996</v>
      </c>
      <c r="P48" s="12">
        <v>0.41499999999999998</v>
      </c>
      <c r="Q48" s="12">
        <v>0.84899999999999998</v>
      </c>
      <c r="R48" s="12">
        <v>0.36399999999999999</v>
      </c>
      <c r="S48" s="12">
        <v>0.80700000000000005</v>
      </c>
      <c r="U48" s="12" t="s">
        <v>33</v>
      </c>
      <c r="V48" s="12" t="s">
        <v>37</v>
      </c>
      <c r="Y48" s="12">
        <f t="shared" si="1"/>
        <v>1.802</v>
      </c>
      <c r="Z48" s="12">
        <f t="shared" si="2"/>
        <v>0.53800000000000003</v>
      </c>
    </row>
    <row r="49" spans="1:26" x14ac:dyDescent="0.2">
      <c r="A49" s="9" t="s">
        <v>76</v>
      </c>
      <c r="B49" s="9">
        <v>3827.5</v>
      </c>
      <c r="C49" s="9">
        <v>120.45399999999999</v>
      </c>
      <c r="D49" s="9">
        <v>21.891999999999999</v>
      </c>
      <c r="E49" s="9">
        <v>3.5870000000000002</v>
      </c>
      <c r="F49" s="9">
        <v>183.93899999999999</v>
      </c>
      <c r="G49" s="9">
        <v>2.601</v>
      </c>
      <c r="H49" s="9">
        <v>8.0449999999999999</v>
      </c>
      <c r="I49" s="9">
        <v>2.31</v>
      </c>
      <c r="J49" s="9">
        <v>51.848999999999997</v>
      </c>
      <c r="K49" s="9">
        <v>78.983999999999995</v>
      </c>
      <c r="L49" s="9">
        <v>0</v>
      </c>
      <c r="M49" s="9">
        <v>0</v>
      </c>
      <c r="N49" s="9">
        <v>100</v>
      </c>
      <c r="O49" s="9">
        <v>0.73199999999999998</v>
      </c>
      <c r="P49" s="9">
        <v>2.7E-2</v>
      </c>
      <c r="Q49" s="9">
        <v>0.66400000000000003</v>
      </c>
      <c r="R49" s="9">
        <v>0.193</v>
      </c>
      <c r="S49" s="9">
        <v>0.372</v>
      </c>
      <c r="T49" s="9"/>
      <c r="U49" s="9" t="s">
        <v>33</v>
      </c>
      <c r="V49" s="9" t="s">
        <v>37</v>
      </c>
      <c r="W49" s="9">
        <v>6</v>
      </c>
      <c r="X49" s="9" t="s">
        <v>31</v>
      </c>
      <c r="Y49" s="12">
        <f t="shared" si="1"/>
        <v>1.3959999999999999</v>
      </c>
      <c r="Z49" s="9">
        <v>0.70499999999999996</v>
      </c>
    </row>
    <row r="50" spans="1:26" x14ac:dyDescent="0.2">
      <c r="A50" s="9" t="s">
        <v>76</v>
      </c>
      <c r="B50" s="9">
        <v>3827.625</v>
      </c>
      <c r="C50" s="9">
        <v>145.25399999999999</v>
      </c>
      <c r="D50" s="9">
        <v>21.949000000000002</v>
      </c>
      <c r="E50" s="9">
        <v>4.0110000000000001</v>
      </c>
      <c r="F50" s="9">
        <v>189.43700000000001</v>
      </c>
      <c r="G50" s="9">
        <v>2.5670000000000002</v>
      </c>
      <c r="H50" s="9">
        <v>9.2210000000000001</v>
      </c>
      <c r="I50" s="9">
        <v>2.2490000000000001</v>
      </c>
      <c r="J50" s="9">
        <v>43.234000000000002</v>
      </c>
      <c r="K50" s="9">
        <v>64.097999999999999</v>
      </c>
      <c r="L50" s="9">
        <v>0</v>
      </c>
      <c r="M50" s="9">
        <v>0</v>
      </c>
      <c r="N50" s="9">
        <v>100</v>
      </c>
      <c r="O50" s="9">
        <v>0.879</v>
      </c>
      <c r="P50" s="9">
        <v>2E-3</v>
      </c>
      <c r="Q50" s="9">
        <v>0.75800000000000001</v>
      </c>
      <c r="R50" s="9">
        <v>7.6999999999999999E-2</v>
      </c>
      <c r="S50" s="9">
        <v>0.54600000000000004</v>
      </c>
      <c r="T50" s="9"/>
      <c r="U50" s="9" t="s">
        <v>33</v>
      </c>
      <c r="V50" s="9" t="s">
        <v>37</v>
      </c>
      <c r="W50" s="9">
        <v>6</v>
      </c>
      <c r="X50" s="9" t="s">
        <v>31</v>
      </c>
      <c r="Y50" s="12">
        <f t="shared" si="1"/>
        <v>1.637</v>
      </c>
      <c r="Z50" s="9">
        <v>0.877</v>
      </c>
    </row>
    <row r="51" spans="1:26" x14ac:dyDescent="0.2">
      <c r="A51" s="9" t="s">
        <v>76</v>
      </c>
      <c r="B51" s="9">
        <v>3827.75</v>
      </c>
      <c r="C51" s="9">
        <v>161.00700000000001</v>
      </c>
      <c r="D51" s="9">
        <v>21.77</v>
      </c>
      <c r="E51" s="9">
        <v>4.2300000000000004</v>
      </c>
      <c r="F51" s="9">
        <v>193.43100000000001</v>
      </c>
      <c r="G51" s="9">
        <v>2.548</v>
      </c>
      <c r="H51" s="9">
        <v>10.584</v>
      </c>
      <c r="I51" s="9">
        <v>2.2440000000000002</v>
      </c>
      <c r="J51" s="9">
        <v>35.51</v>
      </c>
      <c r="K51" s="9">
        <v>50.366999999999997</v>
      </c>
      <c r="L51" s="9">
        <v>0</v>
      </c>
      <c r="M51" s="9">
        <v>0</v>
      </c>
      <c r="N51" s="9">
        <v>100</v>
      </c>
      <c r="O51" s="9">
        <v>0.96699999999999997</v>
      </c>
      <c r="P51" s="9">
        <v>5.0000000000000001E-3</v>
      </c>
      <c r="Q51" s="9">
        <v>0.82399999999999995</v>
      </c>
      <c r="R51" s="9">
        <v>1.7000000000000001E-2</v>
      </c>
      <c r="S51" s="9">
        <v>0.73799999999999999</v>
      </c>
      <c r="T51" s="9"/>
      <c r="U51" s="9" t="s">
        <v>33</v>
      </c>
      <c r="V51" s="9" t="s">
        <v>37</v>
      </c>
      <c r="W51" s="9">
        <v>6</v>
      </c>
      <c r="X51" s="9" t="s">
        <v>31</v>
      </c>
      <c r="Y51" s="12">
        <f t="shared" si="1"/>
        <v>1.7909999999999999</v>
      </c>
      <c r="Z51" s="9">
        <v>0.96199999999999997</v>
      </c>
    </row>
    <row r="52" spans="1:26" x14ac:dyDescent="0.2">
      <c r="A52" s="9" t="s">
        <v>76</v>
      </c>
      <c r="B52" s="9">
        <v>3827.875</v>
      </c>
      <c r="C52" s="9">
        <v>167.90799999999999</v>
      </c>
      <c r="D52" s="9">
        <v>21.616</v>
      </c>
      <c r="E52" s="9">
        <v>4.16</v>
      </c>
      <c r="F52" s="9">
        <v>195.85499999999999</v>
      </c>
      <c r="G52" s="9">
        <v>2.5419999999999998</v>
      </c>
      <c r="H52" s="9">
        <v>11.912000000000001</v>
      </c>
      <c r="I52" s="9">
        <v>2.2789999999999999</v>
      </c>
      <c r="J52" s="9">
        <v>30.664999999999999</v>
      </c>
      <c r="K52" s="9">
        <v>41.499000000000002</v>
      </c>
      <c r="L52" s="9">
        <v>0</v>
      </c>
      <c r="M52" s="9">
        <v>0</v>
      </c>
      <c r="N52" s="9">
        <v>100</v>
      </c>
      <c r="O52" s="9">
        <v>0.99199999999999999</v>
      </c>
      <c r="P52" s="9">
        <v>0.03</v>
      </c>
      <c r="Q52" s="9">
        <v>0.86299999999999999</v>
      </c>
      <c r="R52" s="9">
        <v>2E-3</v>
      </c>
      <c r="S52" s="9">
        <v>0.90800000000000003</v>
      </c>
      <c r="T52" s="9"/>
      <c r="U52" s="9" t="s">
        <v>33</v>
      </c>
      <c r="V52" s="9" t="s">
        <v>37</v>
      </c>
      <c r="W52" s="9">
        <v>6</v>
      </c>
      <c r="X52" s="9" t="s">
        <v>31</v>
      </c>
      <c r="Y52" s="12">
        <f t="shared" si="1"/>
        <v>1.855</v>
      </c>
      <c r="Z52" s="9">
        <v>0.96199999999999997</v>
      </c>
    </row>
    <row r="53" spans="1:26" x14ac:dyDescent="0.2">
      <c r="A53" s="9" t="s">
        <v>76</v>
      </c>
      <c r="B53" s="9">
        <v>3828</v>
      </c>
      <c r="C53" s="9">
        <v>163.446</v>
      </c>
      <c r="D53" s="9">
        <v>21.536000000000001</v>
      </c>
      <c r="E53" s="9">
        <v>4.2709999999999999</v>
      </c>
      <c r="F53" s="9">
        <v>197.12100000000001</v>
      </c>
      <c r="G53" s="9">
        <v>2.544</v>
      </c>
      <c r="H53" s="9">
        <v>12.744999999999999</v>
      </c>
      <c r="I53" s="9">
        <v>2.351</v>
      </c>
      <c r="J53" s="9">
        <v>30.38</v>
      </c>
      <c r="K53" s="9">
        <v>39.113999999999997</v>
      </c>
      <c r="L53" s="9">
        <v>0</v>
      </c>
      <c r="M53" s="9">
        <v>0</v>
      </c>
      <c r="N53" s="9">
        <v>100</v>
      </c>
      <c r="O53" s="9">
        <v>0.94699999999999995</v>
      </c>
      <c r="P53" s="9">
        <v>7.4999999999999997E-2</v>
      </c>
      <c r="Q53" s="9">
        <v>0.88400000000000001</v>
      </c>
      <c r="R53" s="9">
        <v>1.4E-2</v>
      </c>
      <c r="S53" s="9">
        <v>0.996</v>
      </c>
      <c r="T53" s="9"/>
      <c r="U53" s="9" t="s">
        <v>33</v>
      </c>
      <c r="V53" s="9" t="s">
        <v>37</v>
      </c>
      <c r="W53" s="9">
        <v>6</v>
      </c>
      <c r="X53" s="9" t="s">
        <v>31</v>
      </c>
      <c r="Y53" s="12">
        <f t="shared" si="1"/>
        <v>1.831</v>
      </c>
      <c r="Z53" s="9">
        <v>0.872</v>
      </c>
    </row>
    <row r="54" spans="1:26" x14ac:dyDescent="0.2">
      <c r="A54" s="9" t="s">
        <v>76</v>
      </c>
      <c r="B54" s="9">
        <v>3828.125</v>
      </c>
      <c r="C54" s="9">
        <v>150.24100000000001</v>
      </c>
      <c r="D54" s="9">
        <v>21.754999999999999</v>
      </c>
      <c r="E54" s="9">
        <v>4.7</v>
      </c>
      <c r="F54" s="9">
        <v>197.982</v>
      </c>
      <c r="G54" s="9">
        <v>2.5499999999999998</v>
      </c>
      <c r="H54" s="9">
        <v>12.786</v>
      </c>
      <c r="I54" s="9">
        <v>2.4609999999999999</v>
      </c>
      <c r="J54" s="9">
        <v>31.98</v>
      </c>
      <c r="K54" s="9">
        <v>39.904000000000003</v>
      </c>
      <c r="L54" s="9">
        <v>0</v>
      </c>
      <c r="M54" s="9">
        <v>0</v>
      </c>
      <c r="N54" s="9">
        <v>100</v>
      </c>
      <c r="O54" s="9">
        <v>0.85799999999999998</v>
      </c>
      <c r="P54" s="9">
        <v>0.13900000000000001</v>
      </c>
      <c r="Q54" s="9">
        <v>0.90200000000000002</v>
      </c>
      <c r="R54" s="9">
        <v>4.3999999999999997E-2</v>
      </c>
      <c r="S54" s="9">
        <v>0.98699999999999999</v>
      </c>
      <c r="T54" s="9"/>
      <c r="U54" s="9" t="s">
        <v>33</v>
      </c>
      <c r="V54" s="9" t="s">
        <v>37</v>
      </c>
      <c r="W54" s="9">
        <v>6</v>
      </c>
      <c r="X54" s="9" t="s">
        <v>31</v>
      </c>
      <c r="Y54" s="12">
        <f t="shared" si="1"/>
        <v>1.76</v>
      </c>
      <c r="Z54" s="9">
        <v>0.71899999999999997</v>
      </c>
    </row>
    <row r="55" spans="1:26" x14ac:dyDescent="0.2">
      <c r="A55" s="9" t="s">
        <v>77</v>
      </c>
      <c r="B55" s="9">
        <v>3386.5</v>
      </c>
      <c r="C55" s="9">
        <v>97.311000000000007</v>
      </c>
      <c r="D55" s="9">
        <v>22.172000000000001</v>
      </c>
      <c r="E55" s="9">
        <v>4.5449999999999999</v>
      </c>
      <c r="F55" s="9">
        <v>199.42099999999999</v>
      </c>
      <c r="G55" s="9">
        <v>2.5950000000000002</v>
      </c>
      <c r="H55" s="9">
        <v>6.0979999999999999</v>
      </c>
      <c r="I55" s="9">
        <v>3.1960000000000002</v>
      </c>
      <c r="J55" s="9">
        <v>51.323999999999998</v>
      </c>
      <c r="K55" s="9">
        <v>55.786999999999999</v>
      </c>
      <c r="L55" s="9">
        <v>0</v>
      </c>
      <c r="M55" s="9">
        <v>0</v>
      </c>
      <c r="N55" s="9">
        <v>100</v>
      </c>
      <c r="O55" s="9">
        <v>0.60099999999999998</v>
      </c>
      <c r="P55" s="9">
        <v>0.126</v>
      </c>
      <c r="Q55" s="9">
        <v>0.872</v>
      </c>
      <c r="R55" s="9">
        <v>0.17100000000000001</v>
      </c>
      <c r="S55" s="9">
        <v>0.79300000000000004</v>
      </c>
      <c r="T55" s="9"/>
      <c r="U55" s="9" t="s">
        <v>33</v>
      </c>
      <c r="V55" s="9" t="s">
        <v>36</v>
      </c>
      <c r="W55" s="9">
        <v>9</v>
      </c>
      <c r="X55" s="9" t="s">
        <v>31</v>
      </c>
      <c r="Y55" s="12">
        <f t="shared" si="1"/>
        <v>1.4729999999999999</v>
      </c>
      <c r="Z55" s="9">
        <v>0.47499999999999998</v>
      </c>
    </row>
    <row r="56" spans="1:26" x14ac:dyDescent="0.2">
      <c r="A56" s="9" t="s">
        <v>77</v>
      </c>
      <c r="B56" s="9">
        <v>3386.625</v>
      </c>
      <c r="C56" s="9">
        <v>136.68700000000001</v>
      </c>
      <c r="D56" s="9">
        <v>22.282</v>
      </c>
      <c r="E56" s="9">
        <v>5.0839999999999996</v>
      </c>
      <c r="F56" s="9">
        <v>204.12100000000001</v>
      </c>
      <c r="G56" s="9">
        <v>2.5670000000000002</v>
      </c>
      <c r="H56" s="9">
        <v>6.7290000000000001</v>
      </c>
      <c r="I56" s="9">
        <v>3.1859999999999999</v>
      </c>
      <c r="J56" s="9">
        <v>35.344999999999999</v>
      </c>
      <c r="K56" s="9">
        <v>38.417999999999999</v>
      </c>
      <c r="L56" s="9">
        <v>0</v>
      </c>
      <c r="M56" s="9">
        <v>0</v>
      </c>
      <c r="N56" s="9">
        <v>100</v>
      </c>
      <c r="O56" s="9">
        <v>0.875</v>
      </c>
      <c r="P56" s="9">
        <v>5.8000000000000003E-2</v>
      </c>
      <c r="Q56" s="9">
        <v>0.96899999999999997</v>
      </c>
      <c r="R56" s="9">
        <v>7.6999999999999999E-2</v>
      </c>
      <c r="S56" s="9">
        <v>0.92400000000000004</v>
      </c>
      <c r="T56" s="9"/>
      <c r="U56" s="9" t="s">
        <v>33</v>
      </c>
      <c r="V56" s="9" t="s">
        <v>36</v>
      </c>
      <c r="W56" s="9">
        <v>9</v>
      </c>
      <c r="X56" s="9" t="s">
        <v>31</v>
      </c>
      <c r="Y56" s="12">
        <f t="shared" si="1"/>
        <v>1.8439999999999999</v>
      </c>
      <c r="Z56" s="9">
        <v>0.81699999999999995</v>
      </c>
    </row>
    <row r="57" spans="1:26" x14ac:dyDescent="0.2">
      <c r="A57" s="9" t="s">
        <v>77</v>
      </c>
      <c r="B57" s="9">
        <v>3386.75</v>
      </c>
      <c r="C57" s="9">
        <v>154.90899999999999</v>
      </c>
      <c r="D57" s="9">
        <v>22.355</v>
      </c>
      <c r="E57" s="9">
        <v>5.4320000000000004</v>
      </c>
      <c r="F57" s="9">
        <v>205.63399999999999</v>
      </c>
      <c r="G57" s="9">
        <v>2.5499999999999998</v>
      </c>
      <c r="H57" s="9">
        <v>7.0990000000000002</v>
      </c>
      <c r="I57" s="9">
        <v>3.1720000000000002</v>
      </c>
      <c r="J57" s="9">
        <v>26.478000000000002</v>
      </c>
      <c r="K57" s="9">
        <v>28.78</v>
      </c>
      <c r="L57" s="9">
        <v>0</v>
      </c>
      <c r="M57" s="9">
        <v>0</v>
      </c>
      <c r="N57" s="9">
        <v>100</v>
      </c>
      <c r="O57" s="9">
        <v>0.999</v>
      </c>
      <c r="P57" s="9">
        <v>7.0000000000000001E-3</v>
      </c>
      <c r="Q57" s="9">
        <v>0.999</v>
      </c>
      <c r="R57" s="9">
        <v>0.02</v>
      </c>
      <c r="S57" s="9">
        <v>1</v>
      </c>
      <c r="T57" s="9"/>
      <c r="U57" s="9" t="s">
        <v>33</v>
      </c>
      <c r="V57" s="9" t="s">
        <v>36</v>
      </c>
      <c r="W57" s="9">
        <v>9</v>
      </c>
      <c r="X57" s="9" t="s">
        <v>31</v>
      </c>
      <c r="Y57" s="12">
        <f t="shared" si="1"/>
        <v>1.998</v>
      </c>
      <c r="Z57" s="9">
        <v>0.99199999999999999</v>
      </c>
    </row>
    <row r="58" spans="1:26" x14ac:dyDescent="0.2">
      <c r="A58" s="9" t="s">
        <v>77</v>
      </c>
      <c r="B58" s="9">
        <v>3386.875</v>
      </c>
      <c r="C58" s="9">
        <v>148.28700000000001</v>
      </c>
      <c r="D58" s="9">
        <v>22.265000000000001</v>
      </c>
      <c r="E58" s="9">
        <v>5.641</v>
      </c>
      <c r="F58" s="9">
        <v>203.56700000000001</v>
      </c>
      <c r="G58" s="9">
        <v>2.544</v>
      </c>
      <c r="H58" s="9">
        <v>7.0810000000000004</v>
      </c>
      <c r="I58" s="9">
        <v>3.16</v>
      </c>
      <c r="J58" s="9">
        <v>25.492000000000001</v>
      </c>
      <c r="K58" s="9">
        <v>27.709</v>
      </c>
      <c r="L58" s="9">
        <v>0</v>
      </c>
      <c r="M58" s="9">
        <v>0</v>
      </c>
      <c r="N58" s="9">
        <v>100</v>
      </c>
      <c r="O58" s="9">
        <v>0.94599999999999995</v>
      </c>
      <c r="P58" s="9">
        <v>1E-3</v>
      </c>
      <c r="Q58" s="9">
        <v>0.95299999999999996</v>
      </c>
      <c r="R58" s="9">
        <v>1E-3</v>
      </c>
      <c r="S58" s="9">
        <v>0.99299999999999999</v>
      </c>
      <c r="T58" s="9"/>
      <c r="U58" s="9" t="s">
        <v>33</v>
      </c>
      <c r="V58" s="9" t="s">
        <v>36</v>
      </c>
      <c r="W58" s="9">
        <v>9</v>
      </c>
      <c r="X58" s="9" t="s">
        <v>31</v>
      </c>
      <c r="Y58" s="12">
        <f t="shared" si="1"/>
        <v>1.899</v>
      </c>
      <c r="Z58" s="9">
        <v>0.94499999999999995</v>
      </c>
    </row>
    <row r="59" spans="1:26" x14ac:dyDescent="0.2">
      <c r="A59" s="9" t="s">
        <v>78</v>
      </c>
      <c r="B59" s="9">
        <v>3732.125</v>
      </c>
      <c r="C59" s="9">
        <v>102.852</v>
      </c>
      <c r="D59" s="9">
        <v>22.606999999999999</v>
      </c>
      <c r="E59" s="9">
        <v>3.613</v>
      </c>
      <c r="F59" s="9">
        <v>202.66499999999999</v>
      </c>
      <c r="G59" s="9">
        <v>2.7429999999999999</v>
      </c>
      <c r="H59" s="9">
        <v>9.1890000000000001</v>
      </c>
      <c r="I59" s="9">
        <v>3.8820000000000001</v>
      </c>
      <c r="J59" s="9">
        <v>107.21599999999999</v>
      </c>
      <c r="K59" s="9">
        <v>122.60599999999999</v>
      </c>
      <c r="L59" s="9">
        <v>0.01</v>
      </c>
      <c r="M59" s="9">
        <v>1E-3</v>
      </c>
      <c r="N59" s="9">
        <v>100</v>
      </c>
      <c r="O59" s="9">
        <v>0.91200000000000003</v>
      </c>
      <c r="P59" s="9">
        <v>0.77</v>
      </c>
      <c r="Q59" s="9">
        <v>0.58299999999999996</v>
      </c>
      <c r="R59" s="9">
        <v>0.219</v>
      </c>
      <c r="S59" s="9">
        <v>0.60399999999999998</v>
      </c>
      <c r="T59" s="9"/>
      <c r="U59" s="9" t="s">
        <v>33</v>
      </c>
      <c r="V59" s="9" t="s">
        <v>37</v>
      </c>
      <c r="W59" s="9">
        <v>6</v>
      </c>
      <c r="X59" s="9"/>
      <c r="Y59" s="12">
        <f t="shared" si="1"/>
        <v>1.4950000000000001</v>
      </c>
      <c r="Z59" s="9">
        <v>0.14200000000000002</v>
      </c>
    </row>
    <row r="60" spans="1:26" x14ac:dyDescent="0.2">
      <c r="A60" s="9" t="s">
        <v>78</v>
      </c>
      <c r="B60" s="9">
        <v>3732.25</v>
      </c>
      <c r="C60" s="9">
        <v>102.239</v>
      </c>
      <c r="D60" s="9">
        <v>22.75</v>
      </c>
      <c r="E60" s="9">
        <v>3.528</v>
      </c>
      <c r="F60" s="9">
        <v>202.81399999999999</v>
      </c>
      <c r="G60" s="9">
        <v>2.7309999999999999</v>
      </c>
      <c r="H60" s="9">
        <v>9.6829999999999998</v>
      </c>
      <c r="I60" s="9">
        <v>3.9649999999999999</v>
      </c>
      <c r="J60" s="9">
        <v>98.655000000000001</v>
      </c>
      <c r="K60" s="9">
        <v>112.535</v>
      </c>
      <c r="L60" s="9">
        <v>0.01</v>
      </c>
      <c r="M60" s="9">
        <v>1E-3</v>
      </c>
      <c r="N60" s="9">
        <v>100</v>
      </c>
      <c r="O60" s="9">
        <v>0.93899999999999995</v>
      </c>
      <c r="P60" s="9">
        <v>0.85</v>
      </c>
      <c r="Q60" s="9">
        <v>0.60799999999999998</v>
      </c>
      <c r="R60" s="9">
        <v>9.1999999999999998E-2</v>
      </c>
      <c r="S60" s="9">
        <v>0.68200000000000005</v>
      </c>
      <c r="T60" s="9"/>
      <c r="U60" s="9" t="s">
        <v>33</v>
      </c>
      <c r="V60" s="9" t="s">
        <v>37</v>
      </c>
      <c r="W60" s="9">
        <v>6</v>
      </c>
      <c r="X60" s="9"/>
      <c r="Y60" s="12">
        <f t="shared" si="1"/>
        <v>1.5469999999999999</v>
      </c>
      <c r="Z60" s="9">
        <v>8.8999999999999968E-2</v>
      </c>
    </row>
    <row r="61" spans="1:26" x14ac:dyDescent="0.2">
      <c r="A61" s="9" t="s">
        <v>78</v>
      </c>
      <c r="B61" s="9">
        <v>3732.375</v>
      </c>
      <c r="C61" s="9">
        <v>96.39</v>
      </c>
      <c r="D61" s="9">
        <v>22.917000000000002</v>
      </c>
      <c r="E61" s="9">
        <v>3.3039999999999998</v>
      </c>
      <c r="F61" s="9">
        <v>199.238</v>
      </c>
      <c r="G61" s="9">
        <v>2.73</v>
      </c>
      <c r="H61" s="9">
        <v>9.8949999999999996</v>
      </c>
      <c r="I61" s="9">
        <v>3.97</v>
      </c>
      <c r="J61" s="9">
        <v>108.5</v>
      </c>
      <c r="K61" s="9">
        <v>124.11799999999999</v>
      </c>
      <c r="L61" s="9">
        <v>0.01</v>
      </c>
      <c r="M61" s="9">
        <v>1E-3</v>
      </c>
      <c r="N61" s="9">
        <v>100</v>
      </c>
      <c r="O61" s="9">
        <v>0.9</v>
      </c>
      <c r="P61" s="9">
        <v>0.878</v>
      </c>
      <c r="Q61" s="9">
        <v>0.57999999999999996</v>
      </c>
      <c r="R61" s="9">
        <v>4.4999999999999998E-2</v>
      </c>
      <c r="S61" s="9">
        <v>0.73</v>
      </c>
      <c r="T61" s="9"/>
      <c r="U61" s="9" t="s">
        <v>33</v>
      </c>
      <c r="V61" s="9" t="s">
        <v>37</v>
      </c>
      <c r="W61" s="9">
        <v>6</v>
      </c>
      <c r="X61" s="9"/>
      <c r="Y61" s="12">
        <f t="shared" si="1"/>
        <v>1.48</v>
      </c>
      <c r="Z61" s="9">
        <v>2.200000000000002E-2</v>
      </c>
    </row>
    <row r="62" spans="1:26" x14ac:dyDescent="0.2">
      <c r="A62" s="9" t="s">
        <v>78</v>
      </c>
      <c r="B62" s="9">
        <v>3732.5</v>
      </c>
      <c r="C62" s="9">
        <v>87.566999999999993</v>
      </c>
      <c r="D62" s="9">
        <v>23.13</v>
      </c>
      <c r="E62" s="9">
        <v>2.8940000000000001</v>
      </c>
      <c r="F62" s="9">
        <v>193.35</v>
      </c>
      <c r="G62" s="9">
        <v>2.7469999999999999</v>
      </c>
      <c r="H62" s="9">
        <v>9.7189999999999994</v>
      </c>
      <c r="I62" s="9">
        <v>3.91</v>
      </c>
      <c r="J62" s="9">
        <v>136.20400000000001</v>
      </c>
      <c r="K62" s="9">
        <v>156.71100000000001</v>
      </c>
      <c r="L62" s="9">
        <v>0.01</v>
      </c>
      <c r="M62" s="9">
        <v>1E-3</v>
      </c>
      <c r="N62" s="9">
        <v>100</v>
      </c>
      <c r="O62" s="9">
        <v>0.82</v>
      </c>
      <c r="P62" s="9">
        <v>0.85299999999999998</v>
      </c>
      <c r="Q62" s="9">
        <v>0.51100000000000001</v>
      </c>
      <c r="R62" s="9">
        <v>0.124</v>
      </c>
      <c r="S62" s="9">
        <v>0.72799999999999998</v>
      </c>
      <c r="T62" s="9"/>
      <c r="U62" s="9" t="s">
        <v>33</v>
      </c>
      <c r="V62" s="9" t="s">
        <v>37</v>
      </c>
      <c r="W62" s="9">
        <v>6</v>
      </c>
      <c r="X62" s="9"/>
      <c r="Y62" s="12">
        <f t="shared" si="1"/>
        <v>1.331</v>
      </c>
      <c r="Z62" s="9">
        <v>-3.3000000000000029E-2</v>
      </c>
    </row>
    <row r="63" spans="1:26" x14ac:dyDescent="0.2">
      <c r="A63" s="9" t="s">
        <v>78</v>
      </c>
      <c r="B63" s="9">
        <v>3732.625</v>
      </c>
      <c r="C63" s="9">
        <v>76.349000000000004</v>
      </c>
      <c r="D63" s="9">
        <v>23.393000000000001</v>
      </c>
      <c r="E63" s="9">
        <v>2.6829999999999998</v>
      </c>
      <c r="F63" s="9">
        <v>187.62799999999999</v>
      </c>
      <c r="G63" s="9">
        <v>2.7789999999999999</v>
      </c>
      <c r="H63" s="9">
        <v>9.1920000000000002</v>
      </c>
      <c r="I63" s="9">
        <v>3.8079999999999998</v>
      </c>
      <c r="J63" s="9">
        <v>180.749</v>
      </c>
      <c r="K63" s="9">
        <v>209.11600000000001</v>
      </c>
      <c r="L63" s="9">
        <v>0.01</v>
      </c>
      <c r="M63" s="9">
        <v>1E-3</v>
      </c>
      <c r="N63" s="9">
        <v>100</v>
      </c>
      <c r="O63" s="9">
        <v>0.71199999999999997</v>
      </c>
      <c r="P63" s="9">
        <v>0.78900000000000003</v>
      </c>
      <c r="Q63" s="9">
        <v>0.43</v>
      </c>
      <c r="R63" s="9">
        <v>0.33900000000000002</v>
      </c>
      <c r="S63" s="9">
        <v>0.67200000000000004</v>
      </c>
      <c r="T63" s="9"/>
      <c r="U63" s="9" t="s">
        <v>33</v>
      </c>
      <c r="V63" s="9" t="s">
        <v>37</v>
      </c>
      <c r="W63" s="9">
        <v>6</v>
      </c>
      <c r="X63" s="9"/>
      <c r="Y63" s="12">
        <f t="shared" si="1"/>
        <v>1.1419999999999999</v>
      </c>
      <c r="Z63" s="9">
        <v>-7.7000000000000068E-2</v>
      </c>
    </row>
    <row r="64" spans="1:26" x14ac:dyDescent="0.2">
      <c r="A64" s="9" t="s">
        <v>79</v>
      </c>
      <c r="B64" s="9">
        <v>3385.125</v>
      </c>
      <c r="C64" s="9">
        <v>87.204999999999998</v>
      </c>
      <c r="D64" s="9">
        <v>23.151</v>
      </c>
      <c r="E64" s="9">
        <v>6.3940000000000001</v>
      </c>
      <c r="F64" s="9">
        <v>187.7</v>
      </c>
      <c r="G64" s="9">
        <v>2.7480000000000002</v>
      </c>
      <c r="H64" s="9">
        <v>9.0739999999999998</v>
      </c>
      <c r="I64" s="9">
        <v>2.46</v>
      </c>
      <c r="J64" s="9">
        <v>68.965999999999994</v>
      </c>
      <c r="K64" s="9">
        <v>86.314999999999998</v>
      </c>
      <c r="L64" s="9">
        <v>0.01</v>
      </c>
      <c r="M64" s="9">
        <v>1E-3</v>
      </c>
      <c r="N64" s="9">
        <v>100</v>
      </c>
      <c r="O64" s="9">
        <v>0.55700000000000005</v>
      </c>
      <c r="P64" s="9">
        <v>1.2999999999999999E-2</v>
      </c>
      <c r="Q64" s="9">
        <v>0.40400000000000003</v>
      </c>
      <c r="R64" s="9">
        <v>0.46800000000000003</v>
      </c>
      <c r="S64" s="9">
        <v>0.59699999999999998</v>
      </c>
      <c r="T64" s="9"/>
      <c r="U64" s="9" t="s">
        <v>33</v>
      </c>
      <c r="V64" s="9" t="s">
        <v>37</v>
      </c>
      <c r="W64" s="9">
        <v>11</v>
      </c>
      <c r="X64" s="9"/>
      <c r="Y64" s="12">
        <f t="shared" si="1"/>
        <v>0.96100000000000008</v>
      </c>
      <c r="Z64" s="9">
        <v>0.54400000000000004</v>
      </c>
    </row>
    <row r="65" spans="1:26" x14ac:dyDescent="0.2">
      <c r="A65" s="9" t="s">
        <v>79</v>
      </c>
      <c r="B65" s="9">
        <v>3385.375</v>
      </c>
      <c r="C65" s="9">
        <v>140.24299999999999</v>
      </c>
      <c r="D65" s="9">
        <v>24.170999999999999</v>
      </c>
      <c r="E65" s="9">
        <v>6.024</v>
      </c>
      <c r="F65" s="9">
        <v>234.05799999999999</v>
      </c>
      <c r="G65" s="9">
        <v>2.6659999999999999</v>
      </c>
      <c r="H65" s="9">
        <v>11.426</v>
      </c>
      <c r="I65" s="9">
        <v>2.4430000000000001</v>
      </c>
      <c r="J65" s="9">
        <v>37.680999999999997</v>
      </c>
      <c r="K65" s="9">
        <v>45.453000000000003</v>
      </c>
      <c r="L65" s="9">
        <v>0.01</v>
      </c>
      <c r="M65" s="9">
        <v>1E-3</v>
      </c>
      <c r="N65" s="9">
        <v>100</v>
      </c>
      <c r="O65" s="9">
        <v>0.93100000000000005</v>
      </c>
      <c r="P65" s="9">
        <v>6.0000000000000001E-3</v>
      </c>
      <c r="Q65" s="9">
        <v>0.85799999999999998</v>
      </c>
      <c r="R65" s="9">
        <v>0.24199999999999999</v>
      </c>
      <c r="S65" s="9">
        <v>0.76800000000000002</v>
      </c>
      <c r="T65" s="9"/>
      <c r="U65" s="9" t="s">
        <v>33</v>
      </c>
      <c r="V65" s="9" t="s">
        <v>37</v>
      </c>
      <c r="W65" s="9">
        <v>11</v>
      </c>
      <c r="X65" s="9"/>
      <c r="Y65" s="12">
        <f t="shared" si="1"/>
        <v>1.7890000000000001</v>
      </c>
      <c r="Z65" s="9">
        <v>0.92500000000000004</v>
      </c>
    </row>
    <row r="66" spans="1:26" x14ac:dyDescent="0.2">
      <c r="A66" s="9" t="s">
        <v>79</v>
      </c>
      <c r="B66" s="9">
        <v>3385.5</v>
      </c>
      <c r="C66" s="9">
        <v>150.61199999999999</v>
      </c>
      <c r="D66" s="9">
        <v>24.931000000000001</v>
      </c>
      <c r="E66" s="9">
        <v>5.7359999999999998</v>
      </c>
      <c r="F66" s="9">
        <v>249.642</v>
      </c>
      <c r="G66" s="9">
        <v>2.609</v>
      </c>
      <c r="H66" s="9">
        <v>13.172000000000001</v>
      </c>
      <c r="I66" s="9">
        <v>2.4620000000000002</v>
      </c>
      <c r="J66" s="9">
        <v>34.886000000000003</v>
      </c>
      <c r="K66" s="9">
        <v>41.057000000000002</v>
      </c>
      <c r="L66" s="9">
        <v>0.01</v>
      </c>
      <c r="M66" s="9">
        <v>1E-3</v>
      </c>
      <c r="N66" s="9">
        <v>100</v>
      </c>
      <c r="O66" s="9">
        <v>0.996</v>
      </c>
      <c r="P66" s="9">
        <v>1.6E-2</v>
      </c>
      <c r="Q66" s="9">
        <v>1</v>
      </c>
      <c r="R66" s="9">
        <v>9.2999999999999999E-2</v>
      </c>
      <c r="S66" s="9">
        <v>0.89100000000000001</v>
      </c>
      <c r="T66" s="9"/>
      <c r="U66" s="9" t="s">
        <v>33</v>
      </c>
      <c r="V66" s="9" t="s">
        <v>37</v>
      </c>
      <c r="W66" s="9">
        <v>11</v>
      </c>
      <c r="X66" s="9"/>
      <c r="Y66" s="12">
        <f t="shared" si="1"/>
        <v>1.996</v>
      </c>
      <c r="Z66" s="9">
        <v>0.98</v>
      </c>
    </row>
    <row r="67" spans="1:26" x14ac:dyDescent="0.2">
      <c r="A67" s="9" t="s">
        <v>79</v>
      </c>
      <c r="B67" s="9">
        <v>3385.625</v>
      </c>
      <c r="C67" s="9">
        <v>143.88300000000001</v>
      </c>
      <c r="D67" s="9">
        <v>25.3</v>
      </c>
      <c r="E67" s="9">
        <v>5.569</v>
      </c>
      <c r="F67" s="9">
        <v>249.4</v>
      </c>
      <c r="G67" s="9">
        <v>2.5750000000000002</v>
      </c>
      <c r="H67" s="9">
        <v>14.534000000000001</v>
      </c>
      <c r="I67" s="9">
        <v>2.4900000000000002</v>
      </c>
      <c r="J67" s="9">
        <v>39.781999999999996</v>
      </c>
      <c r="K67" s="9">
        <v>45.706000000000003</v>
      </c>
      <c r="L67" s="9">
        <v>0.01</v>
      </c>
      <c r="M67" s="9">
        <v>1E-3</v>
      </c>
      <c r="N67" s="9">
        <v>100</v>
      </c>
      <c r="O67" s="9">
        <v>0.94099999999999995</v>
      </c>
      <c r="P67" s="9">
        <v>0.03</v>
      </c>
      <c r="Q67" s="9">
        <v>0.98899999999999999</v>
      </c>
      <c r="R67" s="9">
        <v>8.0000000000000002E-3</v>
      </c>
      <c r="S67" s="9">
        <v>0.98299999999999998</v>
      </c>
      <c r="T67" s="9"/>
      <c r="U67" s="9" t="s">
        <v>33</v>
      </c>
      <c r="V67" s="9" t="s">
        <v>37</v>
      </c>
      <c r="W67" s="9">
        <v>11</v>
      </c>
      <c r="X67" s="9"/>
      <c r="Y67" s="12">
        <f t="shared" ref="Y67:Y130" si="3">O67+Q67</f>
        <v>1.93</v>
      </c>
      <c r="Z67" s="9">
        <v>0.91099999999999992</v>
      </c>
    </row>
    <row r="68" spans="1:26" x14ac:dyDescent="0.2">
      <c r="A68" s="9" t="s">
        <v>79</v>
      </c>
      <c r="B68" s="9">
        <v>3385.75</v>
      </c>
      <c r="C68" s="9">
        <v>123.336</v>
      </c>
      <c r="D68" s="9">
        <v>25.027999999999999</v>
      </c>
      <c r="E68" s="9">
        <v>5.2389999999999999</v>
      </c>
      <c r="F68" s="9">
        <v>237.511</v>
      </c>
      <c r="G68" s="9">
        <v>2.5720000000000001</v>
      </c>
      <c r="H68" s="9">
        <v>14.795</v>
      </c>
      <c r="I68" s="9">
        <v>2.5470000000000002</v>
      </c>
      <c r="J68" s="9">
        <v>56.314</v>
      </c>
      <c r="K68" s="9">
        <v>63.445999999999998</v>
      </c>
      <c r="L68" s="9">
        <v>0.01</v>
      </c>
      <c r="M68" s="9">
        <v>1E-3</v>
      </c>
      <c r="N68" s="9">
        <v>100</v>
      </c>
      <c r="O68" s="9">
        <v>0.79</v>
      </c>
      <c r="P68" s="9">
        <v>5.8999999999999997E-2</v>
      </c>
      <c r="Q68" s="9">
        <v>0.86599999999999999</v>
      </c>
      <c r="R68" s="9">
        <v>5.0000000000000001E-3</v>
      </c>
      <c r="S68" s="9">
        <v>0.99399999999999999</v>
      </c>
      <c r="T68" s="9"/>
      <c r="U68" s="9" t="s">
        <v>33</v>
      </c>
      <c r="V68" s="9" t="s">
        <v>37</v>
      </c>
      <c r="W68" s="9">
        <v>11</v>
      </c>
      <c r="X68" s="9"/>
      <c r="Y68" s="12">
        <f t="shared" si="3"/>
        <v>1.6560000000000001</v>
      </c>
      <c r="Z68" s="9">
        <v>0.73100000000000009</v>
      </c>
    </row>
    <row r="69" spans="1:26" x14ac:dyDescent="0.2">
      <c r="A69" s="9" t="s">
        <v>79</v>
      </c>
      <c r="B69" s="9">
        <v>3385.875</v>
      </c>
      <c r="C69" s="9">
        <v>98.736000000000004</v>
      </c>
      <c r="D69" s="9">
        <v>24.05</v>
      </c>
      <c r="E69" s="9">
        <v>4.5609999999999999</v>
      </c>
      <c r="F69" s="9">
        <v>217.57900000000001</v>
      </c>
      <c r="G69" s="9">
        <v>2.597</v>
      </c>
      <c r="H69" s="9">
        <v>13.718</v>
      </c>
      <c r="I69" s="9">
        <v>2.6360000000000001</v>
      </c>
      <c r="J69" s="9">
        <v>93.278000000000006</v>
      </c>
      <c r="K69" s="9">
        <v>104.867</v>
      </c>
      <c r="L69" s="9">
        <v>0.01</v>
      </c>
      <c r="M69" s="9">
        <v>1E-3</v>
      </c>
      <c r="N69" s="9">
        <v>100</v>
      </c>
      <c r="O69" s="9">
        <v>0.61599999999999999</v>
      </c>
      <c r="P69" s="9">
        <v>0.10199999999999999</v>
      </c>
      <c r="Q69" s="9">
        <v>0.66800000000000004</v>
      </c>
      <c r="R69" s="9">
        <v>7.6999999999999999E-2</v>
      </c>
      <c r="S69" s="9">
        <v>0.91100000000000003</v>
      </c>
      <c r="T69" s="9"/>
      <c r="U69" s="9" t="s">
        <v>33</v>
      </c>
      <c r="V69" s="9" t="s">
        <v>37</v>
      </c>
      <c r="W69" s="9">
        <v>11</v>
      </c>
      <c r="X69" s="9"/>
      <c r="Y69" s="12">
        <f t="shared" si="3"/>
        <v>1.284</v>
      </c>
      <c r="Z69" s="9">
        <v>0.51400000000000001</v>
      </c>
    </row>
    <row r="70" spans="1:26" x14ac:dyDescent="0.2">
      <c r="A70" s="9" t="s">
        <v>79</v>
      </c>
      <c r="B70" s="9">
        <v>3386</v>
      </c>
      <c r="C70" s="9">
        <v>80.05</v>
      </c>
      <c r="D70" s="9">
        <v>23.097000000000001</v>
      </c>
      <c r="E70" s="9">
        <v>3.8210000000000002</v>
      </c>
      <c r="F70" s="9">
        <v>194.84</v>
      </c>
      <c r="G70" s="9">
        <v>2.6440000000000001</v>
      </c>
      <c r="H70" s="9">
        <v>11.409000000000001</v>
      </c>
      <c r="I70" s="9">
        <v>2.7320000000000002</v>
      </c>
      <c r="J70" s="9">
        <v>147.79599999999999</v>
      </c>
      <c r="K70" s="9">
        <v>168.62899999999999</v>
      </c>
      <c r="L70" s="9">
        <v>0.01</v>
      </c>
      <c r="M70" s="9">
        <v>1E-3</v>
      </c>
      <c r="N70" s="9">
        <v>100</v>
      </c>
      <c r="O70" s="9">
        <v>0.48699999999999999</v>
      </c>
      <c r="P70" s="9">
        <v>0.14699999999999999</v>
      </c>
      <c r="Q70" s="9">
        <v>0.44800000000000001</v>
      </c>
      <c r="R70" s="9">
        <v>0.20399999999999999</v>
      </c>
      <c r="S70" s="9">
        <v>0.745</v>
      </c>
      <c r="T70" s="9"/>
      <c r="U70" s="9" t="s">
        <v>33</v>
      </c>
      <c r="V70" s="9" t="s">
        <v>37</v>
      </c>
      <c r="W70" s="9">
        <v>11</v>
      </c>
      <c r="X70" s="9"/>
      <c r="Y70" s="12">
        <f t="shared" si="3"/>
        <v>0.93500000000000005</v>
      </c>
      <c r="Z70" s="9">
        <v>0.33999999999999997</v>
      </c>
    </row>
    <row r="71" spans="1:26" x14ac:dyDescent="0.2">
      <c r="A71" s="9" t="s">
        <v>80</v>
      </c>
      <c r="B71" s="9">
        <v>3453</v>
      </c>
      <c r="C71" s="9">
        <v>107.56399999999999</v>
      </c>
      <c r="D71" s="9">
        <v>22.9</v>
      </c>
      <c r="E71" s="9">
        <v>1.5629999999999999</v>
      </c>
      <c r="F71" s="9">
        <v>209.99100000000001</v>
      </c>
      <c r="G71" s="9">
        <v>2.5939999999999999</v>
      </c>
      <c r="H71" s="9">
        <v>11.117000000000001</v>
      </c>
      <c r="I71" s="9">
        <v>3.101</v>
      </c>
      <c r="J71" s="9">
        <v>50.343000000000004</v>
      </c>
      <c r="K71" s="9">
        <v>42.817999999999998</v>
      </c>
      <c r="L71" s="9">
        <v>0.01</v>
      </c>
      <c r="M71" s="9">
        <v>1E-3</v>
      </c>
      <c r="N71" s="9">
        <v>100</v>
      </c>
      <c r="O71" s="9">
        <v>0.64300000000000002</v>
      </c>
      <c r="P71" s="9">
        <v>0.20399999999999999</v>
      </c>
      <c r="Q71" s="9">
        <v>0.86199999999999999</v>
      </c>
      <c r="R71" s="9">
        <v>0.112</v>
      </c>
      <c r="S71" s="9">
        <v>0.86299999999999999</v>
      </c>
      <c r="T71" s="9"/>
      <c r="U71" s="9" t="s">
        <v>33</v>
      </c>
      <c r="V71" s="9" t="s">
        <v>37</v>
      </c>
      <c r="W71" s="9">
        <v>9</v>
      </c>
      <c r="X71" s="9"/>
      <c r="Y71" s="12">
        <f t="shared" si="3"/>
        <v>1.5049999999999999</v>
      </c>
      <c r="Z71" s="9">
        <v>0.43900000000000006</v>
      </c>
    </row>
    <row r="72" spans="1:26" x14ac:dyDescent="0.2">
      <c r="A72" s="9" t="s">
        <v>80</v>
      </c>
      <c r="B72" s="9">
        <v>3453.125</v>
      </c>
      <c r="C72" s="9">
        <v>136.08799999999999</v>
      </c>
      <c r="D72" s="9">
        <v>23.353999999999999</v>
      </c>
      <c r="E72" s="9">
        <v>1.417</v>
      </c>
      <c r="F72" s="9">
        <v>215.67</v>
      </c>
      <c r="G72" s="9">
        <v>2.653</v>
      </c>
      <c r="H72" s="9">
        <v>12.192</v>
      </c>
      <c r="I72" s="9">
        <v>3.0459999999999998</v>
      </c>
      <c r="J72" s="9">
        <v>46.738999999999997</v>
      </c>
      <c r="K72" s="9">
        <v>37.886000000000003</v>
      </c>
      <c r="L72" s="9">
        <v>0.01</v>
      </c>
      <c r="M72" s="9">
        <v>1E-3</v>
      </c>
      <c r="N72" s="9">
        <v>100</v>
      </c>
      <c r="O72" s="9">
        <v>0.84899999999999998</v>
      </c>
      <c r="P72" s="9">
        <v>0.17699999999999999</v>
      </c>
      <c r="Q72" s="9">
        <v>0.96</v>
      </c>
      <c r="R72" s="9">
        <v>0.254</v>
      </c>
      <c r="S72" s="9">
        <v>0.95299999999999996</v>
      </c>
      <c r="T72" s="9"/>
      <c r="U72" s="9" t="s">
        <v>33</v>
      </c>
      <c r="V72" s="9" t="s">
        <v>37</v>
      </c>
      <c r="W72" s="9">
        <v>9</v>
      </c>
      <c r="X72" s="9"/>
      <c r="Y72" s="12">
        <f t="shared" si="3"/>
        <v>1.8089999999999999</v>
      </c>
      <c r="Z72" s="9">
        <v>0.67199999999999993</v>
      </c>
    </row>
    <row r="73" spans="1:26" x14ac:dyDescent="0.2">
      <c r="A73" s="9" t="s">
        <v>80</v>
      </c>
      <c r="B73" s="9">
        <v>3453.25</v>
      </c>
      <c r="C73" s="9">
        <v>151.291</v>
      </c>
      <c r="D73" s="9">
        <v>23.398</v>
      </c>
      <c r="E73" s="9">
        <v>1.349</v>
      </c>
      <c r="F73" s="9">
        <v>217.16399999999999</v>
      </c>
      <c r="G73" s="9">
        <v>2.71</v>
      </c>
      <c r="H73" s="9">
        <v>12.558</v>
      </c>
      <c r="I73" s="9">
        <v>3.1179999999999999</v>
      </c>
      <c r="J73" s="9">
        <v>56.442999999999998</v>
      </c>
      <c r="K73" s="9">
        <v>43.683999999999997</v>
      </c>
      <c r="L73" s="9">
        <v>0.01</v>
      </c>
      <c r="M73" s="9">
        <v>1E-3</v>
      </c>
      <c r="N73" s="9">
        <v>100</v>
      </c>
      <c r="O73" s="9">
        <v>0.97799999999999998</v>
      </c>
      <c r="P73" s="9">
        <v>0.19800000000000001</v>
      </c>
      <c r="Q73" s="9">
        <v>0.995</v>
      </c>
      <c r="R73" s="9">
        <v>0.40100000000000002</v>
      </c>
      <c r="S73" s="9">
        <v>0.99399999999999999</v>
      </c>
      <c r="T73" s="9"/>
      <c r="U73" s="9" t="s">
        <v>33</v>
      </c>
      <c r="V73" s="9" t="s">
        <v>37</v>
      </c>
      <c r="W73" s="9">
        <v>9</v>
      </c>
      <c r="X73" s="9"/>
      <c r="Y73" s="12">
        <f t="shared" si="3"/>
        <v>1.9729999999999999</v>
      </c>
      <c r="Z73" s="9">
        <v>0.78</v>
      </c>
    </row>
    <row r="74" spans="1:26" x14ac:dyDescent="0.2">
      <c r="A74" s="9" t="s">
        <v>80</v>
      </c>
      <c r="B74" s="9">
        <v>3453.375</v>
      </c>
      <c r="C74" s="9">
        <v>142.86500000000001</v>
      </c>
      <c r="D74" s="9">
        <v>23.082999999999998</v>
      </c>
      <c r="E74" s="9">
        <v>1.3069999999999999</v>
      </c>
      <c r="F74" s="9">
        <v>213.93799999999999</v>
      </c>
      <c r="G74" s="9">
        <v>2.7490000000000001</v>
      </c>
      <c r="H74" s="9">
        <v>11.986000000000001</v>
      </c>
      <c r="I74" s="9">
        <v>3.19</v>
      </c>
      <c r="J74" s="9">
        <v>89.521000000000001</v>
      </c>
      <c r="K74" s="9">
        <v>66.091999999999999</v>
      </c>
      <c r="L74" s="9">
        <v>0.01</v>
      </c>
      <c r="M74" s="9">
        <v>1E-3</v>
      </c>
      <c r="N74" s="9">
        <v>100</v>
      </c>
      <c r="O74" s="9">
        <v>0.95099999999999996</v>
      </c>
      <c r="P74" s="9">
        <v>0.23100000000000001</v>
      </c>
      <c r="Q74" s="9">
        <v>0.96</v>
      </c>
      <c r="R74" s="9">
        <v>0.51</v>
      </c>
      <c r="S74" s="9">
        <v>0.96299999999999997</v>
      </c>
      <c r="T74" s="9"/>
      <c r="U74" s="9" t="s">
        <v>33</v>
      </c>
      <c r="V74" s="9" t="s">
        <v>37</v>
      </c>
      <c r="W74" s="9">
        <v>9</v>
      </c>
      <c r="X74" s="9"/>
      <c r="Y74" s="12">
        <f t="shared" si="3"/>
        <v>1.911</v>
      </c>
      <c r="Z74" s="9">
        <v>0.72</v>
      </c>
    </row>
    <row r="75" spans="1:26" x14ac:dyDescent="0.2">
      <c r="A75" s="9" t="s">
        <v>81</v>
      </c>
      <c r="B75" s="9">
        <v>3404.25</v>
      </c>
      <c r="C75" s="9">
        <v>90.441999999999993</v>
      </c>
      <c r="D75" s="9">
        <v>22.994</v>
      </c>
      <c r="E75" s="9">
        <v>1.8049999999999999</v>
      </c>
      <c r="F75" s="9">
        <v>203.803</v>
      </c>
      <c r="G75" s="9">
        <v>2.6819999999999999</v>
      </c>
      <c r="H75" s="9">
        <v>14.118</v>
      </c>
      <c r="I75" s="9">
        <v>3.15</v>
      </c>
      <c r="J75" s="9">
        <v>79.947999999999993</v>
      </c>
      <c r="K75" s="9">
        <v>70.116</v>
      </c>
      <c r="L75" s="9">
        <v>0.64100000000000001</v>
      </c>
      <c r="M75" s="9">
        <v>0.1</v>
      </c>
      <c r="N75" s="9">
        <v>100</v>
      </c>
      <c r="O75" s="9">
        <v>0.627</v>
      </c>
      <c r="P75" s="9">
        <v>0.14000000000000001</v>
      </c>
      <c r="Q75" s="9">
        <v>0.621</v>
      </c>
      <c r="R75" s="9">
        <v>0.33700000000000002</v>
      </c>
      <c r="S75" s="9">
        <v>0.71699999999999997</v>
      </c>
      <c r="T75" s="9"/>
      <c r="U75" s="9" t="s">
        <v>33</v>
      </c>
      <c r="V75" s="9" t="s">
        <v>37</v>
      </c>
      <c r="W75" s="9">
        <v>12</v>
      </c>
      <c r="X75" s="9"/>
      <c r="Y75" s="12">
        <f t="shared" si="3"/>
        <v>1.248</v>
      </c>
      <c r="Z75" s="9">
        <v>0.48699999999999999</v>
      </c>
    </row>
    <row r="76" spans="1:26" x14ac:dyDescent="0.2">
      <c r="A76" s="9" t="s">
        <v>81</v>
      </c>
      <c r="B76" s="9">
        <v>3404.375</v>
      </c>
      <c r="C76" s="9">
        <v>114.444</v>
      </c>
      <c r="D76" s="9">
        <v>23.49</v>
      </c>
      <c r="E76" s="9">
        <v>1.3979999999999999</v>
      </c>
      <c r="F76" s="9">
        <v>219.08799999999999</v>
      </c>
      <c r="G76" s="9">
        <v>2.6230000000000002</v>
      </c>
      <c r="H76" s="9">
        <v>15.903</v>
      </c>
      <c r="I76" s="9">
        <v>2.9609999999999999</v>
      </c>
      <c r="J76" s="9">
        <v>55.014000000000003</v>
      </c>
      <c r="K76" s="9">
        <v>48.938000000000002</v>
      </c>
      <c r="L76" s="9">
        <v>0</v>
      </c>
      <c r="M76" s="9">
        <v>0.1</v>
      </c>
      <c r="N76" s="9">
        <v>100</v>
      </c>
      <c r="O76" s="9">
        <v>0.81599999999999995</v>
      </c>
      <c r="P76" s="9">
        <v>8.3000000000000004E-2</v>
      </c>
      <c r="Q76" s="9">
        <v>0.79400000000000004</v>
      </c>
      <c r="R76" s="9">
        <v>0.192</v>
      </c>
      <c r="S76" s="9">
        <v>0.81599999999999995</v>
      </c>
      <c r="T76" s="9"/>
      <c r="U76" s="9" t="s">
        <v>33</v>
      </c>
      <c r="V76" s="9" t="s">
        <v>37</v>
      </c>
      <c r="W76" s="9">
        <v>12</v>
      </c>
      <c r="X76" s="9"/>
      <c r="Y76" s="12">
        <f t="shared" si="3"/>
        <v>1.6099999999999999</v>
      </c>
      <c r="Z76" s="9">
        <v>0.73299999999999998</v>
      </c>
    </row>
    <row r="77" spans="1:26" x14ac:dyDescent="0.2">
      <c r="A77" s="9" t="s">
        <v>81</v>
      </c>
      <c r="B77" s="9">
        <v>3404.5</v>
      </c>
      <c r="C77" s="9">
        <v>133.92699999999999</v>
      </c>
      <c r="D77" s="9">
        <v>23.774000000000001</v>
      </c>
      <c r="E77" s="9">
        <v>1.2310000000000001</v>
      </c>
      <c r="F77" s="9">
        <v>230.655</v>
      </c>
      <c r="G77" s="9">
        <v>2.5720000000000001</v>
      </c>
      <c r="H77" s="9">
        <v>17.873000000000001</v>
      </c>
      <c r="I77" s="9">
        <v>2.8250000000000002</v>
      </c>
      <c r="J77" s="9">
        <v>43.593000000000004</v>
      </c>
      <c r="K77" s="9">
        <v>40.191000000000003</v>
      </c>
      <c r="L77" s="9">
        <v>0</v>
      </c>
      <c r="M77" s="9">
        <v>0.1</v>
      </c>
      <c r="N77" s="9">
        <v>100</v>
      </c>
      <c r="O77" s="9">
        <v>0.97</v>
      </c>
      <c r="P77" s="9">
        <v>4.2000000000000003E-2</v>
      </c>
      <c r="Q77" s="9">
        <v>0.92600000000000005</v>
      </c>
      <c r="R77" s="9">
        <v>6.7000000000000004E-2</v>
      </c>
      <c r="S77" s="9">
        <v>0.92600000000000005</v>
      </c>
      <c r="T77" s="9"/>
      <c r="U77" s="9" t="s">
        <v>33</v>
      </c>
      <c r="V77" s="9" t="s">
        <v>37</v>
      </c>
      <c r="W77" s="9">
        <v>12</v>
      </c>
      <c r="X77" s="9"/>
      <c r="Y77" s="12">
        <f t="shared" si="3"/>
        <v>1.8959999999999999</v>
      </c>
      <c r="Z77" s="9">
        <v>0.92799999999999994</v>
      </c>
    </row>
    <row r="78" spans="1:26" x14ac:dyDescent="0.2">
      <c r="A78" s="9" t="s">
        <v>81</v>
      </c>
      <c r="B78" s="9">
        <v>3404.625</v>
      </c>
      <c r="C78" s="9">
        <v>137.72499999999999</v>
      </c>
      <c r="D78" s="9">
        <v>23.773</v>
      </c>
      <c r="E78" s="9">
        <v>1.405</v>
      </c>
      <c r="F78" s="9">
        <v>237.20500000000001</v>
      </c>
      <c r="G78" s="9">
        <v>2.5449999999999999</v>
      </c>
      <c r="H78" s="9">
        <v>19.21</v>
      </c>
      <c r="I78" s="9">
        <v>2.734</v>
      </c>
      <c r="J78" s="9">
        <v>42.970999999999997</v>
      </c>
      <c r="K78" s="9">
        <v>41.023000000000003</v>
      </c>
      <c r="L78" s="9">
        <v>0</v>
      </c>
      <c r="M78" s="9">
        <v>0.1</v>
      </c>
      <c r="N78" s="9">
        <v>100</v>
      </c>
      <c r="O78" s="9">
        <v>1</v>
      </c>
      <c r="P78" s="9">
        <v>1.4999999999999999E-2</v>
      </c>
      <c r="Q78" s="9">
        <v>1</v>
      </c>
      <c r="R78" s="9">
        <v>0</v>
      </c>
      <c r="S78" s="9">
        <v>1</v>
      </c>
      <c r="T78" s="9"/>
      <c r="U78" s="9" t="s">
        <v>33</v>
      </c>
      <c r="V78" s="9" t="s">
        <v>37</v>
      </c>
      <c r="W78" s="9">
        <v>12</v>
      </c>
      <c r="X78" s="9"/>
      <c r="Y78" s="12">
        <f t="shared" si="3"/>
        <v>2</v>
      </c>
      <c r="Z78" s="9">
        <v>0.98499999999999999</v>
      </c>
    </row>
    <row r="79" spans="1:26" x14ac:dyDescent="0.2">
      <c r="A79" s="9" t="s">
        <v>81</v>
      </c>
      <c r="B79" s="9">
        <v>3404.75</v>
      </c>
      <c r="C79" s="9">
        <v>126.27</v>
      </c>
      <c r="D79" s="9">
        <v>23.757999999999999</v>
      </c>
      <c r="E79" s="9">
        <v>1.583</v>
      </c>
      <c r="F79" s="9">
        <v>233.58199999999999</v>
      </c>
      <c r="G79" s="9">
        <v>2.5459999999999998</v>
      </c>
      <c r="H79" s="9">
        <v>18.917000000000002</v>
      </c>
      <c r="I79" s="9">
        <v>2.6949999999999998</v>
      </c>
      <c r="J79" s="9">
        <v>50.329000000000001</v>
      </c>
      <c r="K79" s="9">
        <v>48.942</v>
      </c>
      <c r="L79" s="9">
        <v>0</v>
      </c>
      <c r="M79" s="9">
        <v>0.1</v>
      </c>
      <c r="N79" s="9">
        <v>100</v>
      </c>
      <c r="O79" s="9">
        <v>0.91</v>
      </c>
      <c r="P79" s="9">
        <v>3.0000000000000001E-3</v>
      </c>
      <c r="Q79" s="9">
        <v>0.95899999999999996</v>
      </c>
      <c r="R79" s="9">
        <v>2E-3</v>
      </c>
      <c r="S79" s="9">
        <v>0.98399999999999999</v>
      </c>
      <c r="T79" s="9"/>
      <c r="U79" s="9" t="s">
        <v>33</v>
      </c>
      <c r="V79" s="9" t="s">
        <v>37</v>
      </c>
      <c r="W79" s="9">
        <v>12</v>
      </c>
      <c r="X79" s="9"/>
      <c r="Y79" s="12">
        <f t="shared" si="3"/>
        <v>1.869</v>
      </c>
      <c r="Z79" s="9">
        <v>0.90700000000000003</v>
      </c>
    </row>
    <row r="80" spans="1:26" x14ac:dyDescent="0.2">
      <c r="A80" s="9" t="s">
        <v>81</v>
      </c>
      <c r="B80" s="9">
        <v>3404.875</v>
      </c>
      <c r="C80" s="9">
        <v>108.29900000000001</v>
      </c>
      <c r="D80" s="9">
        <v>23.940999999999999</v>
      </c>
      <c r="E80" s="9">
        <v>1.865</v>
      </c>
      <c r="F80" s="9">
        <v>225.36799999999999</v>
      </c>
      <c r="G80" s="9">
        <v>2.57</v>
      </c>
      <c r="H80" s="9">
        <v>17.077000000000002</v>
      </c>
      <c r="I80" s="9">
        <v>2.6850000000000001</v>
      </c>
      <c r="J80" s="9">
        <v>65.911000000000001</v>
      </c>
      <c r="K80" s="9">
        <v>63.948999999999998</v>
      </c>
      <c r="L80" s="9">
        <v>0</v>
      </c>
      <c r="M80" s="9">
        <v>0.1</v>
      </c>
      <c r="N80" s="9">
        <v>100</v>
      </c>
      <c r="O80" s="9">
        <v>0.76800000000000002</v>
      </c>
      <c r="P80" s="9">
        <v>0</v>
      </c>
      <c r="Q80" s="9">
        <v>0.86599999999999999</v>
      </c>
      <c r="R80" s="9">
        <v>6.2E-2</v>
      </c>
      <c r="S80" s="9">
        <v>0.88100000000000001</v>
      </c>
      <c r="T80" s="9"/>
      <c r="U80" s="9" t="s">
        <v>33</v>
      </c>
      <c r="V80" s="9" t="s">
        <v>37</v>
      </c>
      <c r="W80" s="9">
        <v>12</v>
      </c>
      <c r="X80" s="9"/>
      <c r="Y80" s="12">
        <f t="shared" si="3"/>
        <v>1.6339999999999999</v>
      </c>
      <c r="Z80" s="9">
        <v>0.76800000000000002</v>
      </c>
    </row>
    <row r="81" spans="1:26" x14ac:dyDescent="0.2">
      <c r="A81" s="9" t="s">
        <v>81</v>
      </c>
      <c r="B81" s="9">
        <v>3405</v>
      </c>
      <c r="C81" s="9">
        <v>94.6</v>
      </c>
      <c r="D81" s="9">
        <v>24.047000000000001</v>
      </c>
      <c r="E81" s="9">
        <v>2.0710000000000002</v>
      </c>
      <c r="F81" s="9">
        <v>214.7</v>
      </c>
      <c r="G81" s="9">
        <v>2.5960000000000001</v>
      </c>
      <c r="H81" s="9">
        <v>15.063000000000001</v>
      </c>
      <c r="I81" s="9">
        <v>2.702</v>
      </c>
      <c r="J81" s="9">
        <v>87.259</v>
      </c>
      <c r="K81" s="9">
        <v>83.606999999999999</v>
      </c>
      <c r="L81" s="9">
        <v>0</v>
      </c>
      <c r="M81" s="9">
        <v>0.1</v>
      </c>
      <c r="N81" s="9">
        <v>100</v>
      </c>
      <c r="O81" s="9">
        <v>0.66</v>
      </c>
      <c r="P81" s="9">
        <v>5.0000000000000001E-3</v>
      </c>
      <c r="Q81" s="9">
        <v>0.745</v>
      </c>
      <c r="R81" s="9">
        <v>0.126</v>
      </c>
      <c r="S81" s="9">
        <v>0.76900000000000002</v>
      </c>
      <c r="T81" s="9"/>
      <c r="U81" s="9" t="s">
        <v>33</v>
      </c>
      <c r="V81" s="9" t="s">
        <v>37</v>
      </c>
      <c r="W81" s="9">
        <v>12</v>
      </c>
      <c r="X81" s="9"/>
      <c r="Y81" s="12">
        <f t="shared" si="3"/>
        <v>1.405</v>
      </c>
      <c r="Z81" s="9">
        <v>0.65500000000000003</v>
      </c>
    </row>
    <row r="82" spans="1:26" x14ac:dyDescent="0.2">
      <c r="A82" s="9" t="s">
        <v>81</v>
      </c>
      <c r="B82" s="9">
        <v>3405.125</v>
      </c>
      <c r="C82" s="9">
        <v>88.716999999999999</v>
      </c>
      <c r="D82" s="9">
        <v>23.687000000000001</v>
      </c>
      <c r="E82" s="9">
        <v>2.1360000000000001</v>
      </c>
      <c r="F82" s="9">
        <v>199.55500000000001</v>
      </c>
      <c r="G82" s="9">
        <v>2.6080000000000001</v>
      </c>
      <c r="H82" s="9">
        <v>13.795</v>
      </c>
      <c r="I82" s="9">
        <v>2.8650000000000002</v>
      </c>
      <c r="J82" s="9">
        <v>108.02</v>
      </c>
      <c r="K82" s="9">
        <v>102.67400000000001</v>
      </c>
      <c r="L82" s="9">
        <v>2E-3</v>
      </c>
      <c r="M82" s="9">
        <v>0.1</v>
      </c>
      <c r="N82" s="9">
        <v>100</v>
      </c>
      <c r="O82" s="9">
        <v>0.61299999999999999</v>
      </c>
      <c r="P82" s="9">
        <v>5.3999999999999999E-2</v>
      </c>
      <c r="Q82" s="9">
        <v>0.57299999999999995</v>
      </c>
      <c r="R82" s="9">
        <v>0.155</v>
      </c>
      <c r="S82" s="9">
        <v>0.69899999999999995</v>
      </c>
      <c r="T82" s="9"/>
      <c r="U82" s="9" t="s">
        <v>33</v>
      </c>
      <c r="V82" s="9" t="s">
        <v>37</v>
      </c>
      <c r="W82" s="9">
        <v>12</v>
      </c>
      <c r="X82" s="9"/>
      <c r="Y82" s="12">
        <f t="shared" si="3"/>
        <v>1.1859999999999999</v>
      </c>
      <c r="Z82" s="9">
        <v>0.55899999999999994</v>
      </c>
    </row>
    <row r="83" spans="1:26" x14ac:dyDescent="0.2">
      <c r="A83" s="9" t="s">
        <v>82</v>
      </c>
      <c r="B83" s="9">
        <v>3865.125</v>
      </c>
      <c r="C83" s="9">
        <v>105.13800000000001</v>
      </c>
      <c r="D83" s="9">
        <v>22.311</v>
      </c>
      <c r="E83" s="9">
        <v>2.484</v>
      </c>
      <c r="F83" s="9">
        <v>210.989</v>
      </c>
      <c r="G83" s="9">
        <v>2.7050000000000001</v>
      </c>
      <c r="H83" s="9">
        <v>10.137</v>
      </c>
      <c r="I83" s="9">
        <v>2.9870000000000001</v>
      </c>
      <c r="J83" s="9">
        <v>92.347999999999999</v>
      </c>
      <c r="K83" s="9">
        <v>109.857</v>
      </c>
      <c r="L83" s="9">
        <v>0</v>
      </c>
      <c r="M83" s="9">
        <v>0</v>
      </c>
      <c r="N83" s="9">
        <v>100</v>
      </c>
      <c r="O83" s="9">
        <v>0.68899999999999995</v>
      </c>
      <c r="P83" s="9">
        <v>0.44800000000000001</v>
      </c>
      <c r="Q83" s="9">
        <v>0.752</v>
      </c>
      <c r="R83" s="9">
        <v>0.29199999999999998</v>
      </c>
      <c r="S83" s="9">
        <v>0.77400000000000002</v>
      </c>
      <c r="T83" s="9"/>
      <c r="U83" s="9" t="s">
        <v>33</v>
      </c>
      <c r="V83" s="9" t="s">
        <v>37</v>
      </c>
      <c r="W83" s="9">
        <v>14</v>
      </c>
      <c r="X83" s="9"/>
      <c r="Y83" s="12">
        <f t="shared" si="3"/>
        <v>1.4409999999999998</v>
      </c>
      <c r="Z83" s="9">
        <v>0.24099999999999994</v>
      </c>
    </row>
    <row r="84" spans="1:26" x14ac:dyDescent="0.2">
      <c r="A84" s="9" t="s">
        <v>82</v>
      </c>
      <c r="B84" s="9">
        <v>3865.25</v>
      </c>
      <c r="C84" s="9">
        <v>124.76600000000001</v>
      </c>
      <c r="D84" s="9">
        <v>22.678999999999998</v>
      </c>
      <c r="E84" s="9">
        <v>3.629</v>
      </c>
      <c r="F84" s="9">
        <v>222.68899999999999</v>
      </c>
      <c r="G84" s="9">
        <v>2.6819999999999999</v>
      </c>
      <c r="H84" s="9">
        <v>11.317</v>
      </c>
      <c r="I84" s="9">
        <v>3.0230000000000001</v>
      </c>
      <c r="J84" s="9">
        <v>68.028000000000006</v>
      </c>
      <c r="K84" s="9">
        <v>79.840999999999994</v>
      </c>
      <c r="L84" s="9">
        <v>0</v>
      </c>
      <c r="M84" s="9">
        <v>0</v>
      </c>
      <c r="N84" s="9">
        <v>100</v>
      </c>
      <c r="O84" s="9">
        <v>0.85</v>
      </c>
      <c r="P84" s="9">
        <v>0.51800000000000002</v>
      </c>
      <c r="Q84" s="9">
        <v>0.91800000000000004</v>
      </c>
      <c r="R84" s="9">
        <v>0.17100000000000001</v>
      </c>
      <c r="S84" s="9">
        <v>0.93300000000000005</v>
      </c>
      <c r="T84" s="9"/>
      <c r="U84" s="9" t="s">
        <v>33</v>
      </c>
      <c r="V84" s="9" t="s">
        <v>37</v>
      </c>
      <c r="W84" s="9">
        <v>14</v>
      </c>
      <c r="X84" s="9"/>
      <c r="Y84" s="12">
        <f t="shared" si="3"/>
        <v>1.768</v>
      </c>
      <c r="Z84" s="9">
        <v>0.33199999999999996</v>
      </c>
    </row>
    <row r="85" spans="1:26" x14ac:dyDescent="0.2">
      <c r="A85" s="9" t="s">
        <v>82</v>
      </c>
      <c r="B85" s="9">
        <v>3865.375</v>
      </c>
      <c r="C85" s="9">
        <v>137.77000000000001</v>
      </c>
      <c r="D85" s="9">
        <v>22.960999999999999</v>
      </c>
      <c r="E85" s="9">
        <v>4.76</v>
      </c>
      <c r="F85" s="9">
        <v>227.386</v>
      </c>
      <c r="G85" s="9">
        <v>2.677</v>
      </c>
      <c r="H85" s="9">
        <v>11.709</v>
      </c>
      <c r="I85" s="9">
        <v>3.0259999999999998</v>
      </c>
      <c r="J85" s="9">
        <v>58.74</v>
      </c>
      <c r="K85" s="9">
        <v>68.658000000000001</v>
      </c>
      <c r="L85" s="9">
        <v>0</v>
      </c>
      <c r="M85" s="9">
        <v>0</v>
      </c>
      <c r="N85" s="9">
        <v>100</v>
      </c>
      <c r="O85" s="9">
        <v>0.96</v>
      </c>
      <c r="P85" s="9">
        <v>0.53</v>
      </c>
      <c r="Q85" s="9">
        <v>0.99299999999999999</v>
      </c>
      <c r="R85" s="9">
        <v>0.13600000000000001</v>
      </c>
      <c r="S85" s="9">
        <v>0.995</v>
      </c>
      <c r="T85" s="9"/>
      <c r="U85" s="9" t="s">
        <v>33</v>
      </c>
      <c r="V85" s="9" t="s">
        <v>37</v>
      </c>
      <c r="W85" s="9">
        <v>14</v>
      </c>
      <c r="X85" s="9"/>
      <c r="Y85" s="12">
        <f t="shared" si="3"/>
        <v>1.9529999999999998</v>
      </c>
      <c r="Z85" s="9">
        <v>0.42999999999999994</v>
      </c>
    </row>
    <row r="86" spans="1:26" x14ac:dyDescent="0.2">
      <c r="A86" s="9" t="s">
        <v>82</v>
      </c>
      <c r="B86" s="9">
        <v>3865.5</v>
      </c>
      <c r="C86" s="9">
        <v>141.33699999999999</v>
      </c>
      <c r="D86" s="9">
        <v>22.641999999999999</v>
      </c>
      <c r="E86" s="9">
        <v>5.2649999999999997</v>
      </c>
      <c r="F86" s="9">
        <v>223.80500000000001</v>
      </c>
      <c r="G86" s="9">
        <v>2.694</v>
      </c>
      <c r="H86" s="9">
        <v>11.244</v>
      </c>
      <c r="I86" s="9">
        <v>3.0179999999999998</v>
      </c>
      <c r="J86" s="9">
        <v>64.165000000000006</v>
      </c>
      <c r="K86" s="9">
        <v>75.323999999999998</v>
      </c>
      <c r="L86" s="9">
        <v>0</v>
      </c>
      <c r="M86" s="9">
        <v>0</v>
      </c>
      <c r="N86" s="9">
        <v>100</v>
      </c>
      <c r="O86" s="9">
        <v>0.997</v>
      </c>
      <c r="P86" s="9">
        <v>0.51700000000000002</v>
      </c>
      <c r="Q86" s="9">
        <v>0.95599999999999996</v>
      </c>
      <c r="R86" s="9">
        <v>0.21099999999999999</v>
      </c>
      <c r="S86" s="9">
        <v>0.94599999999999995</v>
      </c>
      <c r="T86" s="9"/>
      <c r="U86" s="9" t="s">
        <v>33</v>
      </c>
      <c r="V86" s="9" t="s">
        <v>37</v>
      </c>
      <c r="W86" s="9">
        <v>14</v>
      </c>
      <c r="X86" s="9"/>
      <c r="Y86" s="12">
        <f t="shared" si="3"/>
        <v>1.9529999999999998</v>
      </c>
      <c r="Z86" s="9">
        <v>0.48</v>
      </c>
    </row>
    <row r="87" spans="1:26" x14ac:dyDescent="0.2">
      <c r="A87" s="9" t="s">
        <v>82</v>
      </c>
      <c r="B87" s="9">
        <v>3865.625</v>
      </c>
      <c r="C87" s="9">
        <v>133.755</v>
      </c>
      <c r="D87" s="9">
        <v>22.216999999999999</v>
      </c>
      <c r="E87" s="9">
        <v>5.4009999999999998</v>
      </c>
      <c r="F87" s="9">
        <v>213.529</v>
      </c>
      <c r="G87" s="9">
        <v>2.722</v>
      </c>
      <c r="H87" s="9">
        <v>10.249000000000001</v>
      </c>
      <c r="I87" s="9">
        <v>3</v>
      </c>
      <c r="J87" s="9">
        <v>82.055000000000007</v>
      </c>
      <c r="K87" s="9">
        <v>96.872</v>
      </c>
      <c r="L87" s="9">
        <v>0</v>
      </c>
      <c r="M87" s="9">
        <v>0</v>
      </c>
      <c r="N87" s="9">
        <v>100</v>
      </c>
      <c r="O87" s="9">
        <v>0.94499999999999995</v>
      </c>
      <c r="P87" s="9">
        <v>0.48599999999999999</v>
      </c>
      <c r="Q87" s="9">
        <v>0.82299999999999995</v>
      </c>
      <c r="R87" s="9">
        <v>0.34899999999999998</v>
      </c>
      <c r="S87" s="9">
        <v>0.82299999999999995</v>
      </c>
      <c r="T87" s="9"/>
      <c r="U87" s="9" t="s">
        <v>33</v>
      </c>
      <c r="V87" s="9" t="s">
        <v>37</v>
      </c>
      <c r="W87" s="9">
        <v>14</v>
      </c>
      <c r="X87" s="9"/>
      <c r="Y87" s="12">
        <f t="shared" si="3"/>
        <v>1.7679999999999998</v>
      </c>
      <c r="Z87" s="9">
        <v>0.45899999999999996</v>
      </c>
    </row>
    <row r="88" spans="1:26" x14ac:dyDescent="0.2">
      <c r="A88" s="9" t="s">
        <v>83</v>
      </c>
      <c r="B88" s="9">
        <v>3812.875</v>
      </c>
      <c r="C88" s="9">
        <v>74.917000000000002</v>
      </c>
      <c r="D88" s="9">
        <v>22.082999999999998</v>
      </c>
      <c r="E88" s="9">
        <v>3.1269999999999998</v>
      </c>
      <c r="F88" s="9">
        <v>178.03</v>
      </c>
      <c r="G88" s="9">
        <v>2.7519999999999998</v>
      </c>
      <c r="H88" s="9">
        <v>15.749000000000001</v>
      </c>
      <c r="I88" s="9">
        <v>2.8650000000000002</v>
      </c>
      <c r="J88" s="9">
        <v>77.8</v>
      </c>
      <c r="K88" s="9">
        <v>89.748999999999995</v>
      </c>
      <c r="L88" s="9">
        <v>0.01</v>
      </c>
      <c r="M88" s="9">
        <v>1E-3</v>
      </c>
      <c r="N88" s="9">
        <v>100</v>
      </c>
      <c r="O88" s="9">
        <v>0.54400000000000004</v>
      </c>
      <c r="P88" s="9">
        <v>7.8E-2</v>
      </c>
      <c r="Q88" s="9">
        <v>0.41699999999999998</v>
      </c>
      <c r="R88" s="9">
        <v>0.34799999999999998</v>
      </c>
      <c r="S88" s="9">
        <v>0.57699999999999996</v>
      </c>
      <c r="T88" s="9"/>
      <c r="U88" s="9" t="s">
        <v>33</v>
      </c>
      <c r="V88" s="9" t="s">
        <v>37</v>
      </c>
      <c r="W88" s="9">
        <v>11</v>
      </c>
      <c r="X88" s="9" t="s">
        <v>31</v>
      </c>
      <c r="Y88" s="12">
        <f t="shared" si="3"/>
        <v>0.96100000000000008</v>
      </c>
      <c r="Z88" s="9">
        <v>0.46600000000000003</v>
      </c>
    </row>
    <row r="89" spans="1:26" x14ac:dyDescent="0.2">
      <c r="A89" s="9" t="s">
        <v>83</v>
      </c>
      <c r="B89" s="9">
        <v>3813</v>
      </c>
      <c r="C89" s="9">
        <v>84.320999999999998</v>
      </c>
      <c r="D89" s="9">
        <v>22.306999999999999</v>
      </c>
      <c r="E89" s="9">
        <v>3.444</v>
      </c>
      <c r="F89" s="9">
        <v>184.99299999999999</v>
      </c>
      <c r="G89" s="9">
        <v>2.7370000000000001</v>
      </c>
      <c r="H89" s="9">
        <v>17.5</v>
      </c>
      <c r="I89" s="9">
        <v>2.7879999999999998</v>
      </c>
      <c r="J89" s="9">
        <v>65.382000000000005</v>
      </c>
      <c r="K89" s="9">
        <v>75.103999999999999</v>
      </c>
      <c r="L89" s="9">
        <v>0.01</v>
      </c>
      <c r="M89" s="9">
        <v>1E-3</v>
      </c>
      <c r="N89" s="9">
        <v>100</v>
      </c>
      <c r="O89" s="9">
        <v>0.63400000000000001</v>
      </c>
      <c r="P89" s="9">
        <v>1.2999999999999999E-2</v>
      </c>
      <c r="Q89" s="9">
        <v>0.54700000000000004</v>
      </c>
      <c r="R89" s="9">
        <v>0.22900000000000001</v>
      </c>
      <c r="S89" s="9">
        <v>0.66600000000000004</v>
      </c>
      <c r="T89" s="9"/>
      <c r="U89" s="9" t="s">
        <v>33</v>
      </c>
      <c r="V89" s="9" t="s">
        <v>37</v>
      </c>
      <c r="W89" s="9">
        <v>11</v>
      </c>
      <c r="X89" s="9" t="s">
        <v>31</v>
      </c>
      <c r="Y89" s="12">
        <f t="shared" si="3"/>
        <v>1.181</v>
      </c>
      <c r="Z89" s="9">
        <v>0.621</v>
      </c>
    </row>
    <row r="90" spans="1:26" x14ac:dyDescent="0.2">
      <c r="A90" s="9" t="s">
        <v>83</v>
      </c>
      <c r="B90" s="9">
        <v>3813.125</v>
      </c>
      <c r="C90" s="9">
        <v>95.855000000000004</v>
      </c>
      <c r="D90" s="9">
        <v>22.375</v>
      </c>
      <c r="E90" s="9">
        <v>4.0599999999999996</v>
      </c>
      <c r="F90" s="9">
        <v>193.33</v>
      </c>
      <c r="G90" s="9">
        <v>2.7149999999999999</v>
      </c>
      <c r="H90" s="9">
        <v>19.545000000000002</v>
      </c>
      <c r="I90" s="9">
        <v>2.77</v>
      </c>
      <c r="J90" s="9">
        <v>58.804000000000002</v>
      </c>
      <c r="K90" s="9">
        <v>67.344999999999999</v>
      </c>
      <c r="L90" s="9">
        <v>0.01</v>
      </c>
      <c r="M90" s="9">
        <v>1E-3</v>
      </c>
      <c r="N90" s="9">
        <v>100</v>
      </c>
      <c r="O90" s="9">
        <v>0.72699999999999998</v>
      </c>
      <c r="P90" s="9">
        <v>1.0999999999999999E-2</v>
      </c>
      <c r="Q90" s="9">
        <v>0.69099999999999995</v>
      </c>
      <c r="R90" s="9">
        <v>8.5999999999999993E-2</v>
      </c>
      <c r="S90" s="9">
        <v>0.76100000000000001</v>
      </c>
      <c r="T90" s="9"/>
      <c r="U90" s="9" t="s">
        <v>33</v>
      </c>
      <c r="V90" s="9" t="s">
        <v>37</v>
      </c>
      <c r="W90" s="9">
        <v>11</v>
      </c>
      <c r="X90" s="9" t="s">
        <v>31</v>
      </c>
      <c r="Y90" s="12">
        <f t="shared" si="3"/>
        <v>1.4179999999999999</v>
      </c>
      <c r="Z90" s="9">
        <v>0.71599999999999997</v>
      </c>
    </row>
    <row r="91" spans="1:26" x14ac:dyDescent="0.2">
      <c r="A91" s="9" t="s">
        <v>83</v>
      </c>
      <c r="B91" s="9">
        <v>3813.25</v>
      </c>
      <c r="C91" s="9">
        <v>104.639</v>
      </c>
      <c r="D91" s="9">
        <v>22.329000000000001</v>
      </c>
      <c r="E91" s="9">
        <v>4.524</v>
      </c>
      <c r="F91" s="9">
        <v>201.43299999999999</v>
      </c>
      <c r="G91" s="9">
        <v>2.6949999999999998</v>
      </c>
      <c r="H91" s="9">
        <v>21.324999999999999</v>
      </c>
      <c r="I91" s="9">
        <v>2.7949999999999999</v>
      </c>
      <c r="J91" s="9">
        <v>55.545000000000002</v>
      </c>
      <c r="K91" s="9">
        <v>63.347999999999999</v>
      </c>
      <c r="L91" s="9">
        <v>0.01</v>
      </c>
      <c r="M91" s="9">
        <v>1E-3</v>
      </c>
      <c r="N91" s="9">
        <v>100</v>
      </c>
      <c r="O91" s="9">
        <v>0.8</v>
      </c>
      <c r="P91" s="9">
        <v>5.3999999999999999E-2</v>
      </c>
      <c r="Q91" s="9">
        <v>0.82899999999999996</v>
      </c>
      <c r="R91" s="9">
        <v>5.0000000000000001E-3</v>
      </c>
      <c r="S91" s="9">
        <v>0.84299999999999997</v>
      </c>
      <c r="T91" s="9"/>
      <c r="U91" s="9" t="s">
        <v>33</v>
      </c>
      <c r="V91" s="9" t="s">
        <v>37</v>
      </c>
      <c r="W91" s="9">
        <v>11</v>
      </c>
      <c r="X91" s="9" t="s">
        <v>31</v>
      </c>
      <c r="Y91" s="12">
        <f t="shared" si="3"/>
        <v>1.629</v>
      </c>
      <c r="Z91" s="9">
        <v>0.746</v>
      </c>
    </row>
    <row r="92" spans="1:26" x14ac:dyDescent="0.2">
      <c r="A92" s="9" t="s">
        <v>83</v>
      </c>
      <c r="B92" s="9">
        <v>3813.375</v>
      </c>
      <c r="C92" s="9">
        <v>112.227</v>
      </c>
      <c r="D92" s="9">
        <v>22.18</v>
      </c>
      <c r="E92" s="9">
        <v>4.8449999999999998</v>
      </c>
      <c r="F92" s="9">
        <v>208.97300000000001</v>
      </c>
      <c r="G92" s="9">
        <v>2.6970000000000001</v>
      </c>
      <c r="H92" s="9">
        <v>22.901</v>
      </c>
      <c r="I92" s="9">
        <v>2.8540000000000001</v>
      </c>
      <c r="J92" s="9">
        <v>57.334000000000003</v>
      </c>
      <c r="K92" s="9">
        <v>65.084000000000003</v>
      </c>
      <c r="L92" s="9">
        <v>0.01</v>
      </c>
      <c r="M92" s="9">
        <v>1E-3</v>
      </c>
      <c r="N92" s="9">
        <v>100</v>
      </c>
      <c r="O92" s="9">
        <v>0.86899999999999999</v>
      </c>
      <c r="P92" s="9">
        <v>0.13400000000000001</v>
      </c>
      <c r="Q92" s="9">
        <v>0.94399999999999995</v>
      </c>
      <c r="R92" s="9">
        <v>8.3000000000000004E-2</v>
      </c>
      <c r="S92" s="9">
        <v>0.91500000000000004</v>
      </c>
      <c r="T92" s="9"/>
      <c r="U92" s="9" t="s">
        <v>33</v>
      </c>
      <c r="V92" s="9" t="s">
        <v>37</v>
      </c>
      <c r="W92" s="9">
        <v>11</v>
      </c>
      <c r="X92" s="9" t="s">
        <v>31</v>
      </c>
      <c r="Y92" s="12">
        <f t="shared" si="3"/>
        <v>1.8129999999999999</v>
      </c>
      <c r="Z92" s="9">
        <v>0.73499999999999999</v>
      </c>
    </row>
    <row r="93" spans="1:26" x14ac:dyDescent="0.2">
      <c r="A93" s="9" t="s">
        <v>83</v>
      </c>
      <c r="B93" s="9">
        <v>3813.5</v>
      </c>
      <c r="C93" s="9">
        <v>120.226</v>
      </c>
      <c r="D93" s="9">
        <v>22.143000000000001</v>
      </c>
      <c r="E93" s="9">
        <v>5.2850000000000001</v>
      </c>
      <c r="F93" s="9">
        <v>214.02699999999999</v>
      </c>
      <c r="G93" s="9">
        <v>2.7250000000000001</v>
      </c>
      <c r="H93" s="9">
        <v>24.238</v>
      </c>
      <c r="I93" s="9">
        <v>2.9390000000000001</v>
      </c>
      <c r="J93" s="9">
        <v>64.090999999999994</v>
      </c>
      <c r="K93" s="9">
        <v>72.594999999999999</v>
      </c>
      <c r="L93" s="9">
        <v>0.01</v>
      </c>
      <c r="M93" s="9">
        <v>1E-3</v>
      </c>
      <c r="N93" s="9">
        <v>100</v>
      </c>
      <c r="O93" s="9">
        <v>0.92900000000000005</v>
      </c>
      <c r="P93" s="9">
        <v>0.23300000000000001</v>
      </c>
      <c r="Q93" s="9">
        <v>0.998</v>
      </c>
      <c r="R93" s="9">
        <v>0.27700000000000002</v>
      </c>
      <c r="S93" s="9">
        <v>0.96399999999999997</v>
      </c>
      <c r="T93" s="9"/>
      <c r="U93" s="9" t="s">
        <v>33</v>
      </c>
      <c r="V93" s="9" t="s">
        <v>37</v>
      </c>
      <c r="W93" s="9">
        <v>11</v>
      </c>
      <c r="X93" s="9" t="s">
        <v>31</v>
      </c>
      <c r="Y93" s="12">
        <f t="shared" si="3"/>
        <v>1.927</v>
      </c>
      <c r="Z93" s="9">
        <v>0.69600000000000006</v>
      </c>
    </row>
    <row r="94" spans="1:26" x14ac:dyDescent="0.2">
      <c r="A94" s="9" t="s">
        <v>83</v>
      </c>
      <c r="B94" s="9">
        <v>3813.625</v>
      </c>
      <c r="C94" s="9">
        <v>124.96299999999999</v>
      </c>
      <c r="D94" s="9">
        <v>22.094999999999999</v>
      </c>
      <c r="E94" s="9">
        <v>5.7240000000000002</v>
      </c>
      <c r="F94" s="9">
        <v>213.68799999999999</v>
      </c>
      <c r="G94" s="9">
        <v>2.7549999999999999</v>
      </c>
      <c r="H94" s="9">
        <v>24.742000000000001</v>
      </c>
      <c r="I94" s="9">
        <v>3.0219999999999998</v>
      </c>
      <c r="J94" s="9">
        <v>72.084000000000003</v>
      </c>
      <c r="K94" s="9">
        <v>81.614000000000004</v>
      </c>
      <c r="L94" s="9">
        <v>0.01</v>
      </c>
      <c r="M94" s="9">
        <v>1E-3</v>
      </c>
      <c r="N94" s="9">
        <v>100</v>
      </c>
      <c r="O94" s="9">
        <v>0.94399999999999995</v>
      </c>
      <c r="P94" s="9">
        <v>0.318</v>
      </c>
      <c r="Q94" s="9">
        <v>0.95199999999999996</v>
      </c>
      <c r="R94" s="9">
        <v>0.45500000000000002</v>
      </c>
      <c r="S94" s="9">
        <v>0.95899999999999996</v>
      </c>
      <c r="T94" s="9"/>
      <c r="U94" s="9" t="s">
        <v>33</v>
      </c>
      <c r="V94" s="9" t="s">
        <v>37</v>
      </c>
      <c r="W94" s="9">
        <v>11</v>
      </c>
      <c r="X94" s="9" t="s">
        <v>31</v>
      </c>
      <c r="Y94" s="12">
        <f t="shared" si="3"/>
        <v>1.8959999999999999</v>
      </c>
      <c r="Z94" s="9">
        <v>0.62599999999999989</v>
      </c>
    </row>
    <row r="95" spans="1:26" x14ac:dyDescent="0.2">
      <c r="A95" s="9" t="s">
        <v>83</v>
      </c>
      <c r="B95" s="9">
        <v>3813.75</v>
      </c>
      <c r="C95" s="9">
        <v>121.71</v>
      </c>
      <c r="D95" s="9">
        <v>22.062999999999999</v>
      </c>
      <c r="E95" s="9">
        <v>5.976</v>
      </c>
      <c r="F95" s="9">
        <v>207.04900000000001</v>
      </c>
      <c r="G95" s="9">
        <v>2.7749999999999999</v>
      </c>
      <c r="H95" s="9">
        <v>23.588000000000001</v>
      </c>
      <c r="I95" s="9">
        <v>3.077</v>
      </c>
      <c r="J95" s="9">
        <v>82.210999999999999</v>
      </c>
      <c r="K95" s="9">
        <v>92.909000000000006</v>
      </c>
      <c r="L95" s="9">
        <v>0.01</v>
      </c>
      <c r="M95" s="9">
        <v>1E-3</v>
      </c>
      <c r="N95" s="9">
        <v>100</v>
      </c>
      <c r="O95" s="9">
        <v>0.876</v>
      </c>
      <c r="P95" s="9">
        <v>0.35699999999999998</v>
      </c>
      <c r="Q95" s="9">
        <v>0.80500000000000005</v>
      </c>
      <c r="R95" s="9">
        <v>0.57499999999999996</v>
      </c>
      <c r="S95" s="9">
        <v>0.86799999999999999</v>
      </c>
      <c r="T95" s="9"/>
      <c r="U95" s="9" t="s">
        <v>33</v>
      </c>
      <c r="V95" s="9" t="s">
        <v>37</v>
      </c>
      <c r="W95" s="9">
        <v>11</v>
      </c>
      <c r="X95" s="9" t="s">
        <v>31</v>
      </c>
      <c r="Y95" s="12">
        <f t="shared" si="3"/>
        <v>1.681</v>
      </c>
      <c r="Z95" s="9">
        <v>0.51900000000000002</v>
      </c>
    </row>
    <row r="96" spans="1:26" x14ac:dyDescent="0.2">
      <c r="A96" s="9" t="s">
        <v>84</v>
      </c>
      <c r="B96" s="9">
        <v>3930.125</v>
      </c>
      <c r="C96" s="9">
        <v>119.04</v>
      </c>
      <c r="D96" s="9">
        <v>22.346</v>
      </c>
      <c r="E96" s="9">
        <v>4.6479999999999997</v>
      </c>
      <c r="F96" s="9">
        <v>178.215</v>
      </c>
      <c r="G96" s="9">
        <v>2.7149999999999999</v>
      </c>
      <c r="H96" s="9">
        <v>12.757</v>
      </c>
      <c r="I96" s="9">
        <v>3.044</v>
      </c>
      <c r="J96" s="9">
        <v>161.28</v>
      </c>
      <c r="K96" s="9">
        <v>180.07599999999999</v>
      </c>
      <c r="L96" s="9">
        <v>0.01</v>
      </c>
      <c r="M96" s="9">
        <v>1E-3</v>
      </c>
      <c r="N96" s="9">
        <v>100</v>
      </c>
      <c r="O96" s="9">
        <v>0.88</v>
      </c>
      <c r="P96" s="9">
        <v>0.24099999999999999</v>
      </c>
      <c r="Q96" s="9">
        <v>0.74399999999999999</v>
      </c>
      <c r="R96" s="9">
        <v>0.53100000000000003</v>
      </c>
      <c r="S96" s="9">
        <v>0.9</v>
      </c>
      <c r="T96" s="9"/>
      <c r="U96" s="9" t="s">
        <v>33</v>
      </c>
      <c r="V96" s="9" t="s">
        <v>37</v>
      </c>
      <c r="W96" s="9">
        <v>14</v>
      </c>
      <c r="X96" s="9"/>
      <c r="Y96" s="12">
        <f t="shared" si="3"/>
        <v>1.6240000000000001</v>
      </c>
      <c r="Z96" s="9">
        <v>0.63900000000000001</v>
      </c>
    </row>
    <row r="97" spans="1:27" x14ac:dyDescent="0.2">
      <c r="A97" s="9" t="s">
        <v>84</v>
      </c>
      <c r="B97" s="9">
        <v>3930.25</v>
      </c>
      <c r="C97" s="9">
        <v>126.01300000000001</v>
      </c>
      <c r="D97" s="9">
        <v>22.436</v>
      </c>
      <c r="E97" s="9">
        <v>4.5259999999999998</v>
      </c>
      <c r="F97" s="9">
        <v>181.19</v>
      </c>
      <c r="G97" s="9">
        <v>2.718</v>
      </c>
      <c r="H97" s="9">
        <v>13.282999999999999</v>
      </c>
      <c r="I97" s="9">
        <v>3.149</v>
      </c>
      <c r="J97" s="9">
        <v>174.167</v>
      </c>
      <c r="K97" s="9">
        <v>194.41300000000001</v>
      </c>
      <c r="L97" s="9">
        <v>0.01</v>
      </c>
      <c r="M97" s="9">
        <v>1E-3</v>
      </c>
      <c r="N97" s="9">
        <v>100</v>
      </c>
      <c r="O97" s="9">
        <v>0.95499999999999996</v>
      </c>
      <c r="P97" s="9">
        <v>0.312</v>
      </c>
      <c r="Q97" s="9">
        <v>0.83299999999999996</v>
      </c>
      <c r="R97" s="9">
        <v>0.54200000000000004</v>
      </c>
      <c r="S97" s="9">
        <v>0.94599999999999995</v>
      </c>
      <c r="T97" s="9"/>
      <c r="U97" s="9" t="s">
        <v>33</v>
      </c>
      <c r="V97" s="9" t="s">
        <v>37</v>
      </c>
      <c r="W97" s="9">
        <v>14</v>
      </c>
      <c r="X97" s="9"/>
      <c r="Y97" s="12">
        <f t="shared" si="3"/>
        <v>1.7879999999999998</v>
      </c>
      <c r="Z97" s="9">
        <v>0.64300000000000002</v>
      </c>
    </row>
    <row r="98" spans="1:27" x14ac:dyDescent="0.2">
      <c r="A98" s="9" t="s">
        <v>84</v>
      </c>
      <c r="B98" s="9">
        <v>3930.375</v>
      </c>
      <c r="C98" s="9">
        <v>128.72800000000001</v>
      </c>
      <c r="D98" s="9">
        <v>22.52</v>
      </c>
      <c r="E98" s="9">
        <v>4.2809999999999997</v>
      </c>
      <c r="F98" s="9">
        <v>183.989</v>
      </c>
      <c r="G98" s="9">
        <v>2.7240000000000002</v>
      </c>
      <c r="H98" s="9">
        <v>13.698</v>
      </c>
      <c r="I98" s="9">
        <v>3.2570000000000001</v>
      </c>
      <c r="J98" s="9">
        <v>196.97499999999999</v>
      </c>
      <c r="K98" s="9">
        <v>219.892</v>
      </c>
      <c r="L98" s="9">
        <v>0.01</v>
      </c>
      <c r="M98" s="9">
        <v>1E-3</v>
      </c>
      <c r="N98" s="9">
        <v>100</v>
      </c>
      <c r="O98" s="9">
        <v>0.98799999999999999</v>
      </c>
      <c r="P98" s="9">
        <v>0.38600000000000001</v>
      </c>
      <c r="Q98" s="9">
        <v>0.92300000000000004</v>
      </c>
      <c r="R98" s="9">
        <v>0.56899999999999995</v>
      </c>
      <c r="S98" s="9">
        <v>0.98699999999999999</v>
      </c>
      <c r="T98" s="9"/>
      <c r="U98" s="9" t="s">
        <v>33</v>
      </c>
      <c r="V98" s="9" t="s">
        <v>37</v>
      </c>
      <c r="W98" s="9">
        <v>14</v>
      </c>
      <c r="X98" s="9"/>
      <c r="Y98" s="12">
        <f t="shared" si="3"/>
        <v>1.911</v>
      </c>
      <c r="Z98" s="9">
        <v>0.60199999999999998</v>
      </c>
    </row>
    <row r="99" spans="1:27" x14ac:dyDescent="0.2">
      <c r="A99" s="9" t="s">
        <v>84</v>
      </c>
      <c r="B99" s="9">
        <v>3930.5</v>
      </c>
      <c r="C99" s="9">
        <v>127.56100000000001</v>
      </c>
      <c r="D99" s="9">
        <v>22.571000000000002</v>
      </c>
      <c r="E99" s="9">
        <v>3.9489999999999998</v>
      </c>
      <c r="F99" s="9">
        <v>185.69200000000001</v>
      </c>
      <c r="G99" s="9">
        <v>2.73</v>
      </c>
      <c r="H99" s="9">
        <v>13.762</v>
      </c>
      <c r="I99" s="9">
        <v>3.3610000000000002</v>
      </c>
      <c r="J99" s="9">
        <v>212.447</v>
      </c>
      <c r="K99" s="9">
        <v>237.227</v>
      </c>
      <c r="L99" s="9">
        <v>0.01</v>
      </c>
      <c r="M99" s="9">
        <v>1E-3</v>
      </c>
      <c r="N99" s="9">
        <v>100</v>
      </c>
      <c r="O99" s="9">
        <v>0.98399999999999999</v>
      </c>
      <c r="P99" s="9">
        <v>0.45800000000000002</v>
      </c>
      <c r="Q99" s="9">
        <v>0.98399999999999999</v>
      </c>
      <c r="R99" s="9">
        <v>0.59899999999999998</v>
      </c>
      <c r="S99" s="9">
        <v>0.999</v>
      </c>
      <c r="T99" s="9"/>
      <c r="U99" s="9" t="s">
        <v>33</v>
      </c>
      <c r="V99" s="9" t="s">
        <v>37</v>
      </c>
      <c r="W99" s="9">
        <v>14</v>
      </c>
      <c r="X99" s="9"/>
      <c r="Y99" s="12">
        <f t="shared" si="3"/>
        <v>1.968</v>
      </c>
      <c r="Z99" s="9">
        <v>0.52600000000000002</v>
      </c>
    </row>
    <row r="100" spans="1:27" x14ac:dyDescent="0.2">
      <c r="A100" s="9" t="s">
        <v>84</v>
      </c>
      <c r="B100" s="9">
        <v>3930.625</v>
      </c>
      <c r="C100" s="9">
        <v>124.136</v>
      </c>
      <c r="D100" s="9">
        <v>22.576000000000001</v>
      </c>
      <c r="E100" s="9">
        <v>3.63</v>
      </c>
      <c r="F100" s="9">
        <v>185.86699999999999</v>
      </c>
      <c r="G100" s="9">
        <v>2.734</v>
      </c>
      <c r="H100" s="9">
        <v>13.506</v>
      </c>
      <c r="I100" s="9">
        <v>3.4540000000000002</v>
      </c>
      <c r="J100" s="9">
        <v>225.84299999999999</v>
      </c>
      <c r="K100" s="9">
        <v>252.215</v>
      </c>
      <c r="L100" s="9">
        <v>0.01</v>
      </c>
      <c r="M100" s="9">
        <v>1E-3</v>
      </c>
      <c r="N100" s="9">
        <v>100</v>
      </c>
      <c r="O100" s="9">
        <v>0.95699999999999996</v>
      </c>
      <c r="P100" s="9">
        <v>0.52300000000000002</v>
      </c>
      <c r="Q100" s="9">
        <v>0.999</v>
      </c>
      <c r="R100" s="9">
        <v>0.621</v>
      </c>
      <c r="S100" s="9">
        <v>0.98099999999999998</v>
      </c>
      <c r="T100" s="9"/>
      <c r="U100" s="9" t="s">
        <v>33</v>
      </c>
      <c r="V100" s="9" t="s">
        <v>37</v>
      </c>
      <c r="W100" s="9">
        <v>14</v>
      </c>
      <c r="X100" s="9"/>
      <c r="Y100" s="12">
        <f t="shared" si="3"/>
        <v>1.956</v>
      </c>
      <c r="Z100" s="9">
        <v>0.43399999999999994</v>
      </c>
    </row>
    <row r="101" spans="1:27" x14ac:dyDescent="0.2">
      <c r="A101" s="9" t="s">
        <v>84</v>
      </c>
      <c r="B101" s="9">
        <v>3930.75</v>
      </c>
      <c r="C101" s="9">
        <v>121.20699999999999</v>
      </c>
      <c r="D101" s="9">
        <v>22.533999999999999</v>
      </c>
      <c r="E101" s="9">
        <v>3.302</v>
      </c>
      <c r="F101" s="9">
        <v>184.44499999999999</v>
      </c>
      <c r="G101" s="9">
        <v>2.7360000000000002</v>
      </c>
      <c r="H101" s="9">
        <v>13.073</v>
      </c>
      <c r="I101" s="9">
        <v>3.5339999999999998</v>
      </c>
      <c r="J101" s="9">
        <v>244.66</v>
      </c>
      <c r="K101" s="9">
        <v>273.23599999999999</v>
      </c>
      <c r="L101" s="9">
        <v>0.01</v>
      </c>
      <c r="M101" s="9">
        <v>1E-3</v>
      </c>
      <c r="N101" s="9">
        <v>100</v>
      </c>
      <c r="O101" s="9">
        <v>0.92900000000000005</v>
      </c>
      <c r="P101" s="9">
        <v>0.57999999999999996</v>
      </c>
      <c r="Q101" s="9">
        <v>0.96399999999999997</v>
      </c>
      <c r="R101" s="9">
        <v>0.63300000000000001</v>
      </c>
      <c r="S101" s="9">
        <v>0.94499999999999995</v>
      </c>
      <c r="T101" s="9"/>
      <c r="U101" s="9" t="s">
        <v>33</v>
      </c>
      <c r="V101" s="9" t="s">
        <v>37</v>
      </c>
      <c r="W101" s="9">
        <v>14</v>
      </c>
      <c r="X101" s="9"/>
      <c r="Y101" s="12">
        <f t="shared" si="3"/>
        <v>1.893</v>
      </c>
      <c r="Z101" s="9">
        <v>0.34900000000000009</v>
      </c>
      <c r="AA101" s="4">
        <v>108</v>
      </c>
    </row>
    <row r="102" spans="1:27" x14ac:dyDescent="0.2">
      <c r="A102" s="10" t="s">
        <v>84</v>
      </c>
      <c r="B102" s="10">
        <v>3927.375</v>
      </c>
      <c r="C102" s="10">
        <v>112.43600000000001</v>
      </c>
      <c r="D102" s="10">
        <v>22.202000000000002</v>
      </c>
      <c r="E102" s="10">
        <v>4.7389999999999999</v>
      </c>
      <c r="F102" s="10">
        <v>173.39</v>
      </c>
      <c r="G102" s="10">
        <v>2.7639999999999998</v>
      </c>
      <c r="H102" s="10">
        <v>8.2430000000000003</v>
      </c>
      <c r="I102" s="10">
        <v>2.871</v>
      </c>
      <c r="J102" s="10">
        <v>294.02499999999998</v>
      </c>
      <c r="K102" s="10">
        <v>328.38799999999998</v>
      </c>
      <c r="L102" s="10">
        <v>0.01</v>
      </c>
      <c r="M102" s="10">
        <v>1E-3</v>
      </c>
      <c r="N102" s="10">
        <v>100</v>
      </c>
      <c r="O102" s="10">
        <v>0.78700000000000003</v>
      </c>
      <c r="P102" s="10">
        <v>0.13600000000000001</v>
      </c>
      <c r="Q102" s="10">
        <v>0.59699999999999998</v>
      </c>
      <c r="R102" s="10">
        <v>0.79400000000000004</v>
      </c>
      <c r="S102" s="10">
        <v>0.47799999999999998</v>
      </c>
      <c r="T102" s="10"/>
      <c r="U102" s="10" t="s">
        <v>33</v>
      </c>
      <c r="V102" s="10" t="s">
        <v>39</v>
      </c>
      <c r="W102" s="10">
        <v>11</v>
      </c>
      <c r="X102" s="10"/>
      <c r="Y102" s="12">
        <f t="shared" si="3"/>
        <v>1.3839999999999999</v>
      </c>
      <c r="Z102" s="10">
        <f t="shared" ref="Z102:Z113" si="4">O102-P102</f>
        <v>0.65100000000000002</v>
      </c>
    </row>
    <row r="103" spans="1:27" x14ac:dyDescent="0.2">
      <c r="A103" s="10" t="s">
        <v>84</v>
      </c>
      <c r="B103" s="10">
        <v>3927.5</v>
      </c>
      <c r="C103" s="10">
        <v>126.218</v>
      </c>
      <c r="D103" s="10">
        <v>22.198</v>
      </c>
      <c r="E103" s="10">
        <v>4.4359999999999999</v>
      </c>
      <c r="F103" s="10">
        <v>173.25299999999999</v>
      </c>
      <c r="G103" s="10">
        <v>2.7389999999999999</v>
      </c>
      <c r="H103" s="10">
        <v>9.5909999999999993</v>
      </c>
      <c r="I103" s="10">
        <v>2.8839999999999999</v>
      </c>
      <c r="J103" s="10">
        <v>210.11799999999999</v>
      </c>
      <c r="K103" s="10">
        <v>234.673</v>
      </c>
      <c r="L103" s="10">
        <v>0.01</v>
      </c>
      <c r="M103" s="10">
        <v>1E-3</v>
      </c>
      <c r="N103" s="10">
        <v>100</v>
      </c>
      <c r="O103" s="10">
        <v>0.94399999999999995</v>
      </c>
      <c r="P103" s="10">
        <v>0.14199999999999999</v>
      </c>
      <c r="Q103" s="10">
        <v>0.60199999999999998</v>
      </c>
      <c r="R103" s="10">
        <v>0.67500000000000004</v>
      </c>
      <c r="S103" s="10">
        <v>0.59199999999999997</v>
      </c>
      <c r="T103" s="10"/>
      <c r="U103" s="10" t="s">
        <v>33</v>
      </c>
      <c r="V103" s="10" t="s">
        <v>39</v>
      </c>
      <c r="W103" s="10">
        <v>11</v>
      </c>
      <c r="X103" s="10"/>
      <c r="Y103" s="12">
        <f t="shared" si="3"/>
        <v>1.5459999999999998</v>
      </c>
      <c r="Z103" s="10">
        <f t="shared" si="4"/>
        <v>0.80199999999999994</v>
      </c>
    </row>
    <row r="104" spans="1:27" x14ac:dyDescent="0.2">
      <c r="A104" s="10" t="s">
        <v>84</v>
      </c>
      <c r="B104" s="10">
        <v>3927.625</v>
      </c>
      <c r="C104" s="10">
        <v>129.41999999999999</v>
      </c>
      <c r="D104" s="10">
        <v>22.167000000000002</v>
      </c>
      <c r="E104" s="10">
        <v>3.9820000000000002</v>
      </c>
      <c r="F104" s="10">
        <v>172.23</v>
      </c>
      <c r="G104" s="10">
        <v>2.7189999999999999</v>
      </c>
      <c r="H104" s="10">
        <v>10.63</v>
      </c>
      <c r="I104" s="10">
        <v>2.9239999999999999</v>
      </c>
      <c r="J104" s="10">
        <v>189.40700000000001</v>
      </c>
      <c r="K104" s="10">
        <v>211.53299999999999</v>
      </c>
      <c r="L104" s="10">
        <v>0.01</v>
      </c>
      <c r="M104" s="10">
        <v>1E-3</v>
      </c>
      <c r="N104" s="10">
        <v>100</v>
      </c>
      <c r="O104" s="10">
        <v>0.99299999999999999</v>
      </c>
      <c r="P104" s="10">
        <v>0.16600000000000001</v>
      </c>
      <c r="Q104" s="10">
        <v>0.57599999999999996</v>
      </c>
      <c r="R104" s="10">
        <v>0.56999999999999995</v>
      </c>
      <c r="S104" s="10">
        <v>0.69299999999999995</v>
      </c>
      <c r="T104" s="10"/>
      <c r="U104" s="10" t="s">
        <v>33</v>
      </c>
      <c r="V104" s="10" t="s">
        <v>39</v>
      </c>
      <c r="W104" s="10">
        <v>11</v>
      </c>
      <c r="X104" s="10"/>
      <c r="Y104" s="12">
        <f t="shared" si="3"/>
        <v>1.569</v>
      </c>
      <c r="Z104" s="10">
        <f t="shared" si="4"/>
        <v>0.82699999999999996</v>
      </c>
    </row>
    <row r="105" spans="1:27" x14ac:dyDescent="0.2">
      <c r="A105" s="10" t="s">
        <v>84</v>
      </c>
      <c r="B105" s="10">
        <v>3927.75</v>
      </c>
      <c r="C105" s="10">
        <v>118.586</v>
      </c>
      <c r="D105" s="10">
        <v>22.148</v>
      </c>
      <c r="E105" s="10">
        <v>3.4710000000000001</v>
      </c>
      <c r="F105" s="10">
        <v>171.60300000000001</v>
      </c>
      <c r="G105" s="10">
        <v>2.7090000000000001</v>
      </c>
      <c r="H105" s="10">
        <v>10.992000000000001</v>
      </c>
      <c r="I105" s="10">
        <v>2.9910000000000001</v>
      </c>
      <c r="J105" s="10">
        <v>198.08</v>
      </c>
      <c r="K105" s="10">
        <v>221.215</v>
      </c>
      <c r="L105" s="10">
        <v>0.01</v>
      </c>
      <c r="M105" s="10">
        <v>1E-3</v>
      </c>
      <c r="N105" s="10">
        <v>100</v>
      </c>
      <c r="O105" s="10">
        <v>0.91900000000000004</v>
      </c>
      <c r="P105" s="10">
        <v>0.20799999999999999</v>
      </c>
      <c r="Q105" s="10">
        <v>0.55300000000000005</v>
      </c>
      <c r="R105" s="10">
        <v>0.51</v>
      </c>
      <c r="S105" s="10">
        <v>0.73899999999999999</v>
      </c>
      <c r="T105" s="10"/>
      <c r="U105" s="10" t="s">
        <v>33</v>
      </c>
      <c r="V105" s="10" t="s">
        <v>39</v>
      </c>
      <c r="W105" s="10">
        <v>11</v>
      </c>
      <c r="X105" s="10"/>
      <c r="Y105" s="12">
        <f t="shared" si="3"/>
        <v>1.472</v>
      </c>
      <c r="Z105" s="10">
        <f t="shared" si="4"/>
        <v>0.71100000000000008</v>
      </c>
    </row>
    <row r="106" spans="1:27" x14ac:dyDescent="0.2">
      <c r="A106" s="10" t="s">
        <v>84</v>
      </c>
      <c r="B106" s="10">
        <v>3927.875</v>
      </c>
      <c r="C106" s="10">
        <v>94.3</v>
      </c>
      <c r="D106" s="10">
        <v>22.167999999999999</v>
      </c>
      <c r="E106" s="10">
        <v>2.9129999999999998</v>
      </c>
      <c r="F106" s="10">
        <v>172.273</v>
      </c>
      <c r="G106" s="10">
        <v>2.71</v>
      </c>
      <c r="H106" s="10">
        <v>10.888999999999999</v>
      </c>
      <c r="I106" s="10">
        <v>3.0760000000000001</v>
      </c>
      <c r="J106" s="10">
        <v>226.82400000000001</v>
      </c>
      <c r="K106" s="10">
        <v>253.303</v>
      </c>
      <c r="L106" s="10">
        <v>0.01</v>
      </c>
      <c r="M106" s="10">
        <v>1E-3</v>
      </c>
      <c r="N106" s="10">
        <v>100</v>
      </c>
      <c r="O106" s="10">
        <v>0.72</v>
      </c>
      <c r="P106" s="10">
        <v>0.26400000000000001</v>
      </c>
      <c r="Q106" s="10">
        <v>0.56599999999999995</v>
      </c>
      <c r="R106" s="10">
        <v>0.504</v>
      </c>
      <c r="S106" s="10">
        <v>0.73799999999999999</v>
      </c>
      <c r="T106" s="10"/>
      <c r="U106" s="10" t="s">
        <v>33</v>
      </c>
      <c r="V106" s="10" t="s">
        <v>39</v>
      </c>
      <c r="W106" s="10">
        <v>11</v>
      </c>
      <c r="X106" s="10"/>
      <c r="Y106" s="12">
        <f t="shared" si="3"/>
        <v>1.286</v>
      </c>
      <c r="Z106" s="10">
        <f t="shared" si="4"/>
        <v>0.45599999999999996</v>
      </c>
    </row>
    <row r="107" spans="1:27" x14ac:dyDescent="0.2">
      <c r="A107" s="11" t="s">
        <v>74</v>
      </c>
      <c r="B107" s="11">
        <v>3809.625</v>
      </c>
      <c r="C107" s="11">
        <v>67.191000000000003</v>
      </c>
      <c r="D107" s="11">
        <v>24.167999999999999</v>
      </c>
      <c r="E107" s="11">
        <v>5.6630000000000003</v>
      </c>
      <c r="F107" s="11">
        <v>217.703</v>
      </c>
      <c r="G107" s="11">
        <v>2.6469999999999998</v>
      </c>
      <c r="H107" s="11">
        <v>8.9559999999999995</v>
      </c>
      <c r="I107" s="11">
        <v>2.74</v>
      </c>
      <c r="J107" s="11">
        <v>143.00200000000001</v>
      </c>
      <c r="K107" s="11">
        <v>97.251000000000005</v>
      </c>
      <c r="L107" s="11">
        <v>0.01</v>
      </c>
      <c r="M107" s="11">
        <v>1E-3</v>
      </c>
      <c r="N107" s="11">
        <v>100</v>
      </c>
      <c r="O107" s="11">
        <v>0.42199999999999999</v>
      </c>
      <c r="P107" s="11">
        <v>0.108</v>
      </c>
      <c r="Q107" s="11">
        <v>0.63600000000000001</v>
      </c>
      <c r="R107" s="11">
        <v>0.314</v>
      </c>
      <c r="S107" s="11">
        <v>0.36299999999999999</v>
      </c>
      <c r="T107" s="11"/>
      <c r="U107" s="11" t="s">
        <v>33</v>
      </c>
      <c r="V107" s="11" t="s">
        <v>86</v>
      </c>
      <c r="W107" s="11">
        <v>13</v>
      </c>
      <c r="X107" s="11" t="s">
        <v>32</v>
      </c>
      <c r="Y107" s="12">
        <f t="shared" si="3"/>
        <v>1.0580000000000001</v>
      </c>
      <c r="Z107" s="11">
        <f t="shared" si="4"/>
        <v>0.314</v>
      </c>
    </row>
    <row r="108" spans="1:27" x14ac:dyDescent="0.2">
      <c r="A108" s="11" t="s">
        <v>74</v>
      </c>
      <c r="B108" s="11">
        <v>3809.75</v>
      </c>
      <c r="C108" s="11">
        <v>97.382999999999996</v>
      </c>
      <c r="D108" s="11">
        <v>24.709</v>
      </c>
      <c r="E108" s="11">
        <v>6.3410000000000002</v>
      </c>
      <c r="F108" s="11">
        <v>238.95699999999999</v>
      </c>
      <c r="G108" s="11">
        <v>2.589</v>
      </c>
      <c r="H108" s="11">
        <v>9.8480000000000008</v>
      </c>
      <c r="I108" s="11">
        <v>2.5270000000000001</v>
      </c>
      <c r="J108" s="11">
        <v>87.08</v>
      </c>
      <c r="K108" s="11">
        <v>57.311999999999998</v>
      </c>
      <c r="L108" s="11">
        <v>0.01</v>
      </c>
      <c r="M108" s="11">
        <v>1E-3</v>
      </c>
      <c r="N108" s="11">
        <v>100</v>
      </c>
      <c r="O108" s="11">
        <v>0.64800000000000002</v>
      </c>
      <c r="P108" s="11">
        <v>3.2000000000000001E-2</v>
      </c>
      <c r="Q108" s="11">
        <v>0.83899999999999997</v>
      </c>
      <c r="R108" s="11">
        <v>0.191</v>
      </c>
      <c r="S108" s="11">
        <v>0.432</v>
      </c>
      <c r="T108" s="11"/>
      <c r="U108" s="11" t="s">
        <v>33</v>
      </c>
      <c r="V108" s="11" t="s">
        <v>86</v>
      </c>
      <c r="W108" s="11">
        <v>13</v>
      </c>
      <c r="X108" s="11" t="s">
        <v>32</v>
      </c>
      <c r="Y108" s="12">
        <f t="shared" si="3"/>
        <v>1.4870000000000001</v>
      </c>
      <c r="Z108" s="11">
        <f t="shared" si="4"/>
        <v>0.61599999999999999</v>
      </c>
    </row>
    <row r="109" spans="1:27" x14ac:dyDescent="0.2">
      <c r="A109" s="11" t="s">
        <v>74</v>
      </c>
      <c r="B109" s="11">
        <v>3809.875</v>
      </c>
      <c r="C109" s="11">
        <v>128.87</v>
      </c>
      <c r="D109" s="11">
        <v>25.39</v>
      </c>
      <c r="E109" s="11">
        <v>6.7</v>
      </c>
      <c r="F109" s="11">
        <v>254.98599999999999</v>
      </c>
      <c r="G109" s="11">
        <v>2.544</v>
      </c>
      <c r="H109" s="11">
        <v>11.487</v>
      </c>
      <c r="I109" s="11">
        <v>2.4260000000000002</v>
      </c>
      <c r="J109" s="11">
        <v>59.905000000000001</v>
      </c>
      <c r="K109" s="11">
        <v>39.058999999999997</v>
      </c>
      <c r="L109" s="11">
        <v>0.01</v>
      </c>
      <c r="M109" s="11">
        <v>1E-3</v>
      </c>
      <c r="N109" s="11">
        <v>100</v>
      </c>
      <c r="O109" s="11">
        <v>0.86699999999999999</v>
      </c>
      <c r="P109" s="11">
        <v>4.0000000000000001E-3</v>
      </c>
      <c r="Q109" s="11">
        <v>0.97499999999999998</v>
      </c>
      <c r="R109" s="11">
        <v>0.09</v>
      </c>
      <c r="S109" s="11">
        <v>0.55300000000000005</v>
      </c>
      <c r="T109" s="11"/>
      <c r="U109" s="11" t="s">
        <v>33</v>
      </c>
      <c r="V109" s="11" t="s">
        <v>86</v>
      </c>
      <c r="W109" s="11">
        <v>13</v>
      </c>
      <c r="X109" s="11" t="s">
        <v>32</v>
      </c>
      <c r="Y109" s="12">
        <f t="shared" si="3"/>
        <v>1.8420000000000001</v>
      </c>
      <c r="Z109" s="11">
        <f t="shared" si="4"/>
        <v>0.86299999999999999</v>
      </c>
    </row>
    <row r="110" spans="1:27" x14ac:dyDescent="0.2">
      <c r="A110" s="11" t="s">
        <v>74</v>
      </c>
      <c r="B110" s="11">
        <v>3810</v>
      </c>
      <c r="C110" s="11">
        <v>148.92500000000001</v>
      </c>
      <c r="D110" s="11">
        <v>25.885000000000002</v>
      </c>
      <c r="E110" s="11">
        <v>6.4710000000000001</v>
      </c>
      <c r="F110" s="11">
        <v>258.01400000000001</v>
      </c>
      <c r="G110" s="11">
        <v>2.4940000000000002</v>
      </c>
      <c r="H110" s="11">
        <v>14.016</v>
      </c>
      <c r="I110" s="11">
        <v>2.4820000000000002</v>
      </c>
      <c r="J110" s="11">
        <v>51.9</v>
      </c>
      <c r="K110" s="11">
        <v>34.094999999999999</v>
      </c>
      <c r="L110" s="11">
        <v>0.01</v>
      </c>
      <c r="M110" s="11">
        <v>1E-3</v>
      </c>
      <c r="N110" s="11">
        <v>100</v>
      </c>
      <c r="O110" s="11">
        <v>0.99</v>
      </c>
      <c r="P110" s="11">
        <v>3.9E-2</v>
      </c>
      <c r="Q110" s="11">
        <v>0.97899999999999998</v>
      </c>
      <c r="R110" s="11">
        <v>4.0000000000000001E-3</v>
      </c>
      <c r="S110" s="11">
        <v>0.72699999999999998</v>
      </c>
      <c r="T110" s="11"/>
      <c r="U110" s="11" t="s">
        <v>33</v>
      </c>
      <c r="V110" s="11" t="s">
        <v>86</v>
      </c>
      <c r="W110" s="11">
        <v>13</v>
      </c>
      <c r="X110" s="11" t="s">
        <v>32</v>
      </c>
      <c r="Y110" s="12">
        <f t="shared" si="3"/>
        <v>1.9689999999999999</v>
      </c>
      <c r="Z110" s="11">
        <f t="shared" si="4"/>
        <v>0.95099999999999996</v>
      </c>
    </row>
    <row r="111" spans="1:27" x14ac:dyDescent="0.2">
      <c r="A111" s="11" t="s">
        <v>74</v>
      </c>
      <c r="B111" s="11">
        <v>3810.125</v>
      </c>
      <c r="C111" s="11">
        <v>150.51400000000001</v>
      </c>
      <c r="D111" s="11">
        <v>25.923999999999999</v>
      </c>
      <c r="E111" s="11">
        <v>6.3079999999999998</v>
      </c>
      <c r="F111" s="11">
        <v>246.577</v>
      </c>
      <c r="G111" s="11">
        <v>2.5030000000000001</v>
      </c>
      <c r="H111" s="11">
        <v>16.832000000000001</v>
      </c>
      <c r="I111" s="11">
        <v>2.7170000000000001</v>
      </c>
      <c r="J111" s="11">
        <v>54.216000000000001</v>
      </c>
      <c r="K111" s="11">
        <v>36.045000000000002</v>
      </c>
      <c r="L111" s="11">
        <v>0.01</v>
      </c>
      <c r="M111" s="11">
        <v>1E-3</v>
      </c>
      <c r="N111" s="11">
        <v>100</v>
      </c>
      <c r="O111" s="11">
        <v>0.98</v>
      </c>
      <c r="P111" s="11">
        <v>0.13900000000000001</v>
      </c>
      <c r="Q111" s="11">
        <v>0.85399999999999998</v>
      </c>
      <c r="R111" s="11">
        <v>4.9000000000000002E-2</v>
      </c>
      <c r="S111" s="11">
        <v>0.90300000000000002</v>
      </c>
      <c r="T111" s="11"/>
      <c r="U111" s="11" t="s">
        <v>33</v>
      </c>
      <c r="V111" s="11" t="s">
        <v>86</v>
      </c>
      <c r="W111" s="11">
        <v>13</v>
      </c>
      <c r="X111" s="11" t="s">
        <v>32</v>
      </c>
      <c r="Y111" s="12">
        <f t="shared" si="3"/>
        <v>1.8340000000000001</v>
      </c>
      <c r="Z111" s="11">
        <f t="shared" si="4"/>
        <v>0.84099999999999997</v>
      </c>
    </row>
    <row r="112" spans="1:27" x14ac:dyDescent="0.2">
      <c r="A112" s="11" t="s">
        <v>74</v>
      </c>
      <c r="B112" s="11">
        <v>3810.25</v>
      </c>
      <c r="C112" s="11">
        <v>135.904</v>
      </c>
      <c r="D112" s="11">
        <v>25.54</v>
      </c>
      <c r="E112" s="11">
        <v>5.5949999999999998</v>
      </c>
      <c r="F112" s="11">
        <v>229.452</v>
      </c>
      <c r="G112" s="11">
        <v>2.5760000000000001</v>
      </c>
      <c r="H112" s="11">
        <v>18.593</v>
      </c>
      <c r="I112" s="11">
        <v>3.0609999999999999</v>
      </c>
      <c r="J112" s="11">
        <v>64.944000000000003</v>
      </c>
      <c r="K112" s="11">
        <v>43.677999999999997</v>
      </c>
      <c r="L112" s="11">
        <v>0.01</v>
      </c>
      <c r="M112" s="11">
        <v>1E-3</v>
      </c>
      <c r="N112" s="11">
        <v>100</v>
      </c>
      <c r="O112" s="11">
        <v>0.86199999999999999</v>
      </c>
      <c r="P112" s="11">
        <v>0.27300000000000002</v>
      </c>
      <c r="Q112" s="11">
        <v>0.69</v>
      </c>
      <c r="R112" s="11">
        <v>0.215</v>
      </c>
      <c r="S112" s="11">
        <v>0.99299999999999999</v>
      </c>
      <c r="T112" s="11"/>
      <c r="U112" s="11" t="s">
        <v>33</v>
      </c>
      <c r="V112" s="11" t="s">
        <v>86</v>
      </c>
      <c r="W112" s="11">
        <v>13</v>
      </c>
      <c r="X112" s="11" t="s">
        <v>32</v>
      </c>
      <c r="Y112" s="12">
        <f t="shared" si="3"/>
        <v>1.552</v>
      </c>
      <c r="Z112" s="11">
        <f t="shared" si="4"/>
        <v>0.58899999999999997</v>
      </c>
    </row>
    <row r="113" spans="1:26" x14ac:dyDescent="0.2">
      <c r="A113" s="11" t="s">
        <v>74</v>
      </c>
      <c r="B113" s="11">
        <v>3810.375</v>
      </c>
      <c r="C113" s="11">
        <v>114.509</v>
      </c>
      <c r="D113" s="11">
        <v>24.8</v>
      </c>
      <c r="E113" s="11">
        <v>4.3289999999999997</v>
      </c>
      <c r="F113" s="11">
        <v>216.226</v>
      </c>
      <c r="G113" s="11">
        <v>2.66</v>
      </c>
      <c r="H113" s="11">
        <v>18.030999999999999</v>
      </c>
      <c r="I113" s="11">
        <v>3.3980000000000001</v>
      </c>
      <c r="J113" s="11">
        <v>86.003</v>
      </c>
      <c r="K113" s="11">
        <v>58.445999999999998</v>
      </c>
      <c r="L113" s="11">
        <v>0.01</v>
      </c>
      <c r="M113" s="11">
        <v>1E-3</v>
      </c>
      <c r="N113" s="11">
        <v>100</v>
      </c>
      <c r="O113" s="11">
        <v>0.71099999999999997</v>
      </c>
      <c r="P113" s="11">
        <v>0.40100000000000002</v>
      </c>
      <c r="Q113" s="11">
        <v>0.56200000000000006</v>
      </c>
      <c r="R113" s="11">
        <v>0.39100000000000001</v>
      </c>
      <c r="S113" s="11">
        <v>0.94</v>
      </c>
      <c r="T113" s="11"/>
      <c r="U113" s="11" t="s">
        <v>33</v>
      </c>
      <c r="V113" s="11" t="s">
        <v>86</v>
      </c>
      <c r="W113" s="11">
        <v>13</v>
      </c>
      <c r="X113" s="11" t="s">
        <v>32</v>
      </c>
      <c r="Y113" s="12">
        <f t="shared" si="3"/>
        <v>1.2730000000000001</v>
      </c>
      <c r="Z113" s="11">
        <f t="shared" si="4"/>
        <v>0.30999999999999994</v>
      </c>
    </row>
    <row r="114" spans="1:26" x14ac:dyDescent="0.2">
      <c r="A114" s="12" t="s">
        <v>42</v>
      </c>
      <c r="B114" s="12">
        <v>3929.5</v>
      </c>
      <c r="C114" s="12">
        <v>66.563000000000002</v>
      </c>
      <c r="D114" s="12">
        <v>22.574999999999999</v>
      </c>
      <c r="E114" s="12">
        <v>4.4450000000000003</v>
      </c>
      <c r="F114" s="12">
        <v>185.827</v>
      </c>
      <c r="G114" s="12">
        <v>2.7320000000000002</v>
      </c>
      <c r="H114" s="12">
        <v>7.0380000000000003</v>
      </c>
      <c r="I114" s="12">
        <v>3.4790000000000001</v>
      </c>
      <c r="J114" s="12">
        <v>432.42700000000002</v>
      </c>
      <c r="K114" s="12">
        <v>470.90300000000002</v>
      </c>
      <c r="L114" s="12">
        <v>0.01</v>
      </c>
      <c r="M114" s="12">
        <v>1E-3</v>
      </c>
      <c r="N114" s="12">
        <v>100</v>
      </c>
      <c r="O114" s="12">
        <v>0.40500000000000003</v>
      </c>
      <c r="P114" s="12">
        <v>0.79100000000000004</v>
      </c>
      <c r="Q114" s="12">
        <v>0.623</v>
      </c>
      <c r="R114" s="12">
        <v>0.49199999999999999</v>
      </c>
      <c r="S114" s="12">
        <v>0.372</v>
      </c>
      <c r="U114" s="12" t="s">
        <v>22</v>
      </c>
      <c r="V114" s="12" t="s">
        <v>35</v>
      </c>
      <c r="Y114" s="12">
        <f t="shared" si="3"/>
        <v>1.028</v>
      </c>
      <c r="Z114" s="12">
        <f>O114-P114</f>
        <v>-0.38600000000000001</v>
      </c>
    </row>
    <row r="115" spans="1:26" x14ac:dyDescent="0.2">
      <c r="A115" s="12" t="s">
        <v>42</v>
      </c>
      <c r="B115" s="12">
        <v>3929.625</v>
      </c>
      <c r="C115" s="12">
        <v>72.088999999999999</v>
      </c>
      <c r="D115" s="12">
        <v>22.623999999999999</v>
      </c>
      <c r="E115" s="12">
        <v>4.3150000000000004</v>
      </c>
      <c r="F115" s="12">
        <v>187.48</v>
      </c>
      <c r="G115" s="12">
        <v>2.7320000000000002</v>
      </c>
      <c r="H115" s="12">
        <v>7.1890000000000001</v>
      </c>
      <c r="I115" s="12">
        <v>3.4249999999999998</v>
      </c>
      <c r="J115" s="12">
        <v>386.19299999999998</v>
      </c>
      <c r="K115" s="12">
        <v>420.34500000000003</v>
      </c>
      <c r="L115" s="12">
        <v>0.01</v>
      </c>
      <c r="M115" s="12">
        <v>1E-3</v>
      </c>
      <c r="N115" s="12">
        <v>100</v>
      </c>
      <c r="O115" s="12">
        <v>0.46500000000000002</v>
      </c>
      <c r="P115" s="12">
        <v>0.74</v>
      </c>
      <c r="Q115" s="12">
        <v>0.66400000000000003</v>
      </c>
      <c r="R115" s="12">
        <v>0.49</v>
      </c>
      <c r="S115" s="12">
        <v>0.39300000000000002</v>
      </c>
      <c r="U115" s="12" t="s">
        <v>33</v>
      </c>
      <c r="V115" s="12" t="s">
        <v>35</v>
      </c>
      <c r="Y115" s="12">
        <f t="shared" si="3"/>
        <v>1.129</v>
      </c>
      <c r="Z115" s="12">
        <f t="shared" ref="Z115:Z178" si="5">O115-P115</f>
        <v>-0.27499999999999997</v>
      </c>
    </row>
    <row r="116" spans="1:26" x14ac:dyDescent="0.2">
      <c r="A116" s="12" t="s">
        <v>42</v>
      </c>
      <c r="B116" s="12">
        <v>3929.75</v>
      </c>
      <c r="C116" s="12">
        <v>78.308000000000007</v>
      </c>
      <c r="D116" s="12">
        <v>22.594999999999999</v>
      </c>
      <c r="E116" s="12">
        <v>4.165</v>
      </c>
      <c r="F116" s="12">
        <v>186.49600000000001</v>
      </c>
      <c r="G116" s="12">
        <v>2.74</v>
      </c>
      <c r="H116" s="12">
        <v>7.0410000000000004</v>
      </c>
      <c r="I116" s="12">
        <v>3.36</v>
      </c>
      <c r="J116" s="12">
        <v>348.30799999999999</v>
      </c>
      <c r="K116" s="12">
        <v>379.52300000000002</v>
      </c>
      <c r="L116" s="12">
        <v>0.01</v>
      </c>
      <c r="M116" s="12">
        <v>1E-3</v>
      </c>
      <c r="N116" s="12">
        <v>100</v>
      </c>
      <c r="O116" s="12">
        <v>0.51700000000000002</v>
      </c>
      <c r="P116" s="12">
        <v>0.67400000000000004</v>
      </c>
      <c r="Q116" s="12">
        <v>0.65700000000000003</v>
      </c>
      <c r="R116" s="12">
        <v>0.51400000000000001</v>
      </c>
      <c r="S116" s="12">
        <v>0.38600000000000001</v>
      </c>
      <c r="U116" s="12" t="s">
        <v>33</v>
      </c>
      <c r="V116" s="12" t="s">
        <v>35</v>
      </c>
      <c r="Y116" s="12">
        <f t="shared" si="3"/>
        <v>1.1739999999999999</v>
      </c>
      <c r="Z116" s="12">
        <f t="shared" si="5"/>
        <v>-0.15700000000000003</v>
      </c>
    </row>
    <row r="117" spans="1:26" x14ac:dyDescent="0.2">
      <c r="A117" s="12" t="s">
        <v>42</v>
      </c>
      <c r="B117" s="12">
        <v>3929.875</v>
      </c>
      <c r="C117" s="12">
        <v>89.528000000000006</v>
      </c>
      <c r="D117" s="12">
        <v>22.472000000000001</v>
      </c>
      <c r="E117" s="12">
        <v>3.649</v>
      </c>
      <c r="F117" s="12">
        <v>182.416</v>
      </c>
      <c r="G117" s="12">
        <v>2.7559999999999998</v>
      </c>
      <c r="H117" s="12">
        <v>6.6760000000000002</v>
      </c>
      <c r="I117" s="12">
        <v>3.2989999999999999</v>
      </c>
      <c r="J117" s="12">
        <v>359.48700000000002</v>
      </c>
      <c r="K117" s="12">
        <v>392.27699999999999</v>
      </c>
      <c r="L117" s="12">
        <v>0.01</v>
      </c>
      <c r="M117" s="12">
        <v>1E-3</v>
      </c>
      <c r="N117" s="12">
        <v>100</v>
      </c>
      <c r="O117" s="12">
        <v>0.60399999999999998</v>
      </c>
      <c r="P117" s="12">
        <v>0.60799999999999998</v>
      </c>
      <c r="Q117" s="12">
        <v>0.58899999999999997</v>
      </c>
      <c r="R117" s="12">
        <v>0.56799999999999995</v>
      </c>
      <c r="S117" s="12">
        <v>0.35499999999999998</v>
      </c>
      <c r="U117" s="12" t="s">
        <v>33</v>
      </c>
      <c r="V117" s="12" t="s">
        <v>35</v>
      </c>
      <c r="Y117" s="12">
        <f t="shared" si="3"/>
        <v>1.1930000000000001</v>
      </c>
      <c r="Z117" s="12">
        <f t="shared" si="5"/>
        <v>-4.0000000000000036E-3</v>
      </c>
    </row>
    <row r="118" spans="1:26" x14ac:dyDescent="0.2">
      <c r="A118" s="12" t="s">
        <v>42</v>
      </c>
      <c r="B118" s="12">
        <v>3930</v>
      </c>
      <c r="C118" s="12">
        <v>100.807</v>
      </c>
      <c r="D118" s="12">
        <v>22.277000000000001</v>
      </c>
      <c r="E118" s="12">
        <v>3.0640000000000001</v>
      </c>
      <c r="F118" s="12">
        <v>175.91499999999999</v>
      </c>
      <c r="G118" s="12">
        <v>2.774</v>
      </c>
      <c r="H118" s="12">
        <v>6.2069999999999999</v>
      </c>
      <c r="I118" s="12">
        <v>3.2549999999999999</v>
      </c>
      <c r="J118" s="12">
        <v>412.48200000000003</v>
      </c>
      <c r="K118" s="12">
        <v>450.839</v>
      </c>
      <c r="L118" s="12">
        <v>0.01</v>
      </c>
      <c r="M118" s="12">
        <v>1E-3</v>
      </c>
      <c r="N118" s="12">
        <v>100</v>
      </c>
      <c r="O118" s="12">
        <v>0.70199999999999996</v>
      </c>
      <c r="P118" s="12">
        <v>0.55800000000000005</v>
      </c>
      <c r="Q118" s="12">
        <v>0.47099999999999997</v>
      </c>
      <c r="R118" s="12">
        <v>0.63400000000000001</v>
      </c>
      <c r="S118" s="12">
        <v>0.311</v>
      </c>
      <c r="U118" s="12" t="s">
        <v>33</v>
      </c>
      <c r="V118" s="12" t="s">
        <v>35</v>
      </c>
      <c r="Y118" s="12">
        <f t="shared" si="3"/>
        <v>1.173</v>
      </c>
      <c r="Z118" s="12">
        <f t="shared" si="5"/>
        <v>0.14399999999999991</v>
      </c>
    </row>
    <row r="119" spans="1:26" x14ac:dyDescent="0.2">
      <c r="A119" s="12" t="s">
        <v>42</v>
      </c>
      <c r="B119" s="12">
        <v>3930.125</v>
      </c>
      <c r="C119" s="12">
        <v>100.85899999999999</v>
      </c>
      <c r="D119" s="12">
        <v>22.065999999999999</v>
      </c>
      <c r="E119" s="12">
        <v>2.214</v>
      </c>
      <c r="F119" s="12">
        <v>168.851</v>
      </c>
      <c r="G119" s="12">
        <v>2.786</v>
      </c>
      <c r="H119" s="12">
        <v>5.66</v>
      </c>
      <c r="I119" s="12">
        <v>3.2320000000000002</v>
      </c>
      <c r="J119" s="12">
        <v>546.61300000000006</v>
      </c>
      <c r="K119" s="12">
        <v>598.01599999999996</v>
      </c>
      <c r="L119" s="12">
        <v>0.01</v>
      </c>
      <c r="M119" s="12">
        <v>1E-3</v>
      </c>
      <c r="N119" s="12">
        <v>100</v>
      </c>
      <c r="O119" s="12">
        <v>0.72499999999999998</v>
      </c>
      <c r="P119" s="12">
        <v>0.52800000000000002</v>
      </c>
      <c r="Q119" s="12">
        <v>0.33200000000000002</v>
      </c>
      <c r="R119" s="12">
        <v>0.68500000000000005</v>
      </c>
      <c r="S119" s="12">
        <v>0.25900000000000001</v>
      </c>
      <c r="U119" s="12" t="s">
        <v>33</v>
      </c>
      <c r="V119" s="12" t="s">
        <v>35</v>
      </c>
      <c r="Y119" s="12">
        <f t="shared" si="3"/>
        <v>1.0569999999999999</v>
      </c>
      <c r="Z119" s="12">
        <f t="shared" si="5"/>
        <v>0.19699999999999995</v>
      </c>
    </row>
    <row r="120" spans="1:26" x14ac:dyDescent="0.2">
      <c r="A120" s="12" t="s">
        <v>42</v>
      </c>
      <c r="B120" s="12">
        <v>3930.25</v>
      </c>
      <c r="C120" s="12">
        <v>87.122</v>
      </c>
      <c r="D120" s="12">
        <v>21.899000000000001</v>
      </c>
      <c r="E120" s="12">
        <v>1.9379999999999999</v>
      </c>
      <c r="F120" s="12">
        <v>163.28700000000001</v>
      </c>
      <c r="G120" s="12">
        <v>2.7850000000000001</v>
      </c>
      <c r="H120" s="12">
        <v>5.1669999999999998</v>
      </c>
      <c r="I120" s="12">
        <v>3.2280000000000002</v>
      </c>
      <c r="J120" s="12">
        <v>782.1</v>
      </c>
      <c r="K120" s="12">
        <v>856.16300000000001</v>
      </c>
      <c r="L120" s="12">
        <v>0.01</v>
      </c>
      <c r="M120" s="12">
        <v>1E-3</v>
      </c>
      <c r="N120" s="12">
        <v>100</v>
      </c>
      <c r="O120" s="12">
        <v>0.63400000000000001</v>
      </c>
      <c r="P120" s="12">
        <v>0.51900000000000002</v>
      </c>
      <c r="Q120" s="12">
        <v>0.214</v>
      </c>
      <c r="R120" s="12">
        <v>0.69299999999999995</v>
      </c>
      <c r="S120" s="12">
        <v>0.21</v>
      </c>
      <c r="U120" s="12" t="s">
        <v>33</v>
      </c>
      <c r="V120" s="12" t="s">
        <v>35</v>
      </c>
      <c r="Y120" s="12">
        <f t="shared" si="3"/>
        <v>0.84799999999999998</v>
      </c>
      <c r="Z120" s="12">
        <f t="shared" si="5"/>
        <v>0.11499999999999999</v>
      </c>
    </row>
    <row r="121" spans="1:26" x14ac:dyDescent="0.2">
      <c r="A121" s="12" t="s">
        <v>42</v>
      </c>
      <c r="B121" s="12">
        <v>3930.375</v>
      </c>
      <c r="C121" s="12">
        <v>68.192999999999998</v>
      </c>
      <c r="D121" s="12">
        <v>21.803000000000001</v>
      </c>
      <c r="E121" s="12">
        <v>1.839</v>
      </c>
      <c r="F121" s="12">
        <v>160.09800000000001</v>
      </c>
      <c r="G121" s="12">
        <v>2.774</v>
      </c>
      <c r="H121" s="12">
        <v>4.8369999999999997</v>
      </c>
      <c r="I121" s="12">
        <v>3.2349999999999999</v>
      </c>
      <c r="J121" s="12">
        <v>1230.1099999999999</v>
      </c>
      <c r="K121" s="12">
        <v>1345.383</v>
      </c>
      <c r="L121" s="12">
        <v>0.01</v>
      </c>
      <c r="M121" s="12">
        <v>1E-3</v>
      </c>
      <c r="N121" s="12">
        <v>100</v>
      </c>
      <c r="O121" s="12">
        <v>0.48</v>
      </c>
      <c r="P121" s="12">
        <v>0.52400000000000002</v>
      </c>
      <c r="Q121" s="12">
        <v>0.13900000000000001</v>
      </c>
      <c r="R121" s="12">
        <v>0.66</v>
      </c>
      <c r="S121" s="12">
        <v>0.17399999999999999</v>
      </c>
      <c r="U121" s="12" t="s">
        <v>33</v>
      </c>
      <c r="V121" s="12" t="s">
        <v>35</v>
      </c>
      <c r="Y121" s="12">
        <f t="shared" si="3"/>
        <v>0.61899999999999999</v>
      </c>
      <c r="Z121" s="12">
        <f t="shared" si="5"/>
        <v>-4.4000000000000039E-2</v>
      </c>
    </row>
    <row r="122" spans="1:26" x14ac:dyDescent="0.2">
      <c r="A122" s="12" t="s">
        <v>21</v>
      </c>
      <c r="B122" s="12">
        <v>3922.625</v>
      </c>
      <c r="C122" s="12">
        <v>46.290999999999997</v>
      </c>
      <c r="D122" s="12">
        <v>22.364000000000001</v>
      </c>
      <c r="E122" s="12">
        <v>2.5569999999999999</v>
      </c>
      <c r="F122" s="12">
        <v>162.99</v>
      </c>
      <c r="G122" s="12">
        <v>2.8149999999999999</v>
      </c>
      <c r="H122" s="12">
        <v>7.1040000000000001</v>
      </c>
      <c r="I122" s="12">
        <v>3.3730000000000002</v>
      </c>
      <c r="J122" s="12">
        <v>494.73099999999999</v>
      </c>
      <c r="K122" s="12">
        <v>541.20299999999997</v>
      </c>
      <c r="L122" s="12">
        <v>1.232</v>
      </c>
      <c r="M122" s="12">
        <v>5.0000000000000001E-3</v>
      </c>
      <c r="N122" s="12">
        <v>75.653000000000006</v>
      </c>
      <c r="O122" s="12">
        <v>0.30099999999999999</v>
      </c>
      <c r="P122" s="12">
        <v>0.57099999999999995</v>
      </c>
      <c r="Q122" s="12">
        <v>0.224</v>
      </c>
      <c r="R122" s="12">
        <v>0.69299999999999995</v>
      </c>
      <c r="S122" s="12">
        <v>0.2</v>
      </c>
      <c r="U122" s="12" t="s">
        <v>33</v>
      </c>
      <c r="V122" s="12" t="s">
        <v>35</v>
      </c>
      <c r="Y122" s="12">
        <f t="shared" si="3"/>
        <v>0.52500000000000002</v>
      </c>
      <c r="Z122" s="12">
        <f t="shared" si="5"/>
        <v>-0.26999999999999996</v>
      </c>
    </row>
    <row r="123" spans="1:26" x14ac:dyDescent="0.2">
      <c r="A123" s="12" t="s">
        <v>21</v>
      </c>
      <c r="B123" s="12">
        <v>3922.75</v>
      </c>
      <c r="C123" s="12">
        <v>63.570999999999998</v>
      </c>
      <c r="D123" s="12">
        <v>22.463999999999999</v>
      </c>
      <c r="E123" s="12">
        <v>3.0049999999999999</v>
      </c>
      <c r="F123" s="12">
        <v>166.06200000000001</v>
      </c>
      <c r="G123" s="12">
        <v>2.81</v>
      </c>
      <c r="H123" s="12">
        <v>7.7279999999999998</v>
      </c>
      <c r="I123" s="12">
        <v>3.359</v>
      </c>
      <c r="J123" s="12">
        <v>470.327</v>
      </c>
      <c r="K123" s="12">
        <v>513.39200000000005</v>
      </c>
      <c r="L123" s="12">
        <v>0.01</v>
      </c>
      <c r="M123" s="12">
        <v>1E-3</v>
      </c>
      <c r="N123" s="12">
        <v>100</v>
      </c>
      <c r="O123" s="12">
        <v>0.47399999999999998</v>
      </c>
      <c r="P123" s="12">
        <v>0.55000000000000004</v>
      </c>
      <c r="Q123" s="12">
        <v>0.35399999999999998</v>
      </c>
      <c r="R123" s="12">
        <v>0.66800000000000004</v>
      </c>
      <c r="S123" s="12">
        <v>0.28799999999999998</v>
      </c>
      <c r="U123" s="12" t="s">
        <v>33</v>
      </c>
      <c r="V123" s="12" t="s">
        <v>35</v>
      </c>
      <c r="Y123" s="12">
        <f t="shared" si="3"/>
        <v>0.82799999999999996</v>
      </c>
      <c r="Z123" s="12">
        <f t="shared" si="5"/>
        <v>-7.6000000000000068E-2</v>
      </c>
    </row>
    <row r="124" spans="1:26" x14ac:dyDescent="0.2">
      <c r="A124" s="12" t="s">
        <v>21</v>
      </c>
      <c r="B124" s="12">
        <v>3922.875</v>
      </c>
      <c r="C124" s="12">
        <v>81.921999999999997</v>
      </c>
      <c r="D124" s="12">
        <v>22.59</v>
      </c>
      <c r="E124" s="12">
        <v>3.38</v>
      </c>
      <c r="F124" s="12">
        <v>169.52600000000001</v>
      </c>
      <c r="G124" s="12">
        <v>2.7959999999999998</v>
      </c>
      <c r="H124" s="12">
        <v>8.4350000000000005</v>
      </c>
      <c r="I124" s="12">
        <v>3.351</v>
      </c>
      <c r="J124" s="12">
        <v>407.64400000000001</v>
      </c>
      <c r="K124" s="12">
        <v>444.28199999999998</v>
      </c>
      <c r="L124" s="12">
        <v>0.01</v>
      </c>
      <c r="M124" s="12">
        <v>1E-3</v>
      </c>
      <c r="N124" s="12">
        <v>100</v>
      </c>
      <c r="O124" s="12">
        <v>0.66100000000000003</v>
      </c>
      <c r="P124" s="12">
        <v>0.53700000000000003</v>
      </c>
      <c r="Q124" s="12">
        <v>0.503</v>
      </c>
      <c r="R124" s="12">
        <v>0.59299999999999997</v>
      </c>
      <c r="S124" s="12">
        <v>0.38800000000000001</v>
      </c>
      <c r="U124" s="12" t="s">
        <v>33</v>
      </c>
      <c r="V124" s="12" t="s">
        <v>35</v>
      </c>
      <c r="Y124" s="12">
        <f t="shared" si="3"/>
        <v>1.1640000000000001</v>
      </c>
      <c r="Z124" s="12">
        <f t="shared" si="5"/>
        <v>0.124</v>
      </c>
    </row>
    <row r="125" spans="1:26" x14ac:dyDescent="0.2">
      <c r="A125" s="12" t="s">
        <v>21</v>
      </c>
      <c r="B125" s="12">
        <v>3923</v>
      </c>
      <c r="C125" s="12">
        <v>95.543000000000006</v>
      </c>
      <c r="D125" s="12">
        <v>22.713999999999999</v>
      </c>
      <c r="E125" s="12">
        <v>3.6120000000000001</v>
      </c>
      <c r="F125" s="12">
        <v>172.68899999999999</v>
      </c>
      <c r="G125" s="12">
        <v>2.7770000000000001</v>
      </c>
      <c r="H125" s="12">
        <v>9.0709999999999997</v>
      </c>
      <c r="I125" s="12">
        <v>3.3580000000000001</v>
      </c>
      <c r="J125" s="12">
        <v>336.04</v>
      </c>
      <c r="K125" s="12">
        <v>366.16699999999997</v>
      </c>
      <c r="L125" s="12">
        <v>0.01</v>
      </c>
      <c r="M125" s="12">
        <v>1E-3</v>
      </c>
      <c r="N125" s="12">
        <v>100</v>
      </c>
      <c r="O125" s="12">
        <v>0.80700000000000005</v>
      </c>
      <c r="P125" s="12">
        <v>0.54500000000000004</v>
      </c>
      <c r="Q125" s="12">
        <v>0.64200000000000002</v>
      </c>
      <c r="R125" s="12">
        <v>0.48599999999999999</v>
      </c>
      <c r="S125" s="12">
        <v>0.48099999999999998</v>
      </c>
      <c r="U125" s="12" t="s">
        <v>33</v>
      </c>
      <c r="V125" s="12" t="s">
        <v>35</v>
      </c>
      <c r="Y125" s="12">
        <f t="shared" si="3"/>
        <v>1.4490000000000001</v>
      </c>
      <c r="Z125" s="12">
        <f t="shared" si="5"/>
        <v>0.26200000000000001</v>
      </c>
    </row>
    <row r="126" spans="1:26" x14ac:dyDescent="0.2">
      <c r="A126" s="12" t="s">
        <v>21</v>
      </c>
      <c r="B126" s="12">
        <v>3923.125</v>
      </c>
      <c r="C126" s="12">
        <v>100.90600000000001</v>
      </c>
      <c r="D126" s="12">
        <v>22.795000000000002</v>
      </c>
      <c r="E126" s="12">
        <v>3.63</v>
      </c>
      <c r="F126" s="12">
        <v>174.88900000000001</v>
      </c>
      <c r="G126" s="12">
        <v>2.758</v>
      </c>
      <c r="H126" s="12">
        <v>9.4809999999999999</v>
      </c>
      <c r="I126" s="12">
        <v>3.3849999999999998</v>
      </c>
      <c r="J126" s="12">
        <v>283.85000000000002</v>
      </c>
      <c r="K126" s="12">
        <v>309.81900000000002</v>
      </c>
      <c r="L126" s="12">
        <v>0.01</v>
      </c>
      <c r="M126" s="12">
        <v>1E-3</v>
      </c>
      <c r="N126" s="12">
        <v>100</v>
      </c>
      <c r="O126" s="12">
        <v>0.872</v>
      </c>
      <c r="P126" s="12">
        <v>0.58299999999999996</v>
      </c>
      <c r="Q126" s="12">
        <v>0.74299999999999999</v>
      </c>
      <c r="R126" s="12">
        <v>0.376</v>
      </c>
      <c r="S126" s="12">
        <v>0.54400000000000004</v>
      </c>
      <c r="U126" s="12" t="s">
        <v>33</v>
      </c>
      <c r="V126" s="12" t="s">
        <v>35</v>
      </c>
      <c r="Y126" s="12">
        <f t="shared" si="3"/>
        <v>1.615</v>
      </c>
      <c r="Z126" s="12">
        <f t="shared" si="5"/>
        <v>0.28900000000000003</v>
      </c>
    </row>
    <row r="127" spans="1:26" x14ac:dyDescent="0.2">
      <c r="A127" s="12" t="s">
        <v>21</v>
      </c>
      <c r="B127" s="12">
        <v>3923.25</v>
      </c>
      <c r="C127" s="12">
        <v>97.432000000000002</v>
      </c>
      <c r="D127" s="12">
        <v>22.808</v>
      </c>
      <c r="E127" s="12">
        <v>3.3849999999999998</v>
      </c>
      <c r="F127" s="12">
        <v>175.655</v>
      </c>
      <c r="G127" s="12">
        <v>2.7440000000000002</v>
      </c>
      <c r="H127" s="12">
        <v>9.5619999999999994</v>
      </c>
      <c r="I127" s="12">
        <v>3.43</v>
      </c>
      <c r="J127" s="12">
        <v>273.14999999999998</v>
      </c>
      <c r="K127" s="12">
        <v>299.101</v>
      </c>
      <c r="L127" s="12">
        <v>0.01</v>
      </c>
      <c r="M127" s="12">
        <v>1E-3</v>
      </c>
      <c r="N127" s="12">
        <v>100</v>
      </c>
      <c r="O127" s="12">
        <v>0.84599999999999997</v>
      </c>
      <c r="P127" s="12">
        <v>0.64900000000000002</v>
      </c>
      <c r="Q127" s="12">
        <v>0.78300000000000003</v>
      </c>
      <c r="R127" s="12">
        <v>0.29199999999999998</v>
      </c>
      <c r="S127" s="12">
        <v>0.56100000000000005</v>
      </c>
      <c r="U127" s="12" t="s">
        <v>33</v>
      </c>
      <c r="V127" s="12" t="s">
        <v>35</v>
      </c>
      <c r="Y127" s="12">
        <f t="shared" si="3"/>
        <v>1.629</v>
      </c>
      <c r="Z127" s="12">
        <f t="shared" si="5"/>
        <v>0.19699999999999995</v>
      </c>
    </row>
    <row r="128" spans="1:26" x14ac:dyDescent="0.2">
      <c r="A128" s="12" t="s">
        <v>21</v>
      </c>
      <c r="B128" s="12">
        <v>3923.375</v>
      </c>
      <c r="C128" s="12">
        <v>89.399000000000001</v>
      </c>
      <c r="D128" s="12">
        <v>22.768999999999998</v>
      </c>
      <c r="E128" s="12">
        <v>2.964</v>
      </c>
      <c r="F128" s="12">
        <v>175.268</v>
      </c>
      <c r="G128" s="12">
        <v>2.7360000000000002</v>
      </c>
      <c r="H128" s="12">
        <v>9.2720000000000002</v>
      </c>
      <c r="I128" s="12">
        <v>3.4870000000000001</v>
      </c>
      <c r="J128" s="12">
        <v>305.798</v>
      </c>
      <c r="K128" s="12">
        <v>335.83800000000002</v>
      </c>
      <c r="L128" s="12">
        <v>0.01</v>
      </c>
      <c r="M128" s="12">
        <v>1E-3</v>
      </c>
      <c r="N128" s="12">
        <v>100</v>
      </c>
      <c r="O128" s="12">
        <v>0.76900000000000002</v>
      </c>
      <c r="P128" s="12">
        <v>0.73399999999999999</v>
      </c>
      <c r="Q128" s="12">
        <v>0.77200000000000002</v>
      </c>
      <c r="R128" s="12">
        <v>0.24199999999999999</v>
      </c>
      <c r="S128" s="12">
        <v>0.52500000000000002</v>
      </c>
      <c r="U128" s="12" t="s">
        <v>33</v>
      </c>
      <c r="V128" s="12" t="s">
        <v>35</v>
      </c>
      <c r="Y128" s="12">
        <f t="shared" si="3"/>
        <v>1.5409999999999999</v>
      </c>
      <c r="Z128" s="12">
        <f t="shared" si="5"/>
        <v>3.5000000000000031E-2</v>
      </c>
    </row>
    <row r="129" spans="1:26" x14ac:dyDescent="0.2">
      <c r="A129" s="12" t="s">
        <v>21</v>
      </c>
      <c r="B129" s="12">
        <v>3923.5</v>
      </c>
      <c r="C129" s="12">
        <v>81.162999999999997</v>
      </c>
      <c r="D129" s="12">
        <v>22.722000000000001</v>
      </c>
      <c r="E129" s="12">
        <v>2.4929999999999999</v>
      </c>
      <c r="F129" s="12">
        <v>174.40600000000001</v>
      </c>
      <c r="G129" s="12">
        <v>2.734</v>
      </c>
      <c r="H129" s="12">
        <v>8.7189999999999994</v>
      </c>
      <c r="I129" s="12">
        <v>3.5449999999999999</v>
      </c>
      <c r="J129" s="12">
        <v>379.30099999999999</v>
      </c>
      <c r="K129" s="12">
        <v>417.11900000000003</v>
      </c>
      <c r="L129" s="12">
        <v>0.01</v>
      </c>
      <c r="M129" s="12">
        <v>1E-3</v>
      </c>
      <c r="N129" s="12">
        <v>100</v>
      </c>
      <c r="O129" s="12">
        <v>0.68400000000000005</v>
      </c>
      <c r="P129" s="12">
        <v>0.82199999999999995</v>
      </c>
      <c r="Q129" s="12">
        <v>0.73599999999999999</v>
      </c>
      <c r="R129" s="12">
        <v>0.22700000000000001</v>
      </c>
      <c r="S129" s="12">
        <v>0.44900000000000001</v>
      </c>
      <c r="U129" s="12" t="s">
        <v>33</v>
      </c>
      <c r="V129" s="12" t="s">
        <v>35</v>
      </c>
      <c r="Y129" s="12">
        <f t="shared" si="3"/>
        <v>1.42</v>
      </c>
      <c r="Z129" s="12">
        <f t="shared" si="5"/>
        <v>-0.1379999999999999</v>
      </c>
    </row>
    <row r="130" spans="1:26" x14ac:dyDescent="0.2">
      <c r="A130" s="12" t="s">
        <v>21</v>
      </c>
      <c r="B130" s="12">
        <v>3923.625</v>
      </c>
      <c r="C130" s="12">
        <v>72.991</v>
      </c>
      <c r="D130" s="12">
        <v>22.693999999999999</v>
      </c>
      <c r="E130" s="12">
        <v>2.0139999999999998</v>
      </c>
      <c r="F130" s="12">
        <v>173.58</v>
      </c>
      <c r="G130" s="12">
        <v>2.7360000000000002</v>
      </c>
      <c r="H130" s="12">
        <v>8.06</v>
      </c>
      <c r="I130" s="12">
        <v>3.5950000000000002</v>
      </c>
      <c r="J130" s="12">
        <v>491.142</v>
      </c>
      <c r="K130" s="12">
        <v>539.96900000000005</v>
      </c>
      <c r="L130" s="12">
        <v>0.01</v>
      </c>
      <c r="M130" s="12">
        <v>1E-3</v>
      </c>
      <c r="N130" s="12">
        <v>100</v>
      </c>
      <c r="O130" s="12">
        <v>0.6</v>
      </c>
      <c r="P130" s="12">
        <v>0.9</v>
      </c>
      <c r="Q130" s="12">
        <v>0.7</v>
      </c>
      <c r="R130" s="12">
        <v>0.23599999999999999</v>
      </c>
      <c r="S130" s="12">
        <v>0.35599999999999998</v>
      </c>
      <c r="U130" s="12" t="s">
        <v>33</v>
      </c>
      <c r="V130" s="12" t="s">
        <v>35</v>
      </c>
      <c r="Y130" s="12">
        <f t="shared" si="3"/>
        <v>1.2999999999999998</v>
      </c>
      <c r="Z130" s="12">
        <f t="shared" si="5"/>
        <v>-0.30000000000000004</v>
      </c>
    </row>
    <row r="131" spans="1:26" x14ac:dyDescent="0.2">
      <c r="A131" s="12" t="s">
        <v>38</v>
      </c>
      <c r="B131" s="12">
        <v>4035.375</v>
      </c>
      <c r="C131" s="12">
        <v>50.826999999999998</v>
      </c>
      <c r="D131" s="12">
        <v>23.210999999999999</v>
      </c>
      <c r="E131" s="12">
        <v>2.8530000000000002</v>
      </c>
      <c r="F131" s="12">
        <v>177.94200000000001</v>
      </c>
      <c r="G131" s="12">
        <v>2.758</v>
      </c>
      <c r="H131" s="12">
        <v>9.5500000000000007</v>
      </c>
      <c r="I131" s="12">
        <v>3.23</v>
      </c>
      <c r="J131" s="12">
        <v>550.90700000000004</v>
      </c>
      <c r="K131" s="12">
        <v>596.98900000000003</v>
      </c>
      <c r="L131" s="12">
        <v>0</v>
      </c>
      <c r="M131" s="12">
        <v>0</v>
      </c>
      <c r="N131" s="12">
        <v>100</v>
      </c>
      <c r="O131" s="12">
        <v>0.245</v>
      </c>
      <c r="P131" s="12">
        <v>0.42299999999999999</v>
      </c>
      <c r="Q131" s="12">
        <v>0.73699999999999999</v>
      </c>
      <c r="R131" s="12">
        <v>0.751</v>
      </c>
      <c r="S131" s="12">
        <v>0.40699999999999997</v>
      </c>
      <c r="U131" s="12" t="s">
        <v>22</v>
      </c>
      <c r="V131" s="12" t="s">
        <v>35</v>
      </c>
      <c r="Y131" s="12">
        <f t="shared" ref="Y131:Y194" si="6">O131+Q131</f>
        <v>0.98199999999999998</v>
      </c>
      <c r="Z131" s="12">
        <f t="shared" si="5"/>
        <v>-0.17799999999999999</v>
      </c>
    </row>
    <row r="132" spans="1:26" x14ac:dyDescent="0.2">
      <c r="A132" s="12" t="s">
        <v>38</v>
      </c>
      <c r="B132" s="12">
        <v>4035.5</v>
      </c>
      <c r="C132" s="12">
        <v>68.558999999999997</v>
      </c>
      <c r="D132" s="12">
        <v>23.57</v>
      </c>
      <c r="E132" s="12">
        <v>3.2280000000000002</v>
      </c>
      <c r="F132" s="12">
        <v>184.608</v>
      </c>
      <c r="G132" s="12">
        <v>2.75</v>
      </c>
      <c r="H132" s="12">
        <v>10.96</v>
      </c>
      <c r="I132" s="12">
        <v>3.19</v>
      </c>
      <c r="J132" s="12">
        <v>474.40499999999997</v>
      </c>
      <c r="K132" s="12">
        <v>512.375</v>
      </c>
      <c r="L132" s="12">
        <v>0</v>
      </c>
      <c r="M132" s="12">
        <v>0</v>
      </c>
      <c r="N132" s="12">
        <v>100</v>
      </c>
      <c r="O132" s="12">
        <v>0.377</v>
      </c>
      <c r="P132" s="12">
        <v>0.39800000000000002</v>
      </c>
      <c r="Q132" s="12">
        <v>0.95699999999999996</v>
      </c>
      <c r="R132" s="12">
        <v>0.72699999999999998</v>
      </c>
      <c r="S132" s="12">
        <v>0.51700000000000002</v>
      </c>
      <c r="U132" s="12" t="s">
        <v>33</v>
      </c>
      <c r="V132" s="12" t="s">
        <v>35</v>
      </c>
      <c r="Y132" s="12">
        <f t="shared" si="6"/>
        <v>1.3340000000000001</v>
      </c>
      <c r="Z132" s="12">
        <f t="shared" si="5"/>
        <v>-2.1000000000000019E-2</v>
      </c>
    </row>
    <row r="133" spans="1:26" x14ac:dyDescent="0.2">
      <c r="A133" s="12" t="s">
        <v>38</v>
      </c>
      <c r="B133" s="12">
        <v>4035.625</v>
      </c>
      <c r="C133" s="12">
        <v>87.162999999999997</v>
      </c>
      <c r="D133" s="12">
        <v>23.635999999999999</v>
      </c>
      <c r="E133" s="12">
        <v>3.859</v>
      </c>
      <c r="F133" s="12">
        <v>183.251</v>
      </c>
      <c r="G133" s="12">
        <v>2.734</v>
      </c>
      <c r="H133" s="12">
        <v>12.739000000000001</v>
      </c>
      <c r="I133" s="12">
        <v>3.14</v>
      </c>
      <c r="J133" s="12">
        <v>445.411</v>
      </c>
      <c r="K133" s="12">
        <v>477.79599999999999</v>
      </c>
      <c r="L133" s="12">
        <v>0</v>
      </c>
      <c r="M133" s="12">
        <v>0</v>
      </c>
      <c r="N133" s="12">
        <v>100</v>
      </c>
      <c r="O133" s="12">
        <v>0.52700000000000002</v>
      </c>
      <c r="P133" s="12">
        <v>0.36499999999999999</v>
      </c>
      <c r="Q133" s="12">
        <v>0.96499999999999997</v>
      </c>
      <c r="R133" s="12">
        <v>0.66900000000000004</v>
      </c>
      <c r="S133" s="12">
        <v>0.66200000000000003</v>
      </c>
      <c r="U133" s="12" t="s">
        <v>33</v>
      </c>
      <c r="V133" s="12" t="s">
        <v>35</v>
      </c>
      <c r="Y133" s="12">
        <f t="shared" si="6"/>
        <v>1.492</v>
      </c>
      <c r="Z133" s="12">
        <f t="shared" si="5"/>
        <v>0.16200000000000003</v>
      </c>
    </row>
    <row r="134" spans="1:26" x14ac:dyDescent="0.2">
      <c r="A134" s="12" t="s">
        <v>38</v>
      </c>
      <c r="B134" s="12">
        <v>4035.75</v>
      </c>
      <c r="C134" s="12">
        <v>100.65900000000001</v>
      </c>
      <c r="D134" s="12">
        <v>22.983000000000001</v>
      </c>
      <c r="E134" s="12">
        <v>4.367</v>
      </c>
      <c r="F134" s="12">
        <v>176.28299999999999</v>
      </c>
      <c r="G134" s="12">
        <v>2.722</v>
      </c>
      <c r="H134" s="12">
        <v>13.948</v>
      </c>
      <c r="I134" s="12">
        <v>3.0950000000000002</v>
      </c>
      <c r="J134" s="12">
        <v>438.58600000000001</v>
      </c>
      <c r="K134" s="12">
        <v>463.25</v>
      </c>
      <c r="L134" s="12">
        <v>0</v>
      </c>
      <c r="M134" s="12">
        <v>0</v>
      </c>
      <c r="N134" s="12">
        <v>100</v>
      </c>
      <c r="O134" s="12">
        <v>0.64500000000000002</v>
      </c>
      <c r="P134" s="12">
        <v>0.33400000000000002</v>
      </c>
      <c r="Q134" s="12">
        <v>0.77700000000000002</v>
      </c>
      <c r="R134" s="12">
        <v>0.61699999999999999</v>
      </c>
      <c r="S134" s="12">
        <v>0.77400000000000002</v>
      </c>
      <c r="U134" s="12" t="s">
        <v>33</v>
      </c>
      <c r="V134" s="12" t="s">
        <v>35</v>
      </c>
      <c r="Y134" s="12">
        <f t="shared" si="6"/>
        <v>1.4220000000000002</v>
      </c>
      <c r="Z134" s="12">
        <f t="shared" si="5"/>
        <v>0.311</v>
      </c>
    </row>
    <row r="135" spans="1:26" x14ac:dyDescent="0.2">
      <c r="A135" s="12" t="s">
        <v>38</v>
      </c>
      <c r="B135" s="12">
        <v>4035.875</v>
      </c>
      <c r="C135" s="12">
        <v>102.849</v>
      </c>
      <c r="D135" s="12">
        <v>22.725999999999999</v>
      </c>
      <c r="E135" s="12">
        <v>4.5529999999999999</v>
      </c>
      <c r="F135" s="12">
        <v>169.07</v>
      </c>
      <c r="G135" s="12">
        <v>2.7229999999999999</v>
      </c>
      <c r="H135" s="12">
        <v>14.244999999999999</v>
      </c>
      <c r="I135" s="12">
        <v>3.08</v>
      </c>
      <c r="J135" s="12">
        <v>445.32799999999997</v>
      </c>
      <c r="K135" s="12">
        <v>467.87799999999999</v>
      </c>
      <c r="L135" s="12">
        <v>0</v>
      </c>
      <c r="M135" s="12">
        <v>0</v>
      </c>
      <c r="N135" s="12">
        <v>100</v>
      </c>
      <c r="O135" s="12">
        <v>0.68100000000000005</v>
      </c>
      <c r="P135" s="12">
        <v>0.32</v>
      </c>
      <c r="Q135" s="12">
        <v>0.54700000000000004</v>
      </c>
      <c r="R135" s="12">
        <v>0.61099999999999999</v>
      </c>
      <c r="S135" s="12">
        <v>0.81499999999999995</v>
      </c>
      <c r="U135" s="12" t="s">
        <v>33</v>
      </c>
      <c r="V135" s="12" t="s">
        <v>35</v>
      </c>
      <c r="Y135" s="12">
        <f t="shared" si="6"/>
        <v>1.2280000000000002</v>
      </c>
      <c r="Z135" s="12">
        <f t="shared" si="5"/>
        <v>0.36100000000000004</v>
      </c>
    </row>
    <row r="136" spans="1:26" x14ac:dyDescent="0.2">
      <c r="A136" s="12" t="s">
        <v>38</v>
      </c>
      <c r="B136" s="12">
        <v>4036</v>
      </c>
      <c r="C136" s="12">
        <v>93.128</v>
      </c>
      <c r="D136" s="12">
        <v>23.106000000000002</v>
      </c>
      <c r="E136" s="12">
        <v>4.4109999999999996</v>
      </c>
      <c r="F136" s="12">
        <v>163.97800000000001</v>
      </c>
      <c r="G136" s="12">
        <v>2.7330000000000001</v>
      </c>
      <c r="H136" s="12">
        <v>13.999000000000001</v>
      </c>
      <c r="I136" s="12">
        <v>3.0939999999999999</v>
      </c>
      <c r="J136" s="12">
        <v>466.56200000000001</v>
      </c>
      <c r="K136" s="12">
        <v>494.56799999999998</v>
      </c>
      <c r="L136" s="12">
        <v>0</v>
      </c>
      <c r="M136" s="12">
        <v>0</v>
      </c>
      <c r="N136" s="12">
        <v>100</v>
      </c>
      <c r="O136" s="12">
        <v>0.622</v>
      </c>
      <c r="P136" s="12">
        <v>0.32600000000000001</v>
      </c>
      <c r="Q136" s="12">
        <v>0.37</v>
      </c>
      <c r="R136" s="12">
        <v>0.64400000000000002</v>
      </c>
      <c r="S136" s="12">
        <v>0.80300000000000005</v>
      </c>
      <c r="U136" s="12" t="s">
        <v>33</v>
      </c>
      <c r="V136" s="12" t="s">
        <v>35</v>
      </c>
      <c r="Y136" s="12">
        <f t="shared" si="6"/>
        <v>0.99199999999999999</v>
      </c>
      <c r="Z136" s="12">
        <f t="shared" si="5"/>
        <v>0.29599999999999999</v>
      </c>
    </row>
    <row r="137" spans="1:26" x14ac:dyDescent="0.2">
      <c r="A137" s="12" t="s">
        <v>38</v>
      </c>
      <c r="B137" s="12">
        <v>4036.125</v>
      </c>
      <c r="C137" s="12">
        <v>74.933999999999997</v>
      </c>
      <c r="D137" s="12">
        <v>23.67</v>
      </c>
      <c r="E137" s="12">
        <v>4.0069999999999997</v>
      </c>
      <c r="F137" s="12">
        <v>161.935</v>
      </c>
      <c r="G137" s="12">
        <v>2.7519999999999998</v>
      </c>
      <c r="H137" s="12">
        <v>13.048</v>
      </c>
      <c r="I137" s="12">
        <v>3.1509999999999998</v>
      </c>
      <c r="J137" s="12">
        <v>505.76299999999998</v>
      </c>
      <c r="K137" s="12">
        <v>545.90599999999995</v>
      </c>
      <c r="L137" s="12">
        <v>0</v>
      </c>
      <c r="M137" s="12">
        <v>0</v>
      </c>
      <c r="N137" s="12">
        <v>100</v>
      </c>
      <c r="O137" s="12">
        <v>0.48699999999999999</v>
      </c>
      <c r="P137" s="12">
        <v>0.35799999999999998</v>
      </c>
      <c r="Q137" s="12">
        <v>0.28499999999999998</v>
      </c>
      <c r="R137" s="12">
        <v>0.71299999999999997</v>
      </c>
      <c r="S137" s="12">
        <v>0.73399999999999999</v>
      </c>
      <c r="U137" s="12" t="s">
        <v>33</v>
      </c>
      <c r="V137" s="12" t="s">
        <v>35</v>
      </c>
      <c r="Y137" s="12">
        <f t="shared" si="6"/>
        <v>0.77200000000000002</v>
      </c>
      <c r="Z137" s="12">
        <f t="shared" si="5"/>
        <v>0.129</v>
      </c>
    </row>
    <row r="138" spans="1:26" x14ac:dyDescent="0.2">
      <c r="A138" s="12" t="s">
        <v>38</v>
      </c>
      <c r="B138" s="12">
        <v>4036.25</v>
      </c>
      <c r="C138" s="12">
        <v>57.000999999999998</v>
      </c>
      <c r="D138" s="12">
        <v>23.414999999999999</v>
      </c>
      <c r="E138" s="12">
        <v>3.4140000000000001</v>
      </c>
      <c r="F138" s="12">
        <v>160.56899999999999</v>
      </c>
      <c r="G138" s="12">
        <v>2.7730000000000001</v>
      </c>
      <c r="H138" s="12">
        <v>11.542</v>
      </c>
      <c r="I138" s="12">
        <v>3.1930000000000001</v>
      </c>
      <c r="J138" s="12">
        <v>545.32799999999997</v>
      </c>
      <c r="K138" s="12">
        <v>590.625</v>
      </c>
      <c r="L138" s="12">
        <v>0</v>
      </c>
      <c r="M138" s="12">
        <v>0</v>
      </c>
      <c r="N138" s="12">
        <v>100</v>
      </c>
      <c r="O138" s="12">
        <v>0.34100000000000003</v>
      </c>
      <c r="P138" s="12">
        <v>0.38900000000000001</v>
      </c>
      <c r="Q138" s="12">
        <v>0.23599999999999999</v>
      </c>
      <c r="R138" s="12">
        <v>0.79700000000000004</v>
      </c>
      <c r="S138" s="12">
        <v>0.61499999999999999</v>
      </c>
      <c r="U138" s="12" t="s">
        <v>33</v>
      </c>
      <c r="V138" s="12" t="s">
        <v>35</v>
      </c>
      <c r="Y138" s="12">
        <f t="shared" si="6"/>
        <v>0.57699999999999996</v>
      </c>
      <c r="Z138" s="12">
        <f t="shared" si="5"/>
        <v>-4.7999999999999987E-2</v>
      </c>
    </row>
    <row r="139" spans="1:26" x14ac:dyDescent="0.2">
      <c r="A139" s="12" t="s">
        <v>43</v>
      </c>
      <c r="B139" s="12">
        <v>3885.75</v>
      </c>
      <c r="C139" s="12">
        <v>54.947000000000003</v>
      </c>
      <c r="D139" s="12">
        <v>23.436</v>
      </c>
      <c r="E139" s="12">
        <v>5.4649999999999999</v>
      </c>
      <c r="F139" s="12">
        <v>170.322</v>
      </c>
      <c r="G139" s="12">
        <v>2.7890000000000001</v>
      </c>
      <c r="H139" s="12">
        <v>9.3420000000000005</v>
      </c>
      <c r="I139" s="12">
        <v>3.2210000000000001</v>
      </c>
      <c r="J139" s="12">
        <v>167.45699999999999</v>
      </c>
      <c r="K139" s="12">
        <v>182.49700000000001</v>
      </c>
      <c r="L139" s="12">
        <v>5.1020000000000003</v>
      </c>
      <c r="M139" s="12">
        <v>2.1999999999999999E-2</v>
      </c>
      <c r="N139" s="12">
        <v>41</v>
      </c>
      <c r="O139" s="12">
        <v>0.33500000000000002</v>
      </c>
      <c r="P139" s="12">
        <v>0.67700000000000005</v>
      </c>
      <c r="Q139" s="12">
        <v>3.4000000000000002E-2</v>
      </c>
      <c r="R139" s="12">
        <v>0.97499999999999998</v>
      </c>
      <c r="S139" s="12">
        <v>0.31</v>
      </c>
      <c r="T139" s="12" t="s">
        <v>23</v>
      </c>
      <c r="U139" s="12" t="s">
        <v>22</v>
      </c>
      <c r="V139" s="12" t="s">
        <v>35</v>
      </c>
      <c r="Y139" s="12">
        <f t="shared" si="6"/>
        <v>0.36899999999999999</v>
      </c>
      <c r="Z139" s="12">
        <f t="shared" si="5"/>
        <v>-0.34200000000000003</v>
      </c>
    </row>
    <row r="140" spans="1:26" x14ac:dyDescent="0.2">
      <c r="A140" s="12" t="s">
        <v>43</v>
      </c>
      <c r="B140" s="12">
        <v>3885.875</v>
      </c>
      <c r="C140" s="12">
        <v>70.066999999999993</v>
      </c>
      <c r="D140" s="12">
        <v>23.423999999999999</v>
      </c>
      <c r="E140" s="12">
        <v>6.23</v>
      </c>
      <c r="F140" s="12">
        <v>172.93799999999999</v>
      </c>
      <c r="G140" s="12">
        <v>2.7919999999999998</v>
      </c>
      <c r="H140" s="12">
        <v>9.6560000000000006</v>
      </c>
      <c r="I140" s="12">
        <v>3.262</v>
      </c>
      <c r="J140" s="12">
        <v>156.01400000000001</v>
      </c>
      <c r="K140" s="12">
        <v>170.02500000000001</v>
      </c>
      <c r="L140" s="12">
        <v>0.01</v>
      </c>
      <c r="M140" s="12">
        <v>1E-3</v>
      </c>
      <c r="N140" s="12">
        <v>100</v>
      </c>
      <c r="O140" s="12">
        <v>0.48</v>
      </c>
      <c r="P140" s="12">
        <v>0.70399999999999996</v>
      </c>
      <c r="Q140" s="12">
        <v>4.5999999999999999E-2</v>
      </c>
      <c r="R140" s="12">
        <v>0.98399999999999999</v>
      </c>
      <c r="S140" s="12">
        <v>0.32800000000000001</v>
      </c>
      <c r="U140" s="12" t="s">
        <v>33</v>
      </c>
      <c r="V140" s="12" t="s">
        <v>35</v>
      </c>
      <c r="Y140" s="12">
        <f t="shared" si="6"/>
        <v>0.52600000000000002</v>
      </c>
      <c r="Z140" s="12">
        <f t="shared" si="5"/>
        <v>-0.22399999999999998</v>
      </c>
    </row>
    <row r="141" spans="1:26" x14ac:dyDescent="0.2">
      <c r="A141" s="12" t="s">
        <v>43</v>
      </c>
      <c r="B141" s="12">
        <v>3886</v>
      </c>
      <c r="C141" s="12">
        <v>84.016000000000005</v>
      </c>
      <c r="D141" s="12">
        <v>23.417000000000002</v>
      </c>
      <c r="E141" s="12">
        <v>6.3239999999999998</v>
      </c>
      <c r="F141" s="12">
        <v>176.691</v>
      </c>
      <c r="G141" s="12">
        <v>2.7909999999999999</v>
      </c>
      <c r="H141" s="12">
        <v>10.082000000000001</v>
      </c>
      <c r="I141" s="12">
        <v>3.3029999999999999</v>
      </c>
      <c r="J141" s="12">
        <v>139.41999999999999</v>
      </c>
      <c r="K141" s="12">
        <v>151.94300000000001</v>
      </c>
      <c r="L141" s="12">
        <v>0.01</v>
      </c>
      <c r="M141" s="12">
        <v>1E-3</v>
      </c>
      <c r="N141" s="12">
        <v>100</v>
      </c>
      <c r="O141" s="12">
        <v>0.64</v>
      </c>
      <c r="P141" s="12">
        <v>0.74099999999999999</v>
      </c>
      <c r="Q141" s="12">
        <v>6.7000000000000004E-2</v>
      </c>
      <c r="R141" s="12">
        <v>0.98599999999999999</v>
      </c>
      <c r="S141" s="12">
        <v>0.35199999999999998</v>
      </c>
      <c r="U141" s="12" t="s">
        <v>33</v>
      </c>
      <c r="V141" s="12" t="s">
        <v>35</v>
      </c>
      <c r="Y141" s="12">
        <f t="shared" si="6"/>
        <v>0.70700000000000007</v>
      </c>
      <c r="Z141" s="12">
        <f t="shared" si="5"/>
        <v>-0.10099999999999998</v>
      </c>
    </row>
    <row r="142" spans="1:26" x14ac:dyDescent="0.2">
      <c r="A142" s="12" t="s">
        <v>43</v>
      </c>
      <c r="B142" s="12">
        <v>3886.125</v>
      </c>
      <c r="C142" s="12">
        <v>91.62</v>
      </c>
      <c r="D142" s="12">
        <v>23.414000000000001</v>
      </c>
      <c r="E142" s="12">
        <v>6.2619999999999996</v>
      </c>
      <c r="F142" s="12">
        <v>180.321</v>
      </c>
      <c r="G142" s="12">
        <v>2.7839999999999998</v>
      </c>
      <c r="H142" s="12">
        <v>10.613</v>
      </c>
      <c r="I142" s="12">
        <v>3.3439999999999999</v>
      </c>
      <c r="J142" s="12">
        <v>123.709</v>
      </c>
      <c r="K142" s="12">
        <v>134.82599999999999</v>
      </c>
      <c r="L142" s="12">
        <v>0.01</v>
      </c>
      <c r="M142" s="12">
        <v>1E-3</v>
      </c>
      <c r="N142" s="12">
        <v>100</v>
      </c>
      <c r="O142" s="12">
        <v>0.75800000000000001</v>
      </c>
      <c r="P142" s="12">
        <v>0.77900000000000003</v>
      </c>
      <c r="Q142" s="12">
        <v>0.09</v>
      </c>
      <c r="R142" s="12">
        <v>0.97899999999999998</v>
      </c>
      <c r="S142" s="12">
        <v>0.38200000000000001</v>
      </c>
      <c r="U142" s="12" t="s">
        <v>33</v>
      </c>
      <c r="V142" s="12" t="s">
        <v>35</v>
      </c>
      <c r="Y142" s="12">
        <f t="shared" si="6"/>
        <v>0.84799999999999998</v>
      </c>
      <c r="Z142" s="12">
        <f t="shared" si="5"/>
        <v>-2.1000000000000019E-2</v>
      </c>
    </row>
    <row r="143" spans="1:26" x14ac:dyDescent="0.2">
      <c r="A143" s="12" t="s">
        <v>43</v>
      </c>
      <c r="B143" s="12">
        <v>3886.25</v>
      </c>
      <c r="C143" s="12">
        <v>88.79</v>
      </c>
      <c r="D143" s="12">
        <v>23.414000000000001</v>
      </c>
      <c r="E143" s="12">
        <v>5.9550000000000001</v>
      </c>
      <c r="F143" s="12">
        <v>182.36799999999999</v>
      </c>
      <c r="G143" s="12">
        <v>2.7749999999999999</v>
      </c>
      <c r="H143" s="12">
        <v>11.157</v>
      </c>
      <c r="I143" s="12">
        <v>3.371</v>
      </c>
      <c r="J143" s="12">
        <v>114.157</v>
      </c>
      <c r="K143" s="12">
        <v>124.426</v>
      </c>
      <c r="L143" s="12">
        <v>0.01</v>
      </c>
      <c r="M143" s="12">
        <v>1E-3</v>
      </c>
      <c r="N143" s="12">
        <v>100</v>
      </c>
      <c r="O143" s="12">
        <v>0.78300000000000003</v>
      </c>
      <c r="P143" s="12">
        <v>0.81</v>
      </c>
      <c r="Q143" s="12">
        <v>0.109</v>
      </c>
      <c r="R143" s="12">
        <v>0.96399999999999997</v>
      </c>
      <c r="S143" s="12">
        <v>0.41699999999999998</v>
      </c>
      <c r="U143" s="12" t="s">
        <v>33</v>
      </c>
      <c r="V143" s="12" t="s">
        <v>35</v>
      </c>
      <c r="Y143" s="12">
        <f t="shared" si="6"/>
        <v>0.89200000000000002</v>
      </c>
      <c r="Z143" s="12">
        <f t="shared" si="5"/>
        <v>-2.7000000000000024E-2</v>
      </c>
    </row>
    <row r="144" spans="1:26" x14ac:dyDescent="0.2">
      <c r="A144" s="12" t="s">
        <v>43</v>
      </c>
      <c r="B144" s="12">
        <v>3886.375</v>
      </c>
      <c r="C144" s="12">
        <v>78.683000000000007</v>
      </c>
      <c r="D144" s="12">
        <v>23.416</v>
      </c>
      <c r="E144" s="12">
        <v>4.9020000000000001</v>
      </c>
      <c r="F144" s="12">
        <v>181.97499999999999</v>
      </c>
      <c r="G144" s="12">
        <v>2.7650000000000001</v>
      </c>
      <c r="H144" s="12">
        <v>11.513999999999999</v>
      </c>
      <c r="I144" s="12">
        <v>3.3730000000000002</v>
      </c>
      <c r="J144" s="12">
        <v>112.80800000000001</v>
      </c>
      <c r="K144" s="12">
        <v>122.973</v>
      </c>
      <c r="L144" s="12">
        <v>0.01</v>
      </c>
      <c r="M144" s="12">
        <v>1E-3</v>
      </c>
      <c r="N144" s="12">
        <v>100</v>
      </c>
      <c r="O144" s="12">
        <v>0.71199999999999997</v>
      </c>
      <c r="P144" s="12">
        <v>0.82399999999999995</v>
      </c>
      <c r="Q144" s="12">
        <v>0.114</v>
      </c>
      <c r="R144" s="12">
        <v>0.94699999999999995</v>
      </c>
      <c r="S144" s="12">
        <v>0.44600000000000001</v>
      </c>
      <c r="U144" s="12" t="s">
        <v>33</v>
      </c>
      <c r="V144" s="12" t="s">
        <v>35</v>
      </c>
      <c r="Y144" s="12">
        <f t="shared" si="6"/>
        <v>0.82599999999999996</v>
      </c>
      <c r="Z144" s="12">
        <f t="shared" si="5"/>
        <v>-0.11199999999999999</v>
      </c>
    </row>
    <row r="145" spans="1:26" x14ac:dyDescent="0.2">
      <c r="A145" s="12" t="s">
        <v>43</v>
      </c>
      <c r="B145" s="12">
        <v>3886.5</v>
      </c>
      <c r="C145" s="12">
        <v>64.451999999999998</v>
      </c>
      <c r="D145" s="12">
        <v>23.416</v>
      </c>
      <c r="E145" s="12">
        <v>3.71</v>
      </c>
      <c r="F145" s="12">
        <v>179.22499999999999</v>
      </c>
      <c r="G145" s="12">
        <v>2.7570000000000001</v>
      </c>
      <c r="H145" s="12">
        <v>11.478999999999999</v>
      </c>
      <c r="I145" s="12">
        <v>3.35</v>
      </c>
      <c r="J145" s="12">
        <v>120.952</v>
      </c>
      <c r="K145" s="12">
        <v>131.87299999999999</v>
      </c>
      <c r="L145" s="12">
        <v>0.01</v>
      </c>
      <c r="M145" s="12">
        <v>1E-3</v>
      </c>
      <c r="N145" s="12">
        <v>100</v>
      </c>
      <c r="O145" s="12">
        <v>0.57799999999999996</v>
      </c>
      <c r="P145" s="12">
        <v>0.81399999999999995</v>
      </c>
      <c r="Q145" s="12">
        <v>0.104</v>
      </c>
      <c r="R145" s="12">
        <v>0.93</v>
      </c>
      <c r="S145" s="12">
        <v>0.45600000000000002</v>
      </c>
      <c r="T145" s="12" t="s">
        <v>23</v>
      </c>
      <c r="U145" s="12" t="s">
        <v>33</v>
      </c>
      <c r="V145" s="12" t="s">
        <v>35</v>
      </c>
      <c r="Y145" s="12">
        <f t="shared" si="6"/>
        <v>0.68199999999999994</v>
      </c>
      <c r="Z145" s="12">
        <f t="shared" si="5"/>
        <v>-0.23599999999999999</v>
      </c>
    </row>
    <row r="146" spans="1:26" x14ac:dyDescent="0.2">
      <c r="A146" s="12" t="s">
        <v>43</v>
      </c>
      <c r="B146" s="12">
        <v>3886.625</v>
      </c>
      <c r="C146" s="12">
        <v>49.085000000000001</v>
      </c>
      <c r="D146" s="12">
        <v>23.414000000000001</v>
      </c>
      <c r="E146" s="12">
        <v>2.9159999999999999</v>
      </c>
      <c r="F146" s="12">
        <v>175.029</v>
      </c>
      <c r="G146" s="12">
        <v>2.75</v>
      </c>
      <c r="H146" s="12">
        <v>10.986000000000001</v>
      </c>
      <c r="I146" s="12">
        <v>3.3159999999999998</v>
      </c>
      <c r="J146" s="12">
        <v>138.64099999999999</v>
      </c>
      <c r="K146" s="12">
        <v>151.184</v>
      </c>
      <c r="L146" s="12">
        <v>7.1429999999999998</v>
      </c>
      <c r="M146" s="12">
        <v>9.6000000000000002E-2</v>
      </c>
      <c r="N146" s="12">
        <v>23.795000000000002</v>
      </c>
      <c r="O146" s="12">
        <v>0.41599999999999998</v>
      </c>
      <c r="P146" s="12">
        <v>0.78800000000000003</v>
      </c>
      <c r="Q146" s="12">
        <v>8.1000000000000003E-2</v>
      </c>
      <c r="R146" s="12">
        <v>0.91600000000000004</v>
      </c>
      <c r="S146" s="12">
        <v>0.439</v>
      </c>
      <c r="T146" s="12" t="s">
        <v>23</v>
      </c>
      <c r="U146" s="12" t="s">
        <v>33</v>
      </c>
      <c r="V146" s="12" t="s">
        <v>35</v>
      </c>
      <c r="Y146" s="12">
        <f t="shared" si="6"/>
        <v>0.497</v>
      </c>
      <c r="Z146" s="12">
        <f t="shared" si="5"/>
        <v>-0.37200000000000005</v>
      </c>
    </row>
    <row r="147" spans="1:26" x14ac:dyDescent="0.2">
      <c r="A147" s="12" t="s">
        <v>44</v>
      </c>
      <c r="B147" s="12">
        <v>3892</v>
      </c>
      <c r="C147" s="12">
        <v>51.622</v>
      </c>
      <c r="D147" s="12">
        <v>21.797999999999998</v>
      </c>
      <c r="E147" s="12">
        <v>2.8170000000000002</v>
      </c>
      <c r="F147" s="12">
        <v>171.21600000000001</v>
      </c>
      <c r="G147" s="12">
        <v>2.58</v>
      </c>
      <c r="H147" s="12">
        <v>8.0470000000000006</v>
      </c>
      <c r="I147" s="12">
        <v>3.5009999999999999</v>
      </c>
      <c r="J147" s="12">
        <v>717.24800000000005</v>
      </c>
      <c r="K147" s="12">
        <v>776.83799999999997</v>
      </c>
      <c r="L147" s="12">
        <v>7.4999999999999997E-2</v>
      </c>
      <c r="M147" s="12">
        <v>1E-3</v>
      </c>
      <c r="N147" s="12">
        <v>100</v>
      </c>
      <c r="O147" s="12">
        <v>0.25800000000000001</v>
      </c>
      <c r="P147" s="12">
        <v>0.30399999999999999</v>
      </c>
      <c r="Q147" s="12">
        <v>0.47</v>
      </c>
      <c r="R147" s="12">
        <v>0.221</v>
      </c>
      <c r="S147" s="12">
        <v>0.38100000000000001</v>
      </c>
      <c r="U147" s="12" t="s">
        <v>22</v>
      </c>
      <c r="V147" s="12" t="s">
        <v>35</v>
      </c>
      <c r="Y147" s="12">
        <f t="shared" si="6"/>
        <v>0.72799999999999998</v>
      </c>
      <c r="Z147" s="12">
        <f t="shared" si="5"/>
        <v>-4.5999999999999985E-2</v>
      </c>
    </row>
    <row r="148" spans="1:26" x14ac:dyDescent="0.2">
      <c r="A148" s="12" t="s">
        <v>44</v>
      </c>
      <c r="B148" s="12">
        <v>3892.125</v>
      </c>
      <c r="C148" s="12">
        <v>68.441000000000003</v>
      </c>
      <c r="D148" s="12">
        <v>21.835999999999999</v>
      </c>
      <c r="E148" s="12">
        <v>3.6440000000000001</v>
      </c>
      <c r="F148" s="12">
        <v>176.024</v>
      </c>
      <c r="G148" s="12">
        <v>2.5649999999999999</v>
      </c>
      <c r="H148" s="12">
        <v>9.4489999999999998</v>
      </c>
      <c r="I148" s="12">
        <v>3.488</v>
      </c>
      <c r="J148" s="12">
        <v>523.452</v>
      </c>
      <c r="K148" s="12">
        <v>566.94000000000005</v>
      </c>
      <c r="L148" s="12">
        <v>6.8000000000000005E-2</v>
      </c>
      <c r="M148" s="12">
        <v>1E-3</v>
      </c>
      <c r="N148" s="12">
        <v>100</v>
      </c>
      <c r="O148" s="12">
        <v>0.38700000000000001</v>
      </c>
      <c r="P148" s="12">
        <v>0.28499999999999998</v>
      </c>
      <c r="Q148" s="12">
        <v>0.57299999999999995</v>
      </c>
      <c r="R148" s="12">
        <v>0.14299999999999999</v>
      </c>
      <c r="S148" s="12">
        <v>0.44600000000000001</v>
      </c>
      <c r="U148" s="12" t="s">
        <v>33</v>
      </c>
      <c r="V148" s="12" t="s">
        <v>35</v>
      </c>
      <c r="Y148" s="12">
        <f t="shared" si="6"/>
        <v>0.96</v>
      </c>
      <c r="Z148" s="12">
        <f t="shared" si="5"/>
        <v>0.10200000000000004</v>
      </c>
    </row>
    <row r="149" spans="1:26" x14ac:dyDescent="0.2">
      <c r="A149" s="12" t="s">
        <v>44</v>
      </c>
      <c r="B149" s="12">
        <v>3892.25</v>
      </c>
      <c r="C149" s="12">
        <v>84.772999999999996</v>
      </c>
      <c r="D149" s="12">
        <v>21.978999999999999</v>
      </c>
      <c r="E149" s="12">
        <v>4.1829999999999998</v>
      </c>
      <c r="F149" s="12">
        <v>180.84</v>
      </c>
      <c r="G149" s="12">
        <v>2.552</v>
      </c>
      <c r="H149" s="12">
        <v>11.14</v>
      </c>
      <c r="I149" s="12">
        <v>3.4809999999999999</v>
      </c>
      <c r="J149" s="12">
        <v>372.39100000000002</v>
      </c>
      <c r="K149" s="12">
        <v>403.33</v>
      </c>
      <c r="L149" s="12">
        <v>5.8999999999999997E-2</v>
      </c>
      <c r="M149" s="12">
        <v>1E-3</v>
      </c>
      <c r="N149" s="12">
        <v>100</v>
      </c>
      <c r="O149" s="12">
        <v>0.53</v>
      </c>
      <c r="P149" s="12">
        <v>0.28100000000000003</v>
      </c>
      <c r="Q149" s="12">
        <v>0.68400000000000005</v>
      </c>
      <c r="R149" s="12">
        <v>0.09</v>
      </c>
      <c r="S149" s="12">
        <v>0.53100000000000003</v>
      </c>
      <c r="U149" s="12" t="s">
        <v>33</v>
      </c>
      <c r="V149" s="12" t="s">
        <v>35</v>
      </c>
      <c r="Y149" s="12">
        <f t="shared" si="6"/>
        <v>1.214</v>
      </c>
      <c r="Z149" s="12">
        <f t="shared" si="5"/>
        <v>0.249</v>
      </c>
    </row>
    <row r="150" spans="1:26" x14ac:dyDescent="0.2">
      <c r="A150" s="12" t="s">
        <v>44</v>
      </c>
      <c r="B150" s="12">
        <v>3892.375</v>
      </c>
      <c r="C150" s="12">
        <v>96.653000000000006</v>
      </c>
      <c r="D150" s="12">
        <v>22.260999999999999</v>
      </c>
      <c r="E150" s="12">
        <v>4.3319999999999999</v>
      </c>
      <c r="F150" s="12">
        <v>184.297</v>
      </c>
      <c r="G150" s="12">
        <v>2.54</v>
      </c>
      <c r="H150" s="12">
        <v>12.82</v>
      </c>
      <c r="I150" s="12">
        <v>3.4580000000000002</v>
      </c>
      <c r="J150" s="12">
        <v>289.238</v>
      </c>
      <c r="K150" s="12">
        <v>313.26799999999997</v>
      </c>
      <c r="L150" s="12">
        <v>5.2999999999999999E-2</v>
      </c>
      <c r="M150" s="12">
        <v>1E-3</v>
      </c>
      <c r="N150" s="12">
        <v>100</v>
      </c>
      <c r="O150" s="12">
        <v>0.64800000000000002</v>
      </c>
      <c r="P150" s="12">
        <v>0.27500000000000002</v>
      </c>
      <c r="Q150" s="12">
        <v>0.77700000000000002</v>
      </c>
      <c r="R150" s="12">
        <v>4.2000000000000003E-2</v>
      </c>
      <c r="S150" s="12">
        <v>0.623</v>
      </c>
      <c r="U150" s="12" t="s">
        <v>33</v>
      </c>
      <c r="V150" s="12" t="s">
        <v>35</v>
      </c>
      <c r="Y150" s="12">
        <f t="shared" si="6"/>
        <v>1.425</v>
      </c>
      <c r="Z150" s="12">
        <f t="shared" si="5"/>
        <v>0.373</v>
      </c>
    </row>
    <row r="151" spans="1:26" x14ac:dyDescent="0.2">
      <c r="A151" s="12" t="s">
        <v>44</v>
      </c>
      <c r="B151" s="12">
        <v>3892.5</v>
      </c>
      <c r="C151" s="12">
        <v>100.02</v>
      </c>
      <c r="D151" s="12">
        <v>22.367000000000001</v>
      </c>
      <c r="E151" s="12">
        <v>3.9929999999999999</v>
      </c>
      <c r="F151" s="12">
        <v>185.33</v>
      </c>
      <c r="G151" s="12">
        <v>2.5339999999999998</v>
      </c>
      <c r="H151" s="12">
        <v>13.91</v>
      </c>
      <c r="I151" s="12">
        <v>3.4390000000000001</v>
      </c>
      <c r="J151" s="12">
        <v>258.88600000000002</v>
      </c>
      <c r="K151" s="12">
        <v>280.39400000000001</v>
      </c>
      <c r="L151" s="12">
        <v>5.0999999999999997E-2</v>
      </c>
      <c r="M151" s="12">
        <v>1E-3</v>
      </c>
      <c r="N151" s="12">
        <v>100</v>
      </c>
      <c r="O151" s="12">
        <v>0.70599999999999996</v>
      </c>
      <c r="P151" s="12">
        <v>0.26700000000000002</v>
      </c>
      <c r="Q151" s="12">
        <v>0.82299999999999995</v>
      </c>
      <c r="R151" s="12">
        <v>8.9999999999999993E-3</v>
      </c>
      <c r="S151" s="12">
        <v>0.69499999999999995</v>
      </c>
      <c r="U151" s="12" t="s">
        <v>33</v>
      </c>
      <c r="V151" s="12" t="s">
        <v>35</v>
      </c>
      <c r="Y151" s="12">
        <f t="shared" si="6"/>
        <v>1.5289999999999999</v>
      </c>
      <c r="Z151" s="12">
        <f t="shared" si="5"/>
        <v>0.43899999999999995</v>
      </c>
    </row>
    <row r="152" spans="1:26" x14ac:dyDescent="0.2">
      <c r="A152" s="12" t="s">
        <v>44</v>
      </c>
      <c r="B152" s="12">
        <v>3892.625</v>
      </c>
      <c r="C152" s="12">
        <v>94.320999999999998</v>
      </c>
      <c r="D152" s="12">
        <v>22.616</v>
      </c>
      <c r="E152" s="12">
        <v>3.3180000000000001</v>
      </c>
      <c r="F152" s="12">
        <v>183.14500000000001</v>
      </c>
      <c r="G152" s="12">
        <v>2.5369999999999999</v>
      </c>
      <c r="H152" s="12">
        <v>13.446999999999999</v>
      </c>
      <c r="I152" s="12">
        <v>3.4319999999999999</v>
      </c>
      <c r="J152" s="12">
        <v>278.38</v>
      </c>
      <c r="K152" s="12">
        <v>301.50700000000001</v>
      </c>
      <c r="L152" s="12">
        <v>5.3999999999999999E-2</v>
      </c>
      <c r="M152" s="12">
        <v>1E-3</v>
      </c>
      <c r="N152" s="12">
        <v>100</v>
      </c>
      <c r="O152" s="12">
        <v>0.68799999999999994</v>
      </c>
      <c r="P152" s="12">
        <v>0.26300000000000001</v>
      </c>
      <c r="Q152" s="12">
        <v>0.80200000000000005</v>
      </c>
      <c r="R152" s="12">
        <v>7.0000000000000001E-3</v>
      </c>
      <c r="S152" s="12">
        <v>0.70299999999999996</v>
      </c>
      <c r="U152" s="12" t="s">
        <v>33</v>
      </c>
      <c r="V152" s="12" t="s">
        <v>35</v>
      </c>
      <c r="Y152" s="12">
        <f t="shared" si="6"/>
        <v>1.49</v>
      </c>
      <c r="Z152" s="12">
        <f t="shared" si="5"/>
        <v>0.42499999999999993</v>
      </c>
    </row>
    <row r="153" spans="1:26" x14ac:dyDescent="0.2">
      <c r="A153" s="12" t="s">
        <v>44</v>
      </c>
      <c r="B153" s="12">
        <v>3892.75</v>
      </c>
      <c r="C153" s="12">
        <v>80.3</v>
      </c>
      <c r="D153" s="12">
        <v>22.67</v>
      </c>
      <c r="E153" s="12">
        <v>2.863</v>
      </c>
      <c r="F153" s="12">
        <v>177.828</v>
      </c>
      <c r="G153" s="12">
        <v>2.56</v>
      </c>
      <c r="H153" s="12">
        <v>10.875999999999999</v>
      </c>
      <c r="I153" s="12">
        <v>3.4340000000000002</v>
      </c>
      <c r="J153" s="12">
        <v>361.42500000000001</v>
      </c>
      <c r="K153" s="12">
        <v>391.45299999999997</v>
      </c>
      <c r="L153" s="12">
        <v>6.0999999999999999E-2</v>
      </c>
      <c r="M153" s="12">
        <v>1E-3</v>
      </c>
      <c r="N153" s="12">
        <v>100</v>
      </c>
      <c r="O153" s="12">
        <v>0.59599999999999997</v>
      </c>
      <c r="P153" s="12">
        <v>0.26200000000000001</v>
      </c>
      <c r="Q153" s="12">
        <v>0.70799999999999996</v>
      </c>
      <c r="R153" s="12">
        <v>6.5000000000000002E-2</v>
      </c>
      <c r="S153" s="12">
        <v>0.61</v>
      </c>
      <c r="U153" s="12" t="s">
        <v>33</v>
      </c>
      <c r="V153" s="12" t="s">
        <v>35</v>
      </c>
      <c r="Y153" s="12">
        <f t="shared" si="6"/>
        <v>1.3039999999999998</v>
      </c>
      <c r="Z153" s="12">
        <f t="shared" si="5"/>
        <v>0.33399999999999996</v>
      </c>
    </row>
    <row r="154" spans="1:26" x14ac:dyDescent="0.2">
      <c r="A154" s="12" t="s">
        <v>44</v>
      </c>
      <c r="B154" s="12">
        <v>3892.875</v>
      </c>
      <c r="C154" s="12">
        <v>62.110999999999997</v>
      </c>
      <c r="D154" s="12">
        <v>22.649000000000001</v>
      </c>
      <c r="E154" s="12">
        <v>2.7759999999999998</v>
      </c>
      <c r="F154" s="12">
        <v>171.37299999999999</v>
      </c>
      <c r="G154" s="12">
        <v>2.6040000000000001</v>
      </c>
      <c r="H154" s="12">
        <v>7.8460000000000001</v>
      </c>
      <c r="I154" s="12">
        <v>3.4350000000000001</v>
      </c>
      <c r="J154" s="12">
        <v>510.452</v>
      </c>
      <c r="K154" s="12">
        <v>552.86</v>
      </c>
      <c r="L154" s="12">
        <v>7.3999999999999996E-2</v>
      </c>
      <c r="M154" s="12">
        <v>1E-3</v>
      </c>
      <c r="N154" s="12">
        <v>100</v>
      </c>
      <c r="O154" s="12">
        <v>0.45400000000000001</v>
      </c>
      <c r="P154" s="12">
        <v>0.26300000000000001</v>
      </c>
      <c r="Q154" s="12">
        <v>0.56999999999999995</v>
      </c>
      <c r="R154" s="12">
        <v>0.20200000000000001</v>
      </c>
      <c r="S154" s="12">
        <v>0.45500000000000002</v>
      </c>
      <c r="U154" s="12" t="s">
        <v>33</v>
      </c>
      <c r="V154" s="12" t="s">
        <v>35</v>
      </c>
      <c r="Y154" s="12">
        <f t="shared" si="6"/>
        <v>1.024</v>
      </c>
      <c r="Z154" s="12">
        <f t="shared" si="5"/>
        <v>0.191</v>
      </c>
    </row>
    <row r="155" spans="1:26" x14ac:dyDescent="0.2">
      <c r="A155" s="12" t="s">
        <v>44</v>
      </c>
      <c r="B155" s="12">
        <v>3893</v>
      </c>
      <c r="C155" s="12">
        <v>45.585000000000001</v>
      </c>
      <c r="D155" s="12">
        <v>22.67</v>
      </c>
      <c r="E155" s="12">
        <v>2.726</v>
      </c>
      <c r="F155" s="12">
        <v>166.024</v>
      </c>
      <c r="G155" s="12">
        <v>2.6629999999999998</v>
      </c>
      <c r="H155" s="12">
        <v>5.6550000000000002</v>
      </c>
      <c r="I155" s="12">
        <v>3.4409999999999998</v>
      </c>
      <c r="J155" s="12">
        <v>704.56899999999996</v>
      </c>
      <c r="K155" s="12">
        <v>763.10400000000004</v>
      </c>
      <c r="L155" s="12">
        <v>8.5000000000000006E-2</v>
      </c>
      <c r="M155" s="12">
        <v>1E-3</v>
      </c>
      <c r="N155" s="12">
        <v>100</v>
      </c>
      <c r="O155" s="12">
        <v>0.30599999999999999</v>
      </c>
      <c r="P155" s="12">
        <v>0.26400000000000001</v>
      </c>
      <c r="Q155" s="12">
        <v>0.437</v>
      </c>
      <c r="R155" s="12">
        <v>0.40699999999999997</v>
      </c>
      <c r="S155" s="12">
        <v>0.318</v>
      </c>
      <c r="U155" s="12" t="s">
        <v>33</v>
      </c>
      <c r="V155" s="12" t="s">
        <v>35</v>
      </c>
      <c r="Y155" s="12">
        <f t="shared" si="6"/>
        <v>0.74299999999999999</v>
      </c>
      <c r="Z155" s="12">
        <f t="shared" si="5"/>
        <v>4.1999999999999982E-2</v>
      </c>
    </row>
    <row r="156" spans="1:26" x14ac:dyDescent="0.2">
      <c r="A156" s="12" t="s">
        <v>45</v>
      </c>
      <c r="B156" s="12">
        <v>3805.625</v>
      </c>
      <c r="C156" s="12">
        <v>36.231000000000002</v>
      </c>
      <c r="D156" s="12">
        <v>21.986999999999998</v>
      </c>
      <c r="E156" s="12">
        <v>2.1040000000000001</v>
      </c>
      <c r="F156" s="12">
        <v>175.238</v>
      </c>
      <c r="G156" s="12">
        <v>2.7229999999999999</v>
      </c>
      <c r="H156" s="12">
        <v>8.9109999999999996</v>
      </c>
      <c r="I156" s="12">
        <v>2.7989999999999999</v>
      </c>
      <c r="J156" s="12">
        <v>382.95100000000002</v>
      </c>
      <c r="K156" s="12">
        <v>420.82600000000002</v>
      </c>
      <c r="L156" s="12">
        <v>5.6470000000000002</v>
      </c>
      <c r="M156" s="12">
        <v>9.0999999999999998E-2</v>
      </c>
      <c r="N156" s="12">
        <v>14.984999999999999</v>
      </c>
      <c r="O156" s="12">
        <v>0.14000000000000001</v>
      </c>
      <c r="P156" s="12">
        <v>0.39100000000000001</v>
      </c>
      <c r="Q156" s="12">
        <v>0.22800000000000001</v>
      </c>
      <c r="R156" s="12">
        <v>0.73099999999999998</v>
      </c>
      <c r="S156" s="12">
        <v>0.27800000000000002</v>
      </c>
      <c r="T156" s="12" t="s">
        <v>23</v>
      </c>
      <c r="U156" s="12" t="s">
        <v>22</v>
      </c>
      <c r="V156" s="12" t="s">
        <v>35</v>
      </c>
      <c r="Y156" s="12">
        <f t="shared" si="6"/>
        <v>0.36799999999999999</v>
      </c>
      <c r="Z156" s="12">
        <f t="shared" si="5"/>
        <v>-0.251</v>
      </c>
    </row>
    <row r="157" spans="1:26" x14ac:dyDescent="0.2">
      <c r="A157" s="12" t="s">
        <v>45</v>
      </c>
      <c r="B157" s="12">
        <v>3805.75</v>
      </c>
      <c r="C157" s="12">
        <v>44.789000000000001</v>
      </c>
      <c r="D157" s="12">
        <v>22.2</v>
      </c>
      <c r="E157" s="12">
        <v>2.5609999999999999</v>
      </c>
      <c r="F157" s="12">
        <v>178.19499999999999</v>
      </c>
      <c r="G157" s="12">
        <v>2.722</v>
      </c>
      <c r="H157" s="12">
        <v>9.74</v>
      </c>
      <c r="I157" s="12">
        <v>2.677</v>
      </c>
      <c r="J157" s="12">
        <v>305.08199999999999</v>
      </c>
      <c r="K157" s="12">
        <v>335.255</v>
      </c>
      <c r="L157" s="12">
        <v>5.3029999999999999</v>
      </c>
      <c r="M157" s="12">
        <v>7.0999999999999994E-2</v>
      </c>
      <c r="N157" s="12">
        <v>18.027000000000001</v>
      </c>
      <c r="O157" s="12">
        <v>0.21</v>
      </c>
      <c r="P157" s="12">
        <v>0.26100000000000001</v>
      </c>
      <c r="Q157" s="12">
        <v>0.26100000000000001</v>
      </c>
      <c r="R157" s="12">
        <v>0.73299999999999998</v>
      </c>
      <c r="S157" s="12">
        <v>0.313</v>
      </c>
      <c r="T157" s="12" t="s">
        <v>23</v>
      </c>
      <c r="U157" s="12" t="s">
        <v>33</v>
      </c>
      <c r="V157" s="12" t="s">
        <v>35</v>
      </c>
      <c r="Y157" s="12">
        <f t="shared" si="6"/>
        <v>0.47099999999999997</v>
      </c>
      <c r="Z157" s="12">
        <f t="shared" si="5"/>
        <v>-5.1000000000000018E-2</v>
      </c>
    </row>
    <row r="158" spans="1:26" x14ac:dyDescent="0.2">
      <c r="A158" s="12" t="s">
        <v>45</v>
      </c>
      <c r="B158" s="12">
        <v>3805.875</v>
      </c>
      <c r="C158" s="12">
        <v>59.119</v>
      </c>
      <c r="D158" s="12">
        <v>22.678000000000001</v>
      </c>
      <c r="E158" s="12">
        <v>2.899</v>
      </c>
      <c r="F158" s="12">
        <v>179.46</v>
      </c>
      <c r="G158" s="12">
        <v>2.7309999999999999</v>
      </c>
      <c r="H158" s="12">
        <v>10.257</v>
      </c>
      <c r="I158" s="12">
        <v>2.5569999999999999</v>
      </c>
      <c r="J158" s="12">
        <v>245.482</v>
      </c>
      <c r="K158" s="12">
        <v>269.76100000000002</v>
      </c>
      <c r="L158" s="12">
        <v>1.2529999999999999</v>
      </c>
      <c r="M158" s="12">
        <v>1.2999999999999999E-2</v>
      </c>
      <c r="N158" s="12">
        <v>79.861000000000004</v>
      </c>
      <c r="O158" s="12">
        <v>0.318</v>
      </c>
      <c r="P158" s="12">
        <v>0.14000000000000001</v>
      </c>
      <c r="Q158" s="12">
        <v>0.26900000000000002</v>
      </c>
      <c r="R158" s="12">
        <v>0.752</v>
      </c>
      <c r="S158" s="12">
        <v>0.33400000000000002</v>
      </c>
      <c r="T158" s="12" t="s">
        <v>23</v>
      </c>
      <c r="U158" s="12" t="s">
        <v>33</v>
      </c>
      <c r="V158" s="12" t="s">
        <v>35</v>
      </c>
      <c r="Y158" s="12">
        <f t="shared" si="6"/>
        <v>0.58699999999999997</v>
      </c>
      <c r="Z158" s="12">
        <f t="shared" si="5"/>
        <v>0.17799999999999999</v>
      </c>
    </row>
    <row r="159" spans="1:26" x14ac:dyDescent="0.2">
      <c r="A159" s="12" t="s">
        <v>45</v>
      </c>
      <c r="B159" s="12">
        <v>3806</v>
      </c>
      <c r="C159" s="12">
        <v>76.686999999999998</v>
      </c>
      <c r="D159" s="12">
        <v>23.361999999999998</v>
      </c>
      <c r="E159" s="12">
        <v>2.9409999999999998</v>
      </c>
      <c r="F159" s="12">
        <v>177.63300000000001</v>
      </c>
      <c r="G159" s="12">
        <v>2.734</v>
      </c>
      <c r="H159" s="12">
        <v>10.428000000000001</v>
      </c>
      <c r="I159" s="12">
        <v>2.476</v>
      </c>
      <c r="J159" s="12">
        <v>212.95</v>
      </c>
      <c r="K159" s="12">
        <v>234.011</v>
      </c>
      <c r="L159" s="12">
        <v>0</v>
      </c>
      <c r="M159" s="12">
        <v>0</v>
      </c>
      <c r="N159" s="12">
        <v>100</v>
      </c>
      <c r="O159" s="12">
        <v>0.435</v>
      </c>
      <c r="P159" s="12">
        <v>5.8000000000000003E-2</v>
      </c>
      <c r="Q159" s="12">
        <v>0.251</v>
      </c>
      <c r="R159" s="12">
        <v>0.754</v>
      </c>
      <c r="S159" s="12">
        <v>0.33700000000000002</v>
      </c>
      <c r="U159" s="12" t="s">
        <v>33</v>
      </c>
      <c r="V159" s="12" t="s">
        <v>35</v>
      </c>
      <c r="Y159" s="12">
        <f t="shared" si="6"/>
        <v>0.68599999999999994</v>
      </c>
      <c r="Z159" s="12">
        <f t="shared" si="5"/>
        <v>0.377</v>
      </c>
    </row>
    <row r="160" spans="1:26" x14ac:dyDescent="0.2">
      <c r="A160" s="12" t="s">
        <v>45</v>
      </c>
      <c r="B160" s="12">
        <v>3806.125</v>
      </c>
      <c r="C160" s="12">
        <v>87.325999999999993</v>
      </c>
      <c r="D160" s="12">
        <v>24.009</v>
      </c>
      <c r="E160" s="12">
        <v>2.8029999999999999</v>
      </c>
      <c r="F160" s="12">
        <v>177.79599999999999</v>
      </c>
      <c r="G160" s="12">
        <v>2.726</v>
      </c>
      <c r="H160" s="12">
        <v>10.032999999999999</v>
      </c>
      <c r="I160" s="12">
        <v>2.419</v>
      </c>
      <c r="J160" s="12">
        <v>210.14099999999999</v>
      </c>
      <c r="K160" s="12">
        <v>230.92400000000001</v>
      </c>
      <c r="L160" s="12">
        <v>0</v>
      </c>
      <c r="M160" s="12">
        <v>0</v>
      </c>
      <c r="N160" s="12">
        <v>100</v>
      </c>
      <c r="O160" s="12">
        <v>0.495</v>
      </c>
      <c r="P160" s="12">
        <v>7.0000000000000001E-3</v>
      </c>
      <c r="Q160" s="12">
        <v>0.251</v>
      </c>
      <c r="R160" s="12">
        <v>0.72699999999999998</v>
      </c>
      <c r="S160" s="12">
        <v>0.318</v>
      </c>
      <c r="U160" s="12" t="s">
        <v>33</v>
      </c>
      <c r="V160" s="12" t="s">
        <v>35</v>
      </c>
      <c r="Y160" s="12">
        <f t="shared" si="6"/>
        <v>0.746</v>
      </c>
      <c r="Z160" s="12">
        <f t="shared" si="5"/>
        <v>0.48799999999999999</v>
      </c>
    </row>
    <row r="161" spans="1:26" x14ac:dyDescent="0.2">
      <c r="A161" s="12" t="s">
        <v>45</v>
      </c>
      <c r="B161" s="12">
        <v>3806.25</v>
      </c>
      <c r="C161" s="12">
        <v>86.16</v>
      </c>
      <c r="D161" s="12">
        <v>24.475000000000001</v>
      </c>
      <c r="E161" s="12">
        <v>2.6749999999999998</v>
      </c>
      <c r="F161" s="12">
        <v>177.321</v>
      </c>
      <c r="G161" s="12">
        <v>2.7029999999999998</v>
      </c>
      <c r="H161" s="12">
        <v>9.5670000000000002</v>
      </c>
      <c r="I161" s="12">
        <v>2.411</v>
      </c>
      <c r="J161" s="12">
        <v>221.13</v>
      </c>
      <c r="K161" s="12">
        <v>243</v>
      </c>
      <c r="L161" s="12">
        <v>0</v>
      </c>
      <c r="M161" s="12">
        <v>0</v>
      </c>
      <c r="N161" s="12">
        <v>100</v>
      </c>
      <c r="O161" s="12">
        <v>0.47199999999999998</v>
      </c>
      <c r="P161" s="12">
        <v>1.4999999999999999E-2</v>
      </c>
      <c r="Q161" s="12">
        <v>0.245</v>
      </c>
      <c r="R161" s="12">
        <v>0.66500000000000004</v>
      </c>
      <c r="S161" s="12">
        <v>0.29699999999999999</v>
      </c>
      <c r="U161" s="12" t="s">
        <v>33</v>
      </c>
      <c r="V161" s="12" t="s">
        <v>35</v>
      </c>
      <c r="Y161" s="12">
        <f t="shared" si="6"/>
        <v>0.71699999999999997</v>
      </c>
      <c r="Z161" s="12">
        <f t="shared" si="5"/>
        <v>0.45699999999999996</v>
      </c>
    </row>
    <row r="162" spans="1:26" x14ac:dyDescent="0.2">
      <c r="A162" s="12" t="s">
        <v>45</v>
      </c>
      <c r="B162" s="12">
        <v>3806.375</v>
      </c>
      <c r="C162" s="12">
        <v>75.006</v>
      </c>
      <c r="D162" s="12">
        <v>24.821999999999999</v>
      </c>
      <c r="E162" s="12">
        <v>2.62</v>
      </c>
      <c r="F162" s="12">
        <v>176.589</v>
      </c>
      <c r="G162" s="12">
        <v>2.6669999999999998</v>
      </c>
      <c r="H162" s="12">
        <v>9.1660000000000004</v>
      </c>
      <c r="I162" s="12">
        <v>2.4809999999999999</v>
      </c>
      <c r="J162" s="12">
        <v>238.434</v>
      </c>
      <c r="K162" s="12">
        <v>262.01499999999999</v>
      </c>
      <c r="L162" s="12">
        <v>0</v>
      </c>
      <c r="M162" s="12">
        <v>0</v>
      </c>
      <c r="N162" s="12">
        <v>100</v>
      </c>
      <c r="O162" s="12">
        <v>0.38500000000000001</v>
      </c>
      <c r="P162" s="12">
        <v>7.9000000000000001E-2</v>
      </c>
      <c r="Q162" s="12">
        <v>0.23599999999999999</v>
      </c>
      <c r="R162" s="12">
        <v>0.58099999999999996</v>
      </c>
      <c r="S162" s="12">
        <v>0.27700000000000002</v>
      </c>
      <c r="U162" s="12" t="s">
        <v>33</v>
      </c>
      <c r="V162" s="12" t="s">
        <v>35</v>
      </c>
      <c r="Y162" s="12">
        <f t="shared" si="6"/>
        <v>0.621</v>
      </c>
      <c r="Z162" s="12">
        <f t="shared" si="5"/>
        <v>0.30599999999999999</v>
      </c>
    </row>
    <row r="163" spans="1:26" x14ac:dyDescent="0.2">
      <c r="A163" s="12" t="s">
        <v>45</v>
      </c>
      <c r="B163" s="12">
        <v>3806.5</v>
      </c>
      <c r="C163" s="12">
        <v>59.232999999999997</v>
      </c>
      <c r="D163" s="12">
        <v>25.401</v>
      </c>
      <c r="E163" s="12">
        <v>2.5910000000000002</v>
      </c>
      <c r="F163" s="12">
        <v>175.99799999999999</v>
      </c>
      <c r="G163" s="12">
        <v>2.64</v>
      </c>
      <c r="H163" s="12">
        <v>8.6240000000000006</v>
      </c>
      <c r="I163" s="12">
        <v>2.4990000000000001</v>
      </c>
      <c r="J163" s="12">
        <v>256.52199999999999</v>
      </c>
      <c r="K163" s="12">
        <v>281.892</v>
      </c>
      <c r="L163" s="12">
        <v>0</v>
      </c>
      <c r="M163" s="12">
        <v>0</v>
      </c>
      <c r="N163" s="12">
        <v>100</v>
      </c>
      <c r="O163" s="12">
        <v>0.27200000000000002</v>
      </c>
      <c r="P163" s="12">
        <v>0.105</v>
      </c>
      <c r="Q163" s="12">
        <v>0.22900000000000001</v>
      </c>
      <c r="R163" s="12">
        <v>0.51300000000000001</v>
      </c>
      <c r="S163" s="12">
        <v>0.253</v>
      </c>
      <c r="U163" s="12" t="s">
        <v>33</v>
      </c>
      <c r="V163" s="12" t="s">
        <v>35</v>
      </c>
      <c r="Y163" s="12">
        <f t="shared" si="6"/>
        <v>0.501</v>
      </c>
      <c r="Z163" s="12">
        <f t="shared" si="5"/>
        <v>0.16700000000000004</v>
      </c>
    </row>
    <row r="164" spans="1:26" x14ac:dyDescent="0.2">
      <c r="A164" s="12" t="s">
        <v>46</v>
      </c>
      <c r="B164" s="12">
        <v>3477.625</v>
      </c>
      <c r="C164" s="12">
        <v>50.207999999999998</v>
      </c>
      <c r="D164" s="12">
        <v>21.873000000000001</v>
      </c>
      <c r="E164" s="12">
        <v>2.5459999999999998</v>
      </c>
      <c r="F164" s="12">
        <v>166.773</v>
      </c>
      <c r="G164" s="12">
        <v>2.782</v>
      </c>
      <c r="H164" s="12">
        <v>4.3079999999999998</v>
      </c>
      <c r="I164" s="12">
        <v>3.5</v>
      </c>
      <c r="J164" s="12">
        <v>294.31799999999998</v>
      </c>
      <c r="K164" s="12">
        <v>309.80900000000003</v>
      </c>
      <c r="L164" s="12">
        <v>0</v>
      </c>
      <c r="M164" s="12">
        <v>0.01</v>
      </c>
      <c r="N164" s="12">
        <v>0</v>
      </c>
      <c r="O164" s="12">
        <v>0.26900000000000002</v>
      </c>
      <c r="P164" s="12">
        <v>0.56499999999999995</v>
      </c>
      <c r="Q164" s="12">
        <v>0.22</v>
      </c>
      <c r="R164" s="12">
        <v>0.53300000000000003</v>
      </c>
      <c r="S164" s="12">
        <v>0.36099999999999999</v>
      </c>
      <c r="U164" s="12" t="s">
        <v>22</v>
      </c>
      <c r="V164" s="12" t="s">
        <v>35</v>
      </c>
      <c r="Y164" s="12">
        <f t="shared" si="6"/>
        <v>0.48899999999999999</v>
      </c>
      <c r="Z164" s="12">
        <f t="shared" si="5"/>
        <v>-0.29599999999999993</v>
      </c>
    </row>
    <row r="165" spans="1:26" x14ac:dyDescent="0.2">
      <c r="A165" s="12" t="s">
        <v>46</v>
      </c>
      <c r="B165" s="12">
        <v>3477.75</v>
      </c>
      <c r="C165" s="12">
        <v>66.998999999999995</v>
      </c>
      <c r="D165" s="12">
        <v>21.89</v>
      </c>
      <c r="E165" s="12">
        <v>2.5539999999999998</v>
      </c>
      <c r="F165" s="12">
        <v>174.19900000000001</v>
      </c>
      <c r="G165" s="12">
        <v>2.7890000000000001</v>
      </c>
      <c r="H165" s="12">
        <v>4.6639999999999997</v>
      </c>
      <c r="I165" s="12">
        <v>3.2189999999999999</v>
      </c>
      <c r="J165" s="12">
        <v>210.327</v>
      </c>
      <c r="K165" s="12">
        <v>221.39699999999999</v>
      </c>
      <c r="L165" s="12">
        <v>0</v>
      </c>
      <c r="M165" s="12">
        <v>0.01</v>
      </c>
      <c r="N165" s="12">
        <v>0</v>
      </c>
      <c r="O165" s="12">
        <v>0.38200000000000001</v>
      </c>
      <c r="P165" s="12">
        <v>0.30099999999999999</v>
      </c>
      <c r="Q165" s="12">
        <v>0.318</v>
      </c>
      <c r="R165" s="12">
        <v>0.56499999999999995</v>
      </c>
      <c r="S165" s="12">
        <v>0.39900000000000002</v>
      </c>
      <c r="U165" s="12" t="s">
        <v>33</v>
      </c>
      <c r="V165" s="12" t="s">
        <v>35</v>
      </c>
      <c r="Y165" s="12">
        <f t="shared" si="6"/>
        <v>0.7</v>
      </c>
      <c r="Z165" s="12">
        <f t="shared" si="5"/>
        <v>8.1000000000000016E-2</v>
      </c>
    </row>
    <row r="166" spans="1:26" x14ac:dyDescent="0.2">
      <c r="A166" s="12" t="s">
        <v>46</v>
      </c>
      <c r="B166" s="12">
        <v>3477.875</v>
      </c>
      <c r="C166" s="12">
        <v>78.355999999999995</v>
      </c>
      <c r="D166" s="12">
        <v>21.885000000000002</v>
      </c>
      <c r="E166" s="12">
        <v>2.54</v>
      </c>
      <c r="F166" s="12">
        <v>178.29</v>
      </c>
      <c r="G166" s="12">
        <v>2.7919999999999998</v>
      </c>
      <c r="H166" s="12">
        <v>4.9020000000000001</v>
      </c>
      <c r="I166" s="12">
        <v>3.0569999999999999</v>
      </c>
      <c r="J166" s="12">
        <v>168.64</v>
      </c>
      <c r="K166" s="12">
        <v>177.51499999999999</v>
      </c>
      <c r="L166" s="12">
        <v>0</v>
      </c>
      <c r="M166" s="12">
        <v>0.01</v>
      </c>
      <c r="N166" s="12">
        <v>0</v>
      </c>
      <c r="O166" s="12">
        <v>0.45900000000000002</v>
      </c>
      <c r="P166" s="12">
        <v>0.14899999999999999</v>
      </c>
      <c r="Q166" s="12">
        <v>0.372</v>
      </c>
      <c r="R166" s="12">
        <v>0.57899999999999996</v>
      </c>
      <c r="S166" s="12">
        <v>0.42499999999999999</v>
      </c>
      <c r="U166" s="12" t="s">
        <v>33</v>
      </c>
      <c r="V166" s="12" t="s">
        <v>35</v>
      </c>
      <c r="Y166" s="12">
        <f t="shared" si="6"/>
        <v>0.83099999999999996</v>
      </c>
      <c r="Z166" s="12">
        <f t="shared" si="5"/>
        <v>0.31000000000000005</v>
      </c>
    </row>
    <row r="167" spans="1:26" x14ac:dyDescent="0.2">
      <c r="A167" s="12" t="s">
        <v>46</v>
      </c>
      <c r="B167" s="12">
        <v>3478</v>
      </c>
      <c r="C167" s="12">
        <v>79.27</v>
      </c>
      <c r="D167" s="12">
        <v>21.88</v>
      </c>
      <c r="E167" s="12">
        <v>2.5979999999999999</v>
      </c>
      <c r="F167" s="12">
        <v>179.37799999999999</v>
      </c>
      <c r="G167" s="12">
        <v>2.7959999999999998</v>
      </c>
      <c r="H167" s="12">
        <v>4.8920000000000003</v>
      </c>
      <c r="I167" s="12">
        <v>3.0640000000000001</v>
      </c>
      <c r="J167" s="12">
        <v>146.55099999999999</v>
      </c>
      <c r="K167" s="12">
        <v>154.26400000000001</v>
      </c>
      <c r="L167" s="12">
        <v>0</v>
      </c>
      <c r="M167" s="12">
        <v>0.01</v>
      </c>
      <c r="N167" s="12">
        <v>0</v>
      </c>
      <c r="O167" s="12">
        <v>0.46500000000000002</v>
      </c>
      <c r="P167" s="12">
        <v>0.155</v>
      </c>
      <c r="Q167" s="12">
        <v>0.38600000000000001</v>
      </c>
      <c r="R167" s="12">
        <v>0.59799999999999998</v>
      </c>
      <c r="S167" s="12">
        <v>0.42399999999999999</v>
      </c>
      <c r="U167" s="12" t="s">
        <v>33</v>
      </c>
      <c r="V167" s="12" t="s">
        <v>35</v>
      </c>
      <c r="Y167" s="12">
        <f t="shared" si="6"/>
        <v>0.85099999999999998</v>
      </c>
      <c r="Z167" s="12">
        <f t="shared" si="5"/>
        <v>0.31000000000000005</v>
      </c>
    </row>
    <row r="168" spans="1:26" x14ac:dyDescent="0.2">
      <c r="A168" s="12" t="s">
        <v>46</v>
      </c>
      <c r="B168" s="12">
        <v>3478.125</v>
      </c>
      <c r="C168" s="12">
        <v>74.305999999999997</v>
      </c>
      <c r="D168" s="12">
        <v>21.895</v>
      </c>
      <c r="E168" s="12">
        <v>2.419</v>
      </c>
      <c r="F168" s="12">
        <v>179.036</v>
      </c>
      <c r="G168" s="12">
        <v>2.8029999999999999</v>
      </c>
      <c r="H168" s="12">
        <v>4.5810000000000004</v>
      </c>
      <c r="I168" s="12">
        <v>3.2040000000000002</v>
      </c>
      <c r="J168" s="12">
        <v>144.642</v>
      </c>
      <c r="K168" s="12">
        <v>152.255</v>
      </c>
      <c r="L168" s="12">
        <v>0</v>
      </c>
      <c r="M168" s="12">
        <v>0.01</v>
      </c>
      <c r="N168" s="12">
        <v>0</v>
      </c>
      <c r="O168" s="12">
        <v>0.43099999999999999</v>
      </c>
      <c r="P168" s="12">
        <v>0.28699999999999998</v>
      </c>
      <c r="Q168" s="12">
        <v>0.38100000000000001</v>
      </c>
      <c r="R168" s="12">
        <v>0.63100000000000001</v>
      </c>
      <c r="S168" s="12">
        <v>0.39100000000000001</v>
      </c>
      <c r="U168" s="12" t="s">
        <v>33</v>
      </c>
      <c r="V168" s="12" t="s">
        <v>35</v>
      </c>
      <c r="Y168" s="12">
        <f t="shared" si="6"/>
        <v>0.81200000000000006</v>
      </c>
      <c r="Z168" s="12">
        <f t="shared" si="5"/>
        <v>0.14400000000000002</v>
      </c>
    </row>
    <row r="169" spans="1:26" x14ac:dyDescent="0.2">
      <c r="A169" s="12" t="s">
        <v>46</v>
      </c>
      <c r="B169" s="12">
        <v>3478.25</v>
      </c>
      <c r="C169" s="12">
        <v>66.037000000000006</v>
      </c>
      <c r="D169" s="12">
        <v>21.895</v>
      </c>
      <c r="E169" s="12">
        <v>1.798</v>
      </c>
      <c r="F169" s="12">
        <v>177.90100000000001</v>
      </c>
      <c r="G169" s="12">
        <v>2.8170000000000002</v>
      </c>
      <c r="H169" s="12">
        <v>4.2069999999999999</v>
      </c>
      <c r="I169" s="12">
        <v>3.3809999999999998</v>
      </c>
      <c r="J169" s="12">
        <v>162.57499999999999</v>
      </c>
      <c r="K169" s="12">
        <v>171.131</v>
      </c>
      <c r="L169" s="12">
        <v>0</v>
      </c>
      <c r="M169" s="12">
        <v>0.01</v>
      </c>
      <c r="N169" s="12">
        <v>0</v>
      </c>
      <c r="O169" s="12">
        <v>0.376</v>
      </c>
      <c r="P169" s="12">
        <v>0.45300000000000001</v>
      </c>
      <c r="Q169" s="12">
        <v>0.36599999999999999</v>
      </c>
      <c r="R169" s="12">
        <v>0.69599999999999995</v>
      </c>
      <c r="S169" s="12">
        <v>0.35099999999999998</v>
      </c>
      <c r="U169" s="12" t="s">
        <v>33</v>
      </c>
      <c r="V169" s="12" t="s">
        <v>35</v>
      </c>
      <c r="Y169" s="12">
        <f t="shared" si="6"/>
        <v>0.74199999999999999</v>
      </c>
      <c r="Z169" s="12">
        <f t="shared" si="5"/>
        <v>-7.7000000000000013E-2</v>
      </c>
    </row>
    <row r="170" spans="1:26" x14ac:dyDescent="0.2">
      <c r="A170" s="12" t="s">
        <v>47</v>
      </c>
      <c r="B170" s="12">
        <v>3245.75</v>
      </c>
      <c r="C170" s="12">
        <v>70.216999999999999</v>
      </c>
      <c r="D170" s="12">
        <v>23.294</v>
      </c>
      <c r="E170" s="12">
        <v>4.0119999999999996</v>
      </c>
      <c r="F170" s="12">
        <v>172.15199999999999</v>
      </c>
      <c r="G170" s="12">
        <v>2.52</v>
      </c>
      <c r="H170" s="12">
        <v>7.4450000000000003</v>
      </c>
      <c r="I170" s="12">
        <v>3.7839999999999998</v>
      </c>
      <c r="J170" s="12">
        <v>132.77600000000001</v>
      </c>
      <c r="K170" s="12">
        <v>140.00299999999999</v>
      </c>
      <c r="L170" s="12">
        <v>0</v>
      </c>
      <c r="M170" s="12">
        <v>0</v>
      </c>
      <c r="N170" s="12">
        <v>100</v>
      </c>
      <c r="O170" s="12">
        <v>0.35899999999999999</v>
      </c>
      <c r="P170" s="12">
        <v>0.89900000000000002</v>
      </c>
      <c r="Q170" s="12">
        <v>0.28799999999999998</v>
      </c>
      <c r="R170" s="12">
        <v>8.4000000000000005E-2</v>
      </c>
      <c r="S170" s="12">
        <v>0.20899999999999999</v>
      </c>
      <c r="U170" s="12" t="s">
        <v>22</v>
      </c>
      <c r="V170" s="12" t="s">
        <v>35</v>
      </c>
      <c r="Y170" s="12">
        <f t="shared" si="6"/>
        <v>0.64700000000000002</v>
      </c>
      <c r="Z170" s="12">
        <f t="shared" si="5"/>
        <v>-0.54</v>
      </c>
    </row>
    <row r="171" spans="1:26" x14ac:dyDescent="0.2">
      <c r="A171" s="12" t="s">
        <v>47</v>
      </c>
      <c r="B171" s="12">
        <v>3245.875</v>
      </c>
      <c r="C171" s="12">
        <v>107.663</v>
      </c>
      <c r="D171" s="12">
        <v>23.116</v>
      </c>
      <c r="E171" s="12">
        <v>4.4009999999999998</v>
      </c>
      <c r="F171" s="12">
        <v>171.87700000000001</v>
      </c>
      <c r="G171" s="12">
        <v>2.5</v>
      </c>
      <c r="H171" s="12">
        <v>6.8769999999999998</v>
      </c>
      <c r="I171" s="12">
        <v>3.7280000000000002</v>
      </c>
      <c r="J171" s="12">
        <v>126.542</v>
      </c>
      <c r="K171" s="12">
        <v>134.51599999999999</v>
      </c>
      <c r="L171" s="12">
        <v>0</v>
      </c>
      <c r="M171" s="12">
        <v>0</v>
      </c>
      <c r="N171" s="12">
        <v>100</v>
      </c>
      <c r="O171" s="12">
        <v>0.58199999999999996</v>
      </c>
      <c r="P171" s="12">
        <v>0.83</v>
      </c>
      <c r="Q171" s="12">
        <v>0.27300000000000002</v>
      </c>
      <c r="R171" s="12">
        <v>2.8000000000000001E-2</v>
      </c>
      <c r="S171" s="12">
        <v>0.124</v>
      </c>
      <c r="U171" s="12" t="s">
        <v>33</v>
      </c>
      <c r="V171" s="12" t="s">
        <v>35</v>
      </c>
      <c r="Y171" s="12">
        <f t="shared" si="6"/>
        <v>0.85499999999999998</v>
      </c>
      <c r="Z171" s="12">
        <f t="shared" si="5"/>
        <v>-0.248</v>
      </c>
    </row>
    <row r="172" spans="1:26" x14ac:dyDescent="0.2">
      <c r="A172" s="12" t="s">
        <v>47</v>
      </c>
      <c r="B172" s="12">
        <v>3246</v>
      </c>
      <c r="C172" s="12">
        <v>135.864</v>
      </c>
      <c r="D172" s="12">
        <v>22.800999999999998</v>
      </c>
      <c r="E172" s="12">
        <v>4.7249999999999996</v>
      </c>
      <c r="F172" s="12">
        <v>167.572</v>
      </c>
      <c r="G172" s="12">
        <v>2.4889999999999999</v>
      </c>
      <c r="H172" s="12">
        <v>6.4560000000000004</v>
      </c>
      <c r="I172" s="12">
        <v>3.6080000000000001</v>
      </c>
      <c r="J172" s="12">
        <v>128.226</v>
      </c>
      <c r="K172" s="12">
        <v>138.517</v>
      </c>
      <c r="L172" s="12">
        <v>0</v>
      </c>
      <c r="M172" s="12">
        <v>0</v>
      </c>
      <c r="N172" s="12">
        <v>100</v>
      </c>
      <c r="O172" s="12">
        <v>0.72</v>
      </c>
      <c r="P172" s="12">
        <v>0.69799999999999995</v>
      </c>
      <c r="Q172" s="12">
        <v>0.19900000000000001</v>
      </c>
      <c r="R172" s="12">
        <v>6.0000000000000001E-3</v>
      </c>
      <c r="S172" s="12">
        <v>6.0999999999999999E-2</v>
      </c>
      <c r="U172" s="12" t="s">
        <v>33</v>
      </c>
      <c r="V172" s="12" t="s">
        <v>35</v>
      </c>
      <c r="Y172" s="12">
        <f t="shared" si="6"/>
        <v>0.91900000000000004</v>
      </c>
      <c r="Z172" s="12">
        <f t="shared" si="5"/>
        <v>2.200000000000002E-2</v>
      </c>
    </row>
    <row r="173" spans="1:26" x14ac:dyDescent="0.2">
      <c r="A173" s="12" t="s">
        <v>47</v>
      </c>
      <c r="B173" s="12">
        <v>3246.125</v>
      </c>
      <c r="C173" s="12">
        <v>125.937</v>
      </c>
      <c r="D173" s="12">
        <v>22.36</v>
      </c>
      <c r="E173" s="12">
        <v>5.0629999999999997</v>
      </c>
      <c r="F173" s="12">
        <v>160.90299999999999</v>
      </c>
      <c r="G173" s="12">
        <v>2.5009999999999999</v>
      </c>
      <c r="H173" s="12">
        <v>6.1779999999999999</v>
      </c>
      <c r="I173" s="12">
        <v>3.444</v>
      </c>
      <c r="J173" s="12">
        <v>150.06200000000001</v>
      </c>
      <c r="K173" s="12">
        <v>163.93100000000001</v>
      </c>
      <c r="L173" s="12">
        <v>0</v>
      </c>
      <c r="M173" s="12">
        <v>0</v>
      </c>
      <c r="N173" s="12">
        <v>100</v>
      </c>
      <c r="O173" s="12">
        <v>0.63600000000000001</v>
      </c>
      <c r="P173" s="12">
        <v>0.53500000000000003</v>
      </c>
      <c r="Q173" s="12">
        <v>9.6000000000000002E-2</v>
      </c>
      <c r="R173" s="12">
        <v>5.5E-2</v>
      </c>
      <c r="S173" s="12">
        <v>2.1000000000000001E-2</v>
      </c>
      <c r="U173" s="12" t="s">
        <v>33</v>
      </c>
      <c r="V173" s="12" t="s">
        <v>35</v>
      </c>
      <c r="Y173" s="12">
        <f t="shared" si="6"/>
        <v>0.73199999999999998</v>
      </c>
      <c r="Z173" s="12">
        <f t="shared" si="5"/>
        <v>0.10099999999999998</v>
      </c>
    </row>
    <row r="174" spans="1:26" x14ac:dyDescent="0.2">
      <c r="A174" s="12" t="s">
        <v>47</v>
      </c>
      <c r="B174" s="12">
        <v>3246.25</v>
      </c>
      <c r="C174" s="12">
        <v>93.796000000000006</v>
      </c>
      <c r="D174" s="12">
        <v>22.096</v>
      </c>
      <c r="E174" s="12">
        <v>5.2679999999999998</v>
      </c>
      <c r="F174" s="12">
        <v>155.71600000000001</v>
      </c>
      <c r="G174" s="12">
        <v>2.5390000000000001</v>
      </c>
      <c r="H174" s="12">
        <v>6.0209999999999999</v>
      </c>
      <c r="I174" s="12">
        <v>3.327</v>
      </c>
      <c r="J174" s="12">
        <v>163.48099999999999</v>
      </c>
      <c r="K174" s="12">
        <v>201.904</v>
      </c>
      <c r="L174" s="12">
        <v>0</v>
      </c>
      <c r="M174" s="12">
        <v>0</v>
      </c>
      <c r="N174" s="12">
        <v>100</v>
      </c>
      <c r="O174" s="12">
        <v>0.436</v>
      </c>
      <c r="P174" s="12">
        <v>0.42499999999999999</v>
      </c>
      <c r="Q174" s="12">
        <v>2.1999999999999999E-2</v>
      </c>
      <c r="R174" s="12">
        <v>0.18</v>
      </c>
      <c r="S174" s="12">
        <v>1E-3</v>
      </c>
      <c r="U174" s="12" t="s">
        <v>33</v>
      </c>
      <c r="V174" s="12" t="s">
        <v>35</v>
      </c>
      <c r="Y174" s="12">
        <f t="shared" si="6"/>
        <v>0.45800000000000002</v>
      </c>
      <c r="Z174" s="12">
        <f t="shared" si="5"/>
        <v>1.100000000000001E-2</v>
      </c>
    </row>
    <row r="175" spans="1:26" x14ac:dyDescent="0.2">
      <c r="A175" s="12" t="s">
        <v>47</v>
      </c>
      <c r="B175" s="12">
        <v>3246.375</v>
      </c>
      <c r="C175" s="12">
        <v>62.017000000000003</v>
      </c>
      <c r="D175" s="12">
        <v>22.096</v>
      </c>
      <c r="E175" s="12">
        <v>5.1440000000000001</v>
      </c>
      <c r="F175" s="12">
        <v>154.06100000000001</v>
      </c>
      <c r="G175" s="12">
        <v>2.5979999999999999</v>
      </c>
      <c r="H175" s="12">
        <v>6.0449999999999999</v>
      </c>
      <c r="I175" s="12">
        <v>3.286</v>
      </c>
      <c r="J175" s="12">
        <v>208.61600000000001</v>
      </c>
      <c r="K175" s="12">
        <v>291.24599999999998</v>
      </c>
      <c r="L175" s="12">
        <v>0</v>
      </c>
      <c r="M175" s="12">
        <v>0</v>
      </c>
      <c r="N175" s="12">
        <v>100</v>
      </c>
      <c r="O175" s="12">
        <v>0.252</v>
      </c>
      <c r="P175" s="12">
        <v>0.39500000000000002</v>
      </c>
      <c r="Q175" s="12">
        <v>5.0000000000000001E-3</v>
      </c>
      <c r="R175" s="12">
        <v>0.36399999999999999</v>
      </c>
      <c r="S175" s="12">
        <v>8.9999999999999993E-3</v>
      </c>
      <c r="U175" s="12" t="s">
        <v>33</v>
      </c>
      <c r="V175" s="12" t="s">
        <v>35</v>
      </c>
      <c r="Y175" s="12">
        <f t="shared" si="6"/>
        <v>0.25700000000000001</v>
      </c>
      <c r="Z175" s="12">
        <f t="shared" si="5"/>
        <v>-0.14300000000000002</v>
      </c>
    </row>
    <row r="176" spans="1:26" x14ac:dyDescent="0.2">
      <c r="A176" s="12" t="s">
        <v>48</v>
      </c>
      <c r="B176" s="12">
        <v>3288.75</v>
      </c>
      <c r="C176" s="12">
        <v>61.16</v>
      </c>
      <c r="D176" s="12">
        <v>22.696000000000002</v>
      </c>
      <c r="E176" s="12">
        <v>2.9279999999999999</v>
      </c>
      <c r="F176" s="12">
        <v>172.596</v>
      </c>
      <c r="G176" s="12">
        <v>2.8090000000000002</v>
      </c>
      <c r="H176" s="12">
        <v>7.7370000000000001</v>
      </c>
      <c r="I176" s="12">
        <v>3.2839999999999998</v>
      </c>
      <c r="J176" s="12">
        <v>368.42599999999999</v>
      </c>
      <c r="K176" s="12">
        <v>379.82100000000003</v>
      </c>
      <c r="L176" s="12">
        <v>0.01</v>
      </c>
      <c r="M176" s="12">
        <v>1E-3</v>
      </c>
      <c r="N176" s="12">
        <v>100</v>
      </c>
      <c r="O176" s="12">
        <v>0.26100000000000001</v>
      </c>
      <c r="P176" s="12">
        <v>0.22900000000000001</v>
      </c>
      <c r="Q176" s="12">
        <v>0.189</v>
      </c>
      <c r="R176" s="12">
        <v>0.78700000000000003</v>
      </c>
      <c r="S176" s="12">
        <v>0.52900000000000003</v>
      </c>
      <c r="U176" s="12" t="s">
        <v>33</v>
      </c>
      <c r="V176" s="12" t="s">
        <v>35</v>
      </c>
      <c r="Y176" s="12">
        <f t="shared" si="6"/>
        <v>0.45</v>
      </c>
      <c r="Z176" s="12">
        <f t="shared" si="5"/>
        <v>3.2000000000000001E-2</v>
      </c>
    </row>
    <row r="177" spans="1:26" x14ac:dyDescent="0.2">
      <c r="A177" s="12" t="s">
        <v>48</v>
      </c>
      <c r="B177" s="12">
        <v>3288.875</v>
      </c>
      <c r="C177" s="12">
        <v>73.715999999999994</v>
      </c>
      <c r="D177" s="12">
        <v>22.696000000000002</v>
      </c>
      <c r="E177" s="12">
        <v>3.36</v>
      </c>
      <c r="F177" s="12">
        <v>174.38800000000001</v>
      </c>
      <c r="G177" s="12">
        <v>2.859</v>
      </c>
      <c r="H177" s="12">
        <v>8.2569999999999997</v>
      </c>
      <c r="I177" s="12">
        <v>3.2839999999999998</v>
      </c>
      <c r="J177" s="12">
        <v>360.274</v>
      </c>
      <c r="K177" s="12">
        <v>371.41699999999997</v>
      </c>
      <c r="L177" s="12">
        <v>0.01</v>
      </c>
      <c r="M177" s="12">
        <v>1E-3</v>
      </c>
      <c r="N177" s="12">
        <v>100</v>
      </c>
      <c r="O177" s="12">
        <v>0.36699999999999999</v>
      </c>
      <c r="P177" s="12">
        <v>0.22900000000000001</v>
      </c>
      <c r="Q177" s="12">
        <v>0.215</v>
      </c>
      <c r="R177" s="12">
        <v>0.86099999999999999</v>
      </c>
      <c r="S177" s="12">
        <v>0.55500000000000005</v>
      </c>
      <c r="U177" s="12" t="s">
        <v>33</v>
      </c>
      <c r="V177" s="12" t="s">
        <v>35</v>
      </c>
      <c r="Y177" s="12">
        <f t="shared" si="6"/>
        <v>0.58199999999999996</v>
      </c>
      <c r="Z177" s="12">
        <f t="shared" si="5"/>
        <v>0.13799999999999998</v>
      </c>
    </row>
    <row r="178" spans="1:26" x14ac:dyDescent="0.2">
      <c r="A178" s="12" t="s">
        <v>48</v>
      </c>
      <c r="B178" s="12">
        <v>3289</v>
      </c>
      <c r="C178" s="12">
        <v>96.622</v>
      </c>
      <c r="D178" s="12">
        <v>22.696000000000002</v>
      </c>
      <c r="E178" s="12">
        <v>4.2220000000000004</v>
      </c>
      <c r="F178" s="12">
        <v>177.024</v>
      </c>
      <c r="G178" s="12">
        <v>2.8730000000000002</v>
      </c>
      <c r="H178" s="12">
        <v>8.7230000000000008</v>
      </c>
      <c r="I178" s="12">
        <v>3.2839999999999998</v>
      </c>
      <c r="J178" s="12">
        <v>300.76100000000002</v>
      </c>
      <c r="K178" s="12">
        <v>310.06299999999999</v>
      </c>
      <c r="L178" s="12">
        <v>0.01</v>
      </c>
      <c r="M178" s="12">
        <v>1E-3</v>
      </c>
      <c r="N178" s="12">
        <v>100</v>
      </c>
      <c r="O178" s="12">
        <v>0.48899999999999999</v>
      </c>
      <c r="P178" s="12">
        <v>0.22900000000000001</v>
      </c>
      <c r="Q178" s="12">
        <v>0.24099999999999999</v>
      </c>
      <c r="R178" s="12">
        <v>0.94199999999999995</v>
      </c>
      <c r="S178" s="12">
        <v>0.59099999999999997</v>
      </c>
      <c r="U178" s="12" t="s">
        <v>33</v>
      </c>
      <c r="V178" s="12" t="s">
        <v>35</v>
      </c>
      <c r="Y178" s="12">
        <f t="shared" si="6"/>
        <v>0.73</v>
      </c>
      <c r="Z178" s="12">
        <f t="shared" si="5"/>
        <v>0.26</v>
      </c>
    </row>
    <row r="179" spans="1:26" x14ac:dyDescent="0.2">
      <c r="A179" s="12" t="s">
        <v>48</v>
      </c>
      <c r="B179" s="12">
        <v>3289.125</v>
      </c>
      <c r="C179" s="12">
        <v>101.001</v>
      </c>
      <c r="D179" s="12">
        <v>22.696000000000002</v>
      </c>
      <c r="E179" s="12">
        <v>4.5060000000000002</v>
      </c>
      <c r="F179" s="12">
        <v>176.96199999999999</v>
      </c>
      <c r="G179" s="12">
        <v>2.8730000000000002</v>
      </c>
      <c r="H179" s="12">
        <v>8.843</v>
      </c>
      <c r="I179" s="12">
        <v>3.2839999999999998</v>
      </c>
      <c r="J179" s="12">
        <v>228.43600000000001</v>
      </c>
      <c r="K179" s="12">
        <v>235.501</v>
      </c>
      <c r="L179" s="12">
        <v>0.01</v>
      </c>
      <c r="M179" s="12">
        <v>1E-3</v>
      </c>
      <c r="N179" s="12">
        <v>100</v>
      </c>
      <c r="O179" s="12">
        <v>0.58199999999999996</v>
      </c>
      <c r="P179" s="12">
        <v>0.22900000000000001</v>
      </c>
      <c r="Q179" s="12">
        <v>0.25700000000000001</v>
      </c>
      <c r="R179" s="12">
        <v>0.95899999999999996</v>
      </c>
      <c r="S179" s="12">
        <v>0.61199999999999999</v>
      </c>
      <c r="U179" s="12" t="s">
        <v>33</v>
      </c>
      <c r="V179" s="12" t="s">
        <v>35</v>
      </c>
      <c r="Y179" s="12">
        <f t="shared" si="6"/>
        <v>0.83899999999999997</v>
      </c>
      <c r="Z179" s="12">
        <f t="shared" ref="Z179:Z209" si="7">O179-P179</f>
        <v>0.35299999999999998</v>
      </c>
    </row>
    <row r="180" spans="1:26" x14ac:dyDescent="0.2">
      <c r="A180" s="12" t="s">
        <v>48</v>
      </c>
      <c r="B180" s="12">
        <v>3289.25</v>
      </c>
      <c r="C180" s="12">
        <v>94.64</v>
      </c>
      <c r="D180" s="12">
        <v>22.696000000000002</v>
      </c>
      <c r="E180" s="12">
        <v>4.29</v>
      </c>
      <c r="F180" s="12">
        <v>176.74299999999999</v>
      </c>
      <c r="G180" s="12">
        <v>2.8690000000000002</v>
      </c>
      <c r="H180" s="12">
        <v>8.8059999999999992</v>
      </c>
      <c r="I180" s="12">
        <v>3.331</v>
      </c>
      <c r="J180" s="12">
        <v>203.042</v>
      </c>
      <c r="K180" s="12">
        <v>209.321</v>
      </c>
      <c r="L180" s="12">
        <v>0.01</v>
      </c>
      <c r="M180" s="12">
        <v>1E-3</v>
      </c>
      <c r="N180" s="12">
        <v>100</v>
      </c>
      <c r="O180" s="12">
        <v>0.57399999999999995</v>
      </c>
      <c r="P180" s="12">
        <v>0.24199999999999999</v>
      </c>
      <c r="Q180" s="12">
        <v>0.255</v>
      </c>
      <c r="R180" s="12">
        <v>0.95399999999999996</v>
      </c>
      <c r="S180" s="12">
        <v>0.61499999999999999</v>
      </c>
      <c r="U180" s="12" t="s">
        <v>33</v>
      </c>
      <c r="V180" s="12" t="s">
        <v>35</v>
      </c>
      <c r="Y180" s="12">
        <f t="shared" si="6"/>
        <v>0.82899999999999996</v>
      </c>
      <c r="Z180" s="12">
        <f t="shared" si="7"/>
        <v>0.33199999999999996</v>
      </c>
    </row>
    <row r="181" spans="1:26" x14ac:dyDescent="0.2">
      <c r="A181" s="12" t="s">
        <v>48</v>
      </c>
      <c r="B181" s="12">
        <v>3289.375</v>
      </c>
      <c r="C181" s="12">
        <v>75.616</v>
      </c>
      <c r="D181" s="12">
        <v>22.696000000000002</v>
      </c>
      <c r="E181" s="12">
        <v>3.5920000000000001</v>
      </c>
      <c r="F181" s="12">
        <v>177.29</v>
      </c>
      <c r="G181" s="12">
        <v>2.867</v>
      </c>
      <c r="H181" s="12">
        <v>8.6829999999999998</v>
      </c>
      <c r="I181" s="12">
        <v>3.4710000000000001</v>
      </c>
      <c r="J181" s="12">
        <v>178.654</v>
      </c>
      <c r="K181" s="12">
        <v>184.179</v>
      </c>
      <c r="L181" s="12">
        <v>0.01</v>
      </c>
      <c r="M181" s="12">
        <v>1E-3</v>
      </c>
      <c r="N181" s="12">
        <v>100</v>
      </c>
      <c r="O181" s="12">
        <v>0.48699999999999999</v>
      </c>
      <c r="P181" s="12">
        <v>0.29499999999999998</v>
      </c>
      <c r="Q181" s="12">
        <v>0.25700000000000001</v>
      </c>
      <c r="R181" s="12">
        <v>0.94699999999999995</v>
      </c>
      <c r="S181" s="12">
        <v>0.60899999999999999</v>
      </c>
      <c r="U181" s="12" t="s">
        <v>33</v>
      </c>
      <c r="V181" s="12" t="s">
        <v>35</v>
      </c>
      <c r="Y181" s="12">
        <f t="shared" si="6"/>
        <v>0.74399999999999999</v>
      </c>
      <c r="Z181" s="12">
        <f t="shared" si="7"/>
        <v>0.192</v>
      </c>
    </row>
    <row r="182" spans="1:26" x14ac:dyDescent="0.2">
      <c r="A182" s="12" t="s">
        <v>49</v>
      </c>
      <c r="B182" s="12">
        <v>3467.75</v>
      </c>
      <c r="C182" s="12">
        <v>57.581000000000003</v>
      </c>
      <c r="D182" s="12">
        <v>24.312999999999999</v>
      </c>
      <c r="E182" s="12">
        <v>3.5270000000000001</v>
      </c>
      <c r="F182" s="12">
        <v>174.16800000000001</v>
      </c>
      <c r="G182" s="12">
        <v>2.718</v>
      </c>
      <c r="H182" s="12">
        <v>10.379</v>
      </c>
      <c r="I182" s="12">
        <v>3.5649999999999999</v>
      </c>
      <c r="J182" s="12">
        <v>301.89400000000001</v>
      </c>
      <c r="K182" s="12">
        <v>286.46100000000001</v>
      </c>
      <c r="L182" s="12">
        <v>0.01</v>
      </c>
      <c r="M182" s="12">
        <v>1E-3</v>
      </c>
      <c r="N182" s="12">
        <v>100</v>
      </c>
      <c r="O182" s="12">
        <v>0.29899999999999999</v>
      </c>
      <c r="P182" s="12">
        <v>0.41</v>
      </c>
      <c r="Q182" s="12">
        <v>0.253</v>
      </c>
      <c r="R182" s="12">
        <v>0.52700000000000002</v>
      </c>
      <c r="S182" s="12">
        <v>0.71599999999999997</v>
      </c>
      <c r="U182" s="12" t="s">
        <v>33</v>
      </c>
      <c r="V182" s="12" t="s">
        <v>35</v>
      </c>
      <c r="Y182" s="12">
        <f t="shared" si="6"/>
        <v>0.55200000000000005</v>
      </c>
      <c r="Z182" s="12">
        <f t="shared" si="7"/>
        <v>-0.11099999999999999</v>
      </c>
    </row>
    <row r="183" spans="1:26" x14ac:dyDescent="0.2">
      <c r="A183" s="12" t="s">
        <v>49</v>
      </c>
      <c r="B183" s="12">
        <v>3467.875</v>
      </c>
      <c r="C183" s="12">
        <v>91.994</v>
      </c>
      <c r="D183" s="12">
        <v>24.358000000000001</v>
      </c>
      <c r="E183" s="12">
        <v>4.1760000000000002</v>
      </c>
      <c r="F183" s="12">
        <v>181.56299999999999</v>
      </c>
      <c r="G183" s="12">
        <v>2.6949999999999998</v>
      </c>
      <c r="H183" s="12">
        <v>11.041</v>
      </c>
      <c r="I183" s="12">
        <v>3.58</v>
      </c>
      <c r="J183" s="12">
        <v>185.23099999999999</v>
      </c>
      <c r="K183" s="12">
        <v>166.36199999999999</v>
      </c>
      <c r="L183" s="12">
        <v>0.01</v>
      </c>
      <c r="M183" s="12">
        <v>1E-3</v>
      </c>
      <c r="N183" s="12">
        <v>100</v>
      </c>
      <c r="O183" s="12">
        <v>0.50600000000000001</v>
      </c>
      <c r="P183" s="12">
        <v>0.41499999999999998</v>
      </c>
      <c r="Q183" s="12">
        <v>0.34300000000000003</v>
      </c>
      <c r="R183" s="12">
        <v>0.46800000000000003</v>
      </c>
      <c r="S183" s="12">
        <v>0.77100000000000002</v>
      </c>
      <c r="U183" s="12" t="s">
        <v>33</v>
      </c>
      <c r="V183" s="12" t="s">
        <v>35</v>
      </c>
      <c r="Y183" s="12">
        <f t="shared" si="6"/>
        <v>0.84899999999999998</v>
      </c>
      <c r="Z183" s="12">
        <f t="shared" si="7"/>
        <v>9.1000000000000025E-2</v>
      </c>
    </row>
    <row r="184" spans="1:26" x14ac:dyDescent="0.2">
      <c r="A184" s="12" t="s">
        <v>49</v>
      </c>
      <c r="B184" s="12">
        <v>3468</v>
      </c>
      <c r="C184" s="12">
        <v>125.687</v>
      </c>
      <c r="D184" s="12">
        <v>24.33</v>
      </c>
      <c r="E184" s="12">
        <v>4.8029999999999999</v>
      </c>
      <c r="F184" s="12">
        <v>187.77699999999999</v>
      </c>
      <c r="G184" s="12">
        <v>2.6859999999999999</v>
      </c>
      <c r="H184" s="12">
        <v>11.686999999999999</v>
      </c>
      <c r="I184" s="12">
        <v>3.5139999999999998</v>
      </c>
      <c r="J184" s="12">
        <v>132.55600000000001</v>
      </c>
      <c r="K184" s="12">
        <v>118.291</v>
      </c>
      <c r="L184" s="12">
        <v>0.01</v>
      </c>
      <c r="M184" s="12">
        <v>1E-3</v>
      </c>
      <c r="N184" s="12">
        <v>100</v>
      </c>
      <c r="O184" s="12">
        <v>0.72699999999999998</v>
      </c>
      <c r="P184" s="12">
        <v>0.4</v>
      </c>
      <c r="Q184" s="12">
        <v>0.41899999999999998</v>
      </c>
      <c r="R184" s="12">
        <v>0.44</v>
      </c>
      <c r="S184" s="12">
        <v>0.81499999999999995</v>
      </c>
      <c r="U184" s="12" t="s">
        <v>33</v>
      </c>
      <c r="V184" s="12" t="s">
        <v>35</v>
      </c>
      <c r="Y184" s="12">
        <f t="shared" si="6"/>
        <v>1.1459999999999999</v>
      </c>
      <c r="Z184" s="12">
        <f t="shared" si="7"/>
        <v>0.32699999999999996</v>
      </c>
    </row>
    <row r="185" spans="1:26" x14ac:dyDescent="0.2">
      <c r="A185" s="12" t="s">
        <v>49</v>
      </c>
      <c r="B185" s="12">
        <v>3468.125</v>
      </c>
      <c r="C185" s="12">
        <v>138.62200000000001</v>
      </c>
      <c r="D185" s="12">
        <v>24.212</v>
      </c>
      <c r="E185" s="12">
        <v>5.1189999999999998</v>
      </c>
      <c r="F185" s="12">
        <v>189.15700000000001</v>
      </c>
      <c r="G185" s="12">
        <v>2.6949999999999998</v>
      </c>
      <c r="H185" s="12">
        <v>10.69</v>
      </c>
      <c r="I185" s="12">
        <v>3.4390000000000001</v>
      </c>
      <c r="J185" s="12">
        <v>106.553</v>
      </c>
      <c r="K185" s="12">
        <v>94.725999999999999</v>
      </c>
      <c r="L185" s="12">
        <v>0.01</v>
      </c>
      <c r="M185" s="12">
        <v>1E-3</v>
      </c>
      <c r="N185" s="12">
        <v>100</v>
      </c>
      <c r="O185" s="12">
        <v>0.83899999999999997</v>
      </c>
      <c r="P185" s="12">
        <v>0.378</v>
      </c>
      <c r="Q185" s="12">
        <v>0.44700000000000001</v>
      </c>
      <c r="R185" s="12">
        <v>0.45300000000000001</v>
      </c>
      <c r="S185" s="12">
        <v>0.77</v>
      </c>
      <c r="U185" s="12" t="s">
        <v>33</v>
      </c>
      <c r="V185" s="12" t="s">
        <v>35</v>
      </c>
      <c r="Y185" s="12">
        <f t="shared" si="6"/>
        <v>1.286</v>
      </c>
      <c r="Z185" s="12">
        <f t="shared" si="7"/>
        <v>0.46099999999999997</v>
      </c>
    </row>
    <row r="186" spans="1:26" x14ac:dyDescent="0.2">
      <c r="A186" s="12" t="s">
        <v>49</v>
      </c>
      <c r="B186" s="12">
        <v>3468.25</v>
      </c>
      <c r="C186" s="12">
        <v>133.53200000000001</v>
      </c>
      <c r="D186" s="12">
        <v>24.091999999999999</v>
      </c>
      <c r="E186" s="12">
        <v>5.1559999999999997</v>
      </c>
      <c r="F186" s="12">
        <v>184.06899999999999</v>
      </c>
      <c r="G186" s="12">
        <v>2.722</v>
      </c>
      <c r="H186" s="12">
        <v>9.3420000000000005</v>
      </c>
      <c r="I186" s="12">
        <v>3.577</v>
      </c>
      <c r="J186" s="12">
        <v>96.134</v>
      </c>
      <c r="K186" s="12">
        <v>85.468000000000004</v>
      </c>
      <c r="L186" s="12">
        <v>0.01</v>
      </c>
      <c r="M186" s="12">
        <v>1E-3</v>
      </c>
      <c r="N186" s="12">
        <v>100</v>
      </c>
      <c r="O186" s="12">
        <v>0.82899999999999996</v>
      </c>
      <c r="P186" s="12">
        <v>0.40699999999999997</v>
      </c>
      <c r="Q186" s="12">
        <v>0.40200000000000002</v>
      </c>
      <c r="R186" s="12">
        <v>0.51</v>
      </c>
      <c r="S186" s="12">
        <v>0.68300000000000005</v>
      </c>
      <c r="U186" s="12" t="s">
        <v>33</v>
      </c>
      <c r="V186" s="12" t="s">
        <v>35</v>
      </c>
      <c r="Y186" s="12">
        <f t="shared" si="6"/>
        <v>1.2309999999999999</v>
      </c>
      <c r="Z186" s="12">
        <f t="shared" si="7"/>
        <v>0.42199999999999999</v>
      </c>
    </row>
    <row r="187" spans="1:26" x14ac:dyDescent="0.2">
      <c r="A187" s="12" t="s">
        <v>49</v>
      </c>
      <c r="B187" s="12">
        <v>3468.375</v>
      </c>
      <c r="C187" s="12">
        <v>119.374</v>
      </c>
      <c r="D187" s="12">
        <v>23.963999999999999</v>
      </c>
      <c r="E187" s="12">
        <v>4.8570000000000002</v>
      </c>
      <c r="F187" s="12">
        <v>176.76499999999999</v>
      </c>
      <c r="G187" s="12">
        <v>2.7589999999999999</v>
      </c>
      <c r="H187" s="12">
        <v>6.48</v>
      </c>
      <c r="I187" s="12">
        <v>3.9220000000000002</v>
      </c>
      <c r="J187" s="12">
        <v>106.34699999999999</v>
      </c>
      <c r="K187" s="12">
        <v>94.765000000000001</v>
      </c>
      <c r="L187" s="12">
        <v>0.01</v>
      </c>
      <c r="M187" s="12">
        <v>1E-3</v>
      </c>
      <c r="N187" s="12">
        <v>100</v>
      </c>
      <c r="O187" s="12">
        <v>0.748</v>
      </c>
      <c r="P187" s="12">
        <v>0.5</v>
      </c>
      <c r="Q187" s="12">
        <v>0.32</v>
      </c>
      <c r="R187" s="12">
        <v>0.59599999999999997</v>
      </c>
      <c r="S187" s="12">
        <v>0.51</v>
      </c>
      <c r="U187" s="12" t="s">
        <v>33</v>
      </c>
      <c r="V187" s="12" t="s">
        <v>35</v>
      </c>
      <c r="Y187" s="12">
        <f t="shared" si="6"/>
        <v>1.0680000000000001</v>
      </c>
      <c r="Z187" s="12">
        <f t="shared" si="7"/>
        <v>0.248</v>
      </c>
    </row>
    <row r="188" spans="1:26" x14ac:dyDescent="0.2">
      <c r="A188" s="12" t="s">
        <v>50</v>
      </c>
      <c r="B188" s="12">
        <v>3473.5</v>
      </c>
      <c r="C188" s="12">
        <v>76.632999999999996</v>
      </c>
      <c r="D188" s="12">
        <v>22.478000000000002</v>
      </c>
      <c r="E188" s="12">
        <v>4.8789999999999996</v>
      </c>
      <c r="F188" s="12">
        <v>170.328</v>
      </c>
      <c r="G188" s="12">
        <v>2.7709999999999999</v>
      </c>
      <c r="H188" s="12">
        <v>10.315</v>
      </c>
      <c r="I188" s="12">
        <v>3.7570000000000001</v>
      </c>
      <c r="J188" s="12">
        <v>162.07300000000001</v>
      </c>
      <c r="K188" s="12">
        <v>179.489</v>
      </c>
      <c r="L188" s="12">
        <v>0.01</v>
      </c>
      <c r="M188" s="12">
        <v>1E-3</v>
      </c>
      <c r="N188" s="12">
        <v>100</v>
      </c>
      <c r="O188" s="12">
        <v>0.435</v>
      </c>
      <c r="P188" s="12">
        <v>0.35599999999999998</v>
      </c>
      <c r="Q188" s="12">
        <v>0.23400000000000001</v>
      </c>
      <c r="R188" s="12">
        <v>0.46899999999999997</v>
      </c>
      <c r="S188" s="12">
        <v>0.56100000000000005</v>
      </c>
      <c r="U188" s="12" t="s">
        <v>33</v>
      </c>
      <c r="V188" s="12" t="s">
        <v>35</v>
      </c>
      <c r="Y188" s="12">
        <f t="shared" si="6"/>
        <v>0.66900000000000004</v>
      </c>
      <c r="Z188" s="12">
        <f t="shared" si="7"/>
        <v>7.9000000000000015E-2</v>
      </c>
    </row>
    <row r="189" spans="1:26" x14ac:dyDescent="0.2">
      <c r="A189" s="12" t="s">
        <v>50</v>
      </c>
      <c r="B189" s="12">
        <v>3473.625</v>
      </c>
      <c r="C189" s="12">
        <v>100.631</v>
      </c>
      <c r="D189" s="12">
        <v>22.477</v>
      </c>
      <c r="E189" s="12">
        <v>6.1689999999999996</v>
      </c>
      <c r="F189" s="12">
        <v>175.833</v>
      </c>
      <c r="G189" s="12">
        <v>2.7679999999999998</v>
      </c>
      <c r="H189" s="12">
        <v>10.888</v>
      </c>
      <c r="I189" s="12">
        <v>3.7719999999999998</v>
      </c>
      <c r="J189" s="12">
        <v>129.06299999999999</v>
      </c>
      <c r="K189" s="12">
        <v>146.31100000000001</v>
      </c>
      <c r="L189" s="12">
        <v>0.01</v>
      </c>
      <c r="M189" s="12">
        <v>1E-3</v>
      </c>
      <c r="N189" s="12">
        <v>100</v>
      </c>
      <c r="O189" s="12">
        <v>0.59499999999999997</v>
      </c>
      <c r="P189" s="12">
        <v>0.36899999999999999</v>
      </c>
      <c r="Q189" s="12">
        <v>0.314</v>
      </c>
      <c r="R189" s="12">
        <v>0.46899999999999997</v>
      </c>
      <c r="S189" s="12">
        <v>0.60199999999999998</v>
      </c>
      <c r="U189" s="12" t="s">
        <v>33</v>
      </c>
      <c r="V189" s="12" t="s">
        <v>35</v>
      </c>
      <c r="Y189" s="12">
        <f t="shared" si="6"/>
        <v>0.90900000000000003</v>
      </c>
      <c r="Z189" s="12">
        <f t="shared" si="7"/>
        <v>0.22599999999999998</v>
      </c>
    </row>
    <row r="190" spans="1:26" x14ac:dyDescent="0.2">
      <c r="A190" s="12" t="s">
        <v>50</v>
      </c>
      <c r="B190" s="12">
        <v>3473.75</v>
      </c>
      <c r="C190" s="12">
        <v>126.401</v>
      </c>
      <c r="D190" s="12">
        <v>22.469000000000001</v>
      </c>
      <c r="E190" s="12">
        <v>7.0359999999999996</v>
      </c>
      <c r="F190" s="12">
        <v>182.20599999999999</v>
      </c>
      <c r="G190" s="12">
        <v>2.7719999999999998</v>
      </c>
      <c r="H190" s="12">
        <v>11.683999999999999</v>
      </c>
      <c r="I190" s="12">
        <v>3.7959999999999998</v>
      </c>
      <c r="J190" s="12">
        <v>101.36</v>
      </c>
      <c r="K190" s="12">
        <v>115.17</v>
      </c>
      <c r="L190" s="12">
        <v>0.01</v>
      </c>
      <c r="M190" s="12">
        <v>1E-3</v>
      </c>
      <c r="N190" s="12">
        <v>100</v>
      </c>
      <c r="O190" s="12">
        <v>0.71699999999999997</v>
      </c>
      <c r="P190" s="12">
        <v>0.38700000000000001</v>
      </c>
      <c r="Q190" s="12">
        <v>0.38200000000000001</v>
      </c>
      <c r="R190" s="12">
        <v>0.496</v>
      </c>
      <c r="S190" s="12">
        <v>0.64</v>
      </c>
      <c r="U190" s="12" t="s">
        <v>33</v>
      </c>
      <c r="V190" s="12" t="s">
        <v>35</v>
      </c>
      <c r="Y190" s="12">
        <f t="shared" si="6"/>
        <v>1.099</v>
      </c>
      <c r="Z190" s="12">
        <f t="shared" si="7"/>
        <v>0.32999999999999996</v>
      </c>
    </row>
    <row r="191" spans="1:26" x14ac:dyDescent="0.2">
      <c r="A191" s="12" t="s">
        <v>50</v>
      </c>
      <c r="B191" s="12">
        <v>3473.875</v>
      </c>
      <c r="C191" s="12">
        <v>134.685</v>
      </c>
      <c r="D191" s="12">
        <v>22.466999999999999</v>
      </c>
      <c r="E191" s="12">
        <v>6.851</v>
      </c>
      <c r="F191" s="12">
        <v>185.16499999999999</v>
      </c>
      <c r="G191" s="12">
        <v>2.79</v>
      </c>
      <c r="H191" s="12">
        <v>12.013999999999999</v>
      </c>
      <c r="I191" s="12">
        <v>3.8250000000000002</v>
      </c>
      <c r="J191" s="12">
        <v>83.94</v>
      </c>
      <c r="K191" s="12">
        <v>95.933000000000007</v>
      </c>
      <c r="L191" s="12">
        <v>0.01</v>
      </c>
      <c r="M191" s="12">
        <v>1E-3</v>
      </c>
      <c r="N191" s="12">
        <v>100</v>
      </c>
      <c r="O191" s="12">
        <v>0.72799999999999998</v>
      </c>
      <c r="P191" s="12">
        <v>0.40500000000000003</v>
      </c>
      <c r="Q191" s="12">
        <v>0.4</v>
      </c>
      <c r="R191" s="12">
        <v>0.54800000000000004</v>
      </c>
      <c r="S191" s="12">
        <v>0.64200000000000002</v>
      </c>
      <c r="U191" s="12" t="s">
        <v>33</v>
      </c>
      <c r="V191" s="12" t="s">
        <v>35</v>
      </c>
      <c r="Y191" s="12">
        <f t="shared" si="6"/>
        <v>1.1280000000000001</v>
      </c>
      <c r="Z191" s="12">
        <f t="shared" si="7"/>
        <v>0.32299999999999995</v>
      </c>
    </row>
    <row r="192" spans="1:26" x14ac:dyDescent="0.2">
      <c r="A192" s="12" t="s">
        <v>50</v>
      </c>
      <c r="B192" s="12">
        <v>3474</v>
      </c>
      <c r="C192" s="12">
        <v>126.343</v>
      </c>
      <c r="D192" s="12">
        <v>22.47</v>
      </c>
      <c r="E192" s="12">
        <v>6.0430000000000001</v>
      </c>
      <c r="F192" s="12">
        <v>183.92500000000001</v>
      </c>
      <c r="G192" s="12">
        <v>2.8079999999999998</v>
      </c>
      <c r="H192" s="12">
        <v>11.62</v>
      </c>
      <c r="I192" s="12">
        <v>3.8460000000000001</v>
      </c>
      <c r="J192" s="12">
        <v>81.593999999999994</v>
      </c>
      <c r="K192" s="12">
        <v>94.242000000000004</v>
      </c>
      <c r="L192" s="12">
        <v>0.01</v>
      </c>
      <c r="M192" s="12">
        <v>1E-3</v>
      </c>
      <c r="N192" s="12">
        <v>100</v>
      </c>
      <c r="O192" s="12">
        <v>0.625</v>
      </c>
      <c r="P192" s="12">
        <v>0.42299999999999999</v>
      </c>
      <c r="Q192" s="12">
        <v>0.35599999999999998</v>
      </c>
      <c r="R192" s="12">
        <v>0.60299999999999998</v>
      </c>
      <c r="S192" s="12">
        <v>0.58599999999999997</v>
      </c>
      <c r="U192" s="12" t="s">
        <v>33</v>
      </c>
      <c r="V192" s="12" t="s">
        <v>35</v>
      </c>
      <c r="Y192" s="12">
        <f t="shared" si="6"/>
        <v>0.98099999999999998</v>
      </c>
      <c r="Z192" s="12">
        <f t="shared" si="7"/>
        <v>0.20200000000000001</v>
      </c>
    </row>
    <row r="193" spans="1:26" x14ac:dyDescent="0.2">
      <c r="A193" s="12" t="s">
        <v>50</v>
      </c>
      <c r="B193" s="12">
        <v>3474.125</v>
      </c>
      <c r="C193" s="12">
        <v>99.227000000000004</v>
      </c>
      <c r="D193" s="12">
        <v>22.481000000000002</v>
      </c>
      <c r="E193" s="12">
        <v>4.5819999999999999</v>
      </c>
      <c r="F193" s="12">
        <v>177.828</v>
      </c>
      <c r="G193" s="12">
        <v>2.8290000000000002</v>
      </c>
      <c r="H193" s="12">
        <v>9.9169999999999998</v>
      </c>
      <c r="I193" s="12">
        <v>3.879</v>
      </c>
      <c r="J193" s="12">
        <v>104.279</v>
      </c>
      <c r="K193" s="12">
        <v>129.215</v>
      </c>
      <c r="L193" s="12">
        <v>0.01</v>
      </c>
      <c r="M193" s="12">
        <v>1E-3</v>
      </c>
      <c r="N193" s="12">
        <v>100</v>
      </c>
      <c r="O193" s="12">
        <v>0.434</v>
      </c>
      <c r="P193" s="12">
        <v>0.45300000000000001</v>
      </c>
      <c r="Q193" s="12">
        <v>0.26</v>
      </c>
      <c r="R193" s="12">
        <v>0.65400000000000003</v>
      </c>
      <c r="S193" s="12">
        <v>0.46400000000000002</v>
      </c>
      <c r="U193" s="12" t="s">
        <v>33</v>
      </c>
      <c r="V193" s="12" t="s">
        <v>35</v>
      </c>
      <c r="Y193" s="12">
        <f t="shared" si="6"/>
        <v>0.69399999999999995</v>
      </c>
      <c r="Z193" s="12">
        <f t="shared" si="7"/>
        <v>-1.9000000000000017E-2</v>
      </c>
    </row>
    <row r="194" spans="1:26" x14ac:dyDescent="0.2">
      <c r="A194" s="12" t="s">
        <v>51</v>
      </c>
      <c r="B194" s="12">
        <v>3478.75</v>
      </c>
      <c r="C194" s="12">
        <v>44.32</v>
      </c>
      <c r="D194" s="12">
        <v>22.117000000000001</v>
      </c>
      <c r="E194" s="12">
        <v>3.1989999999999998</v>
      </c>
      <c r="F194" s="12">
        <v>165.26599999999999</v>
      </c>
      <c r="G194" s="12">
        <v>2.835</v>
      </c>
      <c r="H194" s="12">
        <v>5.4119999999999999</v>
      </c>
      <c r="I194" s="12">
        <v>3.3849999999999998</v>
      </c>
      <c r="J194" s="12">
        <v>714.57799999999997</v>
      </c>
      <c r="K194" s="12">
        <v>841.20100000000002</v>
      </c>
      <c r="L194" s="12">
        <v>1.615</v>
      </c>
      <c r="M194" s="12">
        <v>0.01</v>
      </c>
      <c r="N194" s="12">
        <v>77.265000000000001</v>
      </c>
      <c r="O194" s="12">
        <v>0.23200000000000001</v>
      </c>
      <c r="P194" s="12">
        <v>0.2</v>
      </c>
      <c r="Q194" s="12">
        <v>0.129</v>
      </c>
      <c r="R194" s="12">
        <v>0.69499999999999995</v>
      </c>
      <c r="S194" s="12">
        <v>0.26300000000000001</v>
      </c>
      <c r="U194" s="12" t="s">
        <v>22</v>
      </c>
      <c r="V194" s="12" t="s">
        <v>35</v>
      </c>
      <c r="Y194" s="12">
        <f t="shared" si="6"/>
        <v>0.36099999999999999</v>
      </c>
      <c r="Z194" s="12">
        <f t="shared" si="7"/>
        <v>3.2000000000000001E-2</v>
      </c>
    </row>
    <row r="195" spans="1:26" x14ac:dyDescent="0.2">
      <c r="A195" s="12" t="s">
        <v>51</v>
      </c>
      <c r="B195" s="12">
        <v>3478.875</v>
      </c>
      <c r="C195" s="12">
        <v>59.213000000000001</v>
      </c>
      <c r="D195" s="12">
        <v>22.18</v>
      </c>
      <c r="E195" s="12">
        <v>3.2679999999999998</v>
      </c>
      <c r="F195" s="12">
        <v>170.13200000000001</v>
      </c>
      <c r="G195" s="12">
        <v>2.84</v>
      </c>
      <c r="H195" s="12">
        <v>5.5510000000000002</v>
      </c>
      <c r="I195" s="12">
        <v>3.4169999999999998</v>
      </c>
      <c r="J195" s="12">
        <v>588.83799999999997</v>
      </c>
      <c r="K195" s="12">
        <v>691.08699999999999</v>
      </c>
      <c r="L195" s="12">
        <v>1.675</v>
      </c>
      <c r="M195" s="12">
        <v>0.01</v>
      </c>
      <c r="N195" s="12">
        <v>73.02</v>
      </c>
      <c r="O195" s="12">
        <v>0.34599999999999997</v>
      </c>
      <c r="P195" s="12">
        <v>0.21299999999999999</v>
      </c>
      <c r="Q195" s="12">
        <v>0.191</v>
      </c>
      <c r="R195" s="12">
        <v>0.70499999999999996</v>
      </c>
      <c r="S195" s="12">
        <v>0.27400000000000002</v>
      </c>
      <c r="U195" s="12" t="s">
        <v>33</v>
      </c>
      <c r="V195" s="12" t="s">
        <v>35</v>
      </c>
      <c r="Y195" s="12">
        <f t="shared" ref="Y195:Y258" si="8">O195+Q195</f>
        <v>0.53699999999999992</v>
      </c>
      <c r="Z195" s="12">
        <f t="shared" si="7"/>
        <v>0.13299999999999998</v>
      </c>
    </row>
    <row r="196" spans="1:26" x14ac:dyDescent="0.2">
      <c r="A196" s="12" t="s">
        <v>51</v>
      </c>
      <c r="B196" s="12">
        <v>3479</v>
      </c>
      <c r="C196" s="12">
        <v>72.742999999999995</v>
      </c>
      <c r="D196" s="12">
        <v>22.276</v>
      </c>
      <c r="E196" s="12">
        <v>3.1379999999999999</v>
      </c>
      <c r="F196" s="12">
        <v>174.614</v>
      </c>
      <c r="G196" s="12">
        <v>2.8479999999999999</v>
      </c>
      <c r="H196" s="12">
        <v>5.5110000000000001</v>
      </c>
      <c r="I196" s="12">
        <v>3.4950000000000001</v>
      </c>
      <c r="J196" s="12">
        <v>439.4</v>
      </c>
      <c r="K196" s="12">
        <v>510.839</v>
      </c>
      <c r="L196" s="12">
        <v>0.01</v>
      </c>
      <c r="M196" s="12">
        <v>1E-3</v>
      </c>
      <c r="N196" s="12">
        <v>100</v>
      </c>
      <c r="O196" s="12">
        <v>0.45400000000000001</v>
      </c>
      <c r="P196" s="12">
        <v>0.24199999999999999</v>
      </c>
      <c r="Q196" s="12">
        <v>0.25</v>
      </c>
      <c r="R196" s="12">
        <v>0.72099999999999997</v>
      </c>
      <c r="S196" s="12">
        <v>0.27400000000000002</v>
      </c>
      <c r="U196" s="12" t="s">
        <v>33</v>
      </c>
      <c r="V196" s="12" t="s">
        <v>35</v>
      </c>
      <c r="Y196" s="12">
        <f t="shared" si="8"/>
        <v>0.70399999999999996</v>
      </c>
      <c r="Z196" s="12">
        <f t="shared" si="7"/>
        <v>0.21200000000000002</v>
      </c>
    </row>
    <row r="197" spans="1:26" x14ac:dyDescent="0.2">
      <c r="A197" s="12" t="s">
        <v>51</v>
      </c>
      <c r="B197" s="12">
        <v>3479.125</v>
      </c>
      <c r="C197" s="12">
        <v>81.572999999999993</v>
      </c>
      <c r="D197" s="12">
        <v>22.396000000000001</v>
      </c>
      <c r="E197" s="12">
        <v>2.9079999999999999</v>
      </c>
      <c r="F197" s="12">
        <v>177.98500000000001</v>
      </c>
      <c r="G197" s="12">
        <v>2.8610000000000002</v>
      </c>
      <c r="H197" s="12">
        <v>5.2809999999999997</v>
      </c>
      <c r="I197" s="12">
        <v>3.621</v>
      </c>
      <c r="J197" s="12">
        <v>349.94799999999998</v>
      </c>
      <c r="K197" s="12">
        <v>403.46899999999999</v>
      </c>
      <c r="L197" s="12">
        <v>0.01</v>
      </c>
      <c r="M197" s="12">
        <v>1E-3</v>
      </c>
      <c r="N197" s="12">
        <v>100</v>
      </c>
      <c r="O197" s="12">
        <v>0.53</v>
      </c>
      <c r="P197" s="12">
        <v>0.29199999999999998</v>
      </c>
      <c r="Q197" s="12">
        <v>0.29599999999999999</v>
      </c>
      <c r="R197" s="12">
        <v>0.749</v>
      </c>
      <c r="S197" s="12">
        <v>0.26100000000000001</v>
      </c>
      <c r="U197" s="12" t="s">
        <v>33</v>
      </c>
      <c r="V197" s="12" t="s">
        <v>35</v>
      </c>
      <c r="Y197" s="12">
        <f t="shared" si="8"/>
        <v>0.82600000000000007</v>
      </c>
      <c r="Z197" s="12">
        <f t="shared" si="7"/>
        <v>0.23800000000000004</v>
      </c>
    </row>
    <row r="198" spans="1:26" x14ac:dyDescent="0.2">
      <c r="A198" s="12" t="s">
        <v>51</v>
      </c>
      <c r="B198" s="12">
        <v>3479.25</v>
      </c>
      <c r="C198" s="12">
        <v>80.036000000000001</v>
      </c>
      <c r="D198" s="12">
        <v>22.518999999999998</v>
      </c>
      <c r="E198" s="12">
        <v>2.65</v>
      </c>
      <c r="F198" s="12">
        <v>179.90600000000001</v>
      </c>
      <c r="G198" s="12">
        <v>2.8759999999999999</v>
      </c>
      <c r="H198" s="12">
        <v>4.8929999999999998</v>
      </c>
      <c r="I198" s="12">
        <v>3.746</v>
      </c>
      <c r="J198" s="12">
        <v>297.73200000000003</v>
      </c>
      <c r="K198" s="12">
        <v>342.00599999999997</v>
      </c>
      <c r="L198" s="12">
        <v>0.01</v>
      </c>
      <c r="M198" s="12">
        <v>1E-3</v>
      </c>
      <c r="N198" s="12">
        <v>100</v>
      </c>
      <c r="O198" s="12">
        <v>0.53400000000000003</v>
      </c>
      <c r="P198" s="12">
        <v>0.34599999999999997</v>
      </c>
      <c r="Q198" s="12">
        <v>0.32500000000000001</v>
      </c>
      <c r="R198" s="12">
        <v>0.78200000000000003</v>
      </c>
      <c r="S198" s="12">
        <v>0.23799999999999999</v>
      </c>
      <c r="U198" s="12" t="s">
        <v>33</v>
      </c>
      <c r="V198" s="12" t="s">
        <v>35</v>
      </c>
      <c r="Y198" s="12">
        <f t="shared" si="8"/>
        <v>0.85899999999999999</v>
      </c>
      <c r="Z198" s="12">
        <f t="shared" si="7"/>
        <v>0.18800000000000006</v>
      </c>
    </row>
    <row r="199" spans="1:26" x14ac:dyDescent="0.2">
      <c r="A199" s="12" t="s">
        <v>51</v>
      </c>
      <c r="B199" s="12">
        <v>3479.375</v>
      </c>
      <c r="C199" s="12">
        <v>73.814999999999998</v>
      </c>
      <c r="D199" s="12">
        <v>22.625</v>
      </c>
      <c r="E199" s="12">
        <v>2.379</v>
      </c>
      <c r="F199" s="12">
        <v>180.46600000000001</v>
      </c>
      <c r="G199" s="12">
        <v>2.8940000000000001</v>
      </c>
      <c r="H199" s="12">
        <v>4.4169999999999998</v>
      </c>
      <c r="I199" s="12">
        <v>3.827</v>
      </c>
      <c r="J199" s="12">
        <v>276.42700000000002</v>
      </c>
      <c r="K199" s="12">
        <v>316.97399999999999</v>
      </c>
      <c r="L199" s="12">
        <v>0.01</v>
      </c>
      <c r="M199" s="12">
        <v>1E-3</v>
      </c>
      <c r="N199" s="12">
        <v>100</v>
      </c>
      <c r="O199" s="12">
        <v>0.49299999999999999</v>
      </c>
      <c r="P199" s="12">
        <v>0.38400000000000001</v>
      </c>
      <c r="Q199" s="12">
        <v>0.33600000000000002</v>
      </c>
      <c r="R199" s="12">
        <v>0.82099999999999995</v>
      </c>
      <c r="S199" s="12">
        <v>0.20799999999999999</v>
      </c>
      <c r="U199" s="12" t="s">
        <v>33</v>
      </c>
      <c r="V199" s="12" t="s">
        <v>35</v>
      </c>
      <c r="Y199" s="12">
        <f t="shared" si="8"/>
        <v>0.82899999999999996</v>
      </c>
      <c r="Z199" s="12">
        <f t="shared" si="7"/>
        <v>0.10899999999999999</v>
      </c>
    </row>
    <row r="200" spans="1:26" x14ac:dyDescent="0.2">
      <c r="A200" s="12" t="s">
        <v>51</v>
      </c>
      <c r="B200" s="12">
        <v>3479.5</v>
      </c>
      <c r="C200" s="12">
        <v>69.454999999999998</v>
      </c>
      <c r="D200" s="12">
        <v>22.698</v>
      </c>
      <c r="E200" s="12">
        <v>2.0990000000000002</v>
      </c>
      <c r="F200" s="12">
        <v>179.404</v>
      </c>
      <c r="G200" s="12">
        <v>2.9119999999999999</v>
      </c>
      <c r="H200" s="12">
        <v>3.9430000000000001</v>
      </c>
      <c r="I200" s="12">
        <v>3.8559999999999999</v>
      </c>
      <c r="J200" s="12">
        <v>309.339</v>
      </c>
      <c r="K200" s="12">
        <v>355.30399999999997</v>
      </c>
      <c r="L200" s="12">
        <v>0.01</v>
      </c>
      <c r="M200" s="12">
        <v>1E-3</v>
      </c>
      <c r="N200" s="12">
        <v>100</v>
      </c>
      <c r="O200" s="12">
        <v>0.45600000000000002</v>
      </c>
      <c r="P200" s="12">
        <v>0.40100000000000002</v>
      </c>
      <c r="Q200" s="12">
        <v>0.32600000000000001</v>
      </c>
      <c r="R200" s="12">
        <v>0.86199999999999999</v>
      </c>
      <c r="S200" s="12">
        <v>0.17699999999999999</v>
      </c>
      <c r="U200" s="12" t="s">
        <v>33</v>
      </c>
      <c r="V200" s="12" t="s">
        <v>35</v>
      </c>
      <c r="Y200" s="12">
        <f t="shared" si="8"/>
        <v>0.78200000000000003</v>
      </c>
      <c r="Z200" s="12">
        <f t="shared" si="7"/>
        <v>5.4999999999999993E-2</v>
      </c>
    </row>
    <row r="201" spans="1:26" x14ac:dyDescent="0.2">
      <c r="A201" s="12" t="s">
        <v>51</v>
      </c>
      <c r="B201" s="12">
        <v>3479.625</v>
      </c>
      <c r="C201" s="12">
        <v>67.518000000000001</v>
      </c>
      <c r="D201" s="12">
        <v>22.728000000000002</v>
      </c>
      <c r="E201" s="12">
        <v>1.8149999999999999</v>
      </c>
      <c r="F201" s="12">
        <v>176.482</v>
      </c>
      <c r="G201" s="12">
        <v>2.9249999999999998</v>
      </c>
      <c r="H201" s="12">
        <v>3.5529999999999999</v>
      </c>
      <c r="I201" s="12">
        <v>3.8580000000000001</v>
      </c>
      <c r="J201" s="12">
        <v>396.07</v>
      </c>
      <c r="K201" s="12">
        <v>457.697</v>
      </c>
      <c r="L201" s="12">
        <v>0.01</v>
      </c>
      <c r="M201" s="12">
        <v>1E-3</v>
      </c>
      <c r="N201" s="12">
        <v>100</v>
      </c>
      <c r="O201" s="12">
        <v>0.437</v>
      </c>
      <c r="P201" s="12">
        <v>0.40400000000000003</v>
      </c>
      <c r="Q201" s="12">
        <v>0.29299999999999998</v>
      </c>
      <c r="R201" s="12">
        <v>0.89400000000000002</v>
      </c>
      <c r="S201" s="12">
        <v>0.151</v>
      </c>
      <c r="U201" s="12" t="s">
        <v>33</v>
      </c>
      <c r="V201" s="12" t="s">
        <v>35</v>
      </c>
      <c r="Y201" s="12">
        <f t="shared" si="8"/>
        <v>0.73</v>
      </c>
      <c r="Z201" s="12">
        <f t="shared" si="7"/>
        <v>3.2999999999999974E-2</v>
      </c>
    </row>
    <row r="202" spans="1:26" x14ac:dyDescent="0.2">
      <c r="A202" s="12" t="s">
        <v>51</v>
      </c>
      <c r="B202" s="12">
        <v>3479.75</v>
      </c>
      <c r="C202" s="12">
        <v>59.389000000000003</v>
      </c>
      <c r="D202" s="12">
        <v>22.712</v>
      </c>
      <c r="E202" s="12">
        <v>1.5640000000000001</v>
      </c>
      <c r="F202" s="12">
        <v>172.04599999999999</v>
      </c>
      <c r="G202" s="12">
        <v>2.93</v>
      </c>
      <c r="H202" s="12">
        <v>3.286</v>
      </c>
      <c r="I202" s="12">
        <v>3.8450000000000002</v>
      </c>
      <c r="J202" s="12">
        <v>545.69299999999998</v>
      </c>
      <c r="K202" s="12">
        <v>634.84299999999996</v>
      </c>
      <c r="L202" s="12">
        <v>0.01</v>
      </c>
      <c r="M202" s="12">
        <v>1E-3</v>
      </c>
      <c r="N202" s="12">
        <v>100</v>
      </c>
      <c r="O202" s="12">
        <v>0.38300000000000001</v>
      </c>
      <c r="P202" s="12">
        <v>0.4</v>
      </c>
      <c r="Q202" s="12">
        <v>0.24</v>
      </c>
      <c r="R202" s="12">
        <v>0.90900000000000003</v>
      </c>
      <c r="S202" s="12">
        <v>0.13200000000000001</v>
      </c>
      <c r="U202" s="12" t="s">
        <v>33</v>
      </c>
      <c r="V202" s="12" t="s">
        <v>35</v>
      </c>
      <c r="Y202" s="12">
        <f t="shared" si="8"/>
        <v>0.623</v>
      </c>
      <c r="Z202" s="12">
        <f t="shared" si="7"/>
        <v>-1.7000000000000015E-2</v>
      </c>
    </row>
    <row r="203" spans="1:26" x14ac:dyDescent="0.2">
      <c r="A203" s="12" t="s">
        <v>52</v>
      </c>
      <c r="B203" s="12">
        <v>3845.375</v>
      </c>
      <c r="C203" s="12">
        <v>70.471999999999994</v>
      </c>
      <c r="D203" s="12">
        <v>22.234000000000002</v>
      </c>
      <c r="E203" s="12">
        <v>1.996</v>
      </c>
      <c r="F203" s="12">
        <v>165.76599999999999</v>
      </c>
      <c r="G203" s="12">
        <v>2.7890000000000001</v>
      </c>
      <c r="H203" s="12">
        <v>8.3049999999999997</v>
      </c>
      <c r="I203" s="12">
        <v>3.1960000000000002</v>
      </c>
      <c r="J203" s="12">
        <v>378.87200000000001</v>
      </c>
      <c r="K203" s="12">
        <v>424.44400000000002</v>
      </c>
      <c r="L203" s="12">
        <v>0.01</v>
      </c>
      <c r="M203" s="12">
        <v>1E-3</v>
      </c>
      <c r="N203" s="12">
        <v>100</v>
      </c>
      <c r="O203" s="12">
        <v>0.49099999999999999</v>
      </c>
      <c r="P203" s="12">
        <v>0.51300000000000001</v>
      </c>
      <c r="Q203" s="12">
        <v>0.13300000000000001</v>
      </c>
      <c r="R203" s="12">
        <v>0.63600000000000001</v>
      </c>
      <c r="S203" s="12">
        <v>0.34799999999999998</v>
      </c>
      <c r="U203" s="12" t="s">
        <v>33</v>
      </c>
      <c r="V203" s="12" t="s">
        <v>35</v>
      </c>
      <c r="Y203" s="12">
        <f t="shared" si="8"/>
        <v>0.624</v>
      </c>
      <c r="Z203" s="12">
        <f t="shared" si="7"/>
        <v>-2.200000000000002E-2</v>
      </c>
    </row>
    <row r="204" spans="1:26" x14ac:dyDescent="0.2">
      <c r="A204" s="12" t="s">
        <v>52</v>
      </c>
      <c r="B204" s="12">
        <v>3845.5</v>
      </c>
      <c r="C204" s="12">
        <v>79.111999999999995</v>
      </c>
      <c r="D204" s="12">
        <v>22.292999999999999</v>
      </c>
      <c r="E204" s="12">
        <v>2.15</v>
      </c>
      <c r="F204" s="12">
        <v>169.922</v>
      </c>
      <c r="G204" s="12">
        <v>2.778</v>
      </c>
      <c r="H204" s="12">
        <v>8.6869999999999994</v>
      </c>
      <c r="I204" s="12">
        <v>3.3820000000000001</v>
      </c>
      <c r="J204" s="12">
        <v>298.61099999999999</v>
      </c>
      <c r="K204" s="12">
        <v>332.28699999999998</v>
      </c>
      <c r="L204" s="12">
        <v>0.01</v>
      </c>
      <c r="M204" s="12">
        <v>1E-3</v>
      </c>
      <c r="N204" s="12">
        <v>100</v>
      </c>
      <c r="O204" s="12">
        <v>0.54700000000000004</v>
      </c>
      <c r="P204" s="12">
        <v>0.64100000000000001</v>
      </c>
      <c r="Q204" s="12">
        <v>0.17799999999999999</v>
      </c>
      <c r="R204" s="12">
        <v>0.57099999999999995</v>
      </c>
      <c r="S204" s="12">
        <v>0.378</v>
      </c>
      <c r="U204" s="12" t="s">
        <v>33</v>
      </c>
      <c r="V204" s="12" t="s">
        <v>35</v>
      </c>
      <c r="Y204" s="12">
        <f t="shared" si="8"/>
        <v>0.72500000000000009</v>
      </c>
      <c r="Z204" s="12">
        <f t="shared" si="7"/>
        <v>-9.3999999999999972E-2</v>
      </c>
    </row>
    <row r="205" spans="1:26" x14ac:dyDescent="0.2">
      <c r="A205" s="12" t="s">
        <v>52</v>
      </c>
      <c r="B205" s="12">
        <v>3845.625</v>
      </c>
      <c r="C205" s="12">
        <v>81.828999999999994</v>
      </c>
      <c r="D205" s="12">
        <v>22.356999999999999</v>
      </c>
      <c r="E205" s="12">
        <v>2.2389999999999999</v>
      </c>
      <c r="F205" s="12">
        <v>174.84</v>
      </c>
      <c r="G205" s="12">
        <v>2.7610000000000001</v>
      </c>
      <c r="H205" s="12">
        <v>8.7189999999999994</v>
      </c>
      <c r="I205" s="12">
        <v>3.5539999999999998</v>
      </c>
      <c r="J205" s="12">
        <v>247.071</v>
      </c>
      <c r="K205" s="12">
        <v>273.97199999999998</v>
      </c>
      <c r="L205" s="12">
        <v>0.01</v>
      </c>
      <c r="M205" s="12">
        <v>1E-3</v>
      </c>
      <c r="N205" s="12">
        <v>100</v>
      </c>
      <c r="O205" s="12">
        <v>0.55900000000000005</v>
      </c>
      <c r="P205" s="12">
        <v>0.75600000000000001</v>
      </c>
      <c r="Q205" s="12">
        <v>0.22900000000000001</v>
      </c>
      <c r="R205" s="12">
        <v>0.48899999999999999</v>
      </c>
      <c r="S205" s="12">
        <v>0.373</v>
      </c>
      <c r="U205" s="12" t="s">
        <v>33</v>
      </c>
      <c r="V205" s="12" t="s">
        <v>35</v>
      </c>
      <c r="Y205" s="12">
        <f t="shared" si="8"/>
        <v>0.78800000000000003</v>
      </c>
      <c r="Z205" s="12">
        <f t="shared" si="7"/>
        <v>-0.19699999999999995</v>
      </c>
    </row>
    <row r="206" spans="1:26" x14ac:dyDescent="0.2">
      <c r="A206" s="12" t="s">
        <v>52</v>
      </c>
      <c r="B206" s="12">
        <v>3845.75</v>
      </c>
      <c r="C206" s="12">
        <v>81.063999999999993</v>
      </c>
      <c r="D206" s="12">
        <v>22.46</v>
      </c>
      <c r="E206" s="12">
        <v>2.2320000000000002</v>
      </c>
      <c r="F206" s="12">
        <v>179.70699999999999</v>
      </c>
      <c r="G206" s="12">
        <v>2.7450000000000001</v>
      </c>
      <c r="H206" s="12">
        <v>8.5410000000000004</v>
      </c>
      <c r="I206" s="12">
        <v>3.694</v>
      </c>
      <c r="J206" s="12">
        <v>215.642</v>
      </c>
      <c r="K206" s="12">
        <v>238.76</v>
      </c>
      <c r="L206" s="12">
        <v>0.01</v>
      </c>
      <c r="M206" s="12">
        <v>1E-3</v>
      </c>
      <c r="N206" s="12">
        <v>100</v>
      </c>
      <c r="O206" s="12">
        <v>0.55400000000000005</v>
      </c>
      <c r="P206" s="12">
        <v>0.84099999999999997</v>
      </c>
      <c r="Q206" s="12">
        <v>0.27300000000000002</v>
      </c>
      <c r="R206" s="12">
        <v>0.42799999999999999</v>
      </c>
      <c r="S206" s="12">
        <v>0.35899999999999999</v>
      </c>
      <c r="U206" s="12" t="s">
        <v>33</v>
      </c>
      <c r="V206" s="12" t="s">
        <v>35</v>
      </c>
      <c r="Y206" s="12">
        <f t="shared" si="8"/>
        <v>0.82700000000000007</v>
      </c>
      <c r="Z206" s="12">
        <f t="shared" si="7"/>
        <v>-0.28699999999999992</v>
      </c>
    </row>
    <row r="207" spans="1:26" x14ac:dyDescent="0.2">
      <c r="A207" s="12" t="s">
        <v>52</v>
      </c>
      <c r="B207" s="12">
        <v>3845.875</v>
      </c>
      <c r="C207" s="12">
        <v>80.626000000000005</v>
      </c>
      <c r="D207" s="12">
        <v>22.609000000000002</v>
      </c>
      <c r="E207" s="12">
        <v>2.238</v>
      </c>
      <c r="F207" s="12">
        <v>182.952</v>
      </c>
      <c r="G207" s="12">
        <v>2.7389999999999999</v>
      </c>
      <c r="H207" s="12">
        <v>8.532</v>
      </c>
      <c r="I207" s="12">
        <v>3.778</v>
      </c>
      <c r="J207" s="12">
        <v>201.733</v>
      </c>
      <c r="K207" s="12">
        <v>223.19900000000001</v>
      </c>
      <c r="L207" s="12">
        <v>0.01</v>
      </c>
      <c r="M207" s="12">
        <v>1E-3</v>
      </c>
      <c r="N207" s="12">
        <v>100</v>
      </c>
      <c r="O207" s="12">
        <v>0.55000000000000004</v>
      </c>
      <c r="P207" s="12">
        <v>0.88100000000000001</v>
      </c>
      <c r="Q207" s="12">
        <v>0.29499999999999998</v>
      </c>
      <c r="R207" s="12">
        <v>0.42799999999999999</v>
      </c>
      <c r="S207" s="12">
        <v>0.374</v>
      </c>
      <c r="U207" s="12" t="s">
        <v>33</v>
      </c>
      <c r="V207" s="12" t="s">
        <v>35</v>
      </c>
      <c r="Y207" s="12">
        <f t="shared" si="8"/>
        <v>0.84499999999999997</v>
      </c>
      <c r="Z207" s="12">
        <f t="shared" si="7"/>
        <v>-0.33099999999999996</v>
      </c>
    </row>
    <row r="208" spans="1:26" x14ac:dyDescent="0.2">
      <c r="A208" s="12" t="s">
        <v>52</v>
      </c>
      <c r="B208" s="12">
        <v>3846</v>
      </c>
      <c r="C208" s="12">
        <v>80.228999999999999</v>
      </c>
      <c r="D208" s="12">
        <v>22.704999999999998</v>
      </c>
      <c r="E208" s="12">
        <v>2.2090000000000001</v>
      </c>
      <c r="F208" s="12">
        <v>183.22300000000001</v>
      </c>
      <c r="G208" s="12">
        <v>2.75</v>
      </c>
      <c r="H208" s="12">
        <v>8.9109999999999996</v>
      </c>
      <c r="I208" s="12">
        <v>3.786</v>
      </c>
      <c r="J208" s="12">
        <v>205.029</v>
      </c>
      <c r="K208" s="12">
        <v>226.78899999999999</v>
      </c>
      <c r="L208" s="12">
        <v>0.01</v>
      </c>
      <c r="M208" s="12">
        <v>1E-3</v>
      </c>
      <c r="N208" s="12">
        <v>100</v>
      </c>
      <c r="O208" s="12">
        <v>0.53300000000000003</v>
      </c>
      <c r="P208" s="12">
        <v>0.86699999999999999</v>
      </c>
      <c r="Q208" s="12">
        <v>0.28899999999999998</v>
      </c>
      <c r="R208" s="12">
        <v>0.497</v>
      </c>
      <c r="S208" s="12">
        <v>0.42399999999999999</v>
      </c>
      <c r="U208" s="12" t="s">
        <v>33</v>
      </c>
      <c r="V208" s="12" t="s">
        <v>35</v>
      </c>
      <c r="Y208" s="12">
        <f t="shared" si="8"/>
        <v>0.82200000000000006</v>
      </c>
      <c r="Z208" s="12">
        <f t="shared" si="7"/>
        <v>-0.33399999999999996</v>
      </c>
    </row>
    <row r="209" spans="1:26" x14ac:dyDescent="0.2">
      <c r="A209" s="12" t="s">
        <v>52</v>
      </c>
      <c r="B209" s="12">
        <v>3846.125</v>
      </c>
      <c r="C209" s="12">
        <v>75.188000000000002</v>
      </c>
      <c r="D209" s="12">
        <v>22.667999999999999</v>
      </c>
      <c r="E209" s="12">
        <v>1.954</v>
      </c>
      <c r="F209" s="12">
        <v>180.90299999999999</v>
      </c>
      <c r="G209" s="12">
        <v>2.7690000000000001</v>
      </c>
      <c r="H209" s="12">
        <v>9.4480000000000004</v>
      </c>
      <c r="I209" s="12">
        <v>3.718</v>
      </c>
      <c r="J209" s="12">
        <v>223.21799999999999</v>
      </c>
      <c r="K209" s="12">
        <v>247.078</v>
      </c>
      <c r="L209" s="12">
        <v>0.01</v>
      </c>
      <c r="M209" s="12">
        <v>1E-3</v>
      </c>
      <c r="N209" s="12">
        <v>100</v>
      </c>
      <c r="O209" s="12">
        <v>0.46300000000000002</v>
      </c>
      <c r="P209" s="12">
        <v>0.80600000000000005</v>
      </c>
      <c r="Q209" s="12">
        <v>0.25700000000000001</v>
      </c>
      <c r="R209" s="12">
        <v>0.58699999999999997</v>
      </c>
      <c r="S209" s="12">
        <v>0.47099999999999997</v>
      </c>
      <c r="T209" s="12" t="s">
        <v>23</v>
      </c>
      <c r="U209" s="12" t="s">
        <v>33</v>
      </c>
      <c r="V209" s="12" t="s">
        <v>35</v>
      </c>
      <c r="Y209" s="12">
        <f t="shared" si="8"/>
        <v>0.72</v>
      </c>
      <c r="Z209" s="12">
        <f t="shared" si="7"/>
        <v>-0.34300000000000003</v>
      </c>
    </row>
    <row r="210" spans="1:26" x14ac:dyDescent="0.2">
      <c r="A210" s="13" t="s">
        <v>74</v>
      </c>
      <c r="B210" s="13">
        <v>3804</v>
      </c>
      <c r="C210" s="13">
        <v>69.194999999999993</v>
      </c>
      <c r="D210" s="13">
        <v>22.707000000000001</v>
      </c>
      <c r="E210" s="13">
        <v>2.0270000000000001</v>
      </c>
      <c r="F210" s="13">
        <v>178.65100000000001</v>
      </c>
      <c r="G210" s="13">
        <v>2.7480000000000002</v>
      </c>
      <c r="H210" s="13">
        <v>8.1010000000000009</v>
      </c>
      <c r="I210" s="13">
        <v>4.2309999999999999</v>
      </c>
      <c r="J210" s="13">
        <v>205.46600000000001</v>
      </c>
      <c r="K210" s="13">
        <v>230.09299999999999</v>
      </c>
      <c r="L210" s="13">
        <v>0.01</v>
      </c>
      <c r="M210" s="13">
        <v>1E-3</v>
      </c>
      <c r="N210" s="13">
        <v>100</v>
      </c>
      <c r="O210" s="13">
        <v>0.41399999999999998</v>
      </c>
      <c r="P210" s="13">
        <v>0.74299999999999999</v>
      </c>
      <c r="Q210" s="13">
        <v>0.218</v>
      </c>
      <c r="R210" s="13">
        <v>0.55200000000000005</v>
      </c>
      <c r="S210" s="13">
        <v>0.307</v>
      </c>
      <c r="T210" s="13"/>
      <c r="U210" s="13" t="s">
        <v>22</v>
      </c>
      <c r="V210" s="13" t="s">
        <v>35</v>
      </c>
      <c r="W210" s="13">
        <v>6</v>
      </c>
      <c r="X210" s="13" t="s">
        <v>85</v>
      </c>
      <c r="Y210" s="12">
        <f t="shared" si="8"/>
        <v>0.63200000000000001</v>
      </c>
      <c r="Z210" s="13">
        <v>-0.32900000000000001</v>
      </c>
    </row>
    <row r="211" spans="1:26" x14ac:dyDescent="0.2">
      <c r="A211" s="13" t="s">
        <v>74</v>
      </c>
      <c r="B211" s="13">
        <v>3804.125</v>
      </c>
      <c r="C211" s="13">
        <v>82.472999999999999</v>
      </c>
      <c r="D211" s="13">
        <v>22.741</v>
      </c>
      <c r="E211" s="13">
        <v>2.5790000000000002</v>
      </c>
      <c r="F211" s="13">
        <v>184.447</v>
      </c>
      <c r="G211" s="13">
        <v>2.7290000000000001</v>
      </c>
      <c r="H211" s="13">
        <v>9.1560000000000006</v>
      </c>
      <c r="I211" s="13">
        <v>4.7220000000000004</v>
      </c>
      <c r="J211" s="13">
        <v>178.32900000000001</v>
      </c>
      <c r="K211" s="13">
        <v>194.899</v>
      </c>
      <c r="L211" s="13">
        <v>0.01</v>
      </c>
      <c r="M211" s="13">
        <v>1E-3</v>
      </c>
      <c r="N211" s="13">
        <v>100</v>
      </c>
      <c r="O211" s="13">
        <v>0.50900000000000001</v>
      </c>
      <c r="P211" s="13">
        <v>0.91600000000000004</v>
      </c>
      <c r="Q211" s="13">
        <v>0.27200000000000002</v>
      </c>
      <c r="R211" s="13">
        <v>0.51500000000000001</v>
      </c>
      <c r="S211" s="13">
        <v>0.38100000000000001</v>
      </c>
      <c r="T211" s="13"/>
      <c r="U211" s="13" t="s">
        <v>33</v>
      </c>
      <c r="V211" s="13" t="s">
        <v>35</v>
      </c>
      <c r="W211" s="13">
        <v>6</v>
      </c>
      <c r="X211" s="13" t="s">
        <v>85</v>
      </c>
      <c r="Y211" s="12">
        <f t="shared" si="8"/>
        <v>0.78100000000000003</v>
      </c>
      <c r="Z211" s="13">
        <v>-0.40700000000000003</v>
      </c>
    </row>
    <row r="212" spans="1:26" x14ac:dyDescent="0.2">
      <c r="A212" s="13" t="s">
        <v>74</v>
      </c>
      <c r="B212" s="13">
        <v>3804.25</v>
      </c>
      <c r="C212" s="13">
        <v>92.944000000000003</v>
      </c>
      <c r="D212" s="13">
        <v>22.765999999999998</v>
      </c>
      <c r="E212" s="13">
        <v>3.1960000000000002</v>
      </c>
      <c r="F212" s="13">
        <v>188.512</v>
      </c>
      <c r="G212" s="13">
        <v>2.7229999999999999</v>
      </c>
      <c r="H212" s="13">
        <v>10.445</v>
      </c>
      <c r="I212" s="13">
        <v>4.9489999999999998</v>
      </c>
      <c r="J212" s="13">
        <v>156.791</v>
      </c>
      <c r="K212" s="13">
        <v>168.322</v>
      </c>
      <c r="L212" s="13">
        <v>0.01</v>
      </c>
      <c r="M212" s="13">
        <v>1E-3</v>
      </c>
      <c r="N212" s="13">
        <v>100</v>
      </c>
      <c r="O212" s="13">
        <v>0.57999999999999996</v>
      </c>
      <c r="P212" s="13">
        <v>0.99099999999999999</v>
      </c>
      <c r="Q212" s="13">
        <v>0.309</v>
      </c>
      <c r="R212" s="13">
        <v>0.50600000000000001</v>
      </c>
      <c r="S212" s="13">
        <v>0.46500000000000002</v>
      </c>
      <c r="T212" s="13"/>
      <c r="U212" s="13" t="s">
        <v>33</v>
      </c>
      <c r="V212" s="13" t="s">
        <v>35</v>
      </c>
      <c r="W212" s="13">
        <v>6</v>
      </c>
      <c r="X212" s="13" t="s">
        <v>85</v>
      </c>
      <c r="Y212" s="12">
        <f t="shared" si="8"/>
        <v>0.88900000000000001</v>
      </c>
      <c r="Z212" s="13">
        <v>-0.41100000000000003</v>
      </c>
    </row>
    <row r="213" spans="1:26" x14ac:dyDescent="0.2">
      <c r="A213" s="13" t="s">
        <v>74</v>
      </c>
      <c r="B213" s="13">
        <v>3804.375</v>
      </c>
      <c r="C213" s="13">
        <v>98.397000000000006</v>
      </c>
      <c r="D213" s="13">
        <v>22.797000000000001</v>
      </c>
      <c r="E213" s="13">
        <v>3.5219999999999998</v>
      </c>
      <c r="F213" s="13">
        <v>190.09800000000001</v>
      </c>
      <c r="G213" s="13">
        <v>2.7280000000000002</v>
      </c>
      <c r="H213" s="13">
        <v>11.554</v>
      </c>
      <c r="I213" s="13">
        <v>4.9770000000000003</v>
      </c>
      <c r="J213" s="13">
        <v>146.983</v>
      </c>
      <c r="K213" s="13">
        <v>156.55099999999999</v>
      </c>
      <c r="L213" s="13">
        <v>0.01</v>
      </c>
      <c r="M213" s="13">
        <v>1E-3</v>
      </c>
      <c r="N213" s="13">
        <v>100</v>
      </c>
      <c r="O213" s="13">
        <v>0.61</v>
      </c>
      <c r="P213" s="13">
        <v>0.98499999999999999</v>
      </c>
      <c r="Q213" s="13">
        <v>0.31900000000000001</v>
      </c>
      <c r="R213" s="13">
        <v>0.51500000000000001</v>
      </c>
      <c r="S213" s="13">
        <v>0.53200000000000003</v>
      </c>
      <c r="T213" s="13"/>
      <c r="U213" s="13" t="s">
        <v>33</v>
      </c>
      <c r="V213" s="13" t="s">
        <v>35</v>
      </c>
      <c r="W213" s="13">
        <v>6</v>
      </c>
      <c r="X213" s="13" t="s">
        <v>85</v>
      </c>
      <c r="Y213" s="12">
        <f t="shared" si="8"/>
        <v>0.92900000000000005</v>
      </c>
      <c r="Z213" s="13">
        <v>-0.375</v>
      </c>
    </row>
    <row r="214" spans="1:26" x14ac:dyDescent="0.2">
      <c r="A214" s="13" t="s">
        <v>74</v>
      </c>
      <c r="B214" s="13">
        <v>3804.5</v>
      </c>
      <c r="C214" s="13">
        <v>96.356999999999999</v>
      </c>
      <c r="D214" s="13">
        <v>22.838999999999999</v>
      </c>
      <c r="E214" s="13">
        <v>3.7160000000000002</v>
      </c>
      <c r="F214" s="13">
        <v>188.523</v>
      </c>
      <c r="G214" s="13">
        <v>2.7269999999999999</v>
      </c>
      <c r="H214" s="13">
        <v>12.044</v>
      </c>
      <c r="I214" s="13">
        <v>4.7699999999999996</v>
      </c>
      <c r="J214" s="13">
        <v>152.46700000000001</v>
      </c>
      <c r="K214" s="13">
        <v>162.43100000000001</v>
      </c>
      <c r="L214" s="13">
        <v>0.01</v>
      </c>
      <c r="M214" s="13">
        <v>1E-3</v>
      </c>
      <c r="N214" s="13">
        <v>100</v>
      </c>
      <c r="O214" s="13">
        <v>0.58499999999999996</v>
      </c>
      <c r="P214" s="13">
        <v>0.88700000000000001</v>
      </c>
      <c r="Q214" s="13">
        <v>0.30199999999999999</v>
      </c>
      <c r="R214" s="13">
        <v>0.50700000000000001</v>
      </c>
      <c r="S214" s="13">
        <v>0.55500000000000005</v>
      </c>
      <c r="T214" s="13"/>
      <c r="U214" s="13" t="s">
        <v>33</v>
      </c>
      <c r="V214" s="13" t="s">
        <v>35</v>
      </c>
      <c r="W214" s="13">
        <v>6</v>
      </c>
      <c r="X214" s="13" t="s">
        <v>85</v>
      </c>
      <c r="Y214" s="12">
        <f t="shared" si="8"/>
        <v>0.88700000000000001</v>
      </c>
      <c r="Z214" s="13">
        <v>-0.30200000000000005</v>
      </c>
    </row>
    <row r="215" spans="1:26" x14ac:dyDescent="0.2">
      <c r="A215" s="13" t="s">
        <v>74</v>
      </c>
      <c r="B215" s="13">
        <v>3804.625</v>
      </c>
      <c r="C215" s="13">
        <v>86.805000000000007</v>
      </c>
      <c r="D215" s="13">
        <v>22.87</v>
      </c>
      <c r="E215" s="13">
        <v>4.3019999999999996</v>
      </c>
      <c r="F215" s="13">
        <v>186.333</v>
      </c>
      <c r="G215" s="13">
        <v>2.7109999999999999</v>
      </c>
      <c r="H215" s="13">
        <v>11.712</v>
      </c>
      <c r="I215" s="13">
        <v>4.3220000000000001</v>
      </c>
      <c r="J215" s="13">
        <v>172.50299999999999</v>
      </c>
      <c r="K215" s="13">
        <v>184.56700000000001</v>
      </c>
      <c r="L215" s="13">
        <v>0.01</v>
      </c>
      <c r="M215" s="13">
        <v>1E-3</v>
      </c>
      <c r="N215" s="13">
        <v>100</v>
      </c>
      <c r="O215" s="13">
        <v>0.504</v>
      </c>
      <c r="P215" s="13">
        <v>0.70799999999999996</v>
      </c>
      <c r="Q215" s="13">
        <v>0.27800000000000002</v>
      </c>
      <c r="R215" s="13">
        <v>0.46899999999999997</v>
      </c>
      <c r="S215" s="13">
        <v>0.51900000000000002</v>
      </c>
      <c r="T215" s="13"/>
      <c r="U215" s="13" t="s">
        <v>33</v>
      </c>
      <c r="V215" s="13" t="s">
        <v>35</v>
      </c>
      <c r="W215" s="13">
        <v>6</v>
      </c>
      <c r="X215" s="13" t="s">
        <v>85</v>
      </c>
      <c r="Y215" s="12">
        <f t="shared" si="8"/>
        <v>0.78200000000000003</v>
      </c>
      <c r="Z215" s="13">
        <v>-0.20399999999999996</v>
      </c>
    </row>
    <row r="216" spans="1:26" x14ac:dyDescent="0.2">
      <c r="A216" s="13" t="s">
        <v>74</v>
      </c>
      <c r="B216" s="13">
        <v>3804.75</v>
      </c>
      <c r="C216" s="13">
        <v>70.546000000000006</v>
      </c>
      <c r="D216" s="13">
        <v>22.873000000000001</v>
      </c>
      <c r="E216" s="13">
        <v>4.9290000000000003</v>
      </c>
      <c r="F216" s="13">
        <v>183.25899999999999</v>
      </c>
      <c r="G216" s="13">
        <v>2.69</v>
      </c>
      <c r="H216" s="13">
        <v>10.286</v>
      </c>
      <c r="I216" s="13">
        <v>3.8319999999999999</v>
      </c>
      <c r="J216" s="13">
        <v>209.94499999999999</v>
      </c>
      <c r="K216" s="13">
        <v>225.833</v>
      </c>
      <c r="L216" s="13">
        <v>0.01</v>
      </c>
      <c r="M216" s="13">
        <v>1E-3</v>
      </c>
      <c r="N216" s="13">
        <v>100</v>
      </c>
      <c r="O216" s="13">
        <v>0.38</v>
      </c>
      <c r="P216" s="13">
        <v>0.53500000000000003</v>
      </c>
      <c r="Q216" s="13">
        <v>0.24199999999999999</v>
      </c>
      <c r="R216" s="13">
        <v>0.42799999999999999</v>
      </c>
      <c r="S216" s="13">
        <v>0.41799999999999998</v>
      </c>
      <c r="T216" s="13"/>
      <c r="U216" s="13" t="s">
        <v>33</v>
      </c>
      <c r="V216" s="13" t="s">
        <v>35</v>
      </c>
      <c r="W216" s="13">
        <v>6</v>
      </c>
      <c r="X216" s="13" t="s">
        <v>85</v>
      </c>
      <c r="Y216" s="12">
        <f t="shared" si="8"/>
        <v>0.622</v>
      </c>
      <c r="Z216" s="13">
        <v>-0.15500000000000003</v>
      </c>
    </row>
    <row r="217" spans="1:26" x14ac:dyDescent="0.2">
      <c r="A217" s="13" t="s">
        <v>75</v>
      </c>
      <c r="B217" s="13">
        <v>3873.875</v>
      </c>
      <c r="C217" s="13">
        <v>69.271000000000001</v>
      </c>
      <c r="D217" s="13">
        <v>22.084</v>
      </c>
      <c r="E217" s="13">
        <v>3.7450000000000001</v>
      </c>
      <c r="F217" s="13">
        <v>178.19</v>
      </c>
      <c r="G217" s="13">
        <v>2.7080000000000002</v>
      </c>
      <c r="H217" s="13">
        <v>10.462999999999999</v>
      </c>
      <c r="I217" s="13">
        <v>3.1720000000000002</v>
      </c>
      <c r="J217" s="13">
        <v>351.29300000000001</v>
      </c>
      <c r="K217" s="13">
        <v>390.32499999999999</v>
      </c>
      <c r="L217" s="13">
        <v>0</v>
      </c>
      <c r="M217" s="13">
        <v>0</v>
      </c>
      <c r="N217" s="13">
        <v>100</v>
      </c>
      <c r="O217" s="13">
        <v>0.57599999999999996</v>
      </c>
      <c r="P217" s="13">
        <v>0.216</v>
      </c>
      <c r="Q217" s="13">
        <v>0.39100000000000001</v>
      </c>
      <c r="R217" s="13">
        <v>0.27500000000000002</v>
      </c>
      <c r="S217" s="13">
        <v>0.54500000000000004</v>
      </c>
      <c r="T217" s="13"/>
      <c r="U217" s="13" t="s">
        <v>33</v>
      </c>
      <c r="V217" s="13" t="s">
        <v>34</v>
      </c>
      <c r="W217" s="13">
        <v>3</v>
      </c>
      <c r="X217" s="13" t="s">
        <v>85</v>
      </c>
      <c r="Y217" s="12">
        <f t="shared" si="8"/>
        <v>0.96699999999999997</v>
      </c>
      <c r="Z217" s="13">
        <v>0.36</v>
      </c>
    </row>
    <row r="218" spans="1:26" x14ac:dyDescent="0.2">
      <c r="A218" s="13" t="s">
        <v>75</v>
      </c>
      <c r="B218" s="13">
        <v>3874</v>
      </c>
      <c r="C218" s="13">
        <v>85.793999999999997</v>
      </c>
      <c r="D218" s="13">
        <v>22.719000000000001</v>
      </c>
      <c r="E218" s="13">
        <v>4.5030000000000001</v>
      </c>
      <c r="F218" s="13">
        <v>180.43</v>
      </c>
      <c r="G218" s="13">
        <v>2.6819999999999999</v>
      </c>
      <c r="H218" s="13">
        <v>11.582000000000001</v>
      </c>
      <c r="I218" s="13">
        <v>3.1269999999999998</v>
      </c>
      <c r="J218" s="13">
        <v>242.94800000000001</v>
      </c>
      <c r="K218" s="13">
        <v>269.94200000000001</v>
      </c>
      <c r="L218" s="13">
        <v>0</v>
      </c>
      <c r="M218" s="13">
        <v>0</v>
      </c>
      <c r="N218" s="13">
        <v>100</v>
      </c>
      <c r="O218" s="13">
        <v>0.71699999999999997</v>
      </c>
      <c r="P218" s="13">
        <v>0.20799999999999999</v>
      </c>
      <c r="Q218" s="13">
        <v>0.432</v>
      </c>
      <c r="R218" s="13">
        <v>0.13400000000000001</v>
      </c>
      <c r="S218" s="13">
        <v>0.64900000000000002</v>
      </c>
      <c r="T218" s="13"/>
      <c r="U218" s="13" t="s">
        <v>33</v>
      </c>
      <c r="V218" s="13" t="s">
        <v>34</v>
      </c>
      <c r="W218" s="13">
        <v>3</v>
      </c>
      <c r="X218" s="13" t="s">
        <v>85</v>
      </c>
      <c r="Y218" s="12">
        <f t="shared" si="8"/>
        <v>1.149</v>
      </c>
      <c r="Z218" s="13">
        <v>0.50900000000000001</v>
      </c>
    </row>
    <row r="219" spans="1:26" x14ac:dyDescent="0.2">
      <c r="A219" s="13" t="s">
        <v>75</v>
      </c>
      <c r="B219" s="13">
        <v>3874.125</v>
      </c>
      <c r="C219" s="13">
        <v>95.102000000000004</v>
      </c>
      <c r="D219" s="13">
        <v>23.285</v>
      </c>
      <c r="E219" s="13">
        <v>4.6399999999999997</v>
      </c>
      <c r="F219" s="13">
        <v>183.70699999999999</v>
      </c>
      <c r="G219" s="13">
        <v>2.6619999999999999</v>
      </c>
      <c r="H219" s="13">
        <v>12.398</v>
      </c>
      <c r="I219" s="13">
        <v>3.1850000000000001</v>
      </c>
      <c r="J219" s="13">
        <v>189.92400000000001</v>
      </c>
      <c r="K219" s="13">
        <v>211.02799999999999</v>
      </c>
      <c r="L219" s="13">
        <v>0</v>
      </c>
      <c r="M219" s="13">
        <v>0</v>
      </c>
      <c r="N219" s="13">
        <v>100</v>
      </c>
      <c r="O219" s="13">
        <v>0.78900000000000003</v>
      </c>
      <c r="P219" s="13">
        <v>0.27600000000000002</v>
      </c>
      <c r="Q219" s="13">
        <v>0.48499999999999999</v>
      </c>
      <c r="R219" s="13">
        <v>4.7E-2</v>
      </c>
      <c r="S219" s="13">
        <v>0.72399999999999998</v>
      </c>
      <c r="T219" s="13"/>
      <c r="U219" s="13" t="s">
        <v>33</v>
      </c>
      <c r="V219" s="13" t="s">
        <v>34</v>
      </c>
      <c r="W219" s="13">
        <v>3</v>
      </c>
      <c r="X219" s="13" t="s">
        <v>85</v>
      </c>
      <c r="Y219" s="12">
        <f t="shared" si="8"/>
        <v>1.274</v>
      </c>
      <c r="Z219" s="13">
        <v>0.51300000000000001</v>
      </c>
    </row>
    <row r="220" spans="1:26" x14ac:dyDescent="0.2">
      <c r="A220" s="13" t="s">
        <v>75</v>
      </c>
      <c r="B220" s="13">
        <v>3874.25</v>
      </c>
      <c r="C220" s="13">
        <v>97.483000000000004</v>
      </c>
      <c r="D220" s="13">
        <v>23.576000000000001</v>
      </c>
      <c r="E220" s="13">
        <v>4.5750000000000002</v>
      </c>
      <c r="F220" s="13">
        <v>186.97800000000001</v>
      </c>
      <c r="G220" s="13">
        <v>2.6589999999999998</v>
      </c>
      <c r="H220" s="13">
        <v>12.944000000000001</v>
      </c>
      <c r="I220" s="13">
        <v>3.4670000000000001</v>
      </c>
      <c r="J220" s="13">
        <v>169.24</v>
      </c>
      <c r="K220" s="13">
        <v>188.04400000000001</v>
      </c>
      <c r="L220" s="13">
        <v>0</v>
      </c>
      <c r="M220" s="13">
        <v>0</v>
      </c>
      <c r="N220" s="13">
        <v>100</v>
      </c>
      <c r="O220" s="13">
        <v>0.79500000000000004</v>
      </c>
      <c r="P220" s="13">
        <v>0.42899999999999999</v>
      </c>
      <c r="Q220" s="13">
        <v>0.52600000000000002</v>
      </c>
      <c r="R220" s="13">
        <v>6.6000000000000003E-2</v>
      </c>
      <c r="S220" s="13">
        <v>0.77100000000000002</v>
      </c>
      <c r="T220" s="13"/>
      <c r="U220" s="13" t="s">
        <v>33</v>
      </c>
      <c r="V220" s="13" t="s">
        <v>34</v>
      </c>
      <c r="W220" s="13">
        <v>3</v>
      </c>
      <c r="X220" s="13" t="s">
        <v>85</v>
      </c>
      <c r="Y220" s="12">
        <f t="shared" si="8"/>
        <v>1.3210000000000002</v>
      </c>
      <c r="Z220" s="13">
        <v>0.36600000000000005</v>
      </c>
    </row>
    <row r="221" spans="1:26" x14ac:dyDescent="0.2">
      <c r="A221" s="13" t="s">
        <v>75</v>
      </c>
      <c r="B221" s="13">
        <v>3874.375</v>
      </c>
      <c r="C221" s="13">
        <v>93.828000000000003</v>
      </c>
      <c r="D221" s="13">
        <v>23.416</v>
      </c>
      <c r="E221" s="13">
        <v>4.3419999999999996</v>
      </c>
      <c r="F221" s="13">
        <v>187.64099999999999</v>
      </c>
      <c r="G221" s="13">
        <v>2.6779999999999999</v>
      </c>
      <c r="H221" s="13">
        <v>13.185</v>
      </c>
      <c r="I221" s="13">
        <v>3.7250000000000001</v>
      </c>
      <c r="J221" s="13">
        <v>171.922</v>
      </c>
      <c r="K221" s="13">
        <v>191.02500000000001</v>
      </c>
      <c r="L221" s="13">
        <v>0</v>
      </c>
      <c r="M221" s="13">
        <v>0</v>
      </c>
      <c r="N221" s="13">
        <v>100</v>
      </c>
      <c r="O221" s="13">
        <v>0.74199999999999999</v>
      </c>
      <c r="P221" s="13">
        <v>0.51500000000000001</v>
      </c>
      <c r="Q221" s="13">
        <v>0.53</v>
      </c>
      <c r="R221" s="13">
        <v>0.183</v>
      </c>
      <c r="S221" s="13">
        <v>0.78400000000000003</v>
      </c>
      <c r="T221" s="13"/>
      <c r="U221" s="13" t="s">
        <v>33</v>
      </c>
      <c r="V221" s="13" t="s">
        <v>34</v>
      </c>
      <c r="W221" s="13">
        <v>3</v>
      </c>
      <c r="X221" s="13" t="s">
        <v>85</v>
      </c>
      <c r="Y221" s="12">
        <f t="shared" si="8"/>
        <v>1.272</v>
      </c>
      <c r="Z221" s="13">
        <v>0.22699999999999998</v>
      </c>
    </row>
    <row r="222" spans="1:26" x14ac:dyDescent="0.2">
      <c r="A222" s="13" t="s">
        <v>75</v>
      </c>
      <c r="B222" s="13">
        <v>3874.5</v>
      </c>
      <c r="C222" s="13">
        <v>83.825999999999993</v>
      </c>
      <c r="D222" s="13">
        <v>23.113</v>
      </c>
      <c r="E222" s="13">
        <v>3.6</v>
      </c>
      <c r="F222" s="13">
        <v>186.86</v>
      </c>
      <c r="G222" s="13">
        <v>2.7010000000000001</v>
      </c>
      <c r="H222" s="13">
        <v>13.029</v>
      </c>
      <c r="I222" s="13">
        <v>3.6230000000000002</v>
      </c>
      <c r="J222" s="13">
        <v>195.39599999999999</v>
      </c>
      <c r="K222" s="13">
        <v>217.107</v>
      </c>
      <c r="L222" s="13">
        <v>0</v>
      </c>
      <c r="M222" s="13">
        <v>0</v>
      </c>
      <c r="N222" s="13">
        <v>100</v>
      </c>
      <c r="O222" s="13">
        <v>0.628</v>
      </c>
      <c r="P222" s="13">
        <v>0.432</v>
      </c>
      <c r="Q222" s="13">
        <v>0.51600000000000001</v>
      </c>
      <c r="R222" s="13">
        <v>0.32100000000000001</v>
      </c>
      <c r="S222" s="13">
        <v>0.75</v>
      </c>
      <c r="T222" s="13"/>
      <c r="U222" s="13" t="s">
        <v>33</v>
      </c>
      <c r="V222" s="13" t="s">
        <v>34</v>
      </c>
      <c r="W222" s="13">
        <v>3</v>
      </c>
      <c r="X222" s="13" t="s">
        <v>85</v>
      </c>
      <c r="Y222" s="12">
        <f t="shared" si="8"/>
        <v>1.1440000000000001</v>
      </c>
      <c r="Z222" s="13">
        <v>0.19600000000000001</v>
      </c>
    </row>
    <row r="223" spans="1:26" x14ac:dyDescent="0.2">
      <c r="A223" s="13" t="s">
        <v>76</v>
      </c>
      <c r="B223" s="13">
        <v>3821.5</v>
      </c>
      <c r="C223" s="13">
        <v>78.584999999999994</v>
      </c>
      <c r="D223" s="13">
        <v>21.475000000000001</v>
      </c>
      <c r="E223" s="13">
        <v>3.4350000000000001</v>
      </c>
      <c r="F223" s="13">
        <v>156.11099999999999</v>
      </c>
      <c r="G223" s="13">
        <v>2.7280000000000002</v>
      </c>
      <c r="H223" s="13">
        <v>6.82</v>
      </c>
      <c r="I223" s="13">
        <v>3.633</v>
      </c>
      <c r="J223" s="13">
        <v>150.72200000000001</v>
      </c>
      <c r="K223" s="13">
        <v>159.65</v>
      </c>
      <c r="L223" s="13">
        <v>3.5999999999999997E-2</v>
      </c>
      <c r="M223" s="13">
        <v>0.1</v>
      </c>
      <c r="N223" s="13">
        <v>100</v>
      </c>
      <c r="O223" s="13">
        <v>0.44900000000000001</v>
      </c>
      <c r="P223" s="13">
        <v>0.77100000000000002</v>
      </c>
      <c r="Q223" s="13">
        <v>0.14299999999999999</v>
      </c>
      <c r="R223" s="13">
        <v>0.71499999999999997</v>
      </c>
      <c r="S223" s="13">
        <v>0.16800000000000001</v>
      </c>
      <c r="T223" s="13"/>
      <c r="U223" s="13" t="s">
        <v>22</v>
      </c>
      <c r="V223" s="13" t="s">
        <v>35</v>
      </c>
      <c r="W223" s="13">
        <v>3</v>
      </c>
      <c r="X223" s="13" t="s">
        <v>31</v>
      </c>
      <c r="Y223" s="12">
        <f t="shared" si="8"/>
        <v>0.59199999999999997</v>
      </c>
      <c r="Z223" s="13">
        <v>-0.32200000000000001</v>
      </c>
    </row>
    <row r="224" spans="1:26" x14ac:dyDescent="0.2">
      <c r="A224" s="13" t="s">
        <v>76</v>
      </c>
      <c r="B224" s="13">
        <v>3821.625</v>
      </c>
      <c r="C224" s="13">
        <v>99.653000000000006</v>
      </c>
      <c r="D224" s="13">
        <v>21.478999999999999</v>
      </c>
      <c r="E224" s="13">
        <v>4.2300000000000004</v>
      </c>
      <c r="F224" s="13">
        <v>160.202</v>
      </c>
      <c r="G224" s="13">
        <v>2.722</v>
      </c>
      <c r="H224" s="13">
        <v>7.2290000000000001</v>
      </c>
      <c r="I224" s="13">
        <v>3.7229999999999999</v>
      </c>
      <c r="J224" s="13">
        <v>141.75399999999999</v>
      </c>
      <c r="K224" s="13">
        <v>149.86500000000001</v>
      </c>
      <c r="L224" s="13">
        <v>5.0000000000000001E-3</v>
      </c>
      <c r="M224" s="13">
        <v>0.1</v>
      </c>
      <c r="N224" s="13">
        <v>100</v>
      </c>
      <c r="O224" s="13">
        <v>0.57499999999999996</v>
      </c>
      <c r="P224" s="13">
        <v>0.81599999999999995</v>
      </c>
      <c r="Q224" s="13">
        <v>0.221</v>
      </c>
      <c r="R224" s="13">
        <v>0.69</v>
      </c>
      <c r="S224" s="13">
        <v>0.23699999999999999</v>
      </c>
      <c r="T224" s="13"/>
      <c r="U224" s="13" t="s">
        <v>33</v>
      </c>
      <c r="V224" s="13" t="s">
        <v>35</v>
      </c>
      <c r="W224" s="13">
        <v>3</v>
      </c>
      <c r="X224" s="13" t="s">
        <v>31</v>
      </c>
      <c r="Y224" s="12">
        <f t="shared" si="8"/>
        <v>0.79599999999999993</v>
      </c>
      <c r="Z224" s="13">
        <v>-0.24099999999999999</v>
      </c>
    </row>
    <row r="225" spans="1:26" x14ac:dyDescent="0.2">
      <c r="A225" s="13" t="s">
        <v>76</v>
      </c>
      <c r="B225" s="13">
        <v>3821.75</v>
      </c>
      <c r="C225" s="13">
        <v>113.562</v>
      </c>
      <c r="D225" s="13">
        <v>21.494</v>
      </c>
      <c r="E225" s="13">
        <v>5.226</v>
      </c>
      <c r="F225" s="13">
        <v>164.89099999999999</v>
      </c>
      <c r="G225" s="13">
        <v>2.7149999999999999</v>
      </c>
      <c r="H225" s="13">
        <v>7.9169999999999998</v>
      </c>
      <c r="I225" s="13">
        <v>3.782</v>
      </c>
      <c r="J225" s="13">
        <v>135.01400000000001</v>
      </c>
      <c r="K225" s="13">
        <v>142.49100000000001</v>
      </c>
      <c r="L225" s="13">
        <v>0</v>
      </c>
      <c r="M225" s="13">
        <v>0.1</v>
      </c>
      <c r="N225" s="13">
        <v>100</v>
      </c>
      <c r="O225" s="13">
        <v>0.65200000000000002</v>
      </c>
      <c r="P225" s="13">
        <v>0.84099999999999997</v>
      </c>
      <c r="Q225" s="13">
        <v>0.309</v>
      </c>
      <c r="R225" s="13">
        <v>0.66600000000000004</v>
      </c>
      <c r="S225" s="13">
        <v>0.33700000000000002</v>
      </c>
      <c r="T225" s="13"/>
      <c r="U225" s="13" t="s">
        <v>33</v>
      </c>
      <c r="V225" s="13" t="s">
        <v>35</v>
      </c>
      <c r="W225" s="13">
        <v>3</v>
      </c>
      <c r="X225" s="13" t="s">
        <v>31</v>
      </c>
      <c r="Y225" s="12">
        <f t="shared" si="8"/>
        <v>0.96100000000000008</v>
      </c>
      <c r="Z225" s="13">
        <v>-0.18899999999999995</v>
      </c>
    </row>
    <row r="226" spans="1:26" x14ac:dyDescent="0.2">
      <c r="A226" s="13" t="s">
        <v>76</v>
      </c>
      <c r="B226" s="13">
        <v>3821.875</v>
      </c>
      <c r="C226" s="13">
        <v>119.43899999999999</v>
      </c>
      <c r="D226" s="13">
        <v>21.544</v>
      </c>
      <c r="E226" s="13">
        <v>5.8209999999999997</v>
      </c>
      <c r="F226" s="13">
        <v>169.751</v>
      </c>
      <c r="G226" s="13">
        <v>2.7109999999999999</v>
      </c>
      <c r="H226" s="13">
        <v>8.66</v>
      </c>
      <c r="I226" s="13">
        <v>3.7970000000000002</v>
      </c>
      <c r="J226" s="13">
        <v>129.23400000000001</v>
      </c>
      <c r="K226" s="13">
        <v>134.92099999999999</v>
      </c>
      <c r="L226" s="13">
        <v>0</v>
      </c>
      <c r="M226" s="13">
        <v>0.1</v>
      </c>
      <c r="N226" s="13">
        <v>100</v>
      </c>
      <c r="O226" s="13">
        <v>0.68500000000000005</v>
      </c>
      <c r="P226" s="13">
        <v>0.84299999999999997</v>
      </c>
      <c r="Q226" s="13">
        <v>0.39700000000000002</v>
      </c>
      <c r="R226" s="13">
        <v>0.65500000000000003</v>
      </c>
      <c r="S226" s="13">
        <v>0.441</v>
      </c>
      <c r="T226" s="13"/>
      <c r="U226" s="13" t="s">
        <v>33</v>
      </c>
      <c r="V226" s="13" t="s">
        <v>35</v>
      </c>
      <c r="W226" s="13">
        <v>3</v>
      </c>
      <c r="X226" s="13" t="s">
        <v>31</v>
      </c>
      <c r="Y226" s="12">
        <f t="shared" si="8"/>
        <v>1.0820000000000001</v>
      </c>
      <c r="Z226" s="13">
        <v>-0.15799999999999992</v>
      </c>
    </row>
    <row r="227" spans="1:26" x14ac:dyDescent="0.2">
      <c r="A227" s="13" t="s">
        <v>76</v>
      </c>
      <c r="B227" s="13">
        <v>3822</v>
      </c>
      <c r="C227" s="13">
        <v>122.167</v>
      </c>
      <c r="D227" s="13">
        <v>21.501000000000001</v>
      </c>
      <c r="E227" s="13">
        <v>5.8920000000000003</v>
      </c>
      <c r="F227" s="13">
        <v>174.221</v>
      </c>
      <c r="G227" s="13">
        <v>2.7109999999999999</v>
      </c>
      <c r="H227" s="13">
        <v>9.36</v>
      </c>
      <c r="I227" s="13">
        <v>3.7650000000000001</v>
      </c>
      <c r="J227" s="13">
        <v>107.498</v>
      </c>
      <c r="K227" s="13">
        <v>110.5</v>
      </c>
      <c r="L227" s="13">
        <v>0</v>
      </c>
      <c r="M227" s="13">
        <v>0</v>
      </c>
      <c r="N227" s="13">
        <v>100</v>
      </c>
      <c r="O227" s="13">
        <v>0.68899999999999995</v>
      </c>
      <c r="P227" s="13">
        <v>0.81899999999999995</v>
      </c>
      <c r="Q227" s="13">
        <v>0.47299999999999998</v>
      </c>
      <c r="R227" s="13">
        <v>0.66100000000000003</v>
      </c>
      <c r="S227" s="13">
        <v>0.53100000000000003</v>
      </c>
      <c r="T227" s="13"/>
      <c r="U227" s="13" t="s">
        <v>33</v>
      </c>
      <c r="V227" s="13" t="s">
        <v>35</v>
      </c>
      <c r="W227" s="13">
        <v>3</v>
      </c>
      <c r="X227" s="13" t="s">
        <v>31</v>
      </c>
      <c r="Y227" s="12">
        <f t="shared" si="8"/>
        <v>1.1619999999999999</v>
      </c>
      <c r="Z227" s="13">
        <v>-0.13</v>
      </c>
    </row>
    <row r="228" spans="1:26" x14ac:dyDescent="0.2">
      <c r="A228" s="13" t="s">
        <v>76</v>
      </c>
      <c r="B228" s="13">
        <v>3822.125</v>
      </c>
      <c r="C228" s="13">
        <v>117.023</v>
      </c>
      <c r="D228" s="13">
        <v>21.542000000000002</v>
      </c>
      <c r="E228" s="13">
        <v>5.1879999999999997</v>
      </c>
      <c r="F228" s="13">
        <v>177.52799999999999</v>
      </c>
      <c r="G228" s="13">
        <v>2.7170000000000001</v>
      </c>
      <c r="H228" s="13">
        <v>9.8030000000000008</v>
      </c>
      <c r="I228" s="13">
        <v>3.69</v>
      </c>
      <c r="J228" s="13">
        <v>92.423000000000002</v>
      </c>
      <c r="K228" s="13">
        <v>96.988</v>
      </c>
      <c r="L228" s="13">
        <v>0</v>
      </c>
      <c r="M228" s="13">
        <v>0</v>
      </c>
      <c r="N228" s="13">
        <v>100</v>
      </c>
      <c r="O228" s="13">
        <v>0.64200000000000002</v>
      </c>
      <c r="P228" s="13">
        <v>0.77500000000000002</v>
      </c>
      <c r="Q228" s="13">
        <v>0.52700000000000002</v>
      </c>
      <c r="R228" s="13">
        <v>0.69099999999999995</v>
      </c>
      <c r="S228" s="13">
        <v>0.57399999999999995</v>
      </c>
      <c r="T228" s="13"/>
      <c r="U228" s="13" t="s">
        <v>33</v>
      </c>
      <c r="V228" s="13" t="s">
        <v>35</v>
      </c>
      <c r="W228" s="13">
        <v>3</v>
      </c>
      <c r="X228" s="13" t="s">
        <v>31</v>
      </c>
      <c r="Y228" s="12">
        <f t="shared" si="8"/>
        <v>1.169</v>
      </c>
      <c r="Z228" s="13">
        <v>-0.13300000000000001</v>
      </c>
    </row>
    <row r="229" spans="1:26" x14ac:dyDescent="0.2">
      <c r="A229" s="13" t="s">
        <v>76</v>
      </c>
      <c r="B229" s="13">
        <v>3822.25</v>
      </c>
      <c r="C229" s="13">
        <v>104.426</v>
      </c>
      <c r="D229" s="13">
        <v>21.533999999999999</v>
      </c>
      <c r="E229" s="13">
        <v>4.4130000000000003</v>
      </c>
      <c r="F229" s="13">
        <v>179.375</v>
      </c>
      <c r="G229" s="13">
        <v>2.7290000000000001</v>
      </c>
      <c r="H229" s="13">
        <v>9.7349999999999994</v>
      </c>
      <c r="I229" s="13">
        <v>3.5939999999999999</v>
      </c>
      <c r="J229" s="13">
        <v>97.914000000000001</v>
      </c>
      <c r="K229" s="13">
        <v>103.504</v>
      </c>
      <c r="L229" s="13">
        <v>0</v>
      </c>
      <c r="M229" s="13">
        <v>0</v>
      </c>
      <c r="N229" s="13">
        <v>100</v>
      </c>
      <c r="O229" s="13">
        <v>0.53</v>
      </c>
      <c r="P229" s="13">
        <v>0.72199999999999998</v>
      </c>
      <c r="Q229" s="13">
        <v>0.55300000000000005</v>
      </c>
      <c r="R229" s="13">
        <v>0.74399999999999999</v>
      </c>
      <c r="S229" s="13">
        <v>0.55200000000000005</v>
      </c>
      <c r="T229" s="13"/>
      <c r="U229" s="13" t="s">
        <v>33</v>
      </c>
      <c r="V229" s="13" t="s">
        <v>35</v>
      </c>
      <c r="W229" s="13">
        <v>3</v>
      </c>
      <c r="X229" s="13" t="s">
        <v>31</v>
      </c>
      <c r="Y229" s="12">
        <f t="shared" si="8"/>
        <v>1.0830000000000002</v>
      </c>
      <c r="Z229" s="13">
        <v>-0.19199999999999995</v>
      </c>
    </row>
    <row r="230" spans="1:26" x14ac:dyDescent="0.2">
      <c r="A230" s="13" t="s">
        <v>76</v>
      </c>
      <c r="B230" s="13">
        <v>3822.375</v>
      </c>
      <c r="C230" s="13">
        <v>75.424999999999997</v>
      </c>
      <c r="D230" s="13">
        <v>21.634</v>
      </c>
      <c r="E230" s="13">
        <v>4.0860000000000003</v>
      </c>
      <c r="F230" s="13">
        <v>179.602</v>
      </c>
      <c r="G230" s="13">
        <v>2.7469999999999999</v>
      </c>
      <c r="H230" s="13">
        <v>9.3539999999999992</v>
      </c>
      <c r="I230" s="13">
        <v>3.4929999999999999</v>
      </c>
      <c r="J230" s="13">
        <v>106.956</v>
      </c>
      <c r="K230" s="13">
        <v>113.211</v>
      </c>
      <c r="L230" s="13">
        <v>0</v>
      </c>
      <c r="M230" s="13">
        <v>0</v>
      </c>
      <c r="N230" s="13">
        <v>100</v>
      </c>
      <c r="O230" s="13">
        <v>0.33900000000000002</v>
      </c>
      <c r="P230" s="13">
        <v>0.66700000000000004</v>
      </c>
      <c r="Q230" s="13">
        <v>0.54900000000000004</v>
      </c>
      <c r="R230" s="13">
        <v>0.81399999999999995</v>
      </c>
      <c r="S230" s="13">
        <v>0.496</v>
      </c>
      <c r="T230" s="13"/>
      <c r="U230" s="13" t="s">
        <v>33</v>
      </c>
      <c r="V230" s="13" t="s">
        <v>35</v>
      </c>
      <c r="W230" s="13">
        <v>3</v>
      </c>
      <c r="X230" s="13" t="s">
        <v>31</v>
      </c>
      <c r="Y230" s="12">
        <f t="shared" si="8"/>
        <v>0.88800000000000012</v>
      </c>
      <c r="Z230" s="13">
        <v>-0.32800000000000001</v>
      </c>
    </row>
    <row r="231" spans="1:26" x14ac:dyDescent="0.2">
      <c r="A231" s="13" t="s">
        <v>77</v>
      </c>
      <c r="B231" s="13">
        <v>3381.375</v>
      </c>
      <c r="C231" s="13">
        <v>74.566999999999993</v>
      </c>
      <c r="D231" s="13">
        <v>22.103000000000002</v>
      </c>
      <c r="E231" s="13">
        <v>4.1619999999999999</v>
      </c>
      <c r="F231" s="13">
        <v>170.98500000000001</v>
      </c>
      <c r="G231" s="13">
        <v>2.7450000000000001</v>
      </c>
      <c r="H231" s="13">
        <v>6.2839999999999998</v>
      </c>
      <c r="I231" s="13">
        <v>3.149</v>
      </c>
      <c r="J231" s="13">
        <v>326.69</v>
      </c>
      <c r="K231" s="13">
        <v>355.09800000000001</v>
      </c>
      <c r="L231" s="13">
        <v>0</v>
      </c>
      <c r="M231" s="13">
        <v>0</v>
      </c>
      <c r="N231" s="13">
        <v>100</v>
      </c>
      <c r="O231" s="13">
        <v>0.434</v>
      </c>
      <c r="P231" s="13">
        <v>0.46700000000000003</v>
      </c>
      <c r="Q231" s="13">
        <v>0.27400000000000002</v>
      </c>
      <c r="R231" s="13">
        <v>0.68500000000000005</v>
      </c>
      <c r="S231" s="13">
        <v>0.82899999999999996</v>
      </c>
      <c r="T231" s="13"/>
      <c r="U231" s="13" t="s">
        <v>33</v>
      </c>
      <c r="V231" s="13" t="s">
        <v>35</v>
      </c>
      <c r="W231" s="13">
        <v>4</v>
      </c>
      <c r="X231" s="13" t="s">
        <v>85</v>
      </c>
      <c r="Y231" s="12">
        <f t="shared" si="8"/>
        <v>0.70799999999999996</v>
      </c>
      <c r="Z231" s="13">
        <v>-3.3000000000000029E-2</v>
      </c>
    </row>
    <row r="232" spans="1:26" x14ac:dyDescent="0.2">
      <c r="A232" s="13" t="s">
        <v>77</v>
      </c>
      <c r="B232" s="13">
        <v>3381.5</v>
      </c>
      <c r="C232" s="13">
        <v>87.08</v>
      </c>
      <c r="D232" s="13">
        <v>22.231000000000002</v>
      </c>
      <c r="E232" s="13">
        <v>4.5419999999999998</v>
      </c>
      <c r="F232" s="13">
        <v>174.51300000000001</v>
      </c>
      <c r="G232" s="13">
        <v>2.74</v>
      </c>
      <c r="H232" s="13">
        <v>6.4720000000000004</v>
      </c>
      <c r="I232" s="13">
        <v>3.121</v>
      </c>
      <c r="J232" s="13">
        <v>275.03300000000002</v>
      </c>
      <c r="K232" s="13">
        <v>298.94900000000001</v>
      </c>
      <c r="L232" s="13">
        <v>0</v>
      </c>
      <c r="M232" s="13">
        <v>0</v>
      </c>
      <c r="N232" s="13">
        <v>100</v>
      </c>
      <c r="O232" s="13">
        <v>0.52</v>
      </c>
      <c r="P232" s="13">
        <v>0.434</v>
      </c>
      <c r="Q232" s="13">
        <v>0.34699999999999998</v>
      </c>
      <c r="R232" s="13">
        <v>0.66800000000000004</v>
      </c>
      <c r="S232" s="13">
        <v>0.86899999999999999</v>
      </c>
      <c r="T232" s="13"/>
      <c r="U232" s="13" t="s">
        <v>33</v>
      </c>
      <c r="V232" s="13" t="s">
        <v>35</v>
      </c>
      <c r="W232" s="13">
        <v>4</v>
      </c>
      <c r="X232" s="13" t="s">
        <v>85</v>
      </c>
      <c r="Y232" s="12">
        <f t="shared" si="8"/>
        <v>0.86699999999999999</v>
      </c>
      <c r="Z232" s="13">
        <v>8.6000000000000021E-2</v>
      </c>
    </row>
    <row r="233" spans="1:26" x14ac:dyDescent="0.2">
      <c r="A233" s="13" t="s">
        <v>77</v>
      </c>
      <c r="B233" s="13">
        <v>3381.625</v>
      </c>
      <c r="C233" s="13">
        <v>91.706999999999994</v>
      </c>
      <c r="D233" s="13">
        <v>22.390999999999998</v>
      </c>
      <c r="E233" s="13">
        <v>4.5750000000000002</v>
      </c>
      <c r="F233" s="13">
        <v>177.38499999999999</v>
      </c>
      <c r="G233" s="13">
        <v>2.7320000000000002</v>
      </c>
      <c r="H233" s="13">
        <v>6.68</v>
      </c>
      <c r="I233" s="13">
        <v>3.097</v>
      </c>
      <c r="J233" s="13">
        <v>188.6</v>
      </c>
      <c r="K233" s="13">
        <v>205</v>
      </c>
      <c r="L233" s="13">
        <v>0</v>
      </c>
      <c r="M233" s="13">
        <v>0</v>
      </c>
      <c r="N233" s="13">
        <v>100</v>
      </c>
      <c r="O233" s="13">
        <v>0.55300000000000005</v>
      </c>
      <c r="P233" s="13">
        <v>0.36399999999999999</v>
      </c>
      <c r="Q233" s="13">
        <v>0.40699999999999997</v>
      </c>
      <c r="R233" s="13">
        <v>0.64100000000000001</v>
      </c>
      <c r="S233" s="13">
        <v>0.91200000000000003</v>
      </c>
      <c r="T233" s="13"/>
      <c r="U233" s="13" t="s">
        <v>33</v>
      </c>
      <c r="V233" s="13" t="s">
        <v>35</v>
      </c>
      <c r="W233" s="13">
        <v>4</v>
      </c>
      <c r="X233" s="13" t="s">
        <v>85</v>
      </c>
      <c r="Y233" s="12">
        <f t="shared" si="8"/>
        <v>0.96</v>
      </c>
      <c r="Z233" s="13">
        <v>0.18900000000000006</v>
      </c>
    </row>
    <row r="234" spans="1:26" x14ac:dyDescent="0.2">
      <c r="A234" s="13" t="s">
        <v>77</v>
      </c>
      <c r="B234" s="13">
        <v>3381.75</v>
      </c>
      <c r="C234" s="13">
        <v>94.456999999999994</v>
      </c>
      <c r="D234" s="13">
        <v>22.692</v>
      </c>
      <c r="E234" s="13">
        <v>4.4279999999999999</v>
      </c>
      <c r="F234" s="13">
        <v>178.75899999999999</v>
      </c>
      <c r="G234" s="13">
        <v>2.722</v>
      </c>
      <c r="H234" s="13">
        <v>6.7720000000000002</v>
      </c>
      <c r="I234" s="13">
        <v>3.077</v>
      </c>
      <c r="J234" s="13">
        <v>114.07599999999999</v>
      </c>
      <c r="K234" s="13">
        <v>123.996</v>
      </c>
      <c r="L234" s="13">
        <v>0</v>
      </c>
      <c r="M234" s="13">
        <v>0</v>
      </c>
      <c r="N234" s="13">
        <v>100</v>
      </c>
      <c r="O234" s="13">
        <v>0.57099999999999995</v>
      </c>
      <c r="P234" s="13">
        <v>0.27400000000000002</v>
      </c>
      <c r="Q234" s="13">
        <v>0.434</v>
      </c>
      <c r="R234" s="13">
        <v>0.60599999999999998</v>
      </c>
      <c r="S234" s="13">
        <v>0.93</v>
      </c>
      <c r="T234" s="13"/>
      <c r="U234" s="13" t="s">
        <v>33</v>
      </c>
      <c r="V234" s="13" t="s">
        <v>35</v>
      </c>
      <c r="W234" s="13">
        <v>4</v>
      </c>
      <c r="X234" s="13" t="s">
        <v>85</v>
      </c>
      <c r="Y234" s="12">
        <f t="shared" si="8"/>
        <v>1.0049999999999999</v>
      </c>
      <c r="Z234" s="13">
        <v>0.29699999999999993</v>
      </c>
    </row>
    <row r="235" spans="1:26" x14ac:dyDescent="0.2">
      <c r="A235" s="13" t="s">
        <v>77</v>
      </c>
      <c r="B235" s="13">
        <v>3381.875</v>
      </c>
      <c r="C235" s="13">
        <v>90.433999999999997</v>
      </c>
      <c r="D235" s="13">
        <v>22.960999999999999</v>
      </c>
      <c r="E235" s="13">
        <v>4.01</v>
      </c>
      <c r="F235" s="13">
        <v>178.136</v>
      </c>
      <c r="G235" s="13">
        <v>2.7120000000000002</v>
      </c>
      <c r="H235" s="13">
        <v>6.617</v>
      </c>
      <c r="I235" s="13">
        <v>3.0640000000000001</v>
      </c>
      <c r="J235" s="13">
        <v>102.384</v>
      </c>
      <c r="K235" s="13">
        <v>111.28700000000001</v>
      </c>
      <c r="L235" s="13">
        <v>0</v>
      </c>
      <c r="M235" s="13">
        <v>0</v>
      </c>
      <c r="N235" s="13">
        <v>100</v>
      </c>
      <c r="O235" s="13">
        <v>0.54100000000000004</v>
      </c>
      <c r="P235" s="13">
        <v>0.255</v>
      </c>
      <c r="Q235" s="13">
        <v>0.42</v>
      </c>
      <c r="R235" s="13">
        <v>0.57199999999999995</v>
      </c>
      <c r="S235" s="13">
        <v>0.89500000000000002</v>
      </c>
      <c r="T235" s="13"/>
      <c r="U235" s="13" t="s">
        <v>33</v>
      </c>
      <c r="V235" s="13" t="s">
        <v>35</v>
      </c>
      <c r="W235" s="13">
        <v>4</v>
      </c>
      <c r="X235" s="13" t="s">
        <v>85</v>
      </c>
      <c r="Y235" s="12">
        <f t="shared" si="8"/>
        <v>0.96100000000000008</v>
      </c>
      <c r="Z235" s="13">
        <v>0.28600000000000003</v>
      </c>
    </row>
    <row r="236" spans="1:26" x14ac:dyDescent="0.2">
      <c r="A236" s="13" t="s">
        <v>77</v>
      </c>
      <c r="B236" s="13">
        <v>3382</v>
      </c>
      <c r="C236" s="13">
        <v>81.138000000000005</v>
      </c>
      <c r="D236" s="13">
        <v>22.844999999999999</v>
      </c>
      <c r="E236" s="13">
        <v>3.5819999999999999</v>
      </c>
      <c r="F236" s="13">
        <v>175.56399999999999</v>
      </c>
      <c r="G236" s="13">
        <v>2.7029999999999998</v>
      </c>
      <c r="H236" s="13">
        <v>6.1529999999999996</v>
      </c>
      <c r="I236" s="13">
        <v>3.0590000000000002</v>
      </c>
      <c r="J236" s="13">
        <v>105.764</v>
      </c>
      <c r="K236" s="13">
        <v>114.961</v>
      </c>
      <c r="L236" s="13">
        <v>0</v>
      </c>
      <c r="M236" s="13">
        <v>0</v>
      </c>
      <c r="N236" s="13">
        <v>100</v>
      </c>
      <c r="O236" s="13">
        <v>0.47299999999999998</v>
      </c>
      <c r="P236" s="13">
        <v>0.26100000000000001</v>
      </c>
      <c r="Q236" s="13">
        <v>0.36499999999999999</v>
      </c>
      <c r="R236" s="13">
        <v>0.54200000000000004</v>
      </c>
      <c r="S236" s="13">
        <v>0.79600000000000004</v>
      </c>
      <c r="T236" s="13"/>
      <c r="U236" s="13" t="s">
        <v>33</v>
      </c>
      <c r="V236" s="13" t="s">
        <v>35</v>
      </c>
      <c r="W236" s="13">
        <v>4</v>
      </c>
      <c r="X236" s="13" t="s">
        <v>85</v>
      </c>
      <c r="Y236" s="12">
        <f t="shared" si="8"/>
        <v>0.83799999999999997</v>
      </c>
      <c r="Z236" s="13">
        <v>0.21199999999999997</v>
      </c>
    </row>
    <row r="237" spans="1:26" x14ac:dyDescent="0.2">
      <c r="A237" s="13" t="s">
        <v>77</v>
      </c>
      <c r="B237" s="13">
        <v>3382.125</v>
      </c>
      <c r="C237" s="13">
        <v>63.762999999999998</v>
      </c>
      <c r="D237" s="13">
        <v>22.745000000000001</v>
      </c>
      <c r="E237" s="13">
        <v>3.218</v>
      </c>
      <c r="F237" s="13">
        <v>171.55500000000001</v>
      </c>
      <c r="G237" s="13">
        <v>2.7</v>
      </c>
      <c r="H237" s="13">
        <v>5.4</v>
      </c>
      <c r="I237" s="13">
        <v>3.0659999999999998</v>
      </c>
      <c r="J237" s="13">
        <v>111.812</v>
      </c>
      <c r="K237" s="13">
        <v>121.535</v>
      </c>
      <c r="L237" s="13">
        <v>0</v>
      </c>
      <c r="M237" s="13">
        <v>0</v>
      </c>
      <c r="N237" s="13">
        <v>100</v>
      </c>
      <c r="O237" s="13">
        <v>0.35</v>
      </c>
      <c r="P237" s="13">
        <v>0.27200000000000002</v>
      </c>
      <c r="Q237" s="13">
        <v>0.28100000000000003</v>
      </c>
      <c r="R237" s="13">
        <v>0.53300000000000003</v>
      </c>
      <c r="S237" s="13">
        <v>0.63600000000000001</v>
      </c>
      <c r="T237" s="13"/>
      <c r="U237" s="13" t="s">
        <v>33</v>
      </c>
      <c r="V237" s="13" t="s">
        <v>35</v>
      </c>
      <c r="W237" s="13">
        <v>4</v>
      </c>
      <c r="X237" s="13" t="s">
        <v>85</v>
      </c>
      <c r="Y237" s="12">
        <f t="shared" si="8"/>
        <v>0.63100000000000001</v>
      </c>
      <c r="Z237" s="13">
        <v>7.7999999999999958E-2</v>
      </c>
    </row>
    <row r="238" spans="1:26" x14ac:dyDescent="0.2">
      <c r="A238" s="13" t="s">
        <v>77</v>
      </c>
      <c r="B238" s="13">
        <v>3384.375</v>
      </c>
      <c r="C238" s="13">
        <v>62.625999999999998</v>
      </c>
      <c r="D238" s="13">
        <v>22.332999999999998</v>
      </c>
      <c r="E238" s="13">
        <v>3.0649999999999999</v>
      </c>
      <c r="F238" s="13">
        <v>168.065</v>
      </c>
      <c r="G238" s="13">
        <v>2.78</v>
      </c>
      <c r="H238" s="13">
        <v>4.907</v>
      </c>
      <c r="I238" s="13">
        <v>3.081</v>
      </c>
      <c r="J238" s="13">
        <v>161.815</v>
      </c>
      <c r="K238" s="13">
        <v>175.886</v>
      </c>
      <c r="L238" s="13">
        <v>0</v>
      </c>
      <c r="M238" s="13">
        <v>0</v>
      </c>
      <c r="N238" s="13">
        <v>100</v>
      </c>
      <c r="O238" s="13">
        <v>0.35</v>
      </c>
      <c r="P238" s="13">
        <v>0.33800000000000002</v>
      </c>
      <c r="Q238" s="13">
        <v>0.21099999999999999</v>
      </c>
      <c r="R238" s="13">
        <v>0.80500000000000005</v>
      </c>
      <c r="S238" s="13">
        <v>0.53900000000000003</v>
      </c>
      <c r="T238" s="13"/>
      <c r="U238" s="13" t="s">
        <v>33</v>
      </c>
      <c r="V238" s="13" t="s">
        <v>34</v>
      </c>
      <c r="W238" s="13">
        <v>7</v>
      </c>
      <c r="X238" s="13" t="s">
        <v>85</v>
      </c>
      <c r="Y238" s="12">
        <f t="shared" si="8"/>
        <v>0.56099999999999994</v>
      </c>
      <c r="Z238" s="13">
        <v>1.1999999999999955E-2</v>
      </c>
    </row>
    <row r="239" spans="1:26" x14ac:dyDescent="0.2">
      <c r="A239" s="13" t="s">
        <v>77</v>
      </c>
      <c r="B239" s="13">
        <v>3384.5</v>
      </c>
      <c r="C239" s="13">
        <v>80.792000000000002</v>
      </c>
      <c r="D239" s="13">
        <v>22.309000000000001</v>
      </c>
      <c r="E239" s="13">
        <v>3.181</v>
      </c>
      <c r="F239" s="13">
        <v>169.81800000000001</v>
      </c>
      <c r="G239" s="13">
        <v>2.7730000000000001</v>
      </c>
      <c r="H239" s="13">
        <v>5.069</v>
      </c>
      <c r="I239" s="13">
        <v>3.0859999999999999</v>
      </c>
      <c r="J239" s="13">
        <v>132.30199999999999</v>
      </c>
      <c r="K239" s="13">
        <v>143.80600000000001</v>
      </c>
      <c r="L239" s="13">
        <v>0</v>
      </c>
      <c r="M239" s="13">
        <v>0</v>
      </c>
      <c r="N239" s="13">
        <v>100</v>
      </c>
      <c r="O239" s="13">
        <v>0.47899999999999998</v>
      </c>
      <c r="P239" s="13">
        <v>0.30199999999999999</v>
      </c>
      <c r="Q239" s="13">
        <v>0.248</v>
      </c>
      <c r="R239" s="13">
        <v>0.78100000000000003</v>
      </c>
      <c r="S239" s="13">
        <v>0.57299999999999995</v>
      </c>
      <c r="T239" s="13"/>
      <c r="U239" s="13" t="s">
        <v>33</v>
      </c>
      <c r="V239" s="13" t="s">
        <v>34</v>
      </c>
      <c r="W239" s="13">
        <v>7</v>
      </c>
      <c r="X239" s="13" t="s">
        <v>85</v>
      </c>
      <c r="Y239" s="12">
        <f t="shared" si="8"/>
        <v>0.72699999999999998</v>
      </c>
      <c r="Z239" s="13">
        <v>0.17699999999999999</v>
      </c>
    </row>
    <row r="240" spans="1:26" x14ac:dyDescent="0.2">
      <c r="A240" s="13" t="s">
        <v>77</v>
      </c>
      <c r="B240" s="13">
        <v>3384.625</v>
      </c>
      <c r="C240" s="13">
        <v>98.073999999999998</v>
      </c>
      <c r="D240" s="13">
        <v>22.332999999999998</v>
      </c>
      <c r="E240" s="13">
        <v>3.2519999999999998</v>
      </c>
      <c r="F240" s="13">
        <v>171.02099999999999</v>
      </c>
      <c r="G240" s="13">
        <v>2.7679999999999998</v>
      </c>
      <c r="H240" s="13">
        <v>5.2590000000000003</v>
      </c>
      <c r="I240" s="13">
        <v>3.109</v>
      </c>
      <c r="J240" s="13">
        <v>119.402</v>
      </c>
      <c r="K240" s="13">
        <v>129.785</v>
      </c>
      <c r="L240" s="13">
        <v>0</v>
      </c>
      <c r="M240" s="13">
        <v>0</v>
      </c>
      <c r="N240" s="13">
        <v>100</v>
      </c>
      <c r="O240" s="13">
        <v>0.59699999999999998</v>
      </c>
      <c r="P240" s="13">
        <v>0.28299999999999997</v>
      </c>
      <c r="Q240" s="13">
        <v>0.27300000000000002</v>
      </c>
      <c r="R240" s="13">
        <v>0.76400000000000001</v>
      </c>
      <c r="S240" s="13">
        <v>0.61299999999999999</v>
      </c>
      <c r="T240" s="13"/>
      <c r="U240" s="13" t="s">
        <v>33</v>
      </c>
      <c r="V240" s="13" t="s">
        <v>34</v>
      </c>
      <c r="W240" s="13">
        <v>7</v>
      </c>
      <c r="X240" s="13" t="s">
        <v>85</v>
      </c>
      <c r="Y240" s="12">
        <f t="shared" si="8"/>
        <v>0.87</v>
      </c>
      <c r="Z240" s="13">
        <v>0.314</v>
      </c>
    </row>
    <row r="241" spans="1:26" x14ac:dyDescent="0.2">
      <c r="A241" s="13" t="s">
        <v>77</v>
      </c>
      <c r="B241" s="13">
        <v>3384.75</v>
      </c>
      <c r="C241" s="13">
        <v>95.048000000000002</v>
      </c>
      <c r="D241" s="13">
        <v>22.347000000000001</v>
      </c>
      <c r="E241" s="13">
        <v>3.1970000000000001</v>
      </c>
      <c r="F241" s="13">
        <v>171.79300000000001</v>
      </c>
      <c r="G241" s="13">
        <v>2.766</v>
      </c>
      <c r="H241" s="13">
        <v>5.407</v>
      </c>
      <c r="I241" s="13">
        <v>3.1459999999999999</v>
      </c>
      <c r="J241" s="13">
        <v>118.075</v>
      </c>
      <c r="K241" s="13">
        <v>128.34299999999999</v>
      </c>
      <c r="L241" s="13">
        <v>0</v>
      </c>
      <c r="M241" s="13">
        <v>0</v>
      </c>
      <c r="N241" s="13">
        <v>100</v>
      </c>
      <c r="O241" s="13">
        <v>0.57199999999999995</v>
      </c>
      <c r="P241" s="13">
        <v>0.28100000000000003</v>
      </c>
      <c r="Q241" s="13">
        <v>0.28899999999999998</v>
      </c>
      <c r="R241" s="13">
        <v>0.75800000000000001</v>
      </c>
      <c r="S241" s="13">
        <v>0.64300000000000002</v>
      </c>
      <c r="T241" s="13"/>
      <c r="U241" s="13" t="s">
        <v>33</v>
      </c>
      <c r="V241" s="13" t="s">
        <v>34</v>
      </c>
      <c r="W241" s="13">
        <v>7</v>
      </c>
      <c r="X241" s="13" t="s">
        <v>85</v>
      </c>
      <c r="Y241" s="12">
        <f t="shared" si="8"/>
        <v>0.86099999999999999</v>
      </c>
      <c r="Z241" s="13">
        <v>0.29099999999999993</v>
      </c>
    </row>
    <row r="242" spans="1:26" x14ac:dyDescent="0.2">
      <c r="A242" s="13" t="s">
        <v>77</v>
      </c>
      <c r="B242" s="13">
        <v>3384.875</v>
      </c>
      <c r="C242" s="13">
        <v>76.126999999999995</v>
      </c>
      <c r="D242" s="13">
        <v>22.327999999999999</v>
      </c>
      <c r="E242" s="13">
        <v>3.15</v>
      </c>
      <c r="F242" s="13">
        <v>172.334</v>
      </c>
      <c r="G242" s="13">
        <v>2.7690000000000001</v>
      </c>
      <c r="H242" s="13">
        <v>5.4279999999999999</v>
      </c>
      <c r="I242" s="13">
        <v>3.1960000000000002</v>
      </c>
      <c r="J242" s="13">
        <v>120.39</v>
      </c>
      <c r="K242" s="13">
        <v>130.85900000000001</v>
      </c>
      <c r="L242" s="13">
        <v>0</v>
      </c>
      <c r="M242" s="13">
        <v>0</v>
      </c>
      <c r="N242" s="13">
        <v>100</v>
      </c>
      <c r="O242" s="13">
        <v>0.438</v>
      </c>
      <c r="P242" s="13">
        <v>0.28599999999999998</v>
      </c>
      <c r="Q242" s="13">
        <v>0.3</v>
      </c>
      <c r="R242" s="13">
        <v>0.76900000000000002</v>
      </c>
      <c r="S242" s="13">
        <v>0.64700000000000002</v>
      </c>
      <c r="T242" s="13"/>
      <c r="U242" s="13" t="s">
        <v>33</v>
      </c>
      <c r="V242" s="13" t="s">
        <v>34</v>
      </c>
      <c r="W242" s="13">
        <v>7</v>
      </c>
      <c r="X242" s="13" t="s">
        <v>85</v>
      </c>
      <c r="Y242" s="12">
        <f t="shared" si="8"/>
        <v>0.73799999999999999</v>
      </c>
      <c r="Z242" s="13">
        <v>0.15200000000000002</v>
      </c>
    </row>
    <row r="243" spans="1:26" x14ac:dyDescent="0.2">
      <c r="A243" s="13" t="s">
        <v>79</v>
      </c>
      <c r="B243" s="13">
        <v>3377.625</v>
      </c>
      <c r="C243" s="13">
        <v>52.747</v>
      </c>
      <c r="D243" s="13">
        <v>24.175999999999998</v>
      </c>
      <c r="E243" s="13">
        <v>3.274</v>
      </c>
      <c r="F243" s="13">
        <v>157.958</v>
      </c>
      <c r="G243" s="13">
        <v>2.7610000000000001</v>
      </c>
      <c r="H243" s="13">
        <v>7.3250000000000002</v>
      </c>
      <c r="I243" s="13">
        <v>2.7890000000000001</v>
      </c>
      <c r="J243" s="13">
        <v>310.21600000000001</v>
      </c>
      <c r="K243" s="13">
        <v>321.80399999999997</v>
      </c>
      <c r="L243" s="13">
        <v>0.27700000000000002</v>
      </c>
      <c r="M243" s="13">
        <v>3.0000000000000001E-3</v>
      </c>
      <c r="N243" s="13">
        <v>100</v>
      </c>
      <c r="O243" s="13">
        <v>0.30299999999999999</v>
      </c>
      <c r="P243" s="13">
        <v>0.17299999999999999</v>
      </c>
      <c r="Q243" s="13">
        <v>9.9000000000000005E-2</v>
      </c>
      <c r="R243" s="13">
        <v>0.50700000000000001</v>
      </c>
      <c r="S243" s="13">
        <v>0.46700000000000003</v>
      </c>
      <c r="T243" s="13"/>
      <c r="U243" s="13" t="s">
        <v>33</v>
      </c>
      <c r="V243" s="13" t="s">
        <v>35</v>
      </c>
      <c r="W243" s="13">
        <v>3</v>
      </c>
      <c r="X243" s="13" t="s">
        <v>85</v>
      </c>
      <c r="Y243" s="12">
        <f t="shared" si="8"/>
        <v>0.40200000000000002</v>
      </c>
      <c r="Z243" s="13">
        <v>0.13</v>
      </c>
    </row>
    <row r="244" spans="1:26" x14ac:dyDescent="0.2">
      <c r="A244" s="13" t="s">
        <v>79</v>
      </c>
      <c r="B244" s="13">
        <v>3377.75</v>
      </c>
      <c r="C244" s="13">
        <v>69.89</v>
      </c>
      <c r="D244" s="13">
        <v>24.045000000000002</v>
      </c>
      <c r="E244" s="13">
        <v>3.91</v>
      </c>
      <c r="F244" s="13">
        <v>161.71100000000001</v>
      </c>
      <c r="G244" s="13">
        <v>2.7480000000000002</v>
      </c>
      <c r="H244" s="13">
        <v>7.5019999999999998</v>
      </c>
      <c r="I244" s="13">
        <v>2.8</v>
      </c>
      <c r="J244" s="13">
        <v>223.19800000000001</v>
      </c>
      <c r="K244" s="13">
        <v>233.22300000000001</v>
      </c>
      <c r="L244" s="13">
        <v>0.01</v>
      </c>
      <c r="M244" s="13">
        <v>1E-3</v>
      </c>
      <c r="N244" s="13">
        <v>100</v>
      </c>
      <c r="O244" s="13">
        <v>0.42399999999999999</v>
      </c>
      <c r="P244" s="13">
        <v>0.17799999999999999</v>
      </c>
      <c r="Q244" s="13">
        <v>0.13700000000000001</v>
      </c>
      <c r="R244" s="13">
        <v>0.47299999999999998</v>
      </c>
      <c r="S244" s="13">
        <v>0.48099999999999998</v>
      </c>
      <c r="T244" s="13"/>
      <c r="U244" s="13" t="s">
        <v>33</v>
      </c>
      <c r="V244" s="13" t="s">
        <v>35</v>
      </c>
      <c r="W244" s="13">
        <v>3</v>
      </c>
      <c r="X244" s="13" t="s">
        <v>85</v>
      </c>
      <c r="Y244" s="12">
        <f t="shared" si="8"/>
        <v>0.56099999999999994</v>
      </c>
      <c r="Z244" s="13">
        <v>0.246</v>
      </c>
    </row>
    <row r="245" spans="1:26" x14ac:dyDescent="0.2">
      <c r="A245" s="13" t="s">
        <v>79</v>
      </c>
      <c r="B245" s="13">
        <v>3377.875</v>
      </c>
      <c r="C245" s="13">
        <v>82.876000000000005</v>
      </c>
      <c r="D245" s="13">
        <v>23.956</v>
      </c>
      <c r="E245" s="13">
        <v>4.4020000000000001</v>
      </c>
      <c r="F245" s="13">
        <v>166.369</v>
      </c>
      <c r="G245" s="13">
        <v>2.74</v>
      </c>
      <c r="H245" s="13">
        <v>7.9050000000000002</v>
      </c>
      <c r="I245" s="13">
        <v>2.798</v>
      </c>
      <c r="J245" s="13">
        <v>172.422</v>
      </c>
      <c r="K245" s="13">
        <v>179.94</v>
      </c>
      <c r="L245" s="13">
        <v>0.01</v>
      </c>
      <c r="M245" s="13">
        <v>1E-3</v>
      </c>
      <c r="N245" s="13">
        <v>100</v>
      </c>
      <c r="O245" s="13">
        <v>0.51400000000000001</v>
      </c>
      <c r="P245" s="13">
        <v>0.17699999999999999</v>
      </c>
      <c r="Q245" s="13">
        <v>0.183</v>
      </c>
      <c r="R245" s="13">
        <v>0.45200000000000001</v>
      </c>
      <c r="S245" s="13">
        <v>0.51100000000000001</v>
      </c>
      <c r="T245" s="13"/>
      <c r="U245" s="13" t="s">
        <v>33</v>
      </c>
      <c r="V245" s="13" t="s">
        <v>35</v>
      </c>
      <c r="W245" s="13">
        <v>3</v>
      </c>
      <c r="X245" s="13" t="s">
        <v>85</v>
      </c>
      <c r="Y245" s="12">
        <f t="shared" si="8"/>
        <v>0.69700000000000006</v>
      </c>
      <c r="Z245" s="13">
        <v>0.33700000000000002</v>
      </c>
    </row>
    <row r="246" spans="1:26" x14ac:dyDescent="0.2">
      <c r="A246" s="13" t="s">
        <v>79</v>
      </c>
      <c r="B246" s="13">
        <v>3378</v>
      </c>
      <c r="C246" s="13">
        <v>88.453999999999994</v>
      </c>
      <c r="D246" s="13">
        <v>23.8</v>
      </c>
      <c r="E246" s="13">
        <v>4.5529999999999999</v>
      </c>
      <c r="F246" s="13">
        <v>170.965</v>
      </c>
      <c r="G246" s="13">
        <v>2.738</v>
      </c>
      <c r="H246" s="13">
        <v>8.4969999999999999</v>
      </c>
      <c r="I246" s="13">
        <v>2.794</v>
      </c>
      <c r="J246" s="13">
        <v>152.00399999999999</v>
      </c>
      <c r="K246" s="13">
        <v>156.697</v>
      </c>
      <c r="L246" s="13">
        <v>0.01</v>
      </c>
      <c r="M246" s="13">
        <v>1E-3</v>
      </c>
      <c r="N246" s="13">
        <v>100</v>
      </c>
      <c r="O246" s="13">
        <v>0.55000000000000004</v>
      </c>
      <c r="P246" s="13">
        <v>0.17599999999999999</v>
      </c>
      <c r="Q246" s="13">
        <v>0.22600000000000001</v>
      </c>
      <c r="R246" s="13">
        <v>0.44500000000000001</v>
      </c>
      <c r="S246" s="13">
        <v>0.55200000000000005</v>
      </c>
      <c r="T246" s="13"/>
      <c r="U246" s="13" t="s">
        <v>33</v>
      </c>
      <c r="V246" s="13" t="s">
        <v>35</v>
      </c>
      <c r="W246" s="13">
        <v>3</v>
      </c>
      <c r="X246" s="13" t="s">
        <v>85</v>
      </c>
      <c r="Y246" s="12">
        <f t="shared" si="8"/>
        <v>0.77600000000000002</v>
      </c>
      <c r="Z246" s="13">
        <v>0.37400000000000005</v>
      </c>
    </row>
    <row r="247" spans="1:26" x14ac:dyDescent="0.2">
      <c r="A247" s="13" t="s">
        <v>79</v>
      </c>
      <c r="B247" s="13">
        <v>3378.125</v>
      </c>
      <c r="C247" s="13">
        <v>85.625</v>
      </c>
      <c r="D247" s="13">
        <v>23.606999999999999</v>
      </c>
      <c r="E247" s="13">
        <v>4.2350000000000003</v>
      </c>
      <c r="F247" s="13">
        <v>173.00299999999999</v>
      </c>
      <c r="G247" s="13">
        <v>2.7269999999999999</v>
      </c>
      <c r="H247" s="13">
        <v>8.8640000000000008</v>
      </c>
      <c r="I247" s="13">
        <v>2.8170000000000002</v>
      </c>
      <c r="J247" s="13">
        <v>156.571</v>
      </c>
      <c r="K247" s="13">
        <v>164.364</v>
      </c>
      <c r="L247" s="13">
        <v>0.01</v>
      </c>
      <c r="M247" s="13">
        <v>1E-3</v>
      </c>
      <c r="N247" s="13">
        <v>100</v>
      </c>
      <c r="O247" s="13">
        <v>0.52600000000000002</v>
      </c>
      <c r="P247" s="13">
        <v>0.189</v>
      </c>
      <c r="Q247" s="13">
        <v>0.24399999999999999</v>
      </c>
      <c r="R247" s="13">
        <v>0.41599999999999998</v>
      </c>
      <c r="S247" s="13">
        <v>0.57399999999999995</v>
      </c>
      <c r="T247" s="13"/>
      <c r="U247" s="13" t="s">
        <v>33</v>
      </c>
      <c r="V247" s="13" t="s">
        <v>35</v>
      </c>
      <c r="W247" s="13">
        <v>3</v>
      </c>
      <c r="X247" s="13" t="s">
        <v>85</v>
      </c>
      <c r="Y247" s="12">
        <f t="shared" si="8"/>
        <v>0.77</v>
      </c>
      <c r="Z247" s="13">
        <v>0.33700000000000002</v>
      </c>
    </row>
    <row r="248" spans="1:26" x14ac:dyDescent="0.2">
      <c r="A248" s="13" t="s">
        <v>80</v>
      </c>
      <c r="B248" s="13">
        <v>3445.375</v>
      </c>
      <c r="C248" s="13">
        <v>58.667999999999999</v>
      </c>
      <c r="D248" s="13">
        <v>22.654</v>
      </c>
      <c r="E248" s="13">
        <v>2.06</v>
      </c>
      <c r="F248" s="13">
        <v>164.328</v>
      </c>
      <c r="G248" s="13">
        <v>2.794</v>
      </c>
      <c r="H248" s="13">
        <v>8.4689999999999994</v>
      </c>
      <c r="I248" s="13">
        <v>3.4359999999999999</v>
      </c>
      <c r="J248" s="13">
        <v>182.46600000000001</v>
      </c>
      <c r="K248" s="13">
        <v>225.88399999999999</v>
      </c>
      <c r="L248" s="13">
        <v>3.1589999999999998</v>
      </c>
      <c r="M248" s="13">
        <v>0.01</v>
      </c>
      <c r="N248" s="13">
        <v>51.137999999999998</v>
      </c>
      <c r="O248" s="13">
        <v>0.29899999999999999</v>
      </c>
      <c r="P248" s="13">
        <v>0.30499999999999999</v>
      </c>
      <c r="Q248" s="13">
        <v>0.17699999999999999</v>
      </c>
      <c r="R248" s="13">
        <v>0.63600000000000001</v>
      </c>
      <c r="S248" s="13">
        <v>0.67100000000000004</v>
      </c>
      <c r="T248" s="13"/>
      <c r="U248" s="13" t="s">
        <v>33</v>
      </c>
      <c r="V248" s="13" t="s">
        <v>35</v>
      </c>
      <c r="W248" s="13">
        <v>5</v>
      </c>
      <c r="X248" s="13" t="s">
        <v>32</v>
      </c>
      <c r="Y248" s="12">
        <f t="shared" si="8"/>
        <v>0.47599999999999998</v>
      </c>
      <c r="Z248" s="13">
        <v>-6.0000000000000053E-3</v>
      </c>
    </row>
    <row r="249" spans="1:26" x14ac:dyDescent="0.2">
      <c r="A249" s="13" t="s">
        <v>80</v>
      </c>
      <c r="B249" s="13">
        <v>3445.5</v>
      </c>
      <c r="C249" s="13">
        <v>82.53</v>
      </c>
      <c r="D249" s="13">
        <v>22.713000000000001</v>
      </c>
      <c r="E249" s="13">
        <v>3.3860000000000001</v>
      </c>
      <c r="F249" s="13">
        <v>168.94900000000001</v>
      </c>
      <c r="G249" s="13">
        <v>2.8</v>
      </c>
      <c r="H249" s="13">
        <v>8.4169999999999998</v>
      </c>
      <c r="I249" s="13">
        <v>3.5950000000000002</v>
      </c>
      <c r="J249" s="13">
        <v>153.79499999999999</v>
      </c>
      <c r="K249" s="13">
        <v>185.506</v>
      </c>
      <c r="L249" s="13">
        <v>0.01</v>
      </c>
      <c r="M249" s="13">
        <v>1E-3</v>
      </c>
      <c r="N249" s="13">
        <v>100</v>
      </c>
      <c r="O249" s="13">
        <v>0.46800000000000003</v>
      </c>
      <c r="P249" s="13">
        <v>0.40699999999999997</v>
      </c>
      <c r="Q249" s="13">
        <v>0.24399999999999999</v>
      </c>
      <c r="R249" s="13">
        <v>0.65700000000000003</v>
      </c>
      <c r="S249" s="13">
        <v>0.66400000000000003</v>
      </c>
      <c r="T249" s="13"/>
      <c r="U249" s="13" t="s">
        <v>33</v>
      </c>
      <c r="V249" s="13" t="s">
        <v>35</v>
      </c>
      <c r="W249" s="13">
        <v>5</v>
      </c>
      <c r="X249" s="13" t="s">
        <v>32</v>
      </c>
      <c r="Y249" s="12">
        <f t="shared" si="8"/>
        <v>0.71199999999999997</v>
      </c>
      <c r="Z249" s="13">
        <v>6.1000000000000054E-2</v>
      </c>
    </row>
    <row r="250" spans="1:26" x14ac:dyDescent="0.2">
      <c r="A250" s="13" t="s">
        <v>80</v>
      </c>
      <c r="B250" s="13">
        <v>3445.625</v>
      </c>
      <c r="C250" s="13">
        <v>100.52200000000001</v>
      </c>
      <c r="D250" s="13">
        <v>22.734000000000002</v>
      </c>
      <c r="E250" s="13">
        <v>4.5599999999999996</v>
      </c>
      <c r="F250" s="13">
        <v>173.917</v>
      </c>
      <c r="G250" s="13">
        <v>2.8029999999999999</v>
      </c>
      <c r="H250" s="13">
        <v>8.5050000000000008</v>
      </c>
      <c r="I250" s="13">
        <v>3.681</v>
      </c>
      <c r="J250" s="13">
        <v>136.37100000000001</v>
      </c>
      <c r="K250" s="13">
        <v>163.39699999999999</v>
      </c>
      <c r="L250" s="13">
        <v>0.01</v>
      </c>
      <c r="M250" s="13">
        <v>1E-3</v>
      </c>
      <c r="N250" s="13">
        <v>100</v>
      </c>
      <c r="O250" s="13">
        <v>0.60699999999999998</v>
      </c>
      <c r="P250" s="13">
        <v>0.45200000000000001</v>
      </c>
      <c r="Q250" s="13">
        <v>0.32</v>
      </c>
      <c r="R250" s="13">
        <v>0.66600000000000004</v>
      </c>
      <c r="S250" s="13">
        <v>0.66900000000000004</v>
      </c>
      <c r="T250" s="13"/>
      <c r="U250" s="13" t="s">
        <v>33</v>
      </c>
      <c r="V250" s="13" t="s">
        <v>35</v>
      </c>
      <c r="W250" s="13">
        <v>5</v>
      </c>
      <c r="X250" s="13" t="s">
        <v>32</v>
      </c>
      <c r="Y250" s="12">
        <f t="shared" si="8"/>
        <v>0.92700000000000005</v>
      </c>
      <c r="Z250" s="13">
        <v>0.15499999999999997</v>
      </c>
    </row>
    <row r="251" spans="1:26" x14ac:dyDescent="0.2">
      <c r="A251" s="13" t="s">
        <v>80</v>
      </c>
      <c r="B251" s="13">
        <v>3445.75</v>
      </c>
      <c r="C251" s="13">
        <v>106.554</v>
      </c>
      <c r="D251" s="13">
        <v>22.748999999999999</v>
      </c>
      <c r="E251" s="13">
        <v>4.8929999999999998</v>
      </c>
      <c r="F251" s="13">
        <v>177.44200000000001</v>
      </c>
      <c r="G251" s="13">
        <v>2.8090000000000002</v>
      </c>
      <c r="H251" s="13">
        <v>8.6340000000000003</v>
      </c>
      <c r="I251" s="13">
        <v>3.67</v>
      </c>
      <c r="J251" s="13">
        <v>136.62899999999999</v>
      </c>
      <c r="K251" s="13">
        <v>169.53</v>
      </c>
      <c r="L251" s="13">
        <v>0.01</v>
      </c>
      <c r="M251" s="13">
        <v>1E-3</v>
      </c>
      <c r="N251" s="13">
        <v>100</v>
      </c>
      <c r="O251" s="13">
        <v>0.66800000000000004</v>
      </c>
      <c r="P251" s="13">
        <v>0.45600000000000002</v>
      </c>
      <c r="Q251" s="13">
        <v>0.378</v>
      </c>
      <c r="R251" s="13">
        <v>0.68</v>
      </c>
      <c r="S251" s="13">
        <v>0.67800000000000005</v>
      </c>
      <c r="T251" s="13"/>
      <c r="U251" s="13" t="s">
        <v>33</v>
      </c>
      <c r="V251" s="13" t="s">
        <v>35</v>
      </c>
      <c r="W251" s="13">
        <v>5</v>
      </c>
      <c r="X251" s="13" t="s">
        <v>32</v>
      </c>
      <c r="Y251" s="12">
        <f t="shared" si="8"/>
        <v>1.046</v>
      </c>
      <c r="Z251" s="13">
        <v>0.21200000000000002</v>
      </c>
    </row>
    <row r="252" spans="1:26" x14ac:dyDescent="0.2">
      <c r="A252" s="13" t="s">
        <v>80</v>
      </c>
      <c r="B252" s="13">
        <v>3445.875</v>
      </c>
      <c r="C252" s="13">
        <v>99.052000000000007</v>
      </c>
      <c r="D252" s="13">
        <v>22.75</v>
      </c>
      <c r="E252" s="13">
        <v>4.8179999999999996</v>
      </c>
      <c r="F252" s="13">
        <v>178.53399999999999</v>
      </c>
      <c r="G252" s="13">
        <v>2.8220000000000001</v>
      </c>
      <c r="H252" s="13">
        <v>8.4860000000000007</v>
      </c>
      <c r="I252" s="13">
        <v>3.6579999999999999</v>
      </c>
      <c r="J252" s="13">
        <v>164.55699999999999</v>
      </c>
      <c r="K252" s="13">
        <v>235.90799999999999</v>
      </c>
      <c r="L252" s="13">
        <v>0.01</v>
      </c>
      <c r="M252" s="13">
        <v>1E-3</v>
      </c>
      <c r="N252" s="13">
        <v>100</v>
      </c>
      <c r="O252" s="13">
        <v>0.63300000000000001</v>
      </c>
      <c r="P252" s="13">
        <v>0.45100000000000001</v>
      </c>
      <c r="Q252" s="13">
        <v>0.40300000000000002</v>
      </c>
      <c r="R252" s="13">
        <v>0.70899999999999996</v>
      </c>
      <c r="S252" s="13">
        <v>0.67100000000000004</v>
      </c>
      <c r="T252" s="13"/>
      <c r="U252" s="13" t="s">
        <v>33</v>
      </c>
      <c r="V252" s="13" t="s">
        <v>35</v>
      </c>
      <c r="W252" s="13">
        <v>5</v>
      </c>
      <c r="X252" s="13" t="s">
        <v>32</v>
      </c>
      <c r="Y252" s="12">
        <f t="shared" si="8"/>
        <v>1.036</v>
      </c>
      <c r="Z252" s="13">
        <v>0.182</v>
      </c>
    </row>
    <row r="253" spans="1:26" x14ac:dyDescent="0.2">
      <c r="A253" s="13" t="s">
        <v>80</v>
      </c>
      <c r="B253" s="13">
        <v>3446</v>
      </c>
      <c r="C253" s="13">
        <v>78.53</v>
      </c>
      <c r="D253" s="13">
        <v>22.753</v>
      </c>
      <c r="E253" s="13">
        <v>4.47</v>
      </c>
      <c r="F253" s="13">
        <v>177.21600000000001</v>
      </c>
      <c r="G253" s="13">
        <v>2.8450000000000002</v>
      </c>
      <c r="H253" s="13">
        <v>7.65</v>
      </c>
      <c r="I253" s="13">
        <v>3.6240000000000001</v>
      </c>
      <c r="J253" s="13">
        <v>246.54</v>
      </c>
      <c r="K253" s="13">
        <v>513.07799999999997</v>
      </c>
      <c r="L253" s="13">
        <v>0.01</v>
      </c>
      <c r="M253" s="13">
        <v>1E-3</v>
      </c>
      <c r="N253" s="13">
        <v>100</v>
      </c>
      <c r="O253" s="13">
        <v>0.503</v>
      </c>
      <c r="P253" s="13">
        <v>0.437</v>
      </c>
      <c r="Q253" s="13">
        <v>0.39</v>
      </c>
      <c r="R253" s="13">
        <v>0.76300000000000001</v>
      </c>
      <c r="S253" s="13">
        <v>0.61399999999999999</v>
      </c>
      <c r="T253" s="13"/>
      <c r="U253" s="13" t="s">
        <v>33</v>
      </c>
      <c r="V253" s="13" t="s">
        <v>35</v>
      </c>
      <c r="W253" s="13">
        <v>5</v>
      </c>
      <c r="X253" s="13" t="s">
        <v>32</v>
      </c>
      <c r="Y253" s="12">
        <f t="shared" si="8"/>
        <v>0.89300000000000002</v>
      </c>
      <c r="Z253" s="13">
        <v>6.6000000000000003E-2</v>
      </c>
    </row>
    <row r="254" spans="1:26" x14ac:dyDescent="0.2">
      <c r="A254" s="13" t="s">
        <v>80</v>
      </c>
      <c r="B254" s="13">
        <v>3446.125</v>
      </c>
      <c r="C254" s="13">
        <v>51.497999999999998</v>
      </c>
      <c r="D254" s="13">
        <v>22.76</v>
      </c>
      <c r="E254" s="13">
        <v>3.6619999999999999</v>
      </c>
      <c r="F254" s="13">
        <v>174.5</v>
      </c>
      <c r="G254" s="13">
        <v>2.871</v>
      </c>
      <c r="H254" s="13">
        <v>6.0490000000000004</v>
      </c>
      <c r="I254" s="13">
        <v>3.6469999999999998</v>
      </c>
      <c r="J254" s="13">
        <v>443.73700000000002</v>
      </c>
      <c r="K254" s="13">
        <v>1388.9010000000001</v>
      </c>
      <c r="L254" s="13">
        <v>0.01</v>
      </c>
      <c r="M254" s="13">
        <v>1E-3</v>
      </c>
      <c r="N254" s="13">
        <v>100</v>
      </c>
      <c r="O254" s="13">
        <v>0.317</v>
      </c>
      <c r="P254" s="13">
        <v>0.443</v>
      </c>
      <c r="Q254" s="13">
        <v>0.35199999999999998</v>
      </c>
      <c r="R254" s="13">
        <v>0.82799999999999996</v>
      </c>
      <c r="S254" s="13">
        <v>0.496</v>
      </c>
      <c r="T254" s="13"/>
      <c r="U254" s="13" t="s">
        <v>33</v>
      </c>
      <c r="V254" s="13" t="s">
        <v>35</v>
      </c>
      <c r="W254" s="13">
        <v>5</v>
      </c>
      <c r="X254" s="13" t="s">
        <v>32</v>
      </c>
      <c r="Y254" s="12">
        <f t="shared" si="8"/>
        <v>0.66900000000000004</v>
      </c>
      <c r="Z254" s="13">
        <v>-0.126</v>
      </c>
    </row>
    <row r="255" spans="1:26" x14ac:dyDescent="0.2">
      <c r="A255" s="13" t="s">
        <v>81</v>
      </c>
      <c r="B255" s="13">
        <v>3395.125</v>
      </c>
      <c r="C255" s="13">
        <v>48.912999999999997</v>
      </c>
      <c r="D255" s="13">
        <v>21.931000000000001</v>
      </c>
      <c r="E255" s="13">
        <v>3.399</v>
      </c>
      <c r="F255" s="13">
        <v>160.66800000000001</v>
      </c>
      <c r="G255" s="13">
        <v>2.8410000000000002</v>
      </c>
      <c r="H255" s="13">
        <v>7.73</v>
      </c>
      <c r="I255" s="13">
        <v>4.7370000000000001</v>
      </c>
      <c r="J255" s="13">
        <v>427.65</v>
      </c>
      <c r="K255" s="13">
        <v>420.34800000000001</v>
      </c>
      <c r="L255" s="13">
        <v>2.0369999999999999</v>
      </c>
      <c r="M255" s="13">
        <v>0.1</v>
      </c>
      <c r="N255" s="13">
        <v>100</v>
      </c>
      <c r="O255" s="13">
        <v>0.29899999999999999</v>
      </c>
      <c r="P255" s="13">
        <v>0.61699999999999999</v>
      </c>
      <c r="Q255" s="13">
        <v>0.13200000000000001</v>
      </c>
      <c r="R255" s="13">
        <v>0.72899999999999998</v>
      </c>
      <c r="S255" s="13">
        <v>0.36099999999999999</v>
      </c>
      <c r="T255" s="13"/>
      <c r="U255" s="13" t="s">
        <v>22</v>
      </c>
      <c r="V255" s="13" t="s">
        <v>35</v>
      </c>
      <c r="W255" s="13">
        <v>4</v>
      </c>
      <c r="X255" s="13" t="s">
        <v>85</v>
      </c>
      <c r="Y255" s="12">
        <f t="shared" si="8"/>
        <v>0.43099999999999999</v>
      </c>
      <c r="Z255" s="13">
        <v>-0.318</v>
      </c>
    </row>
    <row r="256" spans="1:26" x14ac:dyDescent="0.2">
      <c r="A256" s="13" t="s">
        <v>81</v>
      </c>
      <c r="B256" s="13">
        <v>3395.25</v>
      </c>
      <c r="C256" s="13">
        <v>66.393000000000001</v>
      </c>
      <c r="D256" s="13">
        <v>21.87</v>
      </c>
      <c r="E256" s="13">
        <v>3.5579999999999998</v>
      </c>
      <c r="F256" s="13">
        <v>168.68299999999999</v>
      </c>
      <c r="G256" s="13">
        <v>2.8380000000000001</v>
      </c>
      <c r="H256" s="13">
        <v>8.7880000000000003</v>
      </c>
      <c r="I256" s="13">
        <v>4.3719999999999999</v>
      </c>
      <c r="J256" s="13">
        <v>263.404</v>
      </c>
      <c r="K256" s="13">
        <v>243.755</v>
      </c>
      <c r="L256" s="13">
        <v>2.133</v>
      </c>
      <c r="M256" s="13">
        <v>0.1</v>
      </c>
      <c r="N256" s="13">
        <v>100</v>
      </c>
      <c r="O256" s="13">
        <v>0.437</v>
      </c>
      <c r="P256" s="13">
        <v>0.50700000000000001</v>
      </c>
      <c r="Q256" s="13">
        <v>0.223</v>
      </c>
      <c r="R256" s="13">
        <v>0.72199999999999998</v>
      </c>
      <c r="S256" s="13">
        <v>0.42</v>
      </c>
      <c r="T256" s="13"/>
      <c r="U256" s="13" t="s">
        <v>33</v>
      </c>
      <c r="V256" s="13" t="s">
        <v>35</v>
      </c>
      <c r="W256" s="13">
        <v>4</v>
      </c>
      <c r="X256" s="13" t="s">
        <v>85</v>
      </c>
      <c r="Y256" s="12">
        <f t="shared" si="8"/>
        <v>0.66</v>
      </c>
      <c r="Z256" s="13">
        <v>-7.0000000000000007E-2</v>
      </c>
    </row>
    <row r="257" spans="1:26" x14ac:dyDescent="0.2">
      <c r="A257" s="13" t="s">
        <v>81</v>
      </c>
      <c r="B257" s="13">
        <v>3395.375</v>
      </c>
      <c r="C257" s="13">
        <v>82.838999999999999</v>
      </c>
      <c r="D257" s="13">
        <v>21.858000000000001</v>
      </c>
      <c r="E257" s="13">
        <v>3.6459999999999999</v>
      </c>
      <c r="F257" s="13">
        <v>175.06700000000001</v>
      </c>
      <c r="G257" s="13">
        <v>2.8290000000000002</v>
      </c>
      <c r="H257" s="13">
        <v>9.6210000000000004</v>
      </c>
      <c r="I257" s="13">
        <v>4.0350000000000001</v>
      </c>
      <c r="J257" s="13">
        <v>179.97499999999999</v>
      </c>
      <c r="K257" s="13">
        <v>165.48599999999999</v>
      </c>
      <c r="L257" s="13">
        <v>1.976</v>
      </c>
      <c r="M257" s="13">
        <v>0.1</v>
      </c>
      <c r="N257" s="13">
        <v>100</v>
      </c>
      <c r="O257" s="13">
        <v>0.56699999999999995</v>
      </c>
      <c r="P257" s="13">
        <v>0.40600000000000003</v>
      </c>
      <c r="Q257" s="13">
        <v>0.29499999999999998</v>
      </c>
      <c r="R257" s="13">
        <v>0.7</v>
      </c>
      <c r="S257" s="13">
        <v>0.46700000000000003</v>
      </c>
      <c r="T257" s="13"/>
      <c r="U257" s="13" t="s">
        <v>33</v>
      </c>
      <c r="V257" s="13" t="s">
        <v>35</v>
      </c>
      <c r="W257" s="13">
        <v>4</v>
      </c>
      <c r="X257" s="13" t="s">
        <v>85</v>
      </c>
      <c r="Y257" s="12">
        <f t="shared" si="8"/>
        <v>0.86199999999999988</v>
      </c>
      <c r="Z257" s="13">
        <v>0.16099999999999992</v>
      </c>
    </row>
    <row r="258" spans="1:26" x14ac:dyDescent="0.2">
      <c r="A258" s="13" t="s">
        <v>81</v>
      </c>
      <c r="B258" s="13">
        <v>3395.5</v>
      </c>
      <c r="C258" s="13">
        <v>89.111000000000004</v>
      </c>
      <c r="D258" s="13">
        <v>21.896000000000001</v>
      </c>
      <c r="E258" s="13">
        <v>3.6320000000000001</v>
      </c>
      <c r="F258" s="13">
        <v>178.108</v>
      </c>
      <c r="G258" s="13">
        <v>2.819</v>
      </c>
      <c r="H258" s="13">
        <v>6.9020000000000001</v>
      </c>
      <c r="I258" s="13">
        <v>3.8</v>
      </c>
      <c r="J258" s="13">
        <v>161.011</v>
      </c>
      <c r="K258" s="13">
        <v>153.62899999999999</v>
      </c>
      <c r="L258" s="13">
        <v>0.79300000000000004</v>
      </c>
      <c r="M258" s="13">
        <v>0.1</v>
      </c>
      <c r="N258" s="13">
        <v>100</v>
      </c>
      <c r="O258" s="13">
        <v>0.61599999999999999</v>
      </c>
      <c r="P258" s="13">
        <v>0.33500000000000002</v>
      </c>
      <c r="Q258" s="13">
        <v>0.33</v>
      </c>
      <c r="R258" s="13">
        <v>0.67500000000000004</v>
      </c>
      <c r="S258" s="13">
        <v>0.315</v>
      </c>
      <c r="T258" s="13"/>
      <c r="U258" s="13" t="s">
        <v>33</v>
      </c>
      <c r="V258" s="13" t="s">
        <v>35</v>
      </c>
      <c r="W258" s="13">
        <v>4</v>
      </c>
      <c r="X258" s="13" t="s">
        <v>85</v>
      </c>
      <c r="Y258" s="12">
        <f t="shared" si="8"/>
        <v>0.94599999999999995</v>
      </c>
      <c r="Z258" s="13">
        <v>0.28099999999999997</v>
      </c>
    </row>
    <row r="259" spans="1:26" x14ac:dyDescent="0.2">
      <c r="A259" s="13" t="s">
        <v>81</v>
      </c>
      <c r="B259" s="13">
        <v>3395.625</v>
      </c>
      <c r="C259" s="13">
        <v>80.123000000000005</v>
      </c>
      <c r="D259" s="13">
        <v>21.946999999999999</v>
      </c>
      <c r="E259" s="13">
        <v>3.6160000000000001</v>
      </c>
      <c r="F259" s="13">
        <v>178.16</v>
      </c>
      <c r="G259" s="13">
        <v>2.8170000000000002</v>
      </c>
      <c r="H259" s="13">
        <v>4.7510000000000003</v>
      </c>
      <c r="I259" s="13">
        <v>3.5329999999999999</v>
      </c>
      <c r="J259" s="13">
        <v>200.756</v>
      </c>
      <c r="K259" s="13">
        <v>204.97800000000001</v>
      </c>
      <c r="L259" s="13">
        <v>7.0999999999999994E-2</v>
      </c>
      <c r="M259" s="13">
        <v>0.1</v>
      </c>
      <c r="N259" s="13">
        <v>100</v>
      </c>
      <c r="O259" s="13">
        <v>0.54500000000000004</v>
      </c>
      <c r="P259" s="13">
        <v>0.255</v>
      </c>
      <c r="Q259" s="13">
        <v>0.33</v>
      </c>
      <c r="R259" s="13">
        <v>0.67</v>
      </c>
      <c r="S259" s="13">
        <v>0.19600000000000001</v>
      </c>
      <c r="T259" s="13"/>
      <c r="U259" s="13" t="s">
        <v>33</v>
      </c>
      <c r="V259" s="13" t="s">
        <v>35</v>
      </c>
      <c r="W259" s="13">
        <v>4</v>
      </c>
      <c r="X259" s="13" t="s">
        <v>85</v>
      </c>
      <c r="Y259" s="12">
        <f t="shared" ref="Y259:Y322" si="9">O259+Q259</f>
        <v>0.875</v>
      </c>
      <c r="Z259" s="13">
        <v>0.29000000000000004</v>
      </c>
    </row>
    <row r="260" spans="1:26" x14ac:dyDescent="0.2">
      <c r="A260" s="13" t="s">
        <v>81</v>
      </c>
      <c r="B260" s="13">
        <v>3395.75</v>
      </c>
      <c r="C260" s="13">
        <v>60.936</v>
      </c>
      <c r="D260" s="13">
        <v>21.966000000000001</v>
      </c>
      <c r="E260" s="13">
        <v>3.536</v>
      </c>
      <c r="F260" s="13">
        <v>176.488</v>
      </c>
      <c r="G260" s="13">
        <v>2.8279999999999998</v>
      </c>
      <c r="H260" s="13">
        <v>3.4089999999999998</v>
      </c>
      <c r="I260" s="13">
        <v>3.2120000000000002</v>
      </c>
      <c r="J260" s="13">
        <v>1114.694</v>
      </c>
      <c r="K260" s="13">
        <v>1858.7550000000001</v>
      </c>
      <c r="L260" s="13">
        <v>7.0999999999999994E-2</v>
      </c>
      <c r="M260" s="13">
        <v>0.1</v>
      </c>
      <c r="N260" s="13">
        <v>100</v>
      </c>
      <c r="O260" s="13">
        <v>0.39400000000000002</v>
      </c>
      <c r="P260" s="13">
        <v>0.158</v>
      </c>
      <c r="Q260" s="13">
        <v>0.311</v>
      </c>
      <c r="R260" s="13">
        <v>0.69699999999999995</v>
      </c>
      <c r="S260" s="13">
        <v>0.121</v>
      </c>
      <c r="T260" s="13"/>
      <c r="U260" s="13" t="s">
        <v>33</v>
      </c>
      <c r="V260" s="13" t="s">
        <v>35</v>
      </c>
      <c r="W260" s="13">
        <v>4</v>
      </c>
      <c r="X260" s="13" t="s">
        <v>85</v>
      </c>
      <c r="Y260" s="12">
        <f t="shared" si="9"/>
        <v>0.70500000000000007</v>
      </c>
      <c r="Z260" s="13">
        <v>0.23600000000000002</v>
      </c>
    </row>
    <row r="261" spans="1:26" x14ac:dyDescent="0.2">
      <c r="A261" s="13" t="s">
        <v>84</v>
      </c>
      <c r="B261" s="13">
        <v>3923.5</v>
      </c>
      <c r="C261" s="13">
        <v>61.38</v>
      </c>
      <c r="D261" s="13">
        <v>21.882999999999999</v>
      </c>
      <c r="E261" s="13">
        <v>2.6619999999999999</v>
      </c>
      <c r="F261" s="13">
        <v>162.768</v>
      </c>
      <c r="G261" s="13">
        <v>2.758</v>
      </c>
      <c r="H261" s="13">
        <v>6.7759999999999998</v>
      </c>
      <c r="I261" s="13">
        <v>3.4159999999999999</v>
      </c>
      <c r="J261" s="13">
        <v>1476.7739999999999</v>
      </c>
      <c r="K261" s="13">
        <v>1649.463</v>
      </c>
      <c r="L261" s="13">
        <v>0.01</v>
      </c>
      <c r="M261" s="13">
        <v>1E-3</v>
      </c>
      <c r="N261" s="13">
        <v>100</v>
      </c>
      <c r="O261" s="13">
        <v>0.35299999999999998</v>
      </c>
      <c r="P261" s="13">
        <v>0.50700000000000001</v>
      </c>
      <c r="Q261" s="13">
        <v>0.26</v>
      </c>
      <c r="R261" s="13">
        <v>0.74399999999999999</v>
      </c>
      <c r="S261" s="13">
        <v>0.35099999999999998</v>
      </c>
      <c r="T261" s="13"/>
      <c r="U261" s="13" t="s">
        <v>33</v>
      </c>
      <c r="V261" s="13" t="s">
        <v>35</v>
      </c>
      <c r="W261" s="13">
        <v>6</v>
      </c>
      <c r="X261" s="13" t="s">
        <v>85</v>
      </c>
      <c r="Y261" s="12">
        <f t="shared" si="9"/>
        <v>0.61299999999999999</v>
      </c>
      <c r="Z261" s="13">
        <v>-0.15400000000000003</v>
      </c>
    </row>
    <row r="262" spans="1:26" x14ac:dyDescent="0.2">
      <c r="A262" s="13" t="s">
        <v>84</v>
      </c>
      <c r="B262" s="13">
        <v>3923.625</v>
      </c>
      <c r="C262" s="13">
        <v>71.429000000000002</v>
      </c>
      <c r="D262" s="13">
        <v>21.922000000000001</v>
      </c>
      <c r="E262" s="13">
        <v>2.4159999999999999</v>
      </c>
      <c r="F262" s="13">
        <v>164.05799999999999</v>
      </c>
      <c r="G262" s="13">
        <v>2.7629999999999999</v>
      </c>
      <c r="H262" s="13">
        <v>7.3140000000000001</v>
      </c>
      <c r="I262" s="13">
        <v>3.4089999999999998</v>
      </c>
      <c r="J262" s="13">
        <v>1411.028</v>
      </c>
      <c r="K262" s="13">
        <v>1576.048</v>
      </c>
      <c r="L262" s="13">
        <v>0.01</v>
      </c>
      <c r="M262" s="13">
        <v>1E-3</v>
      </c>
      <c r="N262" s="13">
        <v>100</v>
      </c>
      <c r="O262" s="13">
        <v>0.44500000000000001</v>
      </c>
      <c r="P262" s="13">
        <v>0.50600000000000001</v>
      </c>
      <c r="Q262" s="13">
        <v>0.30299999999999999</v>
      </c>
      <c r="R262" s="13">
        <v>0.76500000000000001</v>
      </c>
      <c r="S262" s="13">
        <v>0.39700000000000002</v>
      </c>
      <c r="T262" s="13"/>
      <c r="U262" s="13" t="s">
        <v>33</v>
      </c>
      <c r="V262" s="13" t="s">
        <v>35</v>
      </c>
      <c r="W262" s="13">
        <v>6</v>
      </c>
      <c r="X262" s="13" t="s">
        <v>85</v>
      </c>
      <c r="Y262" s="12">
        <f t="shared" si="9"/>
        <v>0.748</v>
      </c>
      <c r="Z262" s="13">
        <v>-6.0999999999999999E-2</v>
      </c>
    </row>
    <row r="263" spans="1:26" x14ac:dyDescent="0.2">
      <c r="A263" s="13" t="s">
        <v>84</v>
      </c>
      <c r="B263" s="13">
        <v>3923.75</v>
      </c>
      <c r="C263" s="13">
        <v>76.876999999999995</v>
      </c>
      <c r="D263" s="13">
        <v>21.945</v>
      </c>
      <c r="E263" s="13">
        <v>2.1070000000000002</v>
      </c>
      <c r="F263" s="13">
        <v>164.82</v>
      </c>
      <c r="G263" s="13">
        <v>2.7709999999999999</v>
      </c>
      <c r="H263" s="13">
        <v>7.9790000000000001</v>
      </c>
      <c r="I263" s="13">
        <v>3.3730000000000002</v>
      </c>
      <c r="J263" s="13">
        <v>1304.385</v>
      </c>
      <c r="K263" s="13">
        <v>1456.9369999999999</v>
      </c>
      <c r="L263" s="13">
        <v>0.01</v>
      </c>
      <c r="M263" s="13">
        <v>1E-3</v>
      </c>
      <c r="N263" s="13">
        <v>100</v>
      </c>
      <c r="O263" s="13">
        <v>0.504</v>
      </c>
      <c r="P263" s="13">
        <v>0.48499999999999999</v>
      </c>
      <c r="Q263" s="13">
        <v>0.33</v>
      </c>
      <c r="R263" s="13">
        <v>0.80200000000000005</v>
      </c>
      <c r="S263" s="13">
        <v>0.45600000000000002</v>
      </c>
      <c r="T263" s="13"/>
      <c r="U263" s="13" t="s">
        <v>33</v>
      </c>
      <c r="V263" s="13" t="s">
        <v>35</v>
      </c>
      <c r="W263" s="13">
        <v>6</v>
      </c>
      <c r="X263" s="13" t="s">
        <v>85</v>
      </c>
      <c r="Y263" s="12">
        <f t="shared" si="9"/>
        <v>0.83400000000000007</v>
      </c>
      <c r="Z263" s="13">
        <v>1.9000000000000017E-2</v>
      </c>
    </row>
    <row r="264" spans="1:26" x14ac:dyDescent="0.2">
      <c r="A264" s="13" t="s">
        <v>84</v>
      </c>
      <c r="B264" s="13">
        <v>3923.875</v>
      </c>
      <c r="C264" s="13">
        <v>75.316999999999993</v>
      </c>
      <c r="D264" s="13">
        <v>21.954999999999998</v>
      </c>
      <c r="E264" s="13">
        <v>1.8220000000000001</v>
      </c>
      <c r="F264" s="13">
        <v>165.16</v>
      </c>
      <c r="G264" s="13">
        <v>2.778</v>
      </c>
      <c r="H264" s="13">
        <v>8.6959999999999997</v>
      </c>
      <c r="I264" s="13">
        <v>3.3140000000000001</v>
      </c>
      <c r="J264" s="13">
        <v>1266.8119999999999</v>
      </c>
      <c r="K264" s="13">
        <v>1414.9690000000001</v>
      </c>
      <c r="L264" s="13">
        <v>0.01</v>
      </c>
      <c r="M264" s="13">
        <v>1E-3</v>
      </c>
      <c r="N264" s="13">
        <v>100</v>
      </c>
      <c r="O264" s="13">
        <v>0.503</v>
      </c>
      <c r="P264" s="13">
        <v>0.44800000000000001</v>
      </c>
      <c r="Q264" s="13">
        <v>0.34399999999999997</v>
      </c>
      <c r="R264" s="13">
        <v>0.83799999999999997</v>
      </c>
      <c r="S264" s="13">
        <v>0.52100000000000002</v>
      </c>
      <c r="T264" s="13"/>
      <c r="U264" s="13" t="s">
        <v>33</v>
      </c>
      <c r="V264" s="13" t="s">
        <v>35</v>
      </c>
      <c r="W264" s="13">
        <v>6</v>
      </c>
      <c r="X264" s="13" t="s">
        <v>85</v>
      </c>
      <c r="Y264" s="12">
        <f t="shared" si="9"/>
        <v>0.84699999999999998</v>
      </c>
      <c r="Z264" s="13">
        <v>5.4999999999999993E-2</v>
      </c>
    </row>
    <row r="265" spans="1:26" x14ac:dyDescent="0.2">
      <c r="A265" s="13" t="s">
        <v>84</v>
      </c>
      <c r="B265" s="13">
        <v>3924</v>
      </c>
      <c r="C265" s="13">
        <v>69.722999999999999</v>
      </c>
      <c r="D265" s="13">
        <v>21.959</v>
      </c>
      <c r="E265" s="13">
        <v>1.6459999999999999</v>
      </c>
      <c r="F265" s="13">
        <v>165.292</v>
      </c>
      <c r="G265" s="13">
        <v>2.7810000000000001</v>
      </c>
      <c r="H265" s="13">
        <v>9.3490000000000002</v>
      </c>
      <c r="I265" s="13">
        <v>3.2429999999999999</v>
      </c>
      <c r="J265" s="13">
        <v>1307.0029999999999</v>
      </c>
      <c r="K265" s="13">
        <v>1459.846</v>
      </c>
      <c r="L265" s="13">
        <v>0.01</v>
      </c>
      <c r="M265" s="13">
        <v>1E-3</v>
      </c>
      <c r="N265" s="13">
        <v>100</v>
      </c>
      <c r="O265" s="13">
        <v>0.45900000000000002</v>
      </c>
      <c r="P265" s="13">
        <v>0.40100000000000002</v>
      </c>
      <c r="Q265" s="13">
        <v>0.34899999999999998</v>
      </c>
      <c r="R265" s="13">
        <v>0.85699999999999998</v>
      </c>
      <c r="S265" s="13">
        <v>0.58199999999999996</v>
      </c>
      <c r="T265" s="13"/>
      <c r="U265" s="13" t="s">
        <v>33</v>
      </c>
      <c r="V265" s="13" t="s">
        <v>35</v>
      </c>
      <c r="W265" s="13">
        <v>6</v>
      </c>
      <c r="X265" s="13" t="s">
        <v>85</v>
      </c>
      <c r="Y265" s="12">
        <f t="shared" si="9"/>
        <v>0.80800000000000005</v>
      </c>
      <c r="Z265" s="13">
        <v>5.7999999999999996E-2</v>
      </c>
    </row>
    <row r="266" spans="1:26" x14ac:dyDescent="0.2">
      <c r="A266" s="13" t="s">
        <v>84</v>
      </c>
      <c r="B266" s="13">
        <v>3924.125</v>
      </c>
      <c r="C266" s="13">
        <v>60.658999999999999</v>
      </c>
      <c r="D266" s="13">
        <v>21.957999999999998</v>
      </c>
      <c r="E266" s="13">
        <v>1.5289999999999999</v>
      </c>
      <c r="F266" s="13">
        <v>165.249</v>
      </c>
      <c r="G266" s="13">
        <v>2.778</v>
      </c>
      <c r="H266" s="13">
        <v>9.7110000000000003</v>
      </c>
      <c r="I266" s="13">
        <v>3.1739999999999999</v>
      </c>
      <c r="J266" s="13">
        <v>1385.4110000000001</v>
      </c>
      <c r="K266" s="13">
        <v>1547.4</v>
      </c>
      <c r="L266" s="13">
        <v>0.01</v>
      </c>
      <c r="M266" s="13">
        <v>1E-3</v>
      </c>
      <c r="N266" s="13">
        <v>100</v>
      </c>
      <c r="O266" s="13">
        <v>0.38100000000000001</v>
      </c>
      <c r="P266" s="13">
        <v>0.35299999999999998</v>
      </c>
      <c r="Q266" s="13">
        <v>0.34899999999999998</v>
      </c>
      <c r="R266" s="13">
        <v>0.84799999999999998</v>
      </c>
      <c r="S266" s="13">
        <v>0.621</v>
      </c>
      <c r="T266" s="13"/>
      <c r="U266" s="13" t="s">
        <v>33</v>
      </c>
      <c r="V266" s="13" t="s">
        <v>35</v>
      </c>
      <c r="W266" s="13">
        <v>6</v>
      </c>
      <c r="X266" s="13" t="s">
        <v>85</v>
      </c>
      <c r="Y266" s="12">
        <f t="shared" si="9"/>
        <v>0.73</v>
      </c>
      <c r="Z266" s="13">
        <v>2.8000000000000025E-2</v>
      </c>
    </row>
    <row r="267" spans="1:26" x14ac:dyDescent="0.2">
      <c r="A267" s="13" t="s">
        <v>84</v>
      </c>
      <c r="B267" s="13">
        <v>3924.25</v>
      </c>
      <c r="C267" s="13">
        <v>46.832999999999998</v>
      </c>
      <c r="D267" s="13">
        <v>21.946000000000002</v>
      </c>
      <c r="E267" s="13">
        <v>1.389</v>
      </c>
      <c r="F267" s="13">
        <v>164.87899999999999</v>
      </c>
      <c r="G267" s="13">
        <v>2.7709999999999999</v>
      </c>
      <c r="H267" s="13">
        <v>9.5790000000000006</v>
      </c>
      <c r="I267" s="13">
        <v>3.1139999999999999</v>
      </c>
      <c r="J267" s="13">
        <v>1497.5440000000001</v>
      </c>
      <c r="K267" s="13">
        <v>1672.5139999999999</v>
      </c>
      <c r="L267" s="13">
        <v>0.01</v>
      </c>
      <c r="M267" s="13">
        <v>1E-3</v>
      </c>
      <c r="N267" s="13">
        <v>100</v>
      </c>
      <c r="O267" s="13">
        <v>0.26200000000000001</v>
      </c>
      <c r="P267" s="13">
        <v>0.31</v>
      </c>
      <c r="Q267" s="13">
        <v>0.33900000000000002</v>
      </c>
      <c r="R267" s="13">
        <v>0.81699999999999995</v>
      </c>
      <c r="S267" s="13">
        <v>0.61799999999999999</v>
      </c>
      <c r="T267" s="13"/>
      <c r="U267" s="13" t="s">
        <v>33</v>
      </c>
      <c r="V267" s="13" t="s">
        <v>35</v>
      </c>
      <c r="W267" s="13">
        <v>6</v>
      </c>
      <c r="X267" s="13" t="s">
        <v>85</v>
      </c>
      <c r="Y267" s="12">
        <f t="shared" si="9"/>
        <v>0.60099999999999998</v>
      </c>
      <c r="Z267" s="13">
        <v>-4.7999999999999987E-2</v>
      </c>
    </row>
    <row r="268" spans="1:26" x14ac:dyDescent="0.2">
      <c r="A268" s="13" t="s">
        <v>82</v>
      </c>
      <c r="B268" s="13">
        <v>3859</v>
      </c>
      <c r="C268" s="13">
        <v>43.610999999999997</v>
      </c>
      <c r="D268" s="13">
        <v>22.826000000000001</v>
      </c>
      <c r="E268" s="13">
        <v>3.4689999999999999</v>
      </c>
      <c r="F268" s="13">
        <v>162.512</v>
      </c>
      <c r="G268" s="13">
        <v>2.7730000000000001</v>
      </c>
      <c r="H268" s="13">
        <v>8.18</v>
      </c>
      <c r="I268" s="13">
        <v>2.8210000000000002</v>
      </c>
      <c r="J268" s="13">
        <v>78.17</v>
      </c>
      <c r="K268" s="13">
        <v>108.05800000000001</v>
      </c>
      <c r="L268" s="13">
        <v>0.96899999999999997</v>
      </c>
      <c r="M268" s="13">
        <v>1E-3</v>
      </c>
      <c r="N268" s="13">
        <v>82.216999999999999</v>
      </c>
      <c r="O268" s="13">
        <v>0.20100000000000001</v>
      </c>
      <c r="P268" s="13">
        <v>0.13500000000000001</v>
      </c>
      <c r="Q268" s="13">
        <v>0.10299999999999999</v>
      </c>
      <c r="R268" s="13">
        <v>0.61799999999999999</v>
      </c>
      <c r="S268" s="13">
        <v>0.53800000000000003</v>
      </c>
      <c r="T268" s="13" t="s">
        <v>23</v>
      </c>
      <c r="U268" s="13" t="s">
        <v>33</v>
      </c>
      <c r="V268" s="13" t="s">
        <v>35</v>
      </c>
      <c r="W268" s="13">
        <v>9</v>
      </c>
      <c r="X268" s="13" t="s">
        <v>31</v>
      </c>
      <c r="Y268" s="12">
        <f t="shared" si="9"/>
        <v>0.30399999999999999</v>
      </c>
      <c r="Z268" s="13">
        <v>6.6000000000000003E-2</v>
      </c>
    </row>
    <row r="269" spans="1:26" x14ac:dyDescent="0.2">
      <c r="A269" s="13" t="s">
        <v>82</v>
      </c>
      <c r="B269" s="13">
        <v>3859.125</v>
      </c>
      <c r="C269" s="13">
        <v>58.162999999999997</v>
      </c>
      <c r="D269" s="13">
        <v>22.844999999999999</v>
      </c>
      <c r="E269" s="13">
        <v>3.8530000000000002</v>
      </c>
      <c r="F269" s="13">
        <v>166.59100000000001</v>
      </c>
      <c r="G269" s="13">
        <v>2.774</v>
      </c>
      <c r="H269" s="13">
        <v>8.6120000000000001</v>
      </c>
      <c r="I269" s="13">
        <v>2.9529999999999998</v>
      </c>
      <c r="J269" s="13">
        <v>76.182000000000002</v>
      </c>
      <c r="K269" s="13">
        <v>105.637</v>
      </c>
      <c r="L269" s="13">
        <v>6.6000000000000003E-2</v>
      </c>
      <c r="M269" s="13">
        <v>0</v>
      </c>
      <c r="N269" s="13">
        <v>99.025999999999996</v>
      </c>
      <c r="O269" s="13">
        <v>0.315</v>
      </c>
      <c r="P269" s="13">
        <v>0.36899999999999999</v>
      </c>
      <c r="Q269" s="13">
        <v>0.155</v>
      </c>
      <c r="R269" s="13">
        <v>0.63</v>
      </c>
      <c r="S269" s="13">
        <v>0.59</v>
      </c>
      <c r="T269" s="13"/>
      <c r="U269" s="13" t="s">
        <v>33</v>
      </c>
      <c r="V269" s="13" t="s">
        <v>35</v>
      </c>
      <c r="W269" s="13">
        <v>9</v>
      </c>
      <c r="X269" s="13" t="s">
        <v>31</v>
      </c>
      <c r="Y269" s="12">
        <f t="shared" si="9"/>
        <v>0.47</v>
      </c>
      <c r="Z269" s="13">
        <v>-5.3999999999999992E-2</v>
      </c>
    </row>
    <row r="270" spans="1:26" x14ac:dyDescent="0.2">
      <c r="A270" s="13" t="s">
        <v>82</v>
      </c>
      <c r="B270" s="13">
        <v>3859.25</v>
      </c>
      <c r="C270" s="13">
        <v>72.888999999999996</v>
      </c>
      <c r="D270" s="13">
        <v>22.844000000000001</v>
      </c>
      <c r="E270" s="13">
        <v>3.87</v>
      </c>
      <c r="F270" s="13">
        <v>171.88300000000001</v>
      </c>
      <c r="G270" s="13">
        <v>2.7669999999999999</v>
      </c>
      <c r="H270" s="13">
        <v>9.1750000000000007</v>
      </c>
      <c r="I270" s="13">
        <v>3.073</v>
      </c>
      <c r="J270" s="13">
        <v>72.888000000000005</v>
      </c>
      <c r="K270" s="13">
        <v>101.372</v>
      </c>
      <c r="L270" s="13">
        <v>0</v>
      </c>
      <c r="M270" s="13">
        <v>0</v>
      </c>
      <c r="N270" s="13">
        <v>100</v>
      </c>
      <c r="O270" s="13">
        <v>0.434</v>
      </c>
      <c r="P270" s="13">
        <v>0.59499999999999997</v>
      </c>
      <c r="Q270" s="13">
        <v>0.22600000000000001</v>
      </c>
      <c r="R270" s="13">
        <v>0.59899999999999998</v>
      </c>
      <c r="S270" s="13">
        <v>0.66100000000000003</v>
      </c>
      <c r="T270" s="13"/>
      <c r="U270" s="13" t="s">
        <v>33</v>
      </c>
      <c r="V270" s="13" t="s">
        <v>35</v>
      </c>
      <c r="W270" s="13">
        <v>9</v>
      </c>
      <c r="X270" s="13" t="s">
        <v>31</v>
      </c>
      <c r="Y270" s="12">
        <f t="shared" si="9"/>
        <v>0.66</v>
      </c>
      <c r="Z270" s="13">
        <v>-0.16099999999999998</v>
      </c>
    </row>
    <row r="271" spans="1:26" x14ac:dyDescent="0.2">
      <c r="A271" s="13" t="s">
        <v>82</v>
      </c>
      <c r="B271" s="13">
        <v>3859.375</v>
      </c>
      <c r="C271" s="13">
        <v>82.287000000000006</v>
      </c>
      <c r="D271" s="13">
        <v>22.83</v>
      </c>
      <c r="E271" s="13">
        <v>3.68</v>
      </c>
      <c r="F271" s="13">
        <v>176.096</v>
      </c>
      <c r="G271" s="13">
        <v>2.76</v>
      </c>
      <c r="H271" s="13">
        <v>9.423</v>
      </c>
      <c r="I271" s="13">
        <v>3.1760000000000002</v>
      </c>
      <c r="J271" s="13">
        <v>71.897000000000006</v>
      </c>
      <c r="K271" s="13">
        <v>100.82</v>
      </c>
      <c r="L271" s="13">
        <v>0</v>
      </c>
      <c r="M271" s="13">
        <v>0</v>
      </c>
      <c r="N271" s="13">
        <v>100</v>
      </c>
      <c r="O271" s="13">
        <v>0.51400000000000001</v>
      </c>
      <c r="P271" s="13">
        <v>0.79</v>
      </c>
      <c r="Q271" s="13">
        <v>0.28599999999999998</v>
      </c>
      <c r="R271" s="13">
        <v>0.56299999999999994</v>
      </c>
      <c r="S271" s="13">
        <v>0.69799999999999995</v>
      </c>
      <c r="T271" s="13"/>
      <c r="U271" s="13" t="s">
        <v>33</v>
      </c>
      <c r="V271" s="13" t="s">
        <v>35</v>
      </c>
      <c r="W271" s="13">
        <v>9</v>
      </c>
      <c r="X271" s="13" t="s">
        <v>31</v>
      </c>
      <c r="Y271" s="12">
        <f t="shared" si="9"/>
        <v>0.8</v>
      </c>
      <c r="Z271" s="13">
        <v>-0.27600000000000002</v>
      </c>
    </row>
    <row r="272" spans="1:26" x14ac:dyDescent="0.2">
      <c r="A272" s="13" t="s">
        <v>82</v>
      </c>
      <c r="B272" s="13">
        <v>3859.5</v>
      </c>
      <c r="C272" s="13">
        <v>83.146000000000001</v>
      </c>
      <c r="D272" s="13">
        <v>22.832999999999998</v>
      </c>
      <c r="E272" s="13">
        <v>3.528</v>
      </c>
      <c r="F272" s="13">
        <v>177.83699999999999</v>
      </c>
      <c r="G272" s="13">
        <v>2.758</v>
      </c>
      <c r="H272" s="13">
        <v>9.0419999999999998</v>
      </c>
      <c r="I272" s="13">
        <v>3.254</v>
      </c>
      <c r="J272" s="13">
        <v>77.228999999999999</v>
      </c>
      <c r="K272" s="13">
        <v>110.383</v>
      </c>
      <c r="L272" s="13">
        <v>0</v>
      </c>
      <c r="M272" s="13">
        <v>0</v>
      </c>
      <c r="N272" s="13">
        <v>100</v>
      </c>
      <c r="O272" s="13">
        <v>0.52900000000000003</v>
      </c>
      <c r="P272" s="13">
        <v>0.94</v>
      </c>
      <c r="Q272" s="13">
        <v>0.313</v>
      </c>
      <c r="R272" s="13">
        <v>0.55000000000000004</v>
      </c>
      <c r="S272" s="13">
        <v>0.65700000000000003</v>
      </c>
      <c r="T272" s="13"/>
      <c r="U272" s="13" t="s">
        <v>33</v>
      </c>
      <c r="V272" s="13" t="s">
        <v>35</v>
      </c>
      <c r="W272" s="13">
        <v>9</v>
      </c>
      <c r="X272" s="13" t="s">
        <v>31</v>
      </c>
      <c r="Y272" s="12">
        <f t="shared" si="9"/>
        <v>0.84200000000000008</v>
      </c>
      <c r="Z272" s="13">
        <v>-0.41099999999999992</v>
      </c>
    </row>
    <row r="273" spans="1:26" x14ac:dyDescent="0.2">
      <c r="A273" s="13" t="s">
        <v>82</v>
      </c>
      <c r="B273" s="13">
        <v>3859.625</v>
      </c>
      <c r="C273" s="13">
        <v>77.611000000000004</v>
      </c>
      <c r="D273" s="13">
        <v>22.844000000000001</v>
      </c>
      <c r="E273" s="13">
        <v>3.399</v>
      </c>
      <c r="F273" s="13">
        <v>177.03800000000001</v>
      </c>
      <c r="G273" s="13">
        <v>2.7639999999999998</v>
      </c>
      <c r="H273" s="13">
        <v>8.2119999999999997</v>
      </c>
      <c r="I273" s="13">
        <v>3.278</v>
      </c>
      <c r="J273" s="13">
        <v>92.632999999999996</v>
      </c>
      <c r="K273" s="13">
        <v>136.006</v>
      </c>
      <c r="L273" s="13">
        <v>0</v>
      </c>
      <c r="M273" s="13">
        <v>0</v>
      </c>
      <c r="N273" s="13">
        <v>100</v>
      </c>
      <c r="O273" s="13">
        <v>0.48899999999999999</v>
      </c>
      <c r="P273" s="13">
        <v>0.995</v>
      </c>
      <c r="Q273" s="13">
        <v>0.30599999999999999</v>
      </c>
      <c r="R273" s="13">
        <v>0.57599999999999996</v>
      </c>
      <c r="S273" s="13">
        <v>0.55500000000000005</v>
      </c>
      <c r="T273" s="13"/>
      <c r="U273" s="13" t="s">
        <v>33</v>
      </c>
      <c r="V273" s="13" t="s">
        <v>35</v>
      </c>
      <c r="W273" s="13">
        <v>9</v>
      </c>
      <c r="X273" s="13" t="s">
        <v>31</v>
      </c>
      <c r="Y273" s="12">
        <f t="shared" si="9"/>
        <v>0.79499999999999993</v>
      </c>
      <c r="Z273" s="13">
        <v>-0.50600000000000001</v>
      </c>
    </row>
    <row r="274" spans="1:26" x14ac:dyDescent="0.2">
      <c r="A274" s="13" t="s">
        <v>82</v>
      </c>
      <c r="B274" s="13">
        <v>3859.75</v>
      </c>
      <c r="C274" s="13">
        <v>70.415999999999997</v>
      </c>
      <c r="D274" s="13">
        <v>22.829000000000001</v>
      </c>
      <c r="E274" s="13">
        <v>3.1930000000000001</v>
      </c>
      <c r="F274" s="13">
        <v>174.51</v>
      </c>
      <c r="G274" s="13">
        <v>2.7730000000000001</v>
      </c>
      <c r="H274" s="13">
        <v>7.3470000000000004</v>
      </c>
      <c r="I274" s="13">
        <v>3.2589999999999999</v>
      </c>
      <c r="J274" s="13">
        <v>120.322</v>
      </c>
      <c r="K274" s="13">
        <v>180.708</v>
      </c>
      <c r="L274" s="13">
        <v>0</v>
      </c>
      <c r="M274" s="13">
        <v>0</v>
      </c>
      <c r="N274" s="13">
        <v>100</v>
      </c>
      <c r="O274" s="13">
        <v>0.432</v>
      </c>
      <c r="P274" s="13">
        <v>0.96799999999999997</v>
      </c>
      <c r="Q274" s="13">
        <v>0.27300000000000002</v>
      </c>
      <c r="R274" s="13">
        <v>0.621</v>
      </c>
      <c r="S274" s="13">
        <v>0.442</v>
      </c>
      <c r="T274" s="13"/>
      <c r="U274" s="13" t="s">
        <v>33</v>
      </c>
      <c r="V274" s="13" t="s">
        <v>35</v>
      </c>
      <c r="W274" s="13">
        <v>9</v>
      </c>
      <c r="X274" s="13" t="s">
        <v>31</v>
      </c>
      <c r="Y274" s="12">
        <f t="shared" si="9"/>
        <v>0.70500000000000007</v>
      </c>
      <c r="Z274" s="13">
        <v>-0.53600000000000003</v>
      </c>
    </row>
    <row r="275" spans="1:26" x14ac:dyDescent="0.2">
      <c r="A275" s="13" t="s">
        <v>79</v>
      </c>
      <c r="B275" s="13">
        <v>3383</v>
      </c>
      <c r="C275" s="13">
        <v>48.252000000000002</v>
      </c>
      <c r="D275" s="13">
        <v>23.202000000000002</v>
      </c>
      <c r="E275" s="13">
        <v>3.3980000000000001</v>
      </c>
      <c r="F275" s="13">
        <v>157.99100000000001</v>
      </c>
      <c r="G275" s="13">
        <v>2.8090000000000002</v>
      </c>
      <c r="H275" s="13">
        <v>3.4489999999999998</v>
      </c>
      <c r="I275" s="13">
        <v>3.0779999999999998</v>
      </c>
      <c r="J275" s="13">
        <v>464.815</v>
      </c>
      <c r="K275" s="13">
        <v>530.53399999999999</v>
      </c>
      <c r="L275" s="13">
        <v>0.01</v>
      </c>
      <c r="M275" s="13">
        <v>1E-3</v>
      </c>
      <c r="N275" s="13">
        <v>100</v>
      </c>
      <c r="O275" s="13">
        <v>0.26600000000000001</v>
      </c>
      <c r="P275" s="13">
        <v>0.313</v>
      </c>
      <c r="Q275" s="13">
        <v>9.9000000000000005E-2</v>
      </c>
      <c r="R275" s="13">
        <v>0.64</v>
      </c>
      <c r="S275" s="13">
        <v>0.19500000000000001</v>
      </c>
      <c r="T275" s="13"/>
      <c r="U275" s="13" t="s">
        <v>33</v>
      </c>
      <c r="V275" s="13" t="s">
        <v>35</v>
      </c>
      <c r="W275" s="13">
        <v>9</v>
      </c>
      <c r="X275" s="13"/>
      <c r="Y275" s="12">
        <f t="shared" si="9"/>
        <v>0.36499999999999999</v>
      </c>
      <c r="Z275" s="13">
        <v>-4.6999999999999986E-2</v>
      </c>
    </row>
    <row r="276" spans="1:26" x14ac:dyDescent="0.2">
      <c r="A276" s="13" t="s">
        <v>79</v>
      </c>
      <c r="B276" s="13">
        <v>3383.125</v>
      </c>
      <c r="C276" s="13">
        <v>56.25</v>
      </c>
      <c r="D276" s="13">
        <v>23.17</v>
      </c>
      <c r="E276" s="13">
        <v>3.5350000000000001</v>
      </c>
      <c r="F276" s="13">
        <v>161.58799999999999</v>
      </c>
      <c r="G276" s="13">
        <v>2.8170000000000002</v>
      </c>
      <c r="H276" s="13">
        <v>4.4370000000000003</v>
      </c>
      <c r="I276" s="13">
        <v>3.1150000000000002</v>
      </c>
      <c r="J276" s="13">
        <v>337.86399999999998</v>
      </c>
      <c r="K276" s="13">
        <v>388.49400000000003</v>
      </c>
      <c r="L276" s="13">
        <v>0.01</v>
      </c>
      <c r="M276" s="13">
        <v>1E-3</v>
      </c>
      <c r="N276" s="13">
        <v>100</v>
      </c>
      <c r="O276" s="13">
        <v>0.32200000000000001</v>
      </c>
      <c r="P276" s="13">
        <v>0.33100000000000002</v>
      </c>
      <c r="Q276" s="13">
        <v>0.13500000000000001</v>
      </c>
      <c r="R276" s="13">
        <v>0.66200000000000003</v>
      </c>
      <c r="S276" s="13">
        <v>0.26500000000000001</v>
      </c>
      <c r="T276" s="13"/>
      <c r="U276" s="13" t="s">
        <v>33</v>
      </c>
      <c r="V276" s="13" t="s">
        <v>35</v>
      </c>
      <c r="W276" s="13">
        <v>9</v>
      </c>
      <c r="X276" s="13"/>
      <c r="Y276" s="12">
        <f t="shared" si="9"/>
        <v>0.45700000000000002</v>
      </c>
      <c r="Z276" s="13">
        <v>-9.000000000000008E-3</v>
      </c>
    </row>
    <row r="277" spans="1:26" x14ac:dyDescent="0.2">
      <c r="A277" s="13" t="s">
        <v>79</v>
      </c>
      <c r="B277" s="13">
        <v>3383.25</v>
      </c>
      <c r="C277" s="13">
        <v>62.06</v>
      </c>
      <c r="D277" s="13">
        <v>23.164000000000001</v>
      </c>
      <c r="E277" s="13">
        <v>3.6829999999999998</v>
      </c>
      <c r="F277" s="13">
        <v>165.93600000000001</v>
      </c>
      <c r="G277" s="13">
        <v>2.8250000000000002</v>
      </c>
      <c r="H277" s="13">
        <v>5.3040000000000003</v>
      </c>
      <c r="I277" s="13">
        <v>3.15</v>
      </c>
      <c r="J277" s="13">
        <v>268.98899999999998</v>
      </c>
      <c r="K277" s="13">
        <v>308.44400000000002</v>
      </c>
      <c r="L277" s="13">
        <v>0.01</v>
      </c>
      <c r="M277" s="13">
        <v>1E-3</v>
      </c>
      <c r="N277" s="13">
        <v>100</v>
      </c>
      <c r="O277" s="13">
        <v>0.36299999999999999</v>
      </c>
      <c r="P277" s="13">
        <v>0.34699999999999998</v>
      </c>
      <c r="Q277" s="13">
        <v>0.17799999999999999</v>
      </c>
      <c r="R277" s="13">
        <v>0.68300000000000005</v>
      </c>
      <c r="S277" s="13">
        <v>0.32400000000000001</v>
      </c>
      <c r="T277" s="13"/>
      <c r="U277" s="13" t="s">
        <v>33</v>
      </c>
      <c r="V277" s="13" t="s">
        <v>35</v>
      </c>
      <c r="W277" s="13">
        <v>9</v>
      </c>
      <c r="X277" s="13"/>
      <c r="Y277" s="12">
        <f t="shared" si="9"/>
        <v>0.54099999999999993</v>
      </c>
      <c r="Z277" s="13">
        <v>1.6000000000000014E-2</v>
      </c>
    </row>
    <row r="278" spans="1:26" x14ac:dyDescent="0.2">
      <c r="A278" s="13" t="s">
        <v>79</v>
      </c>
      <c r="B278" s="13">
        <v>3383.375</v>
      </c>
      <c r="C278" s="13">
        <v>65.718999999999994</v>
      </c>
      <c r="D278" s="13">
        <v>23.184000000000001</v>
      </c>
      <c r="E278" s="13">
        <v>3.802</v>
      </c>
      <c r="F278" s="13">
        <v>169.94</v>
      </c>
      <c r="G278" s="13">
        <v>2.8330000000000002</v>
      </c>
      <c r="H278" s="13">
        <v>5.7489999999999997</v>
      </c>
      <c r="I278" s="13">
        <v>3.1819999999999999</v>
      </c>
      <c r="J278" s="13">
        <v>234.16499999999999</v>
      </c>
      <c r="K278" s="13">
        <v>265.81700000000001</v>
      </c>
      <c r="L278" s="13">
        <v>0.01</v>
      </c>
      <c r="M278" s="13">
        <v>1E-3</v>
      </c>
      <c r="N278" s="13">
        <v>100</v>
      </c>
      <c r="O278" s="13">
        <v>0.38800000000000001</v>
      </c>
      <c r="P278" s="13">
        <v>0.36299999999999999</v>
      </c>
      <c r="Q278" s="13">
        <v>0.216</v>
      </c>
      <c r="R278" s="13">
        <v>0.70399999999999996</v>
      </c>
      <c r="S278" s="13">
        <v>0.35299999999999998</v>
      </c>
      <c r="T278" s="13"/>
      <c r="U278" s="13" t="s">
        <v>33</v>
      </c>
      <c r="V278" s="13" t="s">
        <v>35</v>
      </c>
      <c r="W278" s="13">
        <v>9</v>
      </c>
      <c r="X278" s="13"/>
      <c r="Y278" s="12">
        <f t="shared" si="9"/>
        <v>0.60399999999999998</v>
      </c>
      <c r="Z278" s="13">
        <v>2.5000000000000022E-2</v>
      </c>
    </row>
    <row r="279" spans="1:26" x14ac:dyDescent="0.2">
      <c r="A279" s="13" t="s">
        <v>79</v>
      </c>
      <c r="B279" s="13">
        <v>3383.5</v>
      </c>
      <c r="C279" s="13">
        <v>66.748000000000005</v>
      </c>
      <c r="D279" s="13">
        <v>23.21</v>
      </c>
      <c r="E279" s="13">
        <v>3.8769999999999998</v>
      </c>
      <c r="F279" s="13">
        <v>172.47399999999999</v>
      </c>
      <c r="G279" s="13">
        <v>2.8330000000000002</v>
      </c>
      <c r="H279" s="13">
        <v>5.5830000000000002</v>
      </c>
      <c r="I279" s="13">
        <v>3.214</v>
      </c>
      <c r="J279" s="13">
        <v>222.858</v>
      </c>
      <c r="K279" s="13">
        <v>248.886</v>
      </c>
      <c r="L279" s="13">
        <v>0.01</v>
      </c>
      <c r="M279" s="13">
        <v>1E-3</v>
      </c>
      <c r="N279" s="13">
        <v>100</v>
      </c>
      <c r="O279" s="13">
        <v>0.39300000000000002</v>
      </c>
      <c r="P279" s="13">
        <v>0.378</v>
      </c>
      <c r="Q279" s="13">
        <v>0.24</v>
      </c>
      <c r="R279" s="13">
        <v>0.70199999999999996</v>
      </c>
      <c r="S279" s="13">
        <v>0.33900000000000002</v>
      </c>
      <c r="T279" s="13"/>
      <c r="U279" s="13" t="s">
        <v>33</v>
      </c>
      <c r="V279" s="13" t="s">
        <v>35</v>
      </c>
      <c r="W279" s="13">
        <v>9</v>
      </c>
      <c r="X279" s="13"/>
      <c r="Y279" s="12">
        <f t="shared" si="9"/>
        <v>0.63300000000000001</v>
      </c>
      <c r="Z279" s="13">
        <v>1.5000000000000013E-2</v>
      </c>
    </row>
    <row r="280" spans="1:26" x14ac:dyDescent="0.2">
      <c r="A280" s="13" t="s">
        <v>79</v>
      </c>
      <c r="B280" s="13">
        <v>3383.625</v>
      </c>
      <c r="C280" s="13">
        <v>63.636000000000003</v>
      </c>
      <c r="D280" s="13">
        <v>23.248000000000001</v>
      </c>
      <c r="E280" s="13">
        <v>3.99</v>
      </c>
      <c r="F280" s="13">
        <v>173.303</v>
      </c>
      <c r="G280" s="13">
        <v>2.8239999999999998</v>
      </c>
      <c r="H280" s="13">
        <v>4.99</v>
      </c>
      <c r="I280" s="13">
        <v>3.2450000000000001</v>
      </c>
      <c r="J280" s="13">
        <v>230.63800000000001</v>
      </c>
      <c r="K280" s="13">
        <v>253.179</v>
      </c>
      <c r="L280" s="13">
        <v>0.01</v>
      </c>
      <c r="M280" s="13">
        <v>1E-3</v>
      </c>
      <c r="N280" s="13">
        <v>100</v>
      </c>
      <c r="O280" s="13">
        <v>0.36799999999999999</v>
      </c>
      <c r="P280" s="13">
        <v>0.39300000000000002</v>
      </c>
      <c r="Q280" s="13">
        <v>0.247</v>
      </c>
      <c r="R280" s="13">
        <v>0.67700000000000005</v>
      </c>
      <c r="S280" s="13">
        <v>0.29599999999999999</v>
      </c>
      <c r="T280" s="13"/>
      <c r="U280" s="13" t="s">
        <v>33</v>
      </c>
      <c r="V280" s="13" t="s">
        <v>35</v>
      </c>
      <c r="W280" s="13">
        <v>9</v>
      </c>
      <c r="X280" s="13"/>
      <c r="Y280" s="12">
        <f t="shared" si="9"/>
        <v>0.61499999999999999</v>
      </c>
      <c r="Z280" s="13">
        <v>-2.5000000000000022E-2</v>
      </c>
    </row>
    <row r="281" spans="1:26" x14ac:dyDescent="0.2">
      <c r="A281" s="13" t="s">
        <v>79</v>
      </c>
      <c r="B281" s="13">
        <v>3383.75</v>
      </c>
      <c r="C281" s="13">
        <v>55.613</v>
      </c>
      <c r="D281" s="13">
        <v>23.312999999999999</v>
      </c>
      <c r="E281" s="13">
        <v>3.8210000000000002</v>
      </c>
      <c r="F281" s="13">
        <v>172.01900000000001</v>
      </c>
      <c r="G281" s="13">
        <v>2.8119999999999998</v>
      </c>
      <c r="H281" s="13">
        <v>4.3010000000000002</v>
      </c>
      <c r="I281" s="13">
        <v>3.2709999999999999</v>
      </c>
      <c r="J281" s="13">
        <v>256.738</v>
      </c>
      <c r="K281" s="13">
        <v>278.26400000000001</v>
      </c>
      <c r="L281" s="13">
        <v>0.01</v>
      </c>
      <c r="M281" s="13">
        <v>1E-3</v>
      </c>
      <c r="N281" s="13">
        <v>100</v>
      </c>
      <c r="O281" s="13">
        <v>0.31</v>
      </c>
      <c r="P281" s="13">
        <v>0.40500000000000003</v>
      </c>
      <c r="Q281" s="13">
        <v>0.23300000000000001</v>
      </c>
      <c r="R281" s="13">
        <v>0.64500000000000002</v>
      </c>
      <c r="S281" s="13">
        <v>0.247</v>
      </c>
      <c r="T281" s="13"/>
      <c r="U281" s="13" t="s">
        <v>33</v>
      </c>
      <c r="V281" s="13" t="s">
        <v>35</v>
      </c>
      <c r="W281" s="13">
        <v>9</v>
      </c>
      <c r="X281" s="13"/>
      <c r="Y281" s="12">
        <f t="shared" si="9"/>
        <v>0.54300000000000004</v>
      </c>
      <c r="Z281" s="13">
        <v>-9.5000000000000029E-2</v>
      </c>
    </row>
    <row r="282" spans="1:26" x14ac:dyDescent="0.2">
      <c r="A282" s="13" t="s">
        <v>79</v>
      </c>
      <c r="B282" s="13">
        <v>3383.875</v>
      </c>
      <c r="C282" s="13">
        <v>45.945</v>
      </c>
      <c r="D282" s="13">
        <v>23.367999999999999</v>
      </c>
      <c r="E282" s="13">
        <v>3.2949999999999999</v>
      </c>
      <c r="F282" s="13">
        <v>168.77199999999999</v>
      </c>
      <c r="G282" s="13">
        <v>2.802</v>
      </c>
      <c r="H282" s="13">
        <v>3.6909999999999998</v>
      </c>
      <c r="I282" s="13">
        <v>3.2810000000000001</v>
      </c>
      <c r="J282" s="13">
        <v>291.35899999999998</v>
      </c>
      <c r="K282" s="13">
        <v>315.08600000000001</v>
      </c>
      <c r="L282" s="13">
        <v>0.01</v>
      </c>
      <c r="M282" s="13">
        <v>1E-3</v>
      </c>
      <c r="N282" s="13">
        <v>100</v>
      </c>
      <c r="O282" s="13">
        <v>0.24099999999999999</v>
      </c>
      <c r="P282" s="13">
        <v>0.40899999999999997</v>
      </c>
      <c r="Q282" s="13">
        <v>0.20100000000000001</v>
      </c>
      <c r="R282" s="13">
        <v>0.62</v>
      </c>
      <c r="S282" s="13">
        <v>0.20399999999999999</v>
      </c>
      <c r="T282" s="13"/>
      <c r="U282" s="13" t="s">
        <v>33</v>
      </c>
      <c r="V282" s="13" t="s">
        <v>35</v>
      </c>
      <c r="W282" s="13">
        <v>9</v>
      </c>
      <c r="X282" s="13"/>
      <c r="Y282" s="12">
        <f t="shared" si="9"/>
        <v>0.442</v>
      </c>
      <c r="Z282" s="13">
        <v>-0.16799999999999998</v>
      </c>
    </row>
    <row r="283" spans="1:26" x14ac:dyDescent="0.2">
      <c r="A283" s="13" t="s">
        <v>81</v>
      </c>
      <c r="B283" s="13">
        <v>3401.75</v>
      </c>
      <c r="C283" s="13">
        <v>49.024000000000001</v>
      </c>
      <c r="D283" s="13">
        <v>22.407</v>
      </c>
      <c r="E283" s="13">
        <v>3.2730000000000001</v>
      </c>
      <c r="F283" s="13">
        <v>179.96199999999999</v>
      </c>
      <c r="G283" s="13">
        <v>2.835</v>
      </c>
      <c r="H283" s="13">
        <v>8.2910000000000004</v>
      </c>
      <c r="I283" s="13">
        <v>4.1609999999999996</v>
      </c>
      <c r="J283" s="13">
        <v>390.32600000000002</v>
      </c>
      <c r="K283" s="13">
        <v>391.54199999999997</v>
      </c>
      <c r="L283" s="13">
        <v>2.14</v>
      </c>
      <c r="M283" s="13">
        <v>0.1</v>
      </c>
      <c r="N283" s="13">
        <v>100</v>
      </c>
      <c r="O283" s="13">
        <v>0.3</v>
      </c>
      <c r="P283" s="13">
        <v>0.44400000000000001</v>
      </c>
      <c r="Q283" s="13">
        <v>0.35099999999999998</v>
      </c>
      <c r="R283" s="13">
        <v>0.71399999999999997</v>
      </c>
      <c r="S283" s="13">
        <v>0.39300000000000002</v>
      </c>
      <c r="T283" s="13"/>
      <c r="U283" s="13" t="s">
        <v>33</v>
      </c>
      <c r="V283" s="13" t="s">
        <v>35</v>
      </c>
      <c r="W283" s="13">
        <v>11</v>
      </c>
      <c r="X283" s="13"/>
      <c r="Y283" s="12">
        <f t="shared" si="9"/>
        <v>0.65100000000000002</v>
      </c>
      <c r="Z283" s="13">
        <v>-0.14400000000000002</v>
      </c>
    </row>
    <row r="284" spans="1:26" x14ac:dyDescent="0.2">
      <c r="A284" s="13" t="s">
        <v>81</v>
      </c>
      <c r="B284" s="13">
        <v>3401.875</v>
      </c>
      <c r="C284" s="13">
        <v>59.12</v>
      </c>
      <c r="D284" s="13">
        <v>22.44</v>
      </c>
      <c r="E284" s="13">
        <v>3.5350000000000001</v>
      </c>
      <c r="F284" s="13">
        <v>192.85599999999999</v>
      </c>
      <c r="G284" s="13">
        <v>2.827</v>
      </c>
      <c r="H284" s="13">
        <v>8.9309999999999992</v>
      </c>
      <c r="I284" s="13">
        <v>3.706</v>
      </c>
      <c r="J284" s="13">
        <v>294.97899999999998</v>
      </c>
      <c r="K284" s="13">
        <v>296.7</v>
      </c>
      <c r="L284" s="13">
        <v>2.1800000000000002</v>
      </c>
      <c r="M284" s="13">
        <v>0.1</v>
      </c>
      <c r="N284" s="13">
        <v>100</v>
      </c>
      <c r="O284" s="13">
        <v>0.38</v>
      </c>
      <c r="P284" s="13">
        <v>0.307</v>
      </c>
      <c r="Q284" s="13">
        <v>0.497</v>
      </c>
      <c r="R284" s="13">
        <v>0.69499999999999995</v>
      </c>
      <c r="S284" s="13">
        <v>0.42799999999999999</v>
      </c>
      <c r="T284" s="13"/>
      <c r="U284" s="13" t="s">
        <v>33</v>
      </c>
      <c r="V284" s="13" t="s">
        <v>35</v>
      </c>
      <c r="W284" s="13">
        <v>11</v>
      </c>
      <c r="X284" s="13"/>
      <c r="Y284" s="12">
        <f t="shared" si="9"/>
        <v>0.877</v>
      </c>
      <c r="Z284" s="13">
        <v>7.3000000000000009E-2</v>
      </c>
    </row>
    <row r="285" spans="1:26" x14ac:dyDescent="0.2">
      <c r="A285" s="13" t="s">
        <v>81</v>
      </c>
      <c r="B285" s="13">
        <v>3402</v>
      </c>
      <c r="C285" s="13">
        <v>68.376000000000005</v>
      </c>
      <c r="D285" s="13">
        <v>22.486000000000001</v>
      </c>
      <c r="E285" s="13">
        <v>3.6179999999999999</v>
      </c>
      <c r="F285" s="13">
        <v>214.47200000000001</v>
      </c>
      <c r="G285" s="13">
        <v>2.831</v>
      </c>
      <c r="H285" s="13">
        <v>9.1419999999999995</v>
      </c>
      <c r="I285" s="13">
        <v>3.218</v>
      </c>
      <c r="J285" s="13">
        <v>250.04900000000001</v>
      </c>
      <c r="K285" s="13">
        <v>252.821</v>
      </c>
      <c r="L285" s="13">
        <v>1.617</v>
      </c>
      <c r="M285" s="13">
        <v>0.1</v>
      </c>
      <c r="N285" s="13">
        <v>100</v>
      </c>
      <c r="O285" s="13">
        <v>0.45300000000000001</v>
      </c>
      <c r="P285" s="13">
        <v>0.16</v>
      </c>
      <c r="Q285" s="13">
        <v>0.74199999999999999</v>
      </c>
      <c r="R285" s="13">
        <v>0.70399999999999996</v>
      </c>
      <c r="S285" s="13">
        <v>0.44</v>
      </c>
      <c r="T285" s="13"/>
      <c r="U285" s="13" t="s">
        <v>33</v>
      </c>
      <c r="V285" s="13" t="s">
        <v>35</v>
      </c>
      <c r="W285" s="13">
        <v>11</v>
      </c>
      <c r="X285" s="13"/>
      <c r="Y285" s="12">
        <f t="shared" si="9"/>
        <v>1.1950000000000001</v>
      </c>
      <c r="Z285" s="13">
        <v>0.29300000000000004</v>
      </c>
    </row>
    <row r="286" spans="1:26" x14ac:dyDescent="0.2">
      <c r="A286" s="13" t="s">
        <v>81</v>
      </c>
      <c r="B286" s="13">
        <v>3402.125</v>
      </c>
      <c r="C286" s="13">
        <v>74.495000000000005</v>
      </c>
      <c r="D286" s="13">
        <v>22.547999999999998</v>
      </c>
      <c r="E286" s="13">
        <v>3.5329999999999999</v>
      </c>
      <c r="F286" s="13">
        <v>230.38300000000001</v>
      </c>
      <c r="G286" s="13">
        <v>2.843</v>
      </c>
      <c r="H286" s="13">
        <v>9.11</v>
      </c>
      <c r="I286" s="13">
        <v>2.9769999999999999</v>
      </c>
      <c r="J286" s="13">
        <v>233.14599999999999</v>
      </c>
      <c r="K286" s="13">
        <v>236.173</v>
      </c>
      <c r="L286" s="13">
        <v>0.96599999999999997</v>
      </c>
      <c r="M286" s="13">
        <v>0.1</v>
      </c>
      <c r="N286" s="13">
        <v>100</v>
      </c>
      <c r="O286" s="13">
        <v>0.501</v>
      </c>
      <c r="P286" s="13">
        <v>8.7999999999999995E-2</v>
      </c>
      <c r="Q286" s="13">
        <v>0.92300000000000004</v>
      </c>
      <c r="R286" s="13">
        <v>0.73399999999999999</v>
      </c>
      <c r="S286" s="13">
        <v>0.438</v>
      </c>
      <c r="T286" s="13"/>
      <c r="U286" s="13" t="s">
        <v>33</v>
      </c>
      <c r="V286" s="13" t="s">
        <v>35</v>
      </c>
      <c r="W286" s="13">
        <v>11</v>
      </c>
      <c r="X286" s="13"/>
      <c r="Y286" s="12">
        <f t="shared" si="9"/>
        <v>1.4239999999999999</v>
      </c>
      <c r="Z286" s="13">
        <v>0.41300000000000003</v>
      </c>
    </row>
    <row r="287" spans="1:26" x14ac:dyDescent="0.2">
      <c r="A287" s="13" t="s">
        <v>81</v>
      </c>
      <c r="B287" s="13">
        <v>3402.25</v>
      </c>
      <c r="C287" s="13">
        <v>76.477999999999994</v>
      </c>
      <c r="D287" s="13">
        <v>22.605</v>
      </c>
      <c r="E287" s="13">
        <v>3.4089999999999998</v>
      </c>
      <c r="F287" s="13">
        <v>229.37700000000001</v>
      </c>
      <c r="G287" s="13">
        <v>2.855</v>
      </c>
      <c r="H287" s="13">
        <v>8.9949999999999992</v>
      </c>
      <c r="I287" s="13">
        <v>2.9830000000000001</v>
      </c>
      <c r="J287" s="13">
        <v>228.47300000000001</v>
      </c>
      <c r="K287" s="13">
        <v>231.25700000000001</v>
      </c>
      <c r="L287" s="13">
        <v>0.65800000000000003</v>
      </c>
      <c r="M287" s="13">
        <v>0.1</v>
      </c>
      <c r="N287" s="13">
        <v>100</v>
      </c>
      <c r="O287" s="13">
        <v>0.51700000000000002</v>
      </c>
      <c r="P287" s="13">
        <v>0.09</v>
      </c>
      <c r="Q287" s="13">
        <v>0.91100000000000003</v>
      </c>
      <c r="R287" s="13">
        <v>0.76400000000000001</v>
      </c>
      <c r="S287" s="13">
        <v>0.432</v>
      </c>
      <c r="T287" s="13"/>
      <c r="U287" s="13" t="s">
        <v>33</v>
      </c>
      <c r="V287" s="13" t="s">
        <v>35</v>
      </c>
      <c r="W287" s="13">
        <v>11</v>
      </c>
      <c r="X287" s="13"/>
      <c r="Y287" s="12">
        <f t="shared" si="9"/>
        <v>1.4279999999999999</v>
      </c>
      <c r="Z287" s="13">
        <v>0.42700000000000005</v>
      </c>
    </row>
    <row r="288" spans="1:26" x14ac:dyDescent="0.2">
      <c r="A288" s="13" t="s">
        <v>81</v>
      </c>
      <c r="B288" s="13">
        <v>3402.375</v>
      </c>
      <c r="C288" s="13">
        <v>74.72</v>
      </c>
      <c r="D288" s="13">
        <v>22.628</v>
      </c>
      <c r="E288" s="13">
        <v>3.347</v>
      </c>
      <c r="F288" s="13">
        <v>216.93199999999999</v>
      </c>
      <c r="G288" s="13">
        <v>2.86</v>
      </c>
      <c r="H288" s="13">
        <v>9.0020000000000007</v>
      </c>
      <c r="I288" s="13">
        <v>3.1309999999999998</v>
      </c>
      <c r="J288" s="13">
        <v>227.54300000000001</v>
      </c>
      <c r="K288" s="13">
        <v>229.458</v>
      </c>
      <c r="L288" s="13">
        <v>0.57399999999999995</v>
      </c>
      <c r="M288" s="13">
        <v>0.1</v>
      </c>
      <c r="N288" s="13">
        <v>100</v>
      </c>
      <c r="O288" s="13">
        <v>0.503</v>
      </c>
      <c r="P288" s="13">
        <v>0.13400000000000001</v>
      </c>
      <c r="Q288" s="13">
        <v>0.77</v>
      </c>
      <c r="R288" s="13">
        <v>0.77600000000000002</v>
      </c>
      <c r="S288" s="13">
        <v>0.432</v>
      </c>
      <c r="T288" s="13"/>
      <c r="U288" s="13" t="s">
        <v>33</v>
      </c>
      <c r="V288" s="13" t="s">
        <v>35</v>
      </c>
      <c r="W288" s="13">
        <v>11</v>
      </c>
      <c r="X288" s="13"/>
      <c r="Y288" s="12">
        <f t="shared" si="9"/>
        <v>1.2730000000000001</v>
      </c>
      <c r="Z288" s="13">
        <v>0.36899999999999999</v>
      </c>
    </row>
    <row r="289" spans="1:26" x14ac:dyDescent="0.2">
      <c r="A289" s="13" t="s">
        <v>81</v>
      </c>
      <c r="B289" s="13">
        <v>3402.5</v>
      </c>
      <c r="C289" s="13">
        <v>70.031000000000006</v>
      </c>
      <c r="D289" s="13">
        <v>22.620999999999999</v>
      </c>
      <c r="E289" s="13">
        <v>3.234</v>
      </c>
      <c r="F289" s="13">
        <v>195.74100000000001</v>
      </c>
      <c r="G289" s="13">
        <v>2.8559999999999999</v>
      </c>
      <c r="H289" s="13">
        <v>9.3780000000000001</v>
      </c>
      <c r="I289" s="13">
        <v>3.3959999999999999</v>
      </c>
      <c r="J289" s="13">
        <v>222.74299999999999</v>
      </c>
      <c r="K289" s="13">
        <v>223.29599999999999</v>
      </c>
      <c r="L289" s="13">
        <v>0.622</v>
      </c>
      <c r="M289" s="13">
        <v>0.1</v>
      </c>
      <c r="N289" s="13">
        <v>100</v>
      </c>
      <c r="O289" s="13">
        <v>0.46600000000000003</v>
      </c>
      <c r="P289" s="13">
        <v>0.214</v>
      </c>
      <c r="Q289" s="13">
        <v>0.53</v>
      </c>
      <c r="R289" s="13">
        <v>0.76600000000000001</v>
      </c>
      <c r="S289" s="13">
        <v>0.45300000000000001</v>
      </c>
      <c r="T289" s="13"/>
      <c r="U289" s="13" t="s">
        <v>33</v>
      </c>
      <c r="V289" s="13" t="s">
        <v>35</v>
      </c>
      <c r="W289" s="13">
        <v>11</v>
      </c>
      <c r="X289" s="13"/>
      <c r="Y289" s="12">
        <f t="shared" si="9"/>
        <v>0.996</v>
      </c>
      <c r="Z289" s="13">
        <v>0.252</v>
      </c>
    </row>
    <row r="290" spans="1:26" x14ac:dyDescent="0.2">
      <c r="A290" s="13" t="s">
        <v>81</v>
      </c>
      <c r="B290" s="13">
        <v>3402.625</v>
      </c>
      <c r="C290" s="13">
        <v>65.462999999999994</v>
      </c>
      <c r="D290" s="13">
        <v>22.6</v>
      </c>
      <c r="E290" s="13">
        <v>2.927</v>
      </c>
      <c r="F290" s="13">
        <v>180.23500000000001</v>
      </c>
      <c r="G290" s="13">
        <v>2.84</v>
      </c>
      <c r="H290" s="13">
        <v>9.9290000000000003</v>
      </c>
      <c r="I290" s="13">
        <v>3.7309999999999999</v>
      </c>
      <c r="J290" s="13">
        <v>209.75800000000001</v>
      </c>
      <c r="K290" s="13">
        <v>209.35300000000001</v>
      </c>
      <c r="L290" s="13">
        <v>0.78700000000000003</v>
      </c>
      <c r="M290" s="13">
        <v>0.1</v>
      </c>
      <c r="N290" s="13">
        <v>100</v>
      </c>
      <c r="O290" s="13">
        <v>0.43</v>
      </c>
      <c r="P290" s="13">
        <v>0.314</v>
      </c>
      <c r="Q290" s="13">
        <v>0.35399999999999998</v>
      </c>
      <c r="R290" s="13">
        <v>0.72699999999999998</v>
      </c>
      <c r="S290" s="13">
        <v>0.48399999999999999</v>
      </c>
      <c r="T290" s="13"/>
      <c r="U290" s="13" t="s">
        <v>33</v>
      </c>
      <c r="V290" s="13" t="s">
        <v>35</v>
      </c>
      <c r="W290" s="13">
        <v>11</v>
      </c>
      <c r="X290" s="13"/>
      <c r="Y290" s="12">
        <f t="shared" si="9"/>
        <v>0.78400000000000003</v>
      </c>
      <c r="Z290" s="13">
        <v>0.11599999999999999</v>
      </c>
    </row>
    <row r="291" spans="1:26" x14ac:dyDescent="0.2">
      <c r="A291" s="13" t="s">
        <v>81</v>
      </c>
      <c r="B291" s="13">
        <v>3402.75</v>
      </c>
      <c r="C291" s="13">
        <v>64.069000000000003</v>
      </c>
      <c r="D291" s="13">
        <v>22.582999999999998</v>
      </c>
      <c r="E291" s="13">
        <v>2.6019999999999999</v>
      </c>
      <c r="F291" s="13">
        <v>175.40899999999999</v>
      </c>
      <c r="G291" s="13">
        <v>2.8159999999999998</v>
      </c>
      <c r="H291" s="13">
        <v>10.173999999999999</v>
      </c>
      <c r="I291" s="13">
        <v>3.9980000000000002</v>
      </c>
      <c r="J291" s="13">
        <v>192.535</v>
      </c>
      <c r="K291" s="13">
        <v>192.25700000000001</v>
      </c>
      <c r="L291" s="13">
        <v>1.0489999999999999</v>
      </c>
      <c r="M291" s="13">
        <v>0.1</v>
      </c>
      <c r="N291" s="13">
        <v>100</v>
      </c>
      <c r="O291" s="13">
        <v>0.41899999999999998</v>
      </c>
      <c r="P291" s="13">
        <v>0.39500000000000002</v>
      </c>
      <c r="Q291" s="13">
        <v>0.29899999999999999</v>
      </c>
      <c r="R291" s="13">
        <v>0.66700000000000004</v>
      </c>
      <c r="S291" s="13">
        <v>0.497</v>
      </c>
      <c r="T291" s="13"/>
      <c r="U291" s="13" t="s">
        <v>33</v>
      </c>
      <c r="V291" s="13" t="s">
        <v>35</v>
      </c>
      <c r="W291" s="13">
        <v>11</v>
      </c>
      <c r="X291" s="13"/>
      <c r="Y291" s="12">
        <f t="shared" si="9"/>
        <v>0.71799999999999997</v>
      </c>
      <c r="Z291" s="13">
        <v>2.3999999999999966E-2</v>
      </c>
    </row>
    <row r="292" spans="1:26" x14ac:dyDescent="0.2">
      <c r="A292" s="13" t="s">
        <v>81</v>
      </c>
      <c r="B292" s="13">
        <v>3402.875</v>
      </c>
      <c r="C292" s="13">
        <v>65.87</v>
      </c>
      <c r="D292" s="13">
        <v>22.585999999999999</v>
      </c>
      <c r="E292" s="13">
        <v>2.427</v>
      </c>
      <c r="F292" s="13">
        <v>174.8</v>
      </c>
      <c r="G292" s="13">
        <v>2.7949999999999999</v>
      </c>
      <c r="H292" s="13">
        <v>9.9469999999999992</v>
      </c>
      <c r="I292" s="13">
        <v>4.085</v>
      </c>
      <c r="J292" s="13">
        <v>180.596</v>
      </c>
      <c r="K292" s="13">
        <v>180.947</v>
      </c>
      <c r="L292" s="13">
        <v>1.228</v>
      </c>
      <c r="M292" s="13">
        <v>0.1</v>
      </c>
      <c r="N292" s="13">
        <v>100</v>
      </c>
      <c r="O292" s="13">
        <v>0.433</v>
      </c>
      <c r="P292" s="13">
        <v>0.42099999999999999</v>
      </c>
      <c r="Q292" s="13">
        <v>0.29199999999999998</v>
      </c>
      <c r="R292" s="13">
        <v>0.61599999999999999</v>
      </c>
      <c r="S292" s="13">
        <v>0.48499999999999999</v>
      </c>
      <c r="T292" s="13"/>
      <c r="U292" s="13" t="s">
        <v>33</v>
      </c>
      <c r="V292" s="13" t="s">
        <v>35</v>
      </c>
      <c r="W292" s="13">
        <v>11</v>
      </c>
      <c r="X292" s="13"/>
      <c r="Y292" s="12">
        <f t="shared" si="9"/>
        <v>0.72499999999999998</v>
      </c>
      <c r="Z292" s="13">
        <v>1.2000000000000011E-2</v>
      </c>
    </row>
    <row r="293" spans="1:26" x14ac:dyDescent="0.2">
      <c r="A293" s="13" t="s">
        <v>81</v>
      </c>
      <c r="B293" s="13">
        <v>3403</v>
      </c>
      <c r="C293" s="13">
        <v>66.438000000000002</v>
      </c>
      <c r="D293" s="13">
        <v>22.611000000000001</v>
      </c>
      <c r="E293" s="13">
        <v>2.3439999999999999</v>
      </c>
      <c r="F293" s="13">
        <v>173.85</v>
      </c>
      <c r="G293" s="13">
        <v>2.7890000000000001</v>
      </c>
      <c r="H293" s="13">
        <v>9.593</v>
      </c>
      <c r="I293" s="13">
        <v>4.0679999999999996</v>
      </c>
      <c r="J293" s="13">
        <v>177.06100000000001</v>
      </c>
      <c r="K293" s="13">
        <v>177.52799999999999</v>
      </c>
      <c r="L293" s="13">
        <v>1.1000000000000001</v>
      </c>
      <c r="M293" s="13">
        <v>0.1</v>
      </c>
      <c r="N293" s="13">
        <v>100</v>
      </c>
      <c r="O293" s="13">
        <v>0.437</v>
      </c>
      <c r="P293" s="13">
        <v>0.41599999999999998</v>
      </c>
      <c r="Q293" s="13">
        <v>0.28100000000000003</v>
      </c>
      <c r="R293" s="13">
        <v>0.60099999999999998</v>
      </c>
      <c r="S293" s="13">
        <v>0.46500000000000002</v>
      </c>
      <c r="T293" s="13"/>
      <c r="U293" s="13" t="s">
        <v>33</v>
      </c>
      <c r="V293" s="13" t="s">
        <v>35</v>
      </c>
      <c r="W293" s="13">
        <v>11</v>
      </c>
      <c r="X293" s="13"/>
      <c r="Y293" s="12">
        <f t="shared" si="9"/>
        <v>0.71799999999999997</v>
      </c>
      <c r="Z293" s="13">
        <v>2.1000000000000019E-2</v>
      </c>
    </row>
    <row r="294" spans="1:26" x14ac:dyDescent="0.2">
      <c r="A294" s="13" t="s">
        <v>81</v>
      </c>
      <c r="B294" s="13">
        <v>3403.125</v>
      </c>
      <c r="C294" s="13">
        <v>63.89</v>
      </c>
      <c r="D294" s="13">
        <v>22.646000000000001</v>
      </c>
      <c r="E294" s="13">
        <v>2.2850000000000001</v>
      </c>
      <c r="F294" s="13">
        <v>171.45500000000001</v>
      </c>
      <c r="G294" s="13">
        <v>2.802</v>
      </c>
      <c r="H294" s="13">
        <v>9.26</v>
      </c>
      <c r="I294" s="13">
        <v>4.0529999999999999</v>
      </c>
      <c r="J294" s="13">
        <v>178.21700000000001</v>
      </c>
      <c r="K294" s="13">
        <v>178.51</v>
      </c>
      <c r="L294" s="13">
        <v>0.74399999999999999</v>
      </c>
      <c r="M294" s="13">
        <v>0.1</v>
      </c>
      <c r="N294" s="13">
        <v>100</v>
      </c>
      <c r="O294" s="13">
        <v>0.41699999999999998</v>
      </c>
      <c r="P294" s="13">
        <v>0.41099999999999998</v>
      </c>
      <c r="Q294" s="13">
        <v>0.254</v>
      </c>
      <c r="R294" s="13">
        <v>0.63300000000000001</v>
      </c>
      <c r="S294" s="13">
        <v>0.44600000000000001</v>
      </c>
      <c r="T294" s="13"/>
      <c r="U294" s="13" t="s">
        <v>33</v>
      </c>
      <c r="V294" s="13" t="s">
        <v>35</v>
      </c>
      <c r="W294" s="13">
        <v>11</v>
      </c>
      <c r="X294" s="13"/>
      <c r="Y294" s="12">
        <f t="shared" si="9"/>
        <v>0.67100000000000004</v>
      </c>
      <c r="Z294" s="13">
        <v>6.0000000000000053E-3</v>
      </c>
    </row>
    <row r="295" spans="1:26" x14ac:dyDescent="0.2">
      <c r="A295" s="13" t="s">
        <v>81</v>
      </c>
      <c r="B295" s="13">
        <v>3403.25</v>
      </c>
      <c r="C295" s="13">
        <v>61.527999999999999</v>
      </c>
      <c r="D295" s="13">
        <v>22.693999999999999</v>
      </c>
      <c r="E295" s="13">
        <v>2.2810000000000001</v>
      </c>
      <c r="F295" s="13">
        <v>170.846</v>
      </c>
      <c r="G295" s="13">
        <v>2.819</v>
      </c>
      <c r="H295" s="13">
        <v>8.9469999999999992</v>
      </c>
      <c r="I295" s="13">
        <v>4.0940000000000003</v>
      </c>
      <c r="J295" s="13">
        <v>181.142</v>
      </c>
      <c r="K295" s="13">
        <v>181.393</v>
      </c>
      <c r="L295" s="13">
        <v>0.52100000000000002</v>
      </c>
      <c r="M295" s="13">
        <v>0.1</v>
      </c>
      <c r="N295" s="13">
        <v>100</v>
      </c>
      <c r="O295" s="13">
        <v>0.39900000000000002</v>
      </c>
      <c r="P295" s="13">
        <v>0.42399999999999999</v>
      </c>
      <c r="Q295" s="13">
        <v>0.247</v>
      </c>
      <c r="R295" s="13">
        <v>0.67500000000000004</v>
      </c>
      <c r="S295" s="13">
        <v>0.42899999999999999</v>
      </c>
      <c r="T295" s="13"/>
      <c r="U295" s="13" t="s">
        <v>33</v>
      </c>
      <c r="V295" s="13" t="s">
        <v>35</v>
      </c>
      <c r="W295" s="13">
        <v>11</v>
      </c>
      <c r="X295" s="13"/>
      <c r="Y295" s="12">
        <f t="shared" si="9"/>
        <v>0.64600000000000002</v>
      </c>
      <c r="Z295" s="13">
        <v>-2.4999999999999967E-2</v>
      </c>
    </row>
    <row r="296" spans="1:26" x14ac:dyDescent="0.2">
      <c r="A296" s="13" t="s">
        <v>81</v>
      </c>
      <c r="B296" s="13">
        <v>3403.375</v>
      </c>
      <c r="C296" s="13">
        <v>62.886000000000003</v>
      </c>
      <c r="D296" s="13">
        <v>22.72</v>
      </c>
      <c r="E296" s="13">
        <v>2.3220000000000001</v>
      </c>
      <c r="F296" s="13">
        <v>173.81100000000001</v>
      </c>
      <c r="G296" s="13">
        <v>2.8220000000000001</v>
      </c>
      <c r="H296" s="13">
        <v>8.8469999999999995</v>
      </c>
      <c r="I296" s="13">
        <v>4.319</v>
      </c>
      <c r="J296" s="13">
        <v>185.184</v>
      </c>
      <c r="K296" s="13">
        <v>184.964</v>
      </c>
      <c r="L296" s="13">
        <v>0.58599999999999997</v>
      </c>
      <c r="M296" s="13">
        <v>0.1</v>
      </c>
      <c r="N296" s="13">
        <v>100</v>
      </c>
      <c r="O296" s="13">
        <v>0.40899999999999997</v>
      </c>
      <c r="P296" s="13">
        <v>0.49099999999999999</v>
      </c>
      <c r="Q296" s="13">
        <v>0.28100000000000003</v>
      </c>
      <c r="R296" s="13">
        <v>0.68200000000000005</v>
      </c>
      <c r="S296" s="13">
        <v>0.42299999999999999</v>
      </c>
      <c r="T296" s="13"/>
      <c r="U296" s="13" t="s">
        <v>33</v>
      </c>
      <c r="V296" s="13" t="s">
        <v>35</v>
      </c>
      <c r="W296" s="13">
        <v>11</v>
      </c>
      <c r="X296" s="13"/>
      <c r="Y296" s="12">
        <f t="shared" si="9"/>
        <v>0.69</v>
      </c>
      <c r="Z296" s="13">
        <v>-8.2000000000000017E-2</v>
      </c>
    </row>
    <row r="297" spans="1:26" x14ac:dyDescent="0.2">
      <c r="A297" s="13" t="s">
        <v>81</v>
      </c>
      <c r="B297" s="13">
        <v>3403.5</v>
      </c>
      <c r="C297" s="13">
        <v>66.290999999999997</v>
      </c>
      <c r="D297" s="13">
        <v>22.670999999999999</v>
      </c>
      <c r="E297" s="13">
        <v>2.4329999999999998</v>
      </c>
      <c r="F297" s="13">
        <v>177.607</v>
      </c>
      <c r="G297" s="13">
        <v>2.8090000000000002</v>
      </c>
      <c r="H297" s="13">
        <v>9.298</v>
      </c>
      <c r="I297" s="13">
        <v>4.6139999999999999</v>
      </c>
      <c r="J297" s="13">
        <v>188.49799999999999</v>
      </c>
      <c r="K297" s="13">
        <v>186.76599999999999</v>
      </c>
      <c r="L297" s="13">
        <v>1.026</v>
      </c>
      <c r="M297" s="13">
        <v>0.1</v>
      </c>
      <c r="N297" s="13">
        <v>100</v>
      </c>
      <c r="O297" s="13">
        <v>0.436</v>
      </c>
      <c r="P297" s="13">
        <v>0.57999999999999996</v>
      </c>
      <c r="Q297" s="13">
        <v>0.32400000000000001</v>
      </c>
      <c r="R297" s="13">
        <v>0.65</v>
      </c>
      <c r="S297" s="13">
        <v>0.44900000000000001</v>
      </c>
      <c r="T297" s="13"/>
      <c r="U297" s="13" t="s">
        <v>33</v>
      </c>
      <c r="V297" s="13" t="s">
        <v>35</v>
      </c>
      <c r="W297" s="13">
        <v>11</v>
      </c>
      <c r="X297" s="13"/>
      <c r="Y297" s="12">
        <f t="shared" si="9"/>
        <v>0.76</v>
      </c>
      <c r="Z297" s="13">
        <v>-0.14399999999999996</v>
      </c>
    </row>
    <row r="298" spans="1:26" x14ac:dyDescent="0.2">
      <c r="A298" s="13" t="s">
        <v>81</v>
      </c>
      <c r="B298" s="13">
        <v>3403.625</v>
      </c>
      <c r="C298" s="13">
        <v>67.649000000000001</v>
      </c>
      <c r="D298" s="13">
        <v>22.547999999999998</v>
      </c>
      <c r="E298" s="13">
        <v>2.5910000000000002</v>
      </c>
      <c r="F298" s="13">
        <v>178.81800000000001</v>
      </c>
      <c r="G298" s="13">
        <v>2.79</v>
      </c>
      <c r="H298" s="13">
        <v>10.31</v>
      </c>
      <c r="I298" s="13">
        <v>4.7839999999999998</v>
      </c>
      <c r="J298" s="13">
        <v>189.453</v>
      </c>
      <c r="K298" s="13">
        <v>185.15700000000001</v>
      </c>
      <c r="L298" s="13">
        <v>1.8240000000000001</v>
      </c>
      <c r="M298" s="13">
        <v>0.1</v>
      </c>
      <c r="N298" s="13">
        <v>100</v>
      </c>
      <c r="O298" s="13">
        <v>0.44700000000000001</v>
      </c>
      <c r="P298" s="13">
        <v>0.63100000000000001</v>
      </c>
      <c r="Q298" s="13">
        <v>0.33800000000000002</v>
      </c>
      <c r="R298" s="13">
        <v>0.60299999999999998</v>
      </c>
      <c r="S298" s="13">
        <v>0.505</v>
      </c>
      <c r="T298" s="13"/>
      <c r="U298" s="13" t="s">
        <v>33</v>
      </c>
      <c r="V298" s="13" t="s">
        <v>35</v>
      </c>
      <c r="W298" s="13">
        <v>11</v>
      </c>
      <c r="X298" s="13"/>
      <c r="Y298" s="12">
        <f t="shared" si="9"/>
        <v>0.78500000000000003</v>
      </c>
      <c r="Z298" s="13">
        <v>-0.184</v>
      </c>
    </row>
    <row r="299" spans="1:26" x14ac:dyDescent="0.2">
      <c r="A299" s="13" t="s">
        <v>81</v>
      </c>
      <c r="B299" s="13">
        <v>3403.75</v>
      </c>
      <c r="C299" s="13">
        <v>65.762</v>
      </c>
      <c r="D299" s="13">
        <v>22.411999999999999</v>
      </c>
      <c r="E299" s="13">
        <v>2.6629999999999998</v>
      </c>
      <c r="F299" s="13">
        <v>177.96299999999999</v>
      </c>
      <c r="G299" s="13">
        <v>2.7789999999999999</v>
      </c>
      <c r="H299" s="13">
        <v>11.315</v>
      </c>
      <c r="I299" s="13">
        <v>4.633</v>
      </c>
      <c r="J299" s="13">
        <v>187.58799999999999</v>
      </c>
      <c r="K299" s="13">
        <v>179.81</v>
      </c>
      <c r="L299" s="13">
        <v>2.35</v>
      </c>
      <c r="M299" s="13">
        <v>0.1</v>
      </c>
      <c r="N299" s="13">
        <v>100</v>
      </c>
      <c r="O299" s="13">
        <v>0.432</v>
      </c>
      <c r="P299" s="13">
        <v>0.58599999999999997</v>
      </c>
      <c r="Q299" s="13">
        <v>0.32800000000000001</v>
      </c>
      <c r="R299" s="13">
        <v>0.57599999999999996</v>
      </c>
      <c r="S299" s="13">
        <v>0.56100000000000005</v>
      </c>
      <c r="T299" s="13"/>
      <c r="U299" s="13" t="s">
        <v>33</v>
      </c>
      <c r="V299" s="13" t="s">
        <v>35</v>
      </c>
      <c r="W299" s="13">
        <v>11</v>
      </c>
      <c r="X299" s="13"/>
      <c r="Y299" s="12">
        <f t="shared" si="9"/>
        <v>0.76</v>
      </c>
      <c r="Z299" s="13">
        <v>-0.15399999999999997</v>
      </c>
    </row>
    <row r="300" spans="1:26" x14ac:dyDescent="0.2">
      <c r="A300" s="13" t="s">
        <v>81</v>
      </c>
      <c r="B300" s="13">
        <v>3403.875</v>
      </c>
      <c r="C300" s="13">
        <v>63.087000000000003</v>
      </c>
      <c r="D300" s="13">
        <v>22.347000000000001</v>
      </c>
      <c r="E300" s="13">
        <v>2.516</v>
      </c>
      <c r="F300" s="13">
        <v>171.55</v>
      </c>
      <c r="G300" s="13">
        <v>2.7759999999999998</v>
      </c>
      <c r="H300" s="13">
        <v>11.826000000000001</v>
      </c>
      <c r="I300" s="13">
        <v>4.2309999999999999</v>
      </c>
      <c r="J300" s="13">
        <v>178.13300000000001</v>
      </c>
      <c r="K300" s="13">
        <v>166.51599999999999</v>
      </c>
      <c r="L300" s="13">
        <v>1.992</v>
      </c>
      <c r="M300" s="13">
        <v>0.1</v>
      </c>
      <c r="N300" s="13">
        <v>100</v>
      </c>
      <c r="O300" s="13">
        <v>0.41099999999999998</v>
      </c>
      <c r="P300" s="13">
        <v>0.46500000000000002</v>
      </c>
      <c r="Q300" s="13">
        <v>0.255</v>
      </c>
      <c r="R300" s="13">
        <v>0.56899999999999995</v>
      </c>
      <c r="S300" s="13">
        <v>0.58899999999999997</v>
      </c>
      <c r="T300" s="13"/>
      <c r="U300" s="13" t="s">
        <v>33</v>
      </c>
      <c r="V300" s="13" t="s">
        <v>35</v>
      </c>
      <c r="W300" s="13">
        <v>11</v>
      </c>
      <c r="X300" s="13"/>
      <c r="Y300" s="12">
        <f t="shared" si="9"/>
        <v>0.66599999999999993</v>
      </c>
      <c r="Z300" s="13">
        <v>-5.4000000000000048E-2</v>
      </c>
    </row>
    <row r="301" spans="1:26" x14ac:dyDescent="0.2">
      <c r="A301" s="13" t="s">
        <v>81</v>
      </c>
      <c r="B301" s="13">
        <v>3404</v>
      </c>
      <c r="C301" s="13">
        <v>63.988999999999997</v>
      </c>
      <c r="D301" s="13">
        <v>22.388000000000002</v>
      </c>
      <c r="E301" s="13">
        <v>2.234</v>
      </c>
      <c r="F301" s="13">
        <v>169.39599999999999</v>
      </c>
      <c r="G301" s="13">
        <v>2.766</v>
      </c>
      <c r="H301" s="13">
        <v>12.148999999999999</v>
      </c>
      <c r="I301" s="13">
        <v>3.7770000000000001</v>
      </c>
      <c r="J301" s="13">
        <v>154.05199999999999</v>
      </c>
      <c r="K301" s="13">
        <v>140.05600000000001</v>
      </c>
      <c r="L301" s="13">
        <v>1.3240000000000001</v>
      </c>
      <c r="M301" s="13">
        <v>0.1</v>
      </c>
      <c r="N301" s="13">
        <v>100</v>
      </c>
      <c r="O301" s="13">
        <v>0.41799999999999998</v>
      </c>
      <c r="P301" s="13">
        <v>0.32800000000000001</v>
      </c>
      <c r="Q301" s="13">
        <v>0.23100000000000001</v>
      </c>
      <c r="R301" s="13">
        <v>0.54400000000000004</v>
      </c>
      <c r="S301" s="13">
        <v>0.60699999999999998</v>
      </c>
      <c r="T301" s="13"/>
      <c r="U301" s="13" t="s">
        <v>33</v>
      </c>
      <c r="V301" s="13" t="s">
        <v>35</v>
      </c>
      <c r="W301" s="13">
        <v>11</v>
      </c>
      <c r="X301" s="13"/>
      <c r="Y301" s="12">
        <f t="shared" si="9"/>
        <v>0.64900000000000002</v>
      </c>
      <c r="Z301" s="13">
        <v>8.9999999999999969E-2</v>
      </c>
    </row>
    <row r="302" spans="1:26" x14ac:dyDescent="0.2">
      <c r="A302" s="13" t="s">
        <v>81</v>
      </c>
      <c r="B302" s="13">
        <v>3404.125</v>
      </c>
      <c r="C302" s="13">
        <v>72.179000000000002</v>
      </c>
      <c r="D302" s="13">
        <v>22.591000000000001</v>
      </c>
      <c r="E302" s="13">
        <v>2.0459999999999998</v>
      </c>
      <c r="F302" s="13">
        <v>182.94200000000001</v>
      </c>
      <c r="G302" s="13">
        <v>2.734</v>
      </c>
      <c r="H302" s="13">
        <v>12.821</v>
      </c>
      <c r="I302" s="13">
        <v>3.4159999999999999</v>
      </c>
      <c r="J302" s="13">
        <v>117.01</v>
      </c>
      <c r="K302" s="13">
        <v>103.699</v>
      </c>
      <c r="L302" s="13">
        <v>1.411</v>
      </c>
      <c r="M302" s="13">
        <v>0.1</v>
      </c>
      <c r="N302" s="13">
        <v>100</v>
      </c>
      <c r="O302" s="13">
        <v>0.48299999999999998</v>
      </c>
      <c r="P302" s="13">
        <v>0.22</v>
      </c>
      <c r="Q302" s="13">
        <v>0.38400000000000001</v>
      </c>
      <c r="R302" s="13">
        <v>0.46600000000000003</v>
      </c>
      <c r="S302" s="13">
        <v>0.64500000000000002</v>
      </c>
      <c r="T302" s="13"/>
      <c r="U302" s="13" t="s">
        <v>33</v>
      </c>
      <c r="V302" s="13" t="s">
        <v>35</v>
      </c>
      <c r="W302" s="13">
        <v>11</v>
      </c>
      <c r="X302" s="13"/>
      <c r="Y302" s="12">
        <f t="shared" si="9"/>
        <v>0.86699999999999999</v>
      </c>
      <c r="Z302" s="13">
        <v>0.26300000000000001</v>
      </c>
    </row>
    <row r="303" spans="1:26" x14ac:dyDescent="0.2">
      <c r="A303" s="13" t="s">
        <v>82</v>
      </c>
      <c r="B303" s="13">
        <v>3863</v>
      </c>
      <c r="C303" s="13">
        <v>70.319000000000003</v>
      </c>
      <c r="D303" s="13">
        <v>22.606999999999999</v>
      </c>
      <c r="E303" s="13">
        <v>1.7130000000000001</v>
      </c>
      <c r="F303" s="13">
        <v>173.01400000000001</v>
      </c>
      <c r="G303" s="13">
        <v>2.8010000000000002</v>
      </c>
      <c r="H303" s="13">
        <v>7.7</v>
      </c>
      <c r="I303" s="13">
        <v>3.0230000000000001</v>
      </c>
      <c r="J303" s="13">
        <v>141.29</v>
      </c>
      <c r="K303" s="13">
        <v>199.89699999999999</v>
      </c>
      <c r="L303" s="13">
        <v>0</v>
      </c>
      <c r="M303" s="13">
        <v>0</v>
      </c>
      <c r="N303" s="13">
        <v>100</v>
      </c>
      <c r="O303" s="13">
        <v>0.41599999999999998</v>
      </c>
      <c r="P303" s="13">
        <v>0.51900000000000002</v>
      </c>
      <c r="Q303" s="13">
        <v>0.245</v>
      </c>
      <c r="R303" s="13">
        <v>0.77300000000000002</v>
      </c>
      <c r="S303" s="13">
        <v>0.46800000000000003</v>
      </c>
      <c r="T303" s="13"/>
      <c r="U303" s="13" t="s">
        <v>33</v>
      </c>
      <c r="V303" s="13" t="s">
        <v>35</v>
      </c>
      <c r="W303" s="13">
        <v>13</v>
      </c>
      <c r="X303" s="13"/>
      <c r="Y303" s="12">
        <f t="shared" si="9"/>
        <v>0.66100000000000003</v>
      </c>
      <c r="Z303" s="13">
        <v>-0.10300000000000004</v>
      </c>
    </row>
    <row r="304" spans="1:26" x14ac:dyDescent="0.2">
      <c r="A304" s="13" t="s">
        <v>82</v>
      </c>
      <c r="B304" s="13">
        <v>3863.125</v>
      </c>
      <c r="C304" s="13">
        <v>80.043000000000006</v>
      </c>
      <c r="D304" s="13">
        <v>22.727</v>
      </c>
      <c r="E304" s="13">
        <v>2.4609999999999999</v>
      </c>
      <c r="F304" s="13">
        <v>174.61199999999999</v>
      </c>
      <c r="G304" s="13">
        <v>2.802</v>
      </c>
      <c r="H304" s="13">
        <v>8.4710000000000001</v>
      </c>
      <c r="I304" s="13">
        <v>3.0569999999999999</v>
      </c>
      <c r="J304" s="13">
        <v>120.762</v>
      </c>
      <c r="K304" s="13">
        <v>166.536</v>
      </c>
      <c r="L304" s="13">
        <v>0</v>
      </c>
      <c r="M304" s="13">
        <v>0</v>
      </c>
      <c r="N304" s="13">
        <v>100</v>
      </c>
      <c r="O304" s="13">
        <v>0.496</v>
      </c>
      <c r="P304" s="13">
        <v>0.58199999999999996</v>
      </c>
      <c r="Q304" s="13">
        <v>0.26900000000000002</v>
      </c>
      <c r="R304" s="13">
        <v>0.77400000000000002</v>
      </c>
      <c r="S304" s="13">
        <v>0.56699999999999995</v>
      </c>
      <c r="T304" s="13"/>
      <c r="U304" s="13" t="s">
        <v>33</v>
      </c>
      <c r="V304" s="13" t="s">
        <v>35</v>
      </c>
      <c r="W304" s="13">
        <v>13</v>
      </c>
      <c r="X304" s="13"/>
      <c r="Y304" s="12">
        <f t="shared" si="9"/>
        <v>0.76500000000000001</v>
      </c>
      <c r="Z304" s="13">
        <v>-8.5999999999999965E-2</v>
      </c>
    </row>
    <row r="305" spans="1:26" x14ac:dyDescent="0.2">
      <c r="A305" s="13" t="s">
        <v>82</v>
      </c>
      <c r="B305" s="13">
        <v>3863.25</v>
      </c>
      <c r="C305" s="13">
        <v>86.275999999999996</v>
      </c>
      <c r="D305" s="13">
        <v>22.748999999999999</v>
      </c>
      <c r="E305" s="13">
        <v>3.012</v>
      </c>
      <c r="F305" s="13">
        <v>174.87700000000001</v>
      </c>
      <c r="G305" s="13">
        <v>2.8069999999999999</v>
      </c>
      <c r="H305" s="13">
        <v>9.1430000000000007</v>
      </c>
      <c r="I305" s="13">
        <v>3.077</v>
      </c>
      <c r="J305" s="13">
        <v>109.18899999999999</v>
      </c>
      <c r="K305" s="13">
        <v>147.643</v>
      </c>
      <c r="L305" s="13">
        <v>0</v>
      </c>
      <c r="M305" s="13">
        <v>0</v>
      </c>
      <c r="N305" s="13">
        <v>100</v>
      </c>
      <c r="O305" s="13">
        <v>0.54900000000000004</v>
      </c>
      <c r="P305" s="13">
        <v>0.622</v>
      </c>
      <c r="Q305" s="13">
        <v>0.27400000000000002</v>
      </c>
      <c r="R305" s="13">
        <v>0.79700000000000004</v>
      </c>
      <c r="S305" s="13">
        <v>0.65600000000000003</v>
      </c>
      <c r="T305" s="13"/>
      <c r="U305" s="13" t="s">
        <v>33</v>
      </c>
      <c r="V305" s="13" t="s">
        <v>35</v>
      </c>
      <c r="W305" s="13">
        <v>13</v>
      </c>
      <c r="X305" s="13"/>
      <c r="Y305" s="12">
        <f t="shared" si="9"/>
        <v>0.82300000000000006</v>
      </c>
      <c r="Z305" s="13">
        <v>-7.2999999999999954E-2</v>
      </c>
    </row>
    <row r="306" spans="1:26" x14ac:dyDescent="0.2">
      <c r="A306" s="13" t="s">
        <v>82</v>
      </c>
      <c r="B306" s="13">
        <v>3863.375</v>
      </c>
      <c r="C306" s="13">
        <v>89.406999999999996</v>
      </c>
      <c r="D306" s="13">
        <v>22.722000000000001</v>
      </c>
      <c r="E306" s="13">
        <v>3.298</v>
      </c>
      <c r="F306" s="13">
        <v>174.64599999999999</v>
      </c>
      <c r="G306" s="13">
        <v>2.81</v>
      </c>
      <c r="H306" s="13">
        <v>9.4730000000000008</v>
      </c>
      <c r="I306" s="13">
        <v>3.0670000000000002</v>
      </c>
      <c r="J306" s="13">
        <v>102.72</v>
      </c>
      <c r="K306" s="13">
        <v>136.99299999999999</v>
      </c>
      <c r="L306" s="13">
        <v>0</v>
      </c>
      <c r="M306" s="13">
        <v>0</v>
      </c>
      <c r="N306" s="13">
        <v>100</v>
      </c>
      <c r="O306" s="13">
        <v>0.57699999999999996</v>
      </c>
      <c r="P306" s="13">
        <v>0.60899999999999999</v>
      </c>
      <c r="Q306" s="13">
        <v>0.27200000000000002</v>
      </c>
      <c r="R306" s="13">
        <v>0.81399999999999995</v>
      </c>
      <c r="S306" s="13">
        <v>0.70399999999999996</v>
      </c>
      <c r="T306" s="13"/>
      <c r="U306" s="13" t="s">
        <v>33</v>
      </c>
      <c r="V306" s="13" t="s">
        <v>35</v>
      </c>
      <c r="W306" s="13">
        <v>13</v>
      </c>
      <c r="X306" s="13"/>
      <c r="Y306" s="12">
        <f t="shared" si="9"/>
        <v>0.84899999999999998</v>
      </c>
      <c r="Z306" s="13">
        <v>-3.2000000000000028E-2</v>
      </c>
    </row>
    <row r="307" spans="1:26" x14ac:dyDescent="0.2">
      <c r="A307" s="13" t="s">
        <v>82</v>
      </c>
      <c r="B307" s="13">
        <v>3863.5</v>
      </c>
      <c r="C307" s="13">
        <v>91.593999999999994</v>
      </c>
      <c r="D307" s="13">
        <v>22.72</v>
      </c>
      <c r="E307" s="13">
        <v>3.4950000000000001</v>
      </c>
      <c r="F307" s="13">
        <v>174.672</v>
      </c>
      <c r="G307" s="13">
        <v>2.8119999999999998</v>
      </c>
      <c r="H307" s="13">
        <v>9.5890000000000004</v>
      </c>
      <c r="I307" s="13">
        <v>3.03</v>
      </c>
      <c r="J307" s="13">
        <v>98.921999999999997</v>
      </c>
      <c r="K307" s="13">
        <v>130.66300000000001</v>
      </c>
      <c r="L307" s="13">
        <v>0</v>
      </c>
      <c r="M307" s="13">
        <v>0</v>
      </c>
      <c r="N307" s="13">
        <v>100</v>
      </c>
      <c r="O307" s="13">
        <v>0.59599999999999997</v>
      </c>
      <c r="P307" s="13">
        <v>0.54500000000000004</v>
      </c>
      <c r="Q307" s="13">
        <v>0.27200000000000002</v>
      </c>
      <c r="R307" s="13">
        <v>0.82499999999999996</v>
      </c>
      <c r="S307" s="13">
        <v>0.72199999999999998</v>
      </c>
      <c r="T307" s="13"/>
      <c r="U307" s="13" t="s">
        <v>33</v>
      </c>
      <c r="V307" s="13" t="s">
        <v>35</v>
      </c>
      <c r="W307" s="13">
        <v>13</v>
      </c>
      <c r="X307" s="13"/>
      <c r="Y307" s="12">
        <f t="shared" si="9"/>
        <v>0.86799999999999999</v>
      </c>
      <c r="Z307" s="13">
        <v>5.0999999999999934E-2</v>
      </c>
    </row>
    <row r="308" spans="1:26" x14ac:dyDescent="0.2">
      <c r="A308" s="13" t="s">
        <v>82</v>
      </c>
      <c r="B308" s="13">
        <v>3863.625</v>
      </c>
      <c r="C308" s="13">
        <v>94.956000000000003</v>
      </c>
      <c r="D308" s="13">
        <v>22.738</v>
      </c>
      <c r="E308" s="13">
        <v>3.6989999999999998</v>
      </c>
      <c r="F308" s="13">
        <v>175.23</v>
      </c>
      <c r="G308" s="13">
        <v>2.8130000000000002</v>
      </c>
      <c r="H308" s="13">
        <v>9.7520000000000007</v>
      </c>
      <c r="I308" s="13">
        <v>2.9860000000000002</v>
      </c>
      <c r="J308" s="13">
        <v>96.364999999999995</v>
      </c>
      <c r="K308" s="13">
        <v>126.271</v>
      </c>
      <c r="L308" s="13">
        <v>0</v>
      </c>
      <c r="M308" s="13">
        <v>0</v>
      </c>
      <c r="N308" s="13">
        <v>100</v>
      </c>
      <c r="O308" s="13">
        <v>0.622</v>
      </c>
      <c r="P308" s="13">
        <v>0.46500000000000002</v>
      </c>
      <c r="Q308" s="13">
        <v>0.27900000000000003</v>
      </c>
      <c r="R308" s="13">
        <v>0.83</v>
      </c>
      <c r="S308" s="13">
        <v>0.74199999999999999</v>
      </c>
      <c r="T308" s="13"/>
      <c r="U308" s="13" t="s">
        <v>33</v>
      </c>
      <c r="V308" s="13" t="s">
        <v>35</v>
      </c>
      <c r="W308" s="13">
        <v>13</v>
      </c>
      <c r="X308" s="13"/>
      <c r="Y308" s="12">
        <f t="shared" si="9"/>
        <v>0.90100000000000002</v>
      </c>
      <c r="Z308" s="13">
        <v>0.15699999999999997</v>
      </c>
    </row>
    <row r="309" spans="1:26" x14ac:dyDescent="0.2">
      <c r="A309" s="13" t="s">
        <v>82</v>
      </c>
      <c r="B309" s="13">
        <v>3863.75</v>
      </c>
      <c r="C309" s="13">
        <v>99.611999999999995</v>
      </c>
      <c r="D309" s="13">
        <v>22.748999999999999</v>
      </c>
      <c r="E309" s="13">
        <v>3.879</v>
      </c>
      <c r="F309" s="13">
        <v>176.17500000000001</v>
      </c>
      <c r="G309" s="13">
        <v>2.8149999999999999</v>
      </c>
      <c r="H309" s="13">
        <v>9.8439999999999994</v>
      </c>
      <c r="I309" s="13">
        <v>2.9340000000000002</v>
      </c>
      <c r="J309" s="13">
        <v>94.358000000000004</v>
      </c>
      <c r="K309" s="13">
        <v>122.571</v>
      </c>
      <c r="L309" s="13">
        <v>0</v>
      </c>
      <c r="M309" s="13">
        <v>0</v>
      </c>
      <c r="N309" s="13">
        <v>100</v>
      </c>
      <c r="O309" s="13">
        <v>0.65900000000000003</v>
      </c>
      <c r="P309" s="13">
        <v>0.36899999999999999</v>
      </c>
      <c r="Q309" s="13">
        <v>0.29099999999999998</v>
      </c>
      <c r="R309" s="13">
        <v>0.84</v>
      </c>
      <c r="S309" s="13">
        <v>0.755</v>
      </c>
      <c r="T309" s="13"/>
      <c r="U309" s="13" t="s">
        <v>33</v>
      </c>
      <c r="V309" s="13" t="s">
        <v>35</v>
      </c>
      <c r="W309" s="13">
        <v>13</v>
      </c>
      <c r="X309" s="13"/>
      <c r="Y309" s="12">
        <f t="shared" si="9"/>
        <v>0.95</v>
      </c>
      <c r="Z309" s="13">
        <v>0.29000000000000004</v>
      </c>
    </row>
    <row r="310" spans="1:26" x14ac:dyDescent="0.2">
      <c r="A310" s="13" t="s">
        <v>82</v>
      </c>
      <c r="B310" s="13">
        <v>3863.875</v>
      </c>
      <c r="C310" s="13">
        <v>103.336</v>
      </c>
      <c r="D310" s="13">
        <v>22.736999999999998</v>
      </c>
      <c r="E310" s="13">
        <v>3.976</v>
      </c>
      <c r="F310" s="13">
        <v>177.06700000000001</v>
      </c>
      <c r="G310" s="13">
        <v>2.8140000000000001</v>
      </c>
      <c r="H310" s="13">
        <v>9.6379999999999999</v>
      </c>
      <c r="I310" s="13">
        <v>2.8719999999999999</v>
      </c>
      <c r="J310" s="13">
        <v>93.515000000000001</v>
      </c>
      <c r="K310" s="13">
        <v>120.33799999999999</v>
      </c>
      <c r="L310" s="13">
        <v>0</v>
      </c>
      <c r="M310" s="13">
        <v>0</v>
      </c>
      <c r="N310" s="13">
        <v>100</v>
      </c>
      <c r="O310" s="13">
        <v>0.68899999999999995</v>
      </c>
      <c r="P310" s="13">
        <v>0.25600000000000001</v>
      </c>
      <c r="Q310" s="13">
        <v>0.30399999999999999</v>
      </c>
      <c r="R310" s="13">
        <v>0.83599999999999997</v>
      </c>
      <c r="S310" s="13">
        <v>0.73199999999999998</v>
      </c>
      <c r="T310" s="13"/>
      <c r="U310" s="13" t="s">
        <v>33</v>
      </c>
      <c r="V310" s="13" t="s">
        <v>35</v>
      </c>
      <c r="W310" s="13">
        <v>13</v>
      </c>
      <c r="X310" s="13"/>
      <c r="Y310" s="12">
        <f t="shared" si="9"/>
        <v>0.99299999999999988</v>
      </c>
      <c r="Z310" s="13">
        <v>0.43299999999999994</v>
      </c>
    </row>
    <row r="311" spans="1:26" x14ac:dyDescent="0.2">
      <c r="A311" s="13" t="s">
        <v>82</v>
      </c>
      <c r="B311" s="13">
        <v>3864</v>
      </c>
      <c r="C311" s="13">
        <v>104.04300000000001</v>
      </c>
      <c r="D311" s="13">
        <v>22.686</v>
      </c>
      <c r="E311" s="13">
        <v>3.9769999999999999</v>
      </c>
      <c r="F311" s="13">
        <v>177.31899999999999</v>
      </c>
      <c r="G311" s="13">
        <v>2.8109999999999999</v>
      </c>
      <c r="H311" s="13">
        <v>9.2240000000000002</v>
      </c>
      <c r="I311" s="13">
        <v>2.8149999999999999</v>
      </c>
      <c r="J311" s="13">
        <v>95.847999999999999</v>
      </c>
      <c r="K311" s="13">
        <v>122.461</v>
      </c>
      <c r="L311" s="13">
        <v>0</v>
      </c>
      <c r="M311" s="13">
        <v>0</v>
      </c>
      <c r="N311" s="13">
        <v>100</v>
      </c>
      <c r="O311" s="13">
        <v>0.69799999999999995</v>
      </c>
      <c r="P311" s="13">
        <v>0.14899999999999999</v>
      </c>
      <c r="Q311" s="13">
        <v>0.308</v>
      </c>
      <c r="R311" s="13">
        <v>0.82199999999999995</v>
      </c>
      <c r="S311" s="13">
        <v>0.68100000000000005</v>
      </c>
      <c r="T311" s="13"/>
      <c r="U311" s="13" t="s">
        <v>33</v>
      </c>
      <c r="V311" s="13" t="s">
        <v>35</v>
      </c>
      <c r="W311" s="13">
        <v>13</v>
      </c>
      <c r="X311" s="13"/>
      <c r="Y311" s="12">
        <f t="shared" si="9"/>
        <v>1.006</v>
      </c>
      <c r="Z311" s="13">
        <v>0.54899999999999993</v>
      </c>
    </row>
    <row r="312" spans="1:26" x14ac:dyDescent="0.2">
      <c r="A312" s="13" t="s">
        <v>82</v>
      </c>
      <c r="B312" s="13">
        <v>3864.125</v>
      </c>
      <c r="C312" s="13">
        <v>101.517</v>
      </c>
      <c r="D312" s="13">
        <v>22.584</v>
      </c>
      <c r="E312" s="13">
        <v>3.8519999999999999</v>
      </c>
      <c r="F312" s="13">
        <v>176.477</v>
      </c>
      <c r="G312" s="13">
        <v>2.806</v>
      </c>
      <c r="H312" s="13">
        <v>8.8149999999999995</v>
      </c>
      <c r="I312" s="13">
        <v>2.7770000000000001</v>
      </c>
      <c r="J312" s="13">
        <v>103.86199999999999</v>
      </c>
      <c r="K312" s="13">
        <v>132.53899999999999</v>
      </c>
      <c r="L312" s="13">
        <v>0</v>
      </c>
      <c r="M312" s="13">
        <v>0</v>
      </c>
      <c r="N312" s="13">
        <v>100</v>
      </c>
      <c r="O312" s="13">
        <v>0.68</v>
      </c>
      <c r="P312" s="13">
        <v>7.3999999999999996E-2</v>
      </c>
      <c r="Q312" s="13">
        <v>0.29799999999999999</v>
      </c>
      <c r="R312" s="13">
        <v>0.79800000000000004</v>
      </c>
      <c r="S312" s="13">
        <v>0.628</v>
      </c>
      <c r="T312" s="13"/>
      <c r="U312" s="13" t="s">
        <v>33</v>
      </c>
      <c r="V312" s="13" t="s">
        <v>35</v>
      </c>
      <c r="W312" s="13">
        <v>13</v>
      </c>
      <c r="X312" s="13"/>
      <c r="Y312" s="12">
        <f t="shared" si="9"/>
        <v>0.97799999999999998</v>
      </c>
      <c r="Z312" s="13">
        <v>0.60600000000000009</v>
      </c>
    </row>
    <row r="313" spans="1:26" x14ac:dyDescent="0.2">
      <c r="A313" s="13" t="s">
        <v>82</v>
      </c>
      <c r="B313" s="13">
        <v>3864.25</v>
      </c>
      <c r="C313" s="13">
        <v>96.075000000000003</v>
      </c>
      <c r="D313" s="13">
        <v>22.562999999999999</v>
      </c>
      <c r="E313" s="13">
        <v>3.536</v>
      </c>
      <c r="F313" s="13">
        <v>174.43700000000001</v>
      </c>
      <c r="G313" s="13">
        <v>2.802</v>
      </c>
      <c r="H313" s="13">
        <v>8.4160000000000004</v>
      </c>
      <c r="I313" s="13">
        <v>2.762</v>
      </c>
      <c r="J313" s="13">
        <v>119.80200000000001</v>
      </c>
      <c r="K313" s="13">
        <v>153.71100000000001</v>
      </c>
      <c r="L313" s="13">
        <v>0</v>
      </c>
      <c r="M313" s="13">
        <v>0</v>
      </c>
      <c r="N313" s="13">
        <v>100</v>
      </c>
      <c r="O313" s="13">
        <v>0.63800000000000001</v>
      </c>
      <c r="P313" s="13">
        <v>4.2000000000000003E-2</v>
      </c>
      <c r="Q313" s="13">
        <v>0.27200000000000002</v>
      </c>
      <c r="R313" s="13">
        <v>0.77600000000000002</v>
      </c>
      <c r="S313" s="13">
        <v>0.57499999999999996</v>
      </c>
      <c r="T313" s="13"/>
      <c r="U313" s="13" t="s">
        <v>33</v>
      </c>
      <c r="V313" s="13" t="s">
        <v>35</v>
      </c>
      <c r="W313" s="13">
        <v>13</v>
      </c>
      <c r="X313" s="13"/>
      <c r="Y313" s="12">
        <f t="shared" si="9"/>
        <v>0.91</v>
      </c>
      <c r="Z313" s="13">
        <v>0.59599999999999997</v>
      </c>
    </row>
    <row r="314" spans="1:26" x14ac:dyDescent="0.2">
      <c r="A314" s="13" t="s">
        <v>82</v>
      </c>
      <c r="B314" s="13">
        <v>3864.375</v>
      </c>
      <c r="C314" s="13">
        <v>86.87</v>
      </c>
      <c r="D314" s="13">
        <v>22.683</v>
      </c>
      <c r="E314" s="13">
        <v>3.077</v>
      </c>
      <c r="F314" s="13">
        <v>171.64599999999999</v>
      </c>
      <c r="G314" s="13">
        <v>2.7989999999999999</v>
      </c>
      <c r="H314" s="13">
        <v>7.8730000000000002</v>
      </c>
      <c r="I314" s="13">
        <v>2.7469999999999999</v>
      </c>
      <c r="J314" s="13">
        <v>143.72499999999999</v>
      </c>
      <c r="K314" s="13">
        <v>185.80699999999999</v>
      </c>
      <c r="L314" s="13">
        <v>0</v>
      </c>
      <c r="M314" s="13">
        <v>0</v>
      </c>
      <c r="N314" s="13">
        <v>100</v>
      </c>
      <c r="O314" s="13">
        <v>0.56699999999999995</v>
      </c>
      <c r="P314" s="13">
        <v>1.4E-2</v>
      </c>
      <c r="Q314" s="13">
        <v>0.23400000000000001</v>
      </c>
      <c r="R314" s="13">
        <v>0.76100000000000001</v>
      </c>
      <c r="S314" s="13">
        <v>0.50600000000000001</v>
      </c>
      <c r="T314" s="13"/>
      <c r="U314" s="13" t="s">
        <v>33</v>
      </c>
      <c r="V314" s="13" t="s">
        <v>35</v>
      </c>
      <c r="W314" s="13">
        <v>13</v>
      </c>
      <c r="X314" s="13"/>
      <c r="Y314" s="12">
        <f t="shared" si="9"/>
        <v>0.80099999999999993</v>
      </c>
      <c r="Z314" s="13">
        <v>0.55299999999999994</v>
      </c>
    </row>
    <row r="315" spans="1:26" x14ac:dyDescent="0.2">
      <c r="A315" s="13" t="s">
        <v>82</v>
      </c>
      <c r="B315" s="13">
        <v>3864.5</v>
      </c>
      <c r="C315" s="13">
        <v>74.093999999999994</v>
      </c>
      <c r="D315" s="13">
        <v>22.733000000000001</v>
      </c>
      <c r="E315" s="13">
        <v>2.6890000000000001</v>
      </c>
      <c r="F315" s="13">
        <v>169.232</v>
      </c>
      <c r="G315" s="13">
        <v>2.798</v>
      </c>
      <c r="H315" s="13">
        <v>7.2240000000000002</v>
      </c>
      <c r="I315" s="13">
        <v>2.7410000000000001</v>
      </c>
      <c r="J315" s="13">
        <v>170.82599999999999</v>
      </c>
      <c r="K315" s="13">
        <v>221.505</v>
      </c>
      <c r="L315" s="13">
        <v>0</v>
      </c>
      <c r="M315" s="13">
        <v>0</v>
      </c>
      <c r="N315" s="13">
        <v>100</v>
      </c>
      <c r="O315" s="13">
        <v>0.46700000000000003</v>
      </c>
      <c r="P315" s="13">
        <v>1E-3</v>
      </c>
      <c r="Q315" s="13">
        <v>0.2</v>
      </c>
      <c r="R315" s="13">
        <v>0.754</v>
      </c>
      <c r="S315" s="13">
        <v>0.42299999999999999</v>
      </c>
      <c r="T315" s="13"/>
      <c r="U315" s="13" t="s">
        <v>33</v>
      </c>
      <c r="V315" s="13" t="s">
        <v>35</v>
      </c>
      <c r="W315" s="13">
        <v>13</v>
      </c>
      <c r="X315" s="13"/>
      <c r="Y315" s="12">
        <f t="shared" si="9"/>
        <v>0.66700000000000004</v>
      </c>
      <c r="Z315" s="13">
        <v>0.46600000000000003</v>
      </c>
    </row>
    <row r="316" spans="1:26" x14ac:dyDescent="0.2">
      <c r="A316" s="13" t="s">
        <v>82</v>
      </c>
      <c r="B316" s="13">
        <v>3864.625</v>
      </c>
      <c r="C316" s="13">
        <v>61.896999999999998</v>
      </c>
      <c r="D316" s="13">
        <v>22.629000000000001</v>
      </c>
      <c r="E316" s="13">
        <v>2.5270000000000001</v>
      </c>
      <c r="F316" s="13">
        <v>169.066</v>
      </c>
      <c r="G316" s="13">
        <v>2.7930000000000001</v>
      </c>
      <c r="H316" s="13">
        <v>6.7359999999999998</v>
      </c>
      <c r="I316" s="13">
        <v>2.7690000000000001</v>
      </c>
      <c r="J316" s="13">
        <v>189.98400000000001</v>
      </c>
      <c r="K316" s="13">
        <v>244.857</v>
      </c>
      <c r="L316" s="13">
        <v>0</v>
      </c>
      <c r="M316" s="13">
        <v>0</v>
      </c>
      <c r="N316" s="13">
        <v>100</v>
      </c>
      <c r="O316" s="13">
        <v>0.36799999999999999</v>
      </c>
      <c r="P316" s="13">
        <v>4.7E-2</v>
      </c>
      <c r="Q316" s="13">
        <v>0.19500000000000001</v>
      </c>
      <c r="R316" s="13">
        <v>0.73099999999999998</v>
      </c>
      <c r="S316" s="13">
        <v>0.35699999999999998</v>
      </c>
      <c r="T316" s="13"/>
      <c r="U316" s="13" t="s">
        <v>33</v>
      </c>
      <c r="V316" s="13" t="s">
        <v>35</v>
      </c>
      <c r="W316" s="13">
        <v>13</v>
      </c>
      <c r="X316" s="13"/>
      <c r="Y316" s="12">
        <f t="shared" si="9"/>
        <v>0.56299999999999994</v>
      </c>
      <c r="Z316" s="13">
        <v>0.32100000000000001</v>
      </c>
    </row>
    <row r="317" spans="1:26" x14ac:dyDescent="0.2">
      <c r="A317" s="13" t="s">
        <v>82</v>
      </c>
      <c r="B317" s="13">
        <v>3864.75</v>
      </c>
      <c r="C317" s="13">
        <v>57.332000000000001</v>
      </c>
      <c r="D317" s="13">
        <v>22.515000000000001</v>
      </c>
      <c r="E317" s="13">
        <v>2.472</v>
      </c>
      <c r="F317" s="13">
        <v>173.16900000000001</v>
      </c>
      <c r="G317" s="13">
        <v>2.78</v>
      </c>
      <c r="H317" s="13">
        <v>6.7290000000000001</v>
      </c>
      <c r="I317" s="13">
        <v>2.8359999999999999</v>
      </c>
      <c r="J317" s="13">
        <v>189.238</v>
      </c>
      <c r="K317" s="13">
        <v>240.27</v>
      </c>
      <c r="L317" s="13">
        <v>0</v>
      </c>
      <c r="M317" s="13">
        <v>0</v>
      </c>
      <c r="N317" s="13">
        <v>100</v>
      </c>
      <c r="O317" s="13">
        <v>0.32400000000000001</v>
      </c>
      <c r="P317" s="13">
        <v>0.16400000000000001</v>
      </c>
      <c r="Q317" s="13">
        <v>0.245</v>
      </c>
      <c r="R317" s="13">
        <v>0.66800000000000004</v>
      </c>
      <c r="S317" s="13">
        <v>0.35</v>
      </c>
      <c r="T317" s="13"/>
      <c r="U317" s="13" t="s">
        <v>33</v>
      </c>
      <c r="V317" s="13" t="s">
        <v>35</v>
      </c>
      <c r="W317" s="13">
        <v>13</v>
      </c>
      <c r="X317" s="13"/>
      <c r="Y317" s="12">
        <f t="shared" si="9"/>
        <v>0.56899999999999995</v>
      </c>
      <c r="Z317" s="13">
        <v>0.16</v>
      </c>
    </row>
    <row r="318" spans="1:26" x14ac:dyDescent="0.2">
      <c r="A318" s="13" t="s">
        <v>82</v>
      </c>
      <c r="B318" s="13">
        <v>3864.875</v>
      </c>
      <c r="C318" s="13">
        <v>64.825999999999993</v>
      </c>
      <c r="D318" s="13">
        <v>22.460999999999999</v>
      </c>
      <c r="E318" s="13">
        <v>2.2930000000000001</v>
      </c>
      <c r="F318" s="13">
        <v>182.45099999999999</v>
      </c>
      <c r="G318" s="13">
        <v>2.76</v>
      </c>
      <c r="H318" s="13">
        <v>7.3789999999999996</v>
      </c>
      <c r="I318" s="13">
        <v>2.899</v>
      </c>
      <c r="J318" s="13">
        <v>165.74700000000001</v>
      </c>
      <c r="K318" s="13">
        <v>205.99</v>
      </c>
      <c r="L318" s="13">
        <v>0</v>
      </c>
      <c r="M318" s="13">
        <v>0</v>
      </c>
      <c r="N318" s="13">
        <v>100</v>
      </c>
      <c r="O318" s="13">
        <v>0.375</v>
      </c>
      <c r="P318" s="13">
        <v>0.28199999999999997</v>
      </c>
      <c r="Q318" s="13">
        <v>0.36599999999999999</v>
      </c>
      <c r="R318" s="13">
        <v>0.56999999999999995</v>
      </c>
      <c r="S318" s="13">
        <v>0.42599999999999999</v>
      </c>
      <c r="T318" s="13"/>
      <c r="U318" s="13" t="s">
        <v>33</v>
      </c>
      <c r="V318" s="13" t="s">
        <v>35</v>
      </c>
      <c r="W318" s="13">
        <v>13</v>
      </c>
      <c r="X318" s="13"/>
      <c r="Y318" s="12">
        <f t="shared" si="9"/>
        <v>0.74099999999999999</v>
      </c>
      <c r="Z318" s="13">
        <v>9.3000000000000027E-2</v>
      </c>
    </row>
    <row r="319" spans="1:26" x14ac:dyDescent="0.2">
      <c r="A319" s="13" t="s">
        <v>82</v>
      </c>
      <c r="B319" s="13">
        <v>3865</v>
      </c>
      <c r="C319" s="13">
        <v>82.944000000000003</v>
      </c>
      <c r="D319" s="13">
        <v>22.349</v>
      </c>
      <c r="E319" s="13">
        <v>2.101</v>
      </c>
      <c r="F319" s="13">
        <v>196.12299999999999</v>
      </c>
      <c r="G319" s="13">
        <v>2.7330000000000001</v>
      </c>
      <c r="H319" s="13">
        <v>8.6280000000000001</v>
      </c>
      <c r="I319" s="13">
        <v>2.9359999999999999</v>
      </c>
      <c r="J319" s="13">
        <v>128.422</v>
      </c>
      <c r="K319" s="13">
        <v>155.899</v>
      </c>
      <c r="L319" s="13">
        <v>0</v>
      </c>
      <c r="M319" s="13">
        <v>0</v>
      </c>
      <c r="N319" s="13">
        <v>100</v>
      </c>
      <c r="O319" s="13">
        <v>0.51200000000000001</v>
      </c>
      <c r="P319" s="13">
        <v>0.35599999999999998</v>
      </c>
      <c r="Q319" s="13">
        <v>0.54900000000000004</v>
      </c>
      <c r="R319" s="13">
        <v>0.435</v>
      </c>
      <c r="S319" s="13">
        <v>0.58099999999999996</v>
      </c>
      <c r="T319" s="13"/>
      <c r="U319" s="13" t="s">
        <v>33</v>
      </c>
      <c r="V319" s="13" t="s">
        <v>35</v>
      </c>
      <c r="W319" s="13">
        <v>13</v>
      </c>
      <c r="X319" s="13"/>
      <c r="Y319" s="12">
        <f t="shared" si="9"/>
        <v>1.0609999999999999</v>
      </c>
      <c r="Z319" s="13">
        <v>0.15600000000000003</v>
      </c>
    </row>
    <row r="320" spans="1:26" x14ac:dyDescent="0.2">
      <c r="A320" s="13" t="s">
        <v>82</v>
      </c>
      <c r="B320" s="13">
        <v>3865.125</v>
      </c>
      <c r="C320" s="13">
        <v>105.13800000000001</v>
      </c>
      <c r="D320" s="13">
        <v>22.311</v>
      </c>
      <c r="E320" s="13">
        <v>2.484</v>
      </c>
      <c r="F320" s="13">
        <v>210.989</v>
      </c>
      <c r="G320" s="13">
        <v>2.7050000000000001</v>
      </c>
      <c r="H320" s="13">
        <v>10.137</v>
      </c>
      <c r="I320" s="13">
        <v>2.9870000000000001</v>
      </c>
      <c r="J320" s="13">
        <v>92.347999999999999</v>
      </c>
      <c r="K320" s="13">
        <v>109.857</v>
      </c>
      <c r="L320" s="13">
        <v>0</v>
      </c>
      <c r="M320" s="13">
        <v>0</v>
      </c>
      <c r="N320" s="13">
        <v>100</v>
      </c>
      <c r="O320" s="13">
        <v>0.68899999999999995</v>
      </c>
      <c r="P320" s="13">
        <v>0.44800000000000001</v>
      </c>
      <c r="Q320" s="13">
        <v>0.752</v>
      </c>
      <c r="R320" s="13">
        <v>0.29199999999999998</v>
      </c>
      <c r="S320" s="13">
        <v>0.77400000000000002</v>
      </c>
      <c r="T320" s="13"/>
      <c r="U320" s="13" t="s">
        <v>33</v>
      </c>
      <c r="V320" s="13" t="s">
        <v>35</v>
      </c>
      <c r="W320" s="13">
        <v>13</v>
      </c>
      <c r="X320" s="13"/>
      <c r="Y320" s="12">
        <f t="shared" si="9"/>
        <v>1.4409999999999998</v>
      </c>
      <c r="Z320" s="13">
        <v>0.24099999999999994</v>
      </c>
    </row>
    <row r="321" spans="1:26" x14ac:dyDescent="0.2">
      <c r="A321" s="13" t="s">
        <v>83</v>
      </c>
      <c r="B321" s="13">
        <v>3806</v>
      </c>
      <c r="C321" s="13">
        <v>72.602999999999994</v>
      </c>
      <c r="D321" s="13">
        <v>22.068999999999999</v>
      </c>
      <c r="E321" s="13">
        <v>2.9940000000000002</v>
      </c>
      <c r="F321" s="13">
        <v>166.59399999999999</v>
      </c>
      <c r="G321" s="13">
        <v>2.7519999999999998</v>
      </c>
      <c r="H321" s="13">
        <v>14.839</v>
      </c>
      <c r="I321" s="13">
        <v>3.02</v>
      </c>
      <c r="J321" s="13">
        <v>219.51400000000001</v>
      </c>
      <c r="K321" s="13">
        <v>250.49100000000001</v>
      </c>
      <c r="L321" s="13">
        <v>0.01</v>
      </c>
      <c r="M321" s="13">
        <v>1E-3</v>
      </c>
      <c r="N321" s="13">
        <v>100</v>
      </c>
      <c r="O321" s="13">
        <v>0.52100000000000002</v>
      </c>
      <c r="P321" s="13">
        <v>0.313</v>
      </c>
      <c r="Q321" s="13">
        <v>0.193</v>
      </c>
      <c r="R321" s="13">
        <v>0.35299999999999998</v>
      </c>
      <c r="S321" s="13">
        <v>0.53100000000000003</v>
      </c>
      <c r="T321" s="13" t="s">
        <v>23</v>
      </c>
      <c r="U321" s="13" t="s">
        <v>33</v>
      </c>
      <c r="V321" s="13" t="s">
        <v>35</v>
      </c>
      <c r="W321" s="13">
        <v>3</v>
      </c>
      <c r="X321" s="13"/>
      <c r="Y321" s="12">
        <f t="shared" si="9"/>
        <v>0.71399999999999997</v>
      </c>
      <c r="Z321" s="13">
        <v>0.20800000000000002</v>
      </c>
    </row>
    <row r="322" spans="1:26" x14ac:dyDescent="0.2">
      <c r="A322" s="13" t="s">
        <v>83</v>
      </c>
      <c r="B322" s="13">
        <v>3806.125</v>
      </c>
      <c r="C322" s="13">
        <v>81.012</v>
      </c>
      <c r="D322" s="13">
        <v>22.074999999999999</v>
      </c>
      <c r="E322" s="13">
        <v>3.4870000000000001</v>
      </c>
      <c r="F322" s="13">
        <v>169.61099999999999</v>
      </c>
      <c r="G322" s="13">
        <v>2.7389999999999999</v>
      </c>
      <c r="H322" s="13">
        <v>16.506</v>
      </c>
      <c r="I322" s="13">
        <v>3.069</v>
      </c>
      <c r="J322" s="13">
        <v>189.06</v>
      </c>
      <c r="K322" s="13">
        <v>215.42599999999999</v>
      </c>
      <c r="L322" s="13">
        <v>0.01</v>
      </c>
      <c r="M322" s="13">
        <v>1E-3</v>
      </c>
      <c r="N322" s="13">
        <v>100</v>
      </c>
      <c r="O322" s="13">
        <v>0.58799999999999997</v>
      </c>
      <c r="P322" s="13">
        <v>0.38</v>
      </c>
      <c r="Q322" s="13">
        <v>0.25</v>
      </c>
      <c r="R322" s="13">
        <v>0.28699999999999998</v>
      </c>
      <c r="S322" s="13">
        <v>0.60299999999999998</v>
      </c>
      <c r="T322" s="13"/>
      <c r="U322" s="13" t="s">
        <v>33</v>
      </c>
      <c r="V322" s="13" t="s">
        <v>35</v>
      </c>
      <c r="W322" s="13">
        <v>3</v>
      </c>
      <c r="X322" s="13"/>
      <c r="Y322" s="12">
        <f t="shared" si="9"/>
        <v>0.83799999999999997</v>
      </c>
      <c r="Z322" s="13">
        <v>0.20799999999999996</v>
      </c>
    </row>
    <row r="323" spans="1:26" x14ac:dyDescent="0.2">
      <c r="A323" s="13" t="s">
        <v>83</v>
      </c>
      <c r="B323" s="13">
        <v>3806.25</v>
      </c>
      <c r="C323" s="13">
        <v>87.143000000000001</v>
      </c>
      <c r="D323" s="13">
        <v>22.071000000000002</v>
      </c>
      <c r="E323" s="13">
        <v>3.7890000000000001</v>
      </c>
      <c r="F323" s="13">
        <v>173.33699999999999</v>
      </c>
      <c r="G323" s="13">
        <v>2.7349999999999999</v>
      </c>
      <c r="H323" s="13">
        <v>17.686</v>
      </c>
      <c r="I323" s="13">
        <v>3.1419999999999999</v>
      </c>
      <c r="J323" s="13">
        <v>167.416</v>
      </c>
      <c r="K323" s="13">
        <v>190.095</v>
      </c>
      <c r="L323" s="13">
        <v>0.01</v>
      </c>
      <c r="M323" s="13">
        <v>1E-3</v>
      </c>
      <c r="N323" s="13">
        <v>100</v>
      </c>
      <c r="O323" s="13">
        <v>0.63700000000000001</v>
      </c>
      <c r="P323" s="13">
        <v>0.46800000000000003</v>
      </c>
      <c r="Q323" s="13">
        <v>0.313</v>
      </c>
      <c r="R323" s="13">
        <v>0.28799999999999998</v>
      </c>
      <c r="S323" s="13">
        <v>0.64800000000000002</v>
      </c>
      <c r="T323" s="13"/>
      <c r="U323" s="13" t="s">
        <v>33</v>
      </c>
      <c r="V323" s="13" t="s">
        <v>35</v>
      </c>
      <c r="W323" s="13">
        <v>3</v>
      </c>
      <c r="X323" s="13"/>
      <c r="Y323" s="12">
        <f t="shared" ref="Y323:Y386" si="10">O323+Q323</f>
        <v>0.95</v>
      </c>
      <c r="Z323" s="13">
        <v>0.16899999999999998</v>
      </c>
    </row>
    <row r="324" spans="1:26" x14ac:dyDescent="0.2">
      <c r="A324" s="13" t="s">
        <v>83</v>
      </c>
      <c r="B324" s="13">
        <v>3806.375</v>
      </c>
      <c r="C324" s="13">
        <v>91.713999999999999</v>
      </c>
      <c r="D324" s="13">
        <v>22.073</v>
      </c>
      <c r="E324" s="13">
        <v>4.2279999999999998</v>
      </c>
      <c r="F324" s="13">
        <v>176.874</v>
      </c>
      <c r="G324" s="13">
        <v>2.742</v>
      </c>
      <c r="H324" s="13">
        <v>18.202999999999999</v>
      </c>
      <c r="I324" s="13">
        <v>3.2210000000000001</v>
      </c>
      <c r="J324" s="13">
        <v>158.941</v>
      </c>
      <c r="K324" s="13">
        <v>180.041</v>
      </c>
      <c r="L324" s="13">
        <v>0.01</v>
      </c>
      <c r="M324" s="13">
        <v>1E-3</v>
      </c>
      <c r="N324" s="13">
        <v>100</v>
      </c>
      <c r="O324" s="13">
        <v>0.65600000000000003</v>
      </c>
      <c r="P324" s="13">
        <v>0.56999999999999995</v>
      </c>
      <c r="Q324" s="13">
        <v>0.36699999999999999</v>
      </c>
      <c r="R324" s="13">
        <v>0.33700000000000002</v>
      </c>
      <c r="S324" s="13">
        <v>0.65200000000000002</v>
      </c>
      <c r="T324" s="13"/>
      <c r="U324" s="13" t="s">
        <v>33</v>
      </c>
      <c r="V324" s="13" t="s">
        <v>35</v>
      </c>
      <c r="W324" s="13">
        <v>3</v>
      </c>
      <c r="X324" s="13"/>
      <c r="Y324" s="12">
        <f t="shared" si="10"/>
        <v>1.0230000000000001</v>
      </c>
      <c r="Z324" s="13">
        <v>8.6000000000000076E-2</v>
      </c>
    </row>
    <row r="325" spans="1:26" x14ac:dyDescent="0.2">
      <c r="A325" s="13" t="s">
        <v>83</v>
      </c>
      <c r="B325" s="13">
        <v>3806.5</v>
      </c>
      <c r="C325" s="13">
        <v>89.77</v>
      </c>
      <c r="D325" s="13">
        <v>22.08</v>
      </c>
      <c r="E325" s="13">
        <v>4.3360000000000003</v>
      </c>
      <c r="F325" s="13">
        <v>179.19</v>
      </c>
      <c r="G325" s="13">
        <v>2.75</v>
      </c>
      <c r="H325" s="13">
        <v>17.504000000000001</v>
      </c>
      <c r="I325" s="13">
        <v>3.323</v>
      </c>
      <c r="J325" s="13">
        <v>155.929</v>
      </c>
      <c r="K325" s="13">
        <v>176.75</v>
      </c>
      <c r="L325" s="13">
        <v>0.01</v>
      </c>
      <c r="M325" s="13">
        <v>1E-3</v>
      </c>
      <c r="N325" s="13">
        <v>100</v>
      </c>
      <c r="O325" s="13">
        <v>0.61299999999999999</v>
      </c>
      <c r="P325" s="13">
        <v>0.71199999999999997</v>
      </c>
      <c r="Q325" s="13">
        <v>0.39700000000000002</v>
      </c>
      <c r="R325" s="13">
        <v>0.377</v>
      </c>
      <c r="S325" s="13">
        <v>0.59299999999999997</v>
      </c>
      <c r="T325" s="13"/>
      <c r="U325" s="13" t="s">
        <v>33</v>
      </c>
      <c r="V325" s="13" t="s">
        <v>35</v>
      </c>
      <c r="W325" s="13">
        <v>3</v>
      </c>
      <c r="X325" s="13"/>
      <c r="Y325" s="12">
        <f t="shared" si="10"/>
        <v>1.01</v>
      </c>
      <c r="Z325" s="13">
        <v>-9.8999999999999977E-2</v>
      </c>
    </row>
    <row r="326" spans="1:26" x14ac:dyDescent="0.2">
      <c r="A326" s="13" t="s">
        <v>83</v>
      </c>
      <c r="B326" s="13">
        <v>3806.625</v>
      </c>
      <c r="C326" s="13">
        <v>79.936000000000007</v>
      </c>
      <c r="D326" s="13">
        <v>22.114999999999998</v>
      </c>
      <c r="E326" s="13">
        <v>4.2169999999999996</v>
      </c>
      <c r="F326" s="13">
        <v>179.904</v>
      </c>
      <c r="G326" s="13">
        <v>2.7519999999999998</v>
      </c>
      <c r="H326" s="13">
        <v>15.387</v>
      </c>
      <c r="I326" s="13">
        <v>3.4790000000000001</v>
      </c>
      <c r="J326" s="13">
        <v>149.34800000000001</v>
      </c>
      <c r="K326" s="13">
        <v>169.13499999999999</v>
      </c>
      <c r="L326" s="13">
        <v>0.01</v>
      </c>
      <c r="M326" s="13">
        <v>1E-3</v>
      </c>
      <c r="N326" s="13">
        <v>100</v>
      </c>
      <c r="O326" s="13">
        <v>0.502</v>
      </c>
      <c r="P326" s="13">
        <v>0.88200000000000001</v>
      </c>
      <c r="Q326" s="13">
        <v>0.40400000000000003</v>
      </c>
      <c r="R326" s="13">
        <v>0.39</v>
      </c>
      <c r="S326" s="13">
        <v>0.47699999999999998</v>
      </c>
      <c r="T326" s="13"/>
      <c r="U326" s="13" t="s">
        <v>33</v>
      </c>
      <c r="V326" s="13" t="s">
        <v>35</v>
      </c>
      <c r="W326" s="13">
        <v>3</v>
      </c>
      <c r="X326" s="13"/>
      <c r="Y326" s="12">
        <f t="shared" si="10"/>
        <v>0.90600000000000003</v>
      </c>
      <c r="Z326" s="13">
        <v>-0.38</v>
      </c>
    </row>
    <row r="327" spans="1:26" x14ac:dyDescent="0.2">
      <c r="A327" s="13" t="s">
        <v>83</v>
      </c>
      <c r="B327" s="13">
        <v>3807.25</v>
      </c>
      <c r="C327" s="13">
        <v>32.905999999999999</v>
      </c>
      <c r="D327" s="13">
        <v>21.858000000000001</v>
      </c>
      <c r="E327" s="13">
        <v>1.51</v>
      </c>
      <c r="F327" s="13">
        <v>174.624</v>
      </c>
      <c r="G327" s="13">
        <v>2.7749999999999999</v>
      </c>
      <c r="H327" s="13">
        <v>7.04</v>
      </c>
      <c r="I327" s="13">
        <v>3.3250000000000002</v>
      </c>
      <c r="J327" s="13">
        <v>428.40699999999998</v>
      </c>
      <c r="K327" s="13">
        <v>479.399</v>
      </c>
      <c r="L327" s="13">
        <v>0.01</v>
      </c>
      <c r="M327" s="13">
        <v>1E-3</v>
      </c>
      <c r="N327" s="13">
        <v>100</v>
      </c>
      <c r="O327" s="13">
        <v>0.14599999999999999</v>
      </c>
      <c r="P327" s="13">
        <v>0.621</v>
      </c>
      <c r="Q327" s="13">
        <v>0.29199999999999998</v>
      </c>
      <c r="R327" s="13">
        <v>0.55000000000000004</v>
      </c>
      <c r="S327" s="13">
        <v>0.128</v>
      </c>
      <c r="T327" s="13"/>
      <c r="U327" s="13" t="s">
        <v>33</v>
      </c>
      <c r="V327" s="13" t="s">
        <v>35</v>
      </c>
      <c r="W327" s="13">
        <v>9</v>
      </c>
      <c r="X327" s="13"/>
      <c r="Y327" s="12">
        <f t="shared" si="10"/>
        <v>0.43799999999999994</v>
      </c>
      <c r="Z327" s="13">
        <v>-0.47499999999999998</v>
      </c>
    </row>
    <row r="328" spans="1:26" x14ac:dyDescent="0.2">
      <c r="A328" s="13" t="s">
        <v>83</v>
      </c>
      <c r="B328" s="13">
        <v>3807.375</v>
      </c>
      <c r="C328" s="13">
        <v>33.613</v>
      </c>
      <c r="D328" s="13">
        <v>21.896999999999998</v>
      </c>
      <c r="E328" s="13">
        <v>1.373</v>
      </c>
      <c r="F328" s="13">
        <v>171.34</v>
      </c>
      <c r="G328" s="13">
        <v>2.7789999999999999</v>
      </c>
      <c r="H328" s="13">
        <v>7.1959999999999997</v>
      </c>
      <c r="I328" s="13">
        <v>3.2629999999999999</v>
      </c>
      <c r="J328" s="13">
        <v>483.99099999999999</v>
      </c>
      <c r="K328" s="13">
        <v>554.05100000000004</v>
      </c>
      <c r="L328" s="13">
        <v>0.01</v>
      </c>
      <c r="M328" s="13">
        <v>1E-3</v>
      </c>
      <c r="N328" s="13">
        <v>100</v>
      </c>
      <c r="O328" s="13">
        <v>0.16400000000000001</v>
      </c>
      <c r="P328" s="13">
        <v>0.55600000000000005</v>
      </c>
      <c r="Q328" s="13">
        <v>0.24199999999999999</v>
      </c>
      <c r="R328" s="13">
        <v>0.57299999999999995</v>
      </c>
      <c r="S328" s="13">
        <v>0.14399999999999999</v>
      </c>
      <c r="T328" s="13"/>
      <c r="U328" s="13" t="s">
        <v>33</v>
      </c>
      <c r="V328" s="13" t="s">
        <v>35</v>
      </c>
      <c r="W328" s="13">
        <v>9</v>
      </c>
      <c r="X328" s="13"/>
      <c r="Y328" s="12">
        <f t="shared" si="10"/>
        <v>0.40600000000000003</v>
      </c>
      <c r="Z328" s="13">
        <v>-0.39200000000000002</v>
      </c>
    </row>
    <row r="329" spans="1:26" x14ac:dyDescent="0.2">
      <c r="A329" s="13" t="s">
        <v>83</v>
      </c>
      <c r="B329" s="13">
        <v>3807.5</v>
      </c>
      <c r="C329" s="13">
        <v>38.054000000000002</v>
      </c>
      <c r="D329" s="13">
        <v>21.937000000000001</v>
      </c>
      <c r="E329" s="13">
        <v>1.6319999999999999</v>
      </c>
      <c r="F329" s="13">
        <v>169.131</v>
      </c>
      <c r="G329" s="13">
        <v>2.7810000000000001</v>
      </c>
      <c r="H329" s="13">
        <v>7.8520000000000003</v>
      </c>
      <c r="I329" s="13">
        <v>3.2189999999999999</v>
      </c>
      <c r="J329" s="13">
        <v>450.77499999999998</v>
      </c>
      <c r="K329" s="13">
        <v>519.66399999999999</v>
      </c>
      <c r="L329" s="13">
        <v>0.01</v>
      </c>
      <c r="M329" s="13">
        <v>1E-3</v>
      </c>
      <c r="N329" s="13">
        <v>100</v>
      </c>
      <c r="O329" s="13">
        <v>0.19800000000000001</v>
      </c>
      <c r="P329" s="13">
        <v>0.51</v>
      </c>
      <c r="Q329" s="13">
        <v>0.218</v>
      </c>
      <c r="R329" s="13">
        <v>0.57599999999999996</v>
      </c>
      <c r="S329" s="13">
        <v>0.17599999999999999</v>
      </c>
      <c r="T329" s="13"/>
      <c r="U329" s="13" t="s">
        <v>33</v>
      </c>
      <c r="V329" s="13" t="s">
        <v>35</v>
      </c>
      <c r="W329" s="13">
        <v>9</v>
      </c>
      <c r="X329" s="13"/>
      <c r="Y329" s="12">
        <f t="shared" si="10"/>
        <v>0.41600000000000004</v>
      </c>
      <c r="Z329" s="13">
        <v>-0.312</v>
      </c>
    </row>
    <row r="330" spans="1:26" x14ac:dyDescent="0.2">
      <c r="A330" s="13" t="s">
        <v>83</v>
      </c>
      <c r="B330" s="13">
        <v>3807.625</v>
      </c>
      <c r="C330" s="13">
        <v>40.920999999999999</v>
      </c>
      <c r="D330" s="13">
        <v>21.974</v>
      </c>
      <c r="E330" s="13">
        <v>1.7749999999999999</v>
      </c>
      <c r="F330" s="13">
        <v>169.161</v>
      </c>
      <c r="G330" s="13">
        <v>2.7789999999999999</v>
      </c>
      <c r="H330" s="13">
        <v>8.4879999999999995</v>
      </c>
      <c r="I330" s="13">
        <v>3.1859999999999999</v>
      </c>
      <c r="J330" s="13">
        <v>395.572</v>
      </c>
      <c r="K330" s="13">
        <v>456.23500000000001</v>
      </c>
      <c r="L330" s="13">
        <v>0.01</v>
      </c>
      <c r="M330" s="13">
        <v>1E-3</v>
      </c>
      <c r="N330" s="13">
        <v>100</v>
      </c>
      <c r="O330" s="13">
        <v>0.224</v>
      </c>
      <c r="P330" s="13">
        <v>0.47499999999999998</v>
      </c>
      <c r="Q330" s="13">
        <v>0.22800000000000001</v>
      </c>
      <c r="R330" s="13">
        <v>0.56000000000000005</v>
      </c>
      <c r="S330" s="13">
        <v>0.20699999999999999</v>
      </c>
      <c r="T330" s="13"/>
      <c r="U330" s="13" t="s">
        <v>33</v>
      </c>
      <c r="V330" s="13" t="s">
        <v>35</v>
      </c>
      <c r="W330" s="13">
        <v>9</v>
      </c>
      <c r="X330" s="13"/>
      <c r="Y330" s="12">
        <f t="shared" si="10"/>
        <v>0.45200000000000001</v>
      </c>
      <c r="Z330" s="13">
        <v>-0.251</v>
      </c>
    </row>
    <row r="331" spans="1:26" x14ac:dyDescent="0.2">
      <c r="A331" s="13" t="s">
        <v>83</v>
      </c>
      <c r="B331" s="13">
        <v>3807.75</v>
      </c>
      <c r="C331" s="13">
        <v>43.804000000000002</v>
      </c>
      <c r="D331" s="13">
        <v>21.995000000000001</v>
      </c>
      <c r="E331" s="13">
        <v>1.855</v>
      </c>
      <c r="F331" s="13">
        <v>170.66499999999999</v>
      </c>
      <c r="G331" s="13">
        <v>2.7759999999999998</v>
      </c>
      <c r="H331" s="13">
        <v>9.1479999999999997</v>
      </c>
      <c r="I331" s="13">
        <v>3.1619999999999999</v>
      </c>
      <c r="J331" s="13">
        <v>348.351</v>
      </c>
      <c r="K331" s="13">
        <v>401.45100000000002</v>
      </c>
      <c r="L331" s="13">
        <v>0.01</v>
      </c>
      <c r="M331" s="13">
        <v>1E-3</v>
      </c>
      <c r="N331" s="13">
        <v>100</v>
      </c>
      <c r="O331" s="13">
        <v>0.254</v>
      </c>
      <c r="P331" s="13">
        <v>0.45300000000000001</v>
      </c>
      <c r="Q331" s="13">
        <v>0.251</v>
      </c>
      <c r="R331" s="13">
        <v>0.54200000000000004</v>
      </c>
      <c r="S331" s="13">
        <v>0.24</v>
      </c>
      <c r="T331" s="13"/>
      <c r="U331" s="13" t="s">
        <v>33</v>
      </c>
      <c r="V331" s="13" t="s">
        <v>35</v>
      </c>
      <c r="W331" s="13">
        <v>9</v>
      </c>
      <c r="X331" s="13"/>
      <c r="Y331" s="12">
        <f t="shared" si="10"/>
        <v>0.505</v>
      </c>
      <c r="Z331" s="13">
        <v>-0.19900000000000001</v>
      </c>
    </row>
    <row r="332" spans="1:26" x14ac:dyDescent="0.2">
      <c r="A332" s="13" t="s">
        <v>83</v>
      </c>
      <c r="B332" s="13">
        <v>3807.875</v>
      </c>
      <c r="C332" s="13">
        <v>48.121000000000002</v>
      </c>
      <c r="D332" s="13">
        <v>21.991</v>
      </c>
      <c r="E332" s="13">
        <v>2.069</v>
      </c>
      <c r="F332" s="13">
        <v>171.733</v>
      </c>
      <c r="G332" s="13">
        <v>2.774</v>
      </c>
      <c r="H332" s="13">
        <v>9.8710000000000004</v>
      </c>
      <c r="I332" s="13">
        <v>3.1520000000000001</v>
      </c>
      <c r="J332" s="13">
        <v>321.74099999999999</v>
      </c>
      <c r="K332" s="13">
        <v>370.16500000000002</v>
      </c>
      <c r="L332" s="13">
        <v>0.01</v>
      </c>
      <c r="M332" s="13">
        <v>1E-3</v>
      </c>
      <c r="N332" s="13">
        <v>100</v>
      </c>
      <c r="O332" s="13">
        <v>0.28799999999999998</v>
      </c>
      <c r="P332" s="13">
        <v>0.45</v>
      </c>
      <c r="Q332" s="13">
        <v>0.26100000000000001</v>
      </c>
      <c r="R332" s="13">
        <v>0.53900000000000003</v>
      </c>
      <c r="S332" s="13">
        <v>0.27</v>
      </c>
      <c r="T332" s="13"/>
      <c r="U332" s="13" t="s">
        <v>33</v>
      </c>
      <c r="V332" s="13" t="s">
        <v>35</v>
      </c>
      <c r="W332" s="13">
        <v>9</v>
      </c>
      <c r="X332" s="13"/>
      <c r="Y332" s="12">
        <f t="shared" si="10"/>
        <v>0.54899999999999993</v>
      </c>
      <c r="Z332" s="13">
        <v>-0.16200000000000003</v>
      </c>
    </row>
    <row r="333" spans="1:26" x14ac:dyDescent="0.2">
      <c r="A333" s="13" t="s">
        <v>83</v>
      </c>
      <c r="B333" s="13">
        <v>3808</v>
      </c>
      <c r="C333" s="13">
        <v>51.381999999999998</v>
      </c>
      <c r="D333" s="13">
        <v>21.957000000000001</v>
      </c>
      <c r="E333" s="13">
        <v>2.3260000000000001</v>
      </c>
      <c r="F333" s="13">
        <v>171.50299999999999</v>
      </c>
      <c r="G333" s="13">
        <v>2.7759999999999998</v>
      </c>
      <c r="H333" s="13">
        <v>10.336</v>
      </c>
      <c r="I333" s="13">
        <v>3.161</v>
      </c>
      <c r="J333" s="13">
        <v>312.59699999999998</v>
      </c>
      <c r="K333" s="13">
        <v>359.56599999999997</v>
      </c>
      <c r="L333" s="13">
        <v>0.01</v>
      </c>
      <c r="M333" s="13">
        <v>1E-3</v>
      </c>
      <c r="N333" s="13">
        <v>100</v>
      </c>
      <c r="O333" s="13">
        <v>0.30599999999999999</v>
      </c>
      <c r="P333" s="13">
        <v>0.46500000000000002</v>
      </c>
      <c r="Q333" s="13">
        <v>0.25</v>
      </c>
      <c r="R333" s="13">
        <v>0.55700000000000005</v>
      </c>
      <c r="S333" s="13">
        <v>0.28499999999999998</v>
      </c>
      <c r="T333" s="13"/>
      <c r="U333" s="13" t="s">
        <v>33</v>
      </c>
      <c r="V333" s="13" t="s">
        <v>35</v>
      </c>
      <c r="W333" s="13">
        <v>9</v>
      </c>
      <c r="X333" s="13"/>
      <c r="Y333" s="12">
        <f t="shared" si="10"/>
        <v>0.55600000000000005</v>
      </c>
      <c r="Z333" s="13">
        <v>-0.15900000000000003</v>
      </c>
    </row>
    <row r="334" spans="1:26" x14ac:dyDescent="0.2">
      <c r="A334" s="13" t="s">
        <v>83</v>
      </c>
      <c r="B334" s="13">
        <v>3808.125</v>
      </c>
      <c r="C334" s="13">
        <v>51.222000000000001</v>
      </c>
      <c r="D334" s="13">
        <v>21.949000000000002</v>
      </c>
      <c r="E334" s="13">
        <v>2.3759999999999999</v>
      </c>
      <c r="F334" s="13">
        <v>170.08600000000001</v>
      </c>
      <c r="G334" s="13">
        <v>2.78</v>
      </c>
      <c r="H334" s="13">
        <v>10.346</v>
      </c>
      <c r="I334" s="13">
        <v>3.181</v>
      </c>
      <c r="J334" s="13">
        <v>297.32400000000001</v>
      </c>
      <c r="K334" s="13">
        <v>343.60199999999998</v>
      </c>
      <c r="L334" s="13">
        <v>0.01</v>
      </c>
      <c r="M334" s="13">
        <v>1E-3</v>
      </c>
      <c r="N334" s="13">
        <v>100</v>
      </c>
      <c r="O334" s="13">
        <v>0.3</v>
      </c>
      <c r="P334" s="13">
        <v>0.48799999999999999</v>
      </c>
      <c r="Q334" s="13">
        <v>0.224</v>
      </c>
      <c r="R334" s="13">
        <v>0.57899999999999996</v>
      </c>
      <c r="S334" s="13">
        <v>0.28100000000000003</v>
      </c>
      <c r="T334" s="13"/>
      <c r="U334" s="13" t="s">
        <v>33</v>
      </c>
      <c r="V334" s="13" t="s">
        <v>35</v>
      </c>
      <c r="W334" s="13">
        <v>9</v>
      </c>
      <c r="X334" s="13"/>
      <c r="Y334" s="12">
        <f t="shared" si="10"/>
        <v>0.52400000000000002</v>
      </c>
      <c r="Z334" s="13">
        <v>-0.188</v>
      </c>
    </row>
    <row r="335" spans="1:26" x14ac:dyDescent="0.2">
      <c r="A335" s="13" t="s">
        <v>83</v>
      </c>
      <c r="B335" s="13">
        <v>3808.25</v>
      </c>
      <c r="C335" s="13">
        <v>49.594000000000001</v>
      </c>
      <c r="D335" s="13">
        <v>22.012</v>
      </c>
      <c r="E335" s="13">
        <v>2.323</v>
      </c>
      <c r="F335" s="13">
        <v>168.43600000000001</v>
      </c>
      <c r="G335" s="13">
        <v>2.782</v>
      </c>
      <c r="H335" s="13">
        <v>10.103999999999999</v>
      </c>
      <c r="I335" s="13">
        <v>3.2</v>
      </c>
      <c r="J335" s="13">
        <v>251.584</v>
      </c>
      <c r="K335" s="13">
        <v>292.19</v>
      </c>
      <c r="L335" s="13">
        <v>0.01</v>
      </c>
      <c r="M335" s="13">
        <v>1E-3</v>
      </c>
      <c r="N335" s="13">
        <v>100</v>
      </c>
      <c r="O335" s="13">
        <v>0.28599999999999998</v>
      </c>
      <c r="P335" s="13">
        <v>0.50900000000000001</v>
      </c>
      <c r="Q335" s="13">
        <v>0.2</v>
      </c>
      <c r="R335" s="13">
        <v>0.59299999999999997</v>
      </c>
      <c r="S335" s="13">
        <v>0.27400000000000002</v>
      </c>
      <c r="T335" s="13"/>
      <c r="U335" s="13" t="s">
        <v>33</v>
      </c>
      <c r="V335" s="13" t="s">
        <v>35</v>
      </c>
      <c r="W335" s="13">
        <v>9</v>
      </c>
      <c r="X335" s="13"/>
      <c r="Y335" s="12">
        <f t="shared" si="10"/>
        <v>0.48599999999999999</v>
      </c>
      <c r="Z335" s="13">
        <v>-0.22300000000000003</v>
      </c>
    </row>
    <row r="336" spans="1:26" x14ac:dyDescent="0.2">
      <c r="A336" s="13" t="s">
        <v>83</v>
      </c>
      <c r="B336" s="13">
        <v>3808.375</v>
      </c>
      <c r="C336" s="13">
        <v>48.197000000000003</v>
      </c>
      <c r="D336" s="13">
        <v>22.12</v>
      </c>
      <c r="E336" s="13">
        <v>2.1379999999999999</v>
      </c>
      <c r="F336" s="13">
        <v>167.63</v>
      </c>
      <c r="G336" s="13">
        <v>2.7839999999999998</v>
      </c>
      <c r="H336" s="13">
        <v>10.146000000000001</v>
      </c>
      <c r="I336" s="13">
        <v>3.218</v>
      </c>
      <c r="J336" s="13">
        <v>205.72200000000001</v>
      </c>
      <c r="K336" s="13">
        <v>239.26</v>
      </c>
      <c r="L336" s="13">
        <v>0.01</v>
      </c>
      <c r="M336" s="13">
        <v>1E-3</v>
      </c>
      <c r="N336" s="13">
        <v>100</v>
      </c>
      <c r="O336" s="13">
        <v>0.28899999999999998</v>
      </c>
      <c r="P336" s="13">
        <v>0.53400000000000003</v>
      </c>
      <c r="Q336" s="13">
        <v>0.19600000000000001</v>
      </c>
      <c r="R336" s="13">
        <v>0.60599999999999998</v>
      </c>
      <c r="S336" s="13">
        <v>0.28999999999999998</v>
      </c>
      <c r="T336" s="13"/>
      <c r="U336" s="13" t="s">
        <v>33</v>
      </c>
      <c r="V336" s="13" t="s">
        <v>35</v>
      </c>
      <c r="W336" s="13">
        <v>9</v>
      </c>
      <c r="X336" s="13"/>
      <c r="Y336" s="12">
        <f t="shared" si="10"/>
        <v>0.48499999999999999</v>
      </c>
      <c r="Z336" s="13">
        <v>-0.24500000000000005</v>
      </c>
    </row>
    <row r="337" spans="1:27" x14ac:dyDescent="0.2">
      <c r="A337" s="13" t="s">
        <v>83</v>
      </c>
      <c r="B337" s="13">
        <v>3808.5</v>
      </c>
      <c r="C337" s="13">
        <v>51.478000000000002</v>
      </c>
      <c r="D337" s="13">
        <v>22.198</v>
      </c>
      <c r="E337" s="13">
        <v>2.0430000000000001</v>
      </c>
      <c r="F337" s="13">
        <v>168.345</v>
      </c>
      <c r="G337" s="13">
        <v>2.786</v>
      </c>
      <c r="H337" s="13">
        <v>11.004</v>
      </c>
      <c r="I337" s="13">
        <v>3.2450000000000001</v>
      </c>
      <c r="J337" s="13">
        <v>180.29900000000001</v>
      </c>
      <c r="K337" s="13">
        <v>209.59299999999999</v>
      </c>
      <c r="L337" s="13">
        <v>0.01</v>
      </c>
      <c r="M337" s="13">
        <v>1E-3</v>
      </c>
      <c r="N337" s="13">
        <v>100</v>
      </c>
      <c r="O337" s="13">
        <v>0.33800000000000002</v>
      </c>
      <c r="P337" s="13">
        <v>0.57099999999999995</v>
      </c>
      <c r="Q337" s="13">
        <v>0.215</v>
      </c>
      <c r="R337" s="13">
        <v>0.622</v>
      </c>
      <c r="S337" s="13">
        <v>0.34</v>
      </c>
      <c r="T337" s="13"/>
      <c r="U337" s="13" t="s">
        <v>33</v>
      </c>
      <c r="V337" s="13" t="s">
        <v>35</v>
      </c>
      <c r="W337" s="13">
        <v>9</v>
      </c>
      <c r="X337" s="13"/>
      <c r="Y337" s="12">
        <f t="shared" si="10"/>
        <v>0.55300000000000005</v>
      </c>
      <c r="Z337" s="13">
        <v>-0.23299999999999993</v>
      </c>
    </row>
    <row r="338" spans="1:27" x14ac:dyDescent="0.2">
      <c r="A338" s="13" t="s">
        <v>83</v>
      </c>
      <c r="B338" s="13">
        <v>3808.625</v>
      </c>
      <c r="C338" s="13">
        <v>60.939</v>
      </c>
      <c r="D338" s="13">
        <v>22.178999999999998</v>
      </c>
      <c r="E338" s="13">
        <v>2.5409999999999999</v>
      </c>
      <c r="F338" s="13">
        <v>170.08</v>
      </c>
      <c r="G338" s="13">
        <v>2.7890000000000001</v>
      </c>
      <c r="H338" s="13">
        <v>12.335000000000001</v>
      </c>
      <c r="I338" s="13">
        <v>3.2839999999999998</v>
      </c>
      <c r="J338" s="13">
        <v>170.28399999999999</v>
      </c>
      <c r="K338" s="13">
        <v>197.49</v>
      </c>
      <c r="L338" s="13">
        <v>0.01</v>
      </c>
      <c r="M338" s="13">
        <v>1E-3</v>
      </c>
      <c r="N338" s="13">
        <v>100</v>
      </c>
      <c r="O338" s="13">
        <v>0.40899999999999997</v>
      </c>
      <c r="P338" s="13">
        <v>0.61899999999999999</v>
      </c>
      <c r="Q338" s="13">
        <v>0.24199999999999999</v>
      </c>
      <c r="R338" s="13">
        <v>0.65500000000000003</v>
      </c>
      <c r="S338" s="13">
        <v>0.38900000000000001</v>
      </c>
      <c r="T338" s="13"/>
      <c r="U338" s="13" t="s">
        <v>33</v>
      </c>
      <c r="V338" s="13" t="s">
        <v>35</v>
      </c>
      <c r="W338" s="13">
        <v>9</v>
      </c>
      <c r="X338" s="13"/>
      <c r="Y338" s="12">
        <f t="shared" si="10"/>
        <v>0.65100000000000002</v>
      </c>
      <c r="Z338" s="13">
        <v>-0.21000000000000002</v>
      </c>
    </row>
    <row r="339" spans="1:27" x14ac:dyDescent="0.2">
      <c r="A339" s="13" t="s">
        <v>83</v>
      </c>
      <c r="B339" s="13">
        <v>3808.75</v>
      </c>
      <c r="C339" s="13">
        <v>66.653999999999996</v>
      </c>
      <c r="D339" s="13">
        <v>22.099</v>
      </c>
      <c r="E339" s="13">
        <v>3.2050000000000001</v>
      </c>
      <c r="F339" s="13">
        <v>171.27799999999999</v>
      </c>
      <c r="G339" s="13">
        <v>2.7970000000000002</v>
      </c>
      <c r="H339" s="13">
        <v>12.779</v>
      </c>
      <c r="I339" s="13">
        <v>3.3290000000000002</v>
      </c>
      <c r="J339" s="13">
        <v>175.64400000000001</v>
      </c>
      <c r="K339" s="13">
        <v>202.941</v>
      </c>
      <c r="L339" s="13">
        <v>0.01</v>
      </c>
      <c r="M339" s="13">
        <v>1E-3</v>
      </c>
      <c r="N339" s="13">
        <v>100</v>
      </c>
      <c r="O339" s="13">
        <v>0.41799999999999998</v>
      </c>
      <c r="P339" s="13">
        <v>0.67</v>
      </c>
      <c r="Q339" s="13">
        <v>0.247</v>
      </c>
      <c r="R339" s="13">
        <v>0.71599999999999997</v>
      </c>
      <c r="S339" s="13">
        <v>0.38100000000000001</v>
      </c>
      <c r="T339" s="13"/>
      <c r="U339" s="13" t="s">
        <v>33</v>
      </c>
      <c r="V339" s="13" t="s">
        <v>35</v>
      </c>
      <c r="W339" s="13">
        <v>9</v>
      </c>
      <c r="X339" s="13"/>
      <c r="Y339" s="12">
        <f t="shared" si="10"/>
        <v>0.66500000000000004</v>
      </c>
      <c r="Z339" s="13">
        <v>-0.25200000000000006</v>
      </c>
    </row>
    <row r="340" spans="1:27" x14ac:dyDescent="0.2">
      <c r="A340" s="13" t="s">
        <v>83</v>
      </c>
      <c r="B340" s="13">
        <v>3808.875</v>
      </c>
      <c r="C340" s="13">
        <v>59.399000000000001</v>
      </c>
      <c r="D340" s="13">
        <v>22.03</v>
      </c>
      <c r="E340" s="13">
        <v>3.0939999999999999</v>
      </c>
      <c r="F340" s="13">
        <v>170.035</v>
      </c>
      <c r="G340" s="13">
        <v>2.8079999999999998</v>
      </c>
      <c r="H340" s="13">
        <v>11.567</v>
      </c>
      <c r="I340" s="13">
        <v>3.371</v>
      </c>
      <c r="J340" s="13">
        <v>199.79499999999999</v>
      </c>
      <c r="K340" s="13">
        <v>229.91900000000001</v>
      </c>
      <c r="L340" s="13">
        <v>0.01</v>
      </c>
      <c r="M340" s="13">
        <v>1E-3</v>
      </c>
      <c r="N340" s="13">
        <v>100</v>
      </c>
      <c r="O340" s="13">
        <v>0.34</v>
      </c>
      <c r="P340" s="13">
        <v>0.71399999999999997</v>
      </c>
      <c r="Q340" s="13">
        <v>0.21</v>
      </c>
      <c r="R340" s="13">
        <v>0.78800000000000003</v>
      </c>
      <c r="S340" s="13">
        <v>0.312</v>
      </c>
      <c r="T340" s="13"/>
      <c r="U340" s="13" t="s">
        <v>33</v>
      </c>
      <c r="V340" s="13" t="s">
        <v>35</v>
      </c>
      <c r="W340" s="13">
        <v>9</v>
      </c>
      <c r="X340" s="13"/>
      <c r="Y340" s="12">
        <f t="shared" si="10"/>
        <v>0.55000000000000004</v>
      </c>
      <c r="Z340" s="13">
        <v>-0.37399999999999994</v>
      </c>
    </row>
    <row r="341" spans="1:27" x14ac:dyDescent="0.2">
      <c r="A341" s="13" t="s">
        <v>83</v>
      </c>
      <c r="B341" s="13">
        <v>3809</v>
      </c>
      <c r="C341" s="13">
        <v>47.973999999999997</v>
      </c>
      <c r="D341" s="13">
        <v>22.004999999999999</v>
      </c>
      <c r="E341" s="13">
        <v>2.4630000000000001</v>
      </c>
      <c r="F341" s="13">
        <v>166.40600000000001</v>
      </c>
      <c r="G341" s="13">
        <v>2.8180000000000001</v>
      </c>
      <c r="H341" s="13">
        <v>9.76</v>
      </c>
      <c r="I341" s="13">
        <v>3.4009999999999998</v>
      </c>
      <c r="J341" s="13">
        <v>244.255</v>
      </c>
      <c r="K341" s="13">
        <v>280.23700000000002</v>
      </c>
      <c r="L341" s="13">
        <v>0.01</v>
      </c>
      <c r="M341" s="13">
        <v>1E-3</v>
      </c>
      <c r="N341" s="13">
        <v>100</v>
      </c>
      <c r="O341" s="13">
        <v>0.253</v>
      </c>
      <c r="P341" s="13">
        <v>0.74199999999999999</v>
      </c>
      <c r="Q341" s="13">
        <v>0.14399999999999999</v>
      </c>
      <c r="R341" s="13">
        <v>0.84599999999999997</v>
      </c>
      <c r="S341" s="13">
        <v>0.23499999999999999</v>
      </c>
      <c r="T341" s="13"/>
      <c r="U341" s="13" t="s">
        <v>33</v>
      </c>
      <c r="V341" s="13" t="s">
        <v>35</v>
      </c>
      <c r="W341" s="13">
        <v>9</v>
      </c>
      <c r="X341" s="13"/>
      <c r="Y341" s="12">
        <f t="shared" si="10"/>
        <v>0.39700000000000002</v>
      </c>
      <c r="Z341" s="13">
        <v>-0.48899999999999999</v>
      </c>
    </row>
    <row r="342" spans="1:27" x14ac:dyDescent="0.2">
      <c r="A342" s="13" t="s">
        <v>84</v>
      </c>
      <c r="B342" s="13">
        <v>3929.125</v>
      </c>
      <c r="C342" s="13">
        <v>69.614000000000004</v>
      </c>
      <c r="D342" s="13">
        <v>22.010999999999999</v>
      </c>
      <c r="E342" s="13">
        <v>2.9079999999999999</v>
      </c>
      <c r="F342" s="13">
        <v>167.035</v>
      </c>
      <c r="G342" s="13">
        <v>2.782</v>
      </c>
      <c r="H342" s="13">
        <v>8.6270000000000007</v>
      </c>
      <c r="I342" s="13">
        <v>3.0750000000000002</v>
      </c>
      <c r="J342" s="13">
        <v>472.29700000000003</v>
      </c>
      <c r="K342" s="13">
        <v>526.54700000000003</v>
      </c>
      <c r="L342" s="13">
        <v>0.01</v>
      </c>
      <c r="M342" s="13">
        <v>1E-3</v>
      </c>
      <c r="N342" s="13">
        <v>100</v>
      </c>
      <c r="O342" s="13">
        <v>0.436</v>
      </c>
      <c r="P342" s="13">
        <v>0.28599999999999998</v>
      </c>
      <c r="Q342" s="13">
        <v>0.39600000000000002</v>
      </c>
      <c r="R342" s="13">
        <v>0.85699999999999998</v>
      </c>
      <c r="S342" s="13">
        <v>0.52400000000000002</v>
      </c>
      <c r="T342" s="13"/>
      <c r="U342" s="13" t="s">
        <v>33</v>
      </c>
      <c r="V342" s="13" t="s">
        <v>35</v>
      </c>
      <c r="W342" s="13">
        <v>13</v>
      </c>
      <c r="X342" s="13"/>
      <c r="Y342" s="12">
        <f t="shared" si="10"/>
        <v>0.83200000000000007</v>
      </c>
      <c r="Z342" s="13">
        <v>0.15000000000000002</v>
      </c>
    </row>
    <row r="343" spans="1:27" x14ac:dyDescent="0.2">
      <c r="A343" s="13" t="s">
        <v>84</v>
      </c>
      <c r="B343" s="13">
        <v>3929.25</v>
      </c>
      <c r="C343" s="13">
        <v>72.944999999999993</v>
      </c>
      <c r="D343" s="13">
        <v>22.068999999999999</v>
      </c>
      <c r="E343" s="13">
        <v>2.9969999999999999</v>
      </c>
      <c r="F343" s="13">
        <v>168.95400000000001</v>
      </c>
      <c r="G343" s="13">
        <v>2.7839999999999998</v>
      </c>
      <c r="H343" s="13">
        <v>9.0350000000000001</v>
      </c>
      <c r="I343" s="13">
        <v>2.9940000000000002</v>
      </c>
      <c r="J343" s="13">
        <v>434.67700000000002</v>
      </c>
      <c r="K343" s="13">
        <v>485.13400000000001</v>
      </c>
      <c r="L343" s="13">
        <v>0.01</v>
      </c>
      <c r="M343" s="13">
        <v>1E-3</v>
      </c>
      <c r="N343" s="13">
        <v>100</v>
      </c>
      <c r="O343" s="13">
        <v>0.47199999999999998</v>
      </c>
      <c r="P343" s="13">
        <v>0.23100000000000001</v>
      </c>
      <c r="Q343" s="13">
        <v>0.45300000000000001</v>
      </c>
      <c r="R343" s="13">
        <v>0.873</v>
      </c>
      <c r="S343" s="13">
        <v>0.55800000000000005</v>
      </c>
      <c r="T343" s="13"/>
      <c r="U343" s="13" t="s">
        <v>33</v>
      </c>
      <c r="V343" s="13" t="s">
        <v>35</v>
      </c>
      <c r="W343" s="13">
        <v>13</v>
      </c>
      <c r="X343" s="13"/>
      <c r="Y343" s="12">
        <f t="shared" si="10"/>
        <v>0.92500000000000004</v>
      </c>
      <c r="Z343" s="13">
        <v>0.24099999999999996</v>
      </c>
    </row>
    <row r="344" spans="1:27" x14ac:dyDescent="0.2">
      <c r="A344" s="13" t="s">
        <v>84</v>
      </c>
      <c r="B344" s="13">
        <v>3929.375</v>
      </c>
      <c r="C344" s="13">
        <v>73.938000000000002</v>
      </c>
      <c r="D344" s="13">
        <v>22.132000000000001</v>
      </c>
      <c r="E344" s="13">
        <v>3.2789999999999999</v>
      </c>
      <c r="F344" s="13">
        <v>171.07400000000001</v>
      </c>
      <c r="G344" s="13">
        <v>2.7770000000000001</v>
      </c>
      <c r="H344" s="13">
        <v>9.657</v>
      </c>
      <c r="I344" s="13">
        <v>2.92</v>
      </c>
      <c r="J344" s="13">
        <v>396.137</v>
      </c>
      <c r="K344" s="13">
        <v>442.38900000000001</v>
      </c>
      <c r="L344" s="13">
        <v>0.01</v>
      </c>
      <c r="M344" s="13">
        <v>1E-3</v>
      </c>
      <c r="N344" s="13">
        <v>100</v>
      </c>
      <c r="O344" s="13">
        <v>0.48499999999999999</v>
      </c>
      <c r="P344" s="13">
        <v>0.17899999999999999</v>
      </c>
      <c r="Q344" s="13">
        <v>0.51900000000000002</v>
      </c>
      <c r="R344" s="13">
        <v>0.84699999999999998</v>
      </c>
      <c r="S344" s="13">
        <v>0.61099999999999999</v>
      </c>
      <c r="T344" s="13"/>
      <c r="U344" s="13" t="s">
        <v>33</v>
      </c>
      <c r="V344" s="13" t="s">
        <v>35</v>
      </c>
      <c r="W344" s="13">
        <v>13</v>
      </c>
      <c r="X344" s="13"/>
      <c r="Y344" s="12">
        <f t="shared" si="10"/>
        <v>1.004</v>
      </c>
      <c r="Z344" s="13">
        <v>0.30599999999999999</v>
      </c>
    </row>
    <row r="345" spans="1:27" x14ac:dyDescent="0.2">
      <c r="A345" s="13" t="s">
        <v>84</v>
      </c>
      <c r="B345" s="13">
        <v>3929.5</v>
      </c>
      <c r="C345" s="13">
        <v>73.561999999999998</v>
      </c>
      <c r="D345" s="13">
        <v>22.187000000000001</v>
      </c>
      <c r="E345" s="13">
        <v>3.794</v>
      </c>
      <c r="F345" s="13">
        <v>172.88499999999999</v>
      </c>
      <c r="G345" s="13">
        <v>2.7639999999999998</v>
      </c>
      <c r="H345" s="13">
        <v>10.353999999999999</v>
      </c>
      <c r="I345" s="13">
        <v>2.8660000000000001</v>
      </c>
      <c r="J345" s="13">
        <v>325.83600000000001</v>
      </c>
      <c r="K345" s="13">
        <v>363.916</v>
      </c>
      <c r="L345" s="13">
        <v>0.01</v>
      </c>
      <c r="M345" s="13">
        <v>1E-3</v>
      </c>
      <c r="N345" s="13">
        <v>100</v>
      </c>
      <c r="O345" s="13">
        <v>0.48399999999999999</v>
      </c>
      <c r="P345" s="13">
        <v>0.13900000000000001</v>
      </c>
      <c r="Q345" s="13">
        <v>0.57799999999999996</v>
      </c>
      <c r="R345" s="13">
        <v>0.78800000000000003</v>
      </c>
      <c r="S345" s="13">
        <v>0.67400000000000004</v>
      </c>
      <c r="T345" s="13"/>
      <c r="U345" s="13" t="s">
        <v>33</v>
      </c>
      <c r="V345" s="13" t="s">
        <v>35</v>
      </c>
      <c r="W345" s="13">
        <v>13</v>
      </c>
      <c r="X345" s="13"/>
      <c r="Y345" s="12">
        <f t="shared" si="10"/>
        <v>1.0619999999999998</v>
      </c>
      <c r="Z345" s="13">
        <v>0.34499999999999997</v>
      </c>
    </row>
    <row r="346" spans="1:27" x14ac:dyDescent="0.2">
      <c r="A346" s="13" t="s">
        <v>84</v>
      </c>
      <c r="B346" s="13">
        <v>3929.625</v>
      </c>
      <c r="C346" s="13">
        <v>77.641999999999996</v>
      </c>
      <c r="D346" s="13">
        <v>22.221</v>
      </c>
      <c r="E346" s="13">
        <v>4.3049999999999997</v>
      </c>
      <c r="F346" s="13">
        <v>174.00899999999999</v>
      </c>
      <c r="G346" s="13">
        <v>2.7480000000000002</v>
      </c>
      <c r="H346" s="13">
        <v>10.97</v>
      </c>
      <c r="I346" s="13">
        <v>2.8380000000000001</v>
      </c>
      <c r="J346" s="13">
        <v>244.02699999999999</v>
      </c>
      <c r="K346" s="13">
        <v>272.55</v>
      </c>
      <c r="L346" s="13">
        <v>0.01</v>
      </c>
      <c r="M346" s="13">
        <v>1E-3</v>
      </c>
      <c r="N346" s="13">
        <v>100</v>
      </c>
      <c r="O346" s="13">
        <v>0.51400000000000001</v>
      </c>
      <c r="P346" s="13">
        <v>0.11600000000000001</v>
      </c>
      <c r="Q346" s="13">
        <v>0.61799999999999999</v>
      </c>
      <c r="R346" s="13">
        <v>0.71099999999999997</v>
      </c>
      <c r="S346" s="13">
        <v>0.73199999999999998</v>
      </c>
      <c r="T346" s="13"/>
      <c r="U346" s="13" t="s">
        <v>33</v>
      </c>
      <c r="V346" s="13" t="s">
        <v>35</v>
      </c>
      <c r="W346" s="13">
        <v>13</v>
      </c>
      <c r="X346" s="13"/>
      <c r="Y346" s="12">
        <f t="shared" si="10"/>
        <v>1.1320000000000001</v>
      </c>
      <c r="Z346" s="13">
        <v>0.39800000000000002</v>
      </c>
    </row>
    <row r="347" spans="1:27" x14ac:dyDescent="0.2">
      <c r="A347" s="13" t="s">
        <v>84</v>
      </c>
      <c r="B347" s="13">
        <v>3929.75</v>
      </c>
      <c r="C347" s="13">
        <v>85.031000000000006</v>
      </c>
      <c r="D347" s="13">
        <v>22.234000000000002</v>
      </c>
      <c r="E347" s="13">
        <v>4.569</v>
      </c>
      <c r="F347" s="13">
        <v>174.46299999999999</v>
      </c>
      <c r="G347" s="13">
        <v>2.7330000000000001</v>
      </c>
      <c r="H347" s="13">
        <v>11.507999999999999</v>
      </c>
      <c r="I347" s="13">
        <v>2.843</v>
      </c>
      <c r="J347" s="13">
        <v>203.10900000000001</v>
      </c>
      <c r="K347" s="13">
        <v>226.84200000000001</v>
      </c>
      <c r="L347" s="13">
        <v>0.01</v>
      </c>
      <c r="M347" s="13">
        <v>1E-3</v>
      </c>
      <c r="N347" s="13">
        <v>100</v>
      </c>
      <c r="O347" s="13">
        <v>0.57599999999999996</v>
      </c>
      <c r="P347" s="13">
        <v>0.115</v>
      </c>
      <c r="Q347" s="13">
        <v>0.63700000000000001</v>
      </c>
      <c r="R347" s="13">
        <v>0.63500000000000001</v>
      </c>
      <c r="S347" s="13">
        <v>0.78300000000000003</v>
      </c>
      <c r="T347" s="13"/>
      <c r="U347" s="13" t="s">
        <v>33</v>
      </c>
      <c r="V347" s="13" t="s">
        <v>35</v>
      </c>
      <c r="W347" s="13">
        <v>13</v>
      </c>
      <c r="X347" s="13"/>
      <c r="Y347" s="12">
        <f t="shared" si="10"/>
        <v>1.2130000000000001</v>
      </c>
      <c r="Z347" s="13">
        <v>0.46099999999999997</v>
      </c>
    </row>
    <row r="348" spans="1:27" x14ac:dyDescent="0.2">
      <c r="A348" s="13" t="s">
        <v>84</v>
      </c>
      <c r="B348" s="13">
        <v>3929.875</v>
      </c>
      <c r="C348" s="13">
        <v>93.367999999999995</v>
      </c>
      <c r="D348" s="13">
        <v>22.245000000000001</v>
      </c>
      <c r="E348" s="13">
        <v>4.6630000000000003</v>
      </c>
      <c r="F348" s="13">
        <v>174.851</v>
      </c>
      <c r="G348" s="13">
        <v>2.722</v>
      </c>
      <c r="H348" s="13">
        <v>11.96</v>
      </c>
      <c r="I348" s="13">
        <v>2.8809999999999998</v>
      </c>
      <c r="J348" s="13">
        <v>186.131</v>
      </c>
      <c r="K348" s="13">
        <v>207.87</v>
      </c>
      <c r="L348" s="13">
        <v>0.01</v>
      </c>
      <c r="M348" s="13">
        <v>1E-3</v>
      </c>
      <c r="N348" s="13">
        <v>100</v>
      </c>
      <c r="O348" s="13">
        <v>0.65100000000000002</v>
      </c>
      <c r="P348" s="13">
        <v>0.13700000000000001</v>
      </c>
      <c r="Q348" s="13">
        <v>0.64900000000000002</v>
      </c>
      <c r="R348" s="13">
        <v>0.57599999999999996</v>
      </c>
      <c r="S348" s="13">
        <v>0.82599999999999996</v>
      </c>
      <c r="T348" s="13"/>
      <c r="U348" s="13" t="s">
        <v>33</v>
      </c>
      <c r="V348" s="13" t="s">
        <v>35</v>
      </c>
      <c r="W348" s="13">
        <v>13</v>
      </c>
      <c r="X348" s="13"/>
      <c r="Y348" s="12">
        <f t="shared" si="10"/>
        <v>1.3</v>
      </c>
      <c r="Z348" s="13">
        <v>0.51400000000000001</v>
      </c>
    </row>
    <row r="349" spans="1:27" x14ac:dyDescent="0.2">
      <c r="A349" s="13" t="s">
        <v>84</v>
      </c>
      <c r="B349" s="13">
        <v>3930</v>
      </c>
      <c r="C349" s="13">
        <v>106.39700000000001</v>
      </c>
      <c r="D349" s="13">
        <v>22.28</v>
      </c>
      <c r="E349" s="13">
        <v>4.6879999999999997</v>
      </c>
      <c r="F349" s="13">
        <v>175.988</v>
      </c>
      <c r="G349" s="13">
        <v>2.7160000000000002</v>
      </c>
      <c r="H349" s="13">
        <v>12.33</v>
      </c>
      <c r="I349" s="13">
        <v>2.952</v>
      </c>
      <c r="J349" s="13">
        <v>169.34</v>
      </c>
      <c r="K349" s="13">
        <v>189.11</v>
      </c>
      <c r="L349" s="13">
        <v>0.01</v>
      </c>
      <c r="M349" s="13">
        <v>1E-3</v>
      </c>
      <c r="N349" s="13">
        <v>100</v>
      </c>
      <c r="O349" s="13">
        <v>0.76300000000000001</v>
      </c>
      <c r="P349" s="13">
        <v>0.18099999999999999</v>
      </c>
      <c r="Q349" s="13">
        <v>0.68100000000000005</v>
      </c>
      <c r="R349" s="13">
        <v>0.54100000000000004</v>
      </c>
      <c r="S349" s="13">
        <v>0.86199999999999999</v>
      </c>
      <c r="T349" s="13"/>
      <c r="U349" s="13" t="s">
        <v>33</v>
      </c>
      <c r="V349" s="13" t="s">
        <v>35</v>
      </c>
      <c r="W349" s="13">
        <v>13</v>
      </c>
      <c r="X349" s="13"/>
      <c r="Y349" s="12">
        <f t="shared" si="10"/>
        <v>1.444</v>
      </c>
      <c r="Z349" s="13">
        <v>0.58200000000000007</v>
      </c>
      <c r="AA349" s="5">
        <v>230</v>
      </c>
    </row>
    <row r="350" spans="1:27" x14ac:dyDescent="0.2">
      <c r="A350" s="14" t="s">
        <v>78</v>
      </c>
      <c r="B350" s="14">
        <v>3724.875</v>
      </c>
      <c r="C350" s="14">
        <v>65.837999999999994</v>
      </c>
      <c r="D350" s="14">
        <v>22.789000000000001</v>
      </c>
      <c r="E350" s="14">
        <v>5.0529999999999999</v>
      </c>
      <c r="F350" s="14">
        <v>176.755</v>
      </c>
      <c r="G350" s="14">
        <v>2.7749999999999999</v>
      </c>
      <c r="H350" s="14">
        <v>7.9450000000000003</v>
      </c>
      <c r="I350" s="14">
        <v>3.2349999999999999</v>
      </c>
      <c r="J350" s="14">
        <v>295.392</v>
      </c>
      <c r="K350" s="14">
        <v>343.99</v>
      </c>
      <c r="L350" s="14">
        <v>0.01</v>
      </c>
      <c r="M350" s="14">
        <v>1E-3</v>
      </c>
      <c r="N350" s="14">
        <v>100</v>
      </c>
      <c r="O350" s="14">
        <v>0.47699999999999998</v>
      </c>
      <c r="P350" s="14">
        <v>0.28599999999999998</v>
      </c>
      <c r="Q350" s="14">
        <v>0.23300000000000001</v>
      </c>
      <c r="R350" s="14">
        <v>0.42399999999999999</v>
      </c>
      <c r="S350" s="14">
        <v>0.44400000000000001</v>
      </c>
      <c r="T350" s="14"/>
      <c r="U350" s="14" t="s">
        <v>33</v>
      </c>
      <c r="V350" s="14" t="s">
        <v>87</v>
      </c>
      <c r="W350" s="14">
        <v>2</v>
      </c>
      <c r="X350" s="14" t="s">
        <v>85</v>
      </c>
      <c r="Y350" s="12">
        <f t="shared" si="10"/>
        <v>0.71</v>
      </c>
      <c r="Z350" s="14">
        <f t="shared" ref="Z350:Z354" si="11">O350-P350</f>
        <v>0.191</v>
      </c>
    </row>
    <row r="351" spans="1:27" x14ac:dyDescent="0.2">
      <c r="A351" s="14" t="s">
        <v>78</v>
      </c>
      <c r="B351" s="14">
        <v>3725</v>
      </c>
      <c r="C351" s="14">
        <v>83.677999999999997</v>
      </c>
      <c r="D351" s="14">
        <v>22.663</v>
      </c>
      <c r="E351" s="14">
        <v>5.78</v>
      </c>
      <c r="F351" s="14">
        <v>178.72</v>
      </c>
      <c r="G351" s="14">
        <v>2.7770000000000001</v>
      </c>
      <c r="H351" s="14">
        <v>8.4429999999999996</v>
      </c>
      <c r="I351" s="14">
        <v>3.347</v>
      </c>
      <c r="J351" s="14">
        <v>270.16699999999997</v>
      </c>
      <c r="K351" s="14">
        <v>314.31400000000002</v>
      </c>
      <c r="L351" s="14">
        <v>0.01</v>
      </c>
      <c r="M351" s="14">
        <v>1E-3</v>
      </c>
      <c r="N351" s="14">
        <v>100</v>
      </c>
      <c r="O351" s="14">
        <v>0.66100000000000003</v>
      </c>
      <c r="P351" s="14">
        <v>0.373</v>
      </c>
      <c r="Q351" s="14">
        <v>0.26</v>
      </c>
      <c r="R351" s="14">
        <v>0.42599999999999999</v>
      </c>
      <c r="S351" s="14">
        <v>0.502</v>
      </c>
      <c r="T351" s="14"/>
      <c r="U351" s="14" t="s">
        <v>33</v>
      </c>
      <c r="V351" s="14" t="s">
        <v>87</v>
      </c>
      <c r="W351" s="14">
        <v>2</v>
      </c>
      <c r="X351" s="14" t="s">
        <v>85</v>
      </c>
      <c r="Y351" s="12">
        <f t="shared" si="10"/>
        <v>0.92100000000000004</v>
      </c>
      <c r="Z351" s="14">
        <f t="shared" si="11"/>
        <v>0.28800000000000003</v>
      </c>
    </row>
    <row r="352" spans="1:27" x14ac:dyDescent="0.2">
      <c r="A352" s="14" t="s">
        <v>78</v>
      </c>
      <c r="B352" s="14">
        <v>3725.125</v>
      </c>
      <c r="C352" s="14">
        <v>98.432000000000002</v>
      </c>
      <c r="D352" s="14">
        <v>22.36</v>
      </c>
      <c r="E352" s="14">
        <v>6.274</v>
      </c>
      <c r="F352" s="14">
        <v>182.09</v>
      </c>
      <c r="G352" s="14">
        <v>2.774</v>
      </c>
      <c r="H352" s="14">
        <v>9.1920000000000002</v>
      </c>
      <c r="I352" s="14">
        <v>3.448</v>
      </c>
      <c r="J352" s="14">
        <v>234.42699999999999</v>
      </c>
      <c r="K352" s="14">
        <v>272.267</v>
      </c>
      <c r="L352" s="14">
        <v>0.01</v>
      </c>
      <c r="M352" s="14">
        <v>1E-3</v>
      </c>
      <c r="N352" s="14">
        <v>100</v>
      </c>
      <c r="O352" s="14">
        <v>0.83099999999999996</v>
      </c>
      <c r="P352" s="14">
        <v>0.45300000000000001</v>
      </c>
      <c r="Q352" s="14">
        <v>0.29899999999999999</v>
      </c>
      <c r="R352" s="14">
        <v>0.41899999999999998</v>
      </c>
      <c r="S352" s="14">
        <v>0.59499999999999997</v>
      </c>
      <c r="T352" s="14"/>
      <c r="U352" s="14" t="s">
        <v>33</v>
      </c>
      <c r="V352" s="14" t="s">
        <v>87</v>
      </c>
      <c r="W352" s="14">
        <v>2</v>
      </c>
      <c r="X352" s="14" t="s">
        <v>85</v>
      </c>
      <c r="Y352" s="12">
        <f t="shared" si="10"/>
        <v>1.1299999999999999</v>
      </c>
      <c r="Z352" s="14">
        <f t="shared" si="11"/>
        <v>0.37799999999999995</v>
      </c>
    </row>
    <row r="353" spans="1:26" x14ac:dyDescent="0.2">
      <c r="A353" s="14" t="s">
        <v>78</v>
      </c>
      <c r="B353" s="14">
        <v>3725.25</v>
      </c>
      <c r="C353" s="14">
        <v>106.929</v>
      </c>
      <c r="D353" s="14">
        <v>22.03</v>
      </c>
      <c r="E353" s="14">
        <v>6.5110000000000001</v>
      </c>
      <c r="F353" s="14">
        <v>189.10499999999999</v>
      </c>
      <c r="G353" s="14">
        <v>2.7589999999999999</v>
      </c>
      <c r="H353" s="14">
        <v>10.076000000000001</v>
      </c>
      <c r="I353" s="14">
        <v>3.5270000000000001</v>
      </c>
      <c r="J353" s="14">
        <v>198.24</v>
      </c>
      <c r="K353" s="14">
        <v>229.69399999999999</v>
      </c>
      <c r="L353" s="14">
        <v>0.01</v>
      </c>
      <c r="M353" s="14">
        <v>1E-3</v>
      </c>
      <c r="N353" s="14">
        <v>100</v>
      </c>
      <c r="O353" s="14">
        <v>0.94899999999999995</v>
      </c>
      <c r="P353" s="14">
        <v>0.51900000000000002</v>
      </c>
      <c r="Q353" s="14">
        <v>0.376</v>
      </c>
      <c r="R353" s="14">
        <v>0.33500000000000002</v>
      </c>
      <c r="S353" s="14">
        <v>0.71599999999999997</v>
      </c>
      <c r="T353" s="14"/>
      <c r="U353" s="14" t="s">
        <v>33</v>
      </c>
      <c r="V353" s="14" t="s">
        <v>87</v>
      </c>
      <c r="W353" s="14">
        <v>2</v>
      </c>
      <c r="X353" s="14" t="s">
        <v>85</v>
      </c>
      <c r="Y353" s="12">
        <f t="shared" si="10"/>
        <v>1.325</v>
      </c>
      <c r="Z353" s="14">
        <f t="shared" si="11"/>
        <v>0.42999999999999994</v>
      </c>
    </row>
    <row r="354" spans="1:26" x14ac:dyDescent="0.2">
      <c r="A354" s="14" t="s">
        <v>78</v>
      </c>
      <c r="B354" s="14">
        <v>3725.375</v>
      </c>
      <c r="C354" s="14">
        <v>108.21</v>
      </c>
      <c r="D354" s="14">
        <v>21.873000000000001</v>
      </c>
      <c r="E354" s="14">
        <v>6.5739999999999998</v>
      </c>
      <c r="F354" s="14">
        <v>200.74299999999999</v>
      </c>
      <c r="G354" s="14">
        <v>2.7410000000000001</v>
      </c>
      <c r="H354" s="14">
        <v>10.887</v>
      </c>
      <c r="I354" s="14">
        <v>3.581</v>
      </c>
      <c r="J354" s="14">
        <v>170.75899999999999</v>
      </c>
      <c r="K354" s="14">
        <v>197.364</v>
      </c>
      <c r="L354" s="14">
        <v>0.01</v>
      </c>
      <c r="M354" s="14">
        <v>1E-3</v>
      </c>
      <c r="N354" s="14">
        <v>100</v>
      </c>
      <c r="O354" s="14">
        <v>0.99399999999999999</v>
      </c>
      <c r="P354" s="14">
        <v>0.56799999999999995</v>
      </c>
      <c r="Q354" s="14">
        <v>0.51200000000000001</v>
      </c>
      <c r="R354" s="14">
        <v>0.19600000000000001</v>
      </c>
      <c r="S354" s="14">
        <v>0.83799999999999997</v>
      </c>
      <c r="T354" s="14"/>
      <c r="U354" s="14" t="s">
        <v>33</v>
      </c>
      <c r="V354" s="14" t="s">
        <v>87</v>
      </c>
      <c r="W354" s="14">
        <v>2</v>
      </c>
      <c r="X354" s="14" t="s">
        <v>85</v>
      </c>
      <c r="Y354" s="12">
        <f t="shared" si="10"/>
        <v>1.506</v>
      </c>
      <c r="Z354" s="14">
        <f t="shared" si="11"/>
        <v>0.42600000000000005</v>
      </c>
    </row>
    <row r="355" spans="1:26" x14ac:dyDescent="0.2">
      <c r="A355" s="12" t="s">
        <v>21</v>
      </c>
      <c r="B355" s="12">
        <v>3917.75</v>
      </c>
      <c r="C355" s="12">
        <v>40.558999999999997</v>
      </c>
      <c r="D355" s="12">
        <v>22.37</v>
      </c>
      <c r="E355" s="12">
        <v>2.5880000000000001</v>
      </c>
      <c r="F355" s="12">
        <v>163.05699999999999</v>
      </c>
      <c r="G355" s="12">
        <v>2.7549999999999999</v>
      </c>
      <c r="H355" s="12">
        <v>7.1310000000000002</v>
      </c>
      <c r="I355" s="12">
        <v>3.26</v>
      </c>
      <c r="J355" s="12">
        <v>431.25700000000001</v>
      </c>
      <c r="K355" s="12">
        <v>484.93200000000002</v>
      </c>
      <c r="L355" s="12">
        <v>0.01</v>
      </c>
      <c r="M355" s="12">
        <v>1E-3</v>
      </c>
      <c r="N355" s="12">
        <v>100</v>
      </c>
      <c r="O355" s="12">
        <v>0.26600000000000001</v>
      </c>
      <c r="P355" s="12">
        <v>0.39300000000000002</v>
      </c>
      <c r="Q355" s="12">
        <v>0.248</v>
      </c>
      <c r="R355" s="12">
        <v>0.34200000000000003</v>
      </c>
      <c r="S355" s="12">
        <v>0.223</v>
      </c>
      <c r="U355" s="12" t="s">
        <v>22</v>
      </c>
      <c r="V355" s="12" t="s">
        <v>30</v>
      </c>
      <c r="W355" s="12">
        <v>2</v>
      </c>
      <c r="Y355" s="12">
        <f t="shared" si="10"/>
        <v>0.51400000000000001</v>
      </c>
      <c r="Z355" s="12">
        <f t="shared" ref="Z355:Z382" si="12">O355-P355</f>
        <v>-0.127</v>
      </c>
    </row>
    <row r="356" spans="1:26" x14ac:dyDescent="0.2">
      <c r="A356" s="12" t="s">
        <v>21</v>
      </c>
      <c r="B356" s="12">
        <v>3917.875</v>
      </c>
      <c r="C356" s="12">
        <v>37.170999999999999</v>
      </c>
      <c r="D356" s="12">
        <v>22.344000000000001</v>
      </c>
      <c r="E356" s="12">
        <v>2.2229999999999999</v>
      </c>
      <c r="F356" s="12">
        <v>161.89599999999999</v>
      </c>
      <c r="G356" s="12">
        <v>2.766</v>
      </c>
      <c r="H356" s="12">
        <v>6.48</v>
      </c>
      <c r="I356" s="12">
        <v>3.2989999999999999</v>
      </c>
      <c r="J356" s="12">
        <v>531.70299999999997</v>
      </c>
      <c r="K356" s="12">
        <v>596.74099999999999</v>
      </c>
      <c r="L356" s="12">
        <v>0.01</v>
      </c>
      <c r="M356" s="12">
        <v>1E-3</v>
      </c>
      <c r="N356" s="12">
        <v>100</v>
      </c>
      <c r="O356" s="12">
        <v>0.22500000000000001</v>
      </c>
      <c r="P356" s="12">
        <v>0.45</v>
      </c>
      <c r="Q356" s="12">
        <v>0.193</v>
      </c>
      <c r="R356" s="12">
        <v>0.40300000000000002</v>
      </c>
      <c r="S356" s="12">
        <v>0.128</v>
      </c>
      <c r="U356" s="12" t="s">
        <v>22</v>
      </c>
      <c r="V356" s="12" t="s">
        <v>30</v>
      </c>
      <c r="W356" s="12">
        <v>2</v>
      </c>
      <c r="Y356" s="12">
        <f t="shared" si="10"/>
        <v>0.41800000000000004</v>
      </c>
      <c r="Z356" s="12">
        <f t="shared" si="12"/>
        <v>-0.22500000000000001</v>
      </c>
    </row>
    <row r="357" spans="1:26" x14ac:dyDescent="0.2">
      <c r="A357" s="12" t="s">
        <v>21</v>
      </c>
      <c r="B357" s="12">
        <v>3918</v>
      </c>
      <c r="C357" s="12">
        <v>35.314999999999998</v>
      </c>
      <c r="D357" s="12">
        <v>22.327999999999999</v>
      </c>
      <c r="E357" s="12">
        <v>2.073</v>
      </c>
      <c r="F357" s="12">
        <v>161.36600000000001</v>
      </c>
      <c r="G357" s="12">
        <v>2.7759999999999998</v>
      </c>
      <c r="H357" s="12">
        <v>6.0270000000000001</v>
      </c>
      <c r="I357" s="12">
        <v>3.3460000000000001</v>
      </c>
      <c r="J357" s="12">
        <v>561.74800000000005</v>
      </c>
      <c r="K357" s="12">
        <v>627.87</v>
      </c>
      <c r="L357" s="12">
        <v>0.01</v>
      </c>
      <c r="M357" s="12">
        <v>1E-3</v>
      </c>
      <c r="N357" s="12">
        <v>100</v>
      </c>
      <c r="O357" s="12">
        <v>0.20399999999999999</v>
      </c>
      <c r="P357" s="12">
        <v>0.52</v>
      </c>
      <c r="Q357" s="12">
        <v>0.16700000000000001</v>
      </c>
      <c r="R357" s="12">
        <v>0.46200000000000002</v>
      </c>
      <c r="S357" s="12">
        <v>5.8999999999999997E-2</v>
      </c>
      <c r="U357" s="12" t="s">
        <v>22</v>
      </c>
      <c r="V357" s="12" t="s">
        <v>30</v>
      </c>
      <c r="W357" s="12">
        <v>2</v>
      </c>
      <c r="Y357" s="12">
        <f t="shared" si="10"/>
        <v>0.371</v>
      </c>
      <c r="Z357" s="12">
        <f t="shared" si="12"/>
        <v>-0.31600000000000006</v>
      </c>
    </row>
    <row r="358" spans="1:26" x14ac:dyDescent="0.2">
      <c r="A358" s="12" t="s">
        <v>21</v>
      </c>
      <c r="B358" s="12">
        <v>3918.125</v>
      </c>
      <c r="C358" s="12">
        <v>32.283000000000001</v>
      </c>
      <c r="D358" s="12">
        <v>22.323</v>
      </c>
      <c r="E358" s="12">
        <v>1.97</v>
      </c>
      <c r="F358" s="12">
        <v>161.45400000000001</v>
      </c>
      <c r="G358" s="12">
        <v>2.7810000000000001</v>
      </c>
      <c r="H358" s="12">
        <v>5.7720000000000002</v>
      </c>
      <c r="I358" s="12">
        <v>3.3929999999999998</v>
      </c>
      <c r="J358" s="12">
        <v>481.22800000000001</v>
      </c>
      <c r="K358" s="12">
        <v>534.50800000000004</v>
      </c>
      <c r="L358" s="12">
        <v>0.01</v>
      </c>
      <c r="M358" s="12">
        <v>1E-3</v>
      </c>
      <c r="N358" s="12">
        <v>100</v>
      </c>
      <c r="O358" s="12">
        <v>0.17399999999999999</v>
      </c>
      <c r="P358" s="12">
        <v>0.59199999999999997</v>
      </c>
      <c r="Q358" s="12">
        <v>0.16800000000000001</v>
      </c>
      <c r="R358" s="12">
        <v>0.49399999999999999</v>
      </c>
      <c r="S358" s="12">
        <v>0.02</v>
      </c>
      <c r="U358" s="12" t="s">
        <v>22</v>
      </c>
      <c r="V358" s="12" t="s">
        <v>30</v>
      </c>
      <c r="W358" s="12">
        <v>2</v>
      </c>
      <c r="Y358" s="12">
        <f t="shared" si="10"/>
        <v>0.34199999999999997</v>
      </c>
      <c r="Z358" s="12">
        <f t="shared" si="12"/>
        <v>-0.41799999999999998</v>
      </c>
    </row>
    <row r="359" spans="1:26" x14ac:dyDescent="0.2">
      <c r="A359" s="12" t="s">
        <v>21</v>
      </c>
      <c r="B359" s="12">
        <v>3918.25</v>
      </c>
      <c r="C359" s="12">
        <v>27.664999999999999</v>
      </c>
      <c r="D359" s="12">
        <v>22.344999999999999</v>
      </c>
      <c r="E359" s="12">
        <v>1.85</v>
      </c>
      <c r="F359" s="12">
        <v>162.31899999999999</v>
      </c>
      <c r="G359" s="12">
        <v>2.7770000000000001</v>
      </c>
      <c r="H359" s="12">
        <v>5.665</v>
      </c>
      <c r="I359" s="12">
        <v>3.4369999999999998</v>
      </c>
      <c r="J359" s="12">
        <v>330.017</v>
      </c>
      <c r="K359" s="12">
        <v>363.57400000000001</v>
      </c>
      <c r="L359" s="12">
        <v>0.01</v>
      </c>
      <c r="M359" s="12">
        <v>1E-3</v>
      </c>
      <c r="N359" s="12">
        <v>100</v>
      </c>
      <c r="O359" s="12">
        <v>0.129</v>
      </c>
      <c r="P359" s="12">
        <v>0.66</v>
      </c>
      <c r="Q359" s="12">
        <v>0.20200000000000001</v>
      </c>
      <c r="R359" s="12">
        <v>0.47699999999999998</v>
      </c>
      <c r="S359" s="12">
        <v>2E-3</v>
      </c>
      <c r="U359" s="12" t="s">
        <v>22</v>
      </c>
      <c r="V359" s="12" t="s">
        <v>30</v>
      </c>
      <c r="W359" s="12">
        <v>2</v>
      </c>
      <c r="Y359" s="12">
        <f t="shared" si="10"/>
        <v>0.33100000000000002</v>
      </c>
      <c r="Z359" s="12">
        <f t="shared" si="12"/>
        <v>-0.53100000000000003</v>
      </c>
    </row>
    <row r="360" spans="1:26" x14ac:dyDescent="0.2">
      <c r="A360" s="12" t="s">
        <v>21</v>
      </c>
      <c r="B360" s="12">
        <v>3918.375</v>
      </c>
      <c r="C360" s="12">
        <v>23.14</v>
      </c>
      <c r="D360" s="12">
        <v>22.402000000000001</v>
      </c>
      <c r="E360" s="12">
        <v>1.8240000000000001</v>
      </c>
      <c r="F360" s="12">
        <v>163.90899999999999</v>
      </c>
      <c r="G360" s="12">
        <v>2.7690000000000001</v>
      </c>
      <c r="H360" s="12">
        <v>5.6829999999999998</v>
      </c>
      <c r="I360" s="12">
        <v>3.4750000000000001</v>
      </c>
      <c r="J360" s="12">
        <v>203.71600000000001</v>
      </c>
      <c r="K360" s="12">
        <v>222.22499999999999</v>
      </c>
      <c r="L360" s="12">
        <v>1.839</v>
      </c>
      <c r="M360" s="12">
        <v>6.0000000000000001E-3</v>
      </c>
      <c r="N360" s="12">
        <v>70.489999999999995</v>
      </c>
      <c r="O360" s="12">
        <v>8.2000000000000003E-2</v>
      </c>
      <c r="P360" s="12">
        <v>0.71899999999999997</v>
      </c>
      <c r="Q360" s="12">
        <v>0.26800000000000002</v>
      </c>
      <c r="R360" s="12">
        <v>0.433</v>
      </c>
      <c r="S360" s="12">
        <v>2E-3</v>
      </c>
      <c r="T360" s="12" t="s">
        <v>23</v>
      </c>
      <c r="U360" s="12" t="s">
        <v>22</v>
      </c>
      <c r="V360" s="12" t="s">
        <v>30</v>
      </c>
      <c r="W360" s="12">
        <v>2</v>
      </c>
      <c r="Y360" s="12">
        <f t="shared" si="10"/>
        <v>0.35000000000000003</v>
      </c>
      <c r="Z360" s="12">
        <f t="shared" si="12"/>
        <v>-0.63700000000000001</v>
      </c>
    </row>
    <row r="361" spans="1:26" x14ac:dyDescent="0.2">
      <c r="A361" s="12" t="s">
        <v>21</v>
      </c>
      <c r="B361" s="12">
        <v>3918.5</v>
      </c>
      <c r="C361" s="12">
        <v>19.922000000000001</v>
      </c>
      <c r="D361" s="12">
        <v>22.48</v>
      </c>
      <c r="E361" s="12">
        <v>1.7949999999999999</v>
      </c>
      <c r="F361" s="12">
        <v>165.89599999999999</v>
      </c>
      <c r="G361" s="12">
        <v>2.7610000000000001</v>
      </c>
      <c r="H361" s="12">
        <v>5.843</v>
      </c>
      <c r="I361" s="12">
        <v>3.5019999999999998</v>
      </c>
      <c r="J361" s="12">
        <v>141.47200000000001</v>
      </c>
      <c r="K361" s="12">
        <v>152.971</v>
      </c>
      <c r="L361" s="12">
        <v>3.0609999999999999</v>
      </c>
      <c r="M361" s="12">
        <v>0.01</v>
      </c>
      <c r="N361" s="12">
        <v>54.828000000000003</v>
      </c>
      <c r="O361" s="12">
        <v>4.7E-2</v>
      </c>
      <c r="P361" s="12">
        <v>0.76200000000000001</v>
      </c>
      <c r="Q361" s="12">
        <v>0.35199999999999998</v>
      </c>
      <c r="R361" s="12">
        <v>0.38700000000000001</v>
      </c>
      <c r="S361" s="12">
        <v>2.3E-2</v>
      </c>
      <c r="T361" s="12" t="s">
        <v>23</v>
      </c>
      <c r="U361" s="12" t="s">
        <v>22</v>
      </c>
      <c r="V361" s="12" t="s">
        <v>30</v>
      </c>
      <c r="W361" s="12">
        <v>2</v>
      </c>
      <c r="Y361" s="12">
        <f t="shared" si="10"/>
        <v>0.39899999999999997</v>
      </c>
      <c r="Z361" s="12">
        <f t="shared" si="12"/>
        <v>-0.71499999999999997</v>
      </c>
    </row>
    <row r="362" spans="1:26" x14ac:dyDescent="0.2">
      <c r="A362" s="12" t="s">
        <v>21</v>
      </c>
      <c r="B362" s="12">
        <v>3918.625</v>
      </c>
      <c r="C362" s="12">
        <v>17.911000000000001</v>
      </c>
      <c r="D362" s="12">
        <v>22.555</v>
      </c>
      <c r="E362" s="12">
        <v>1.663</v>
      </c>
      <c r="F362" s="12">
        <v>167.833</v>
      </c>
      <c r="G362" s="12">
        <v>2.7559999999999998</v>
      </c>
      <c r="H362" s="12">
        <v>6.1669999999999998</v>
      </c>
      <c r="I362" s="12">
        <v>3.5129999999999999</v>
      </c>
      <c r="J362" s="12">
        <v>115.87</v>
      </c>
      <c r="K362" s="12">
        <v>124.56699999999999</v>
      </c>
      <c r="L362" s="12">
        <v>3.673</v>
      </c>
      <c r="M362" s="12">
        <v>0.01</v>
      </c>
      <c r="N362" s="12">
        <v>50.561999999999998</v>
      </c>
      <c r="O362" s="12">
        <v>2.5000000000000001E-2</v>
      </c>
      <c r="P362" s="12">
        <v>0.78100000000000003</v>
      </c>
      <c r="Q362" s="12">
        <v>0.437</v>
      </c>
      <c r="R362" s="12">
        <v>0.35599999999999998</v>
      </c>
      <c r="S362" s="12">
        <v>6.7000000000000004E-2</v>
      </c>
      <c r="T362" s="12" t="s">
        <v>23</v>
      </c>
      <c r="U362" s="12" t="s">
        <v>22</v>
      </c>
      <c r="V362" s="12" t="s">
        <v>30</v>
      </c>
      <c r="W362" s="12">
        <v>2</v>
      </c>
      <c r="Y362" s="12">
        <f t="shared" si="10"/>
        <v>0.46200000000000002</v>
      </c>
      <c r="Z362" s="12">
        <f t="shared" si="12"/>
        <v>-0.75600000000000001</v>
      </c>
    </row>
    <row r="363" spans="1:26" x14ac:dyDescent="0.2">
      <c r="A363" s="12" t="s">
        <v>21</v>
      </c>
      <c r="B363" s="12">
        <v>3918.75</v>
      </c>
      <c r="C363" s="12">
        <v>16.334</v>
      </c>
      <c r="D363" s="12">
        <v>22.599</v>
      </c>
      <c r="E363" s="12">
        <v>1.474</v>
      </c>
      <c r="F363" s="12">
        <v>169.29</v>
      </c>
      <c r="G363" s="12">
        <v>2.754</v>
      </c>
      <c r="H363" s="12">
        <v>6.63</v>
      </c>
      <c r="I363" s="12">
        <v>3.5019999999999998</v>
      </c>
      <c r="J363" s="12">
        <v>99.813999999999993</v>
      </c>
      <c r="K363" s="12">
        <v>106.827</v>
      </c>
      <c r="L363" s="12">
        <v>4.0819999999999999</v>
      </c>
      <c r="M363" s="12">
        <v>0.01</v>
      </c>
      <c r="N363" s="12">
        <v>47.475999999999999</v>
      </c>
      <c r="O363" s="12">
        <v>8.0000000000000002E-3</v>
      </c>
      <c r="P363" s="12">
        <v>0.76800000000000002</v>
      </c>
      <c r="Q363" s="12">
        <v>0.503</v>
      </c>
      <c r="R363" s="12">
        <v>0.34200000000000003</v>
      </c>
      <c r="S363" s="12">
        <v>0.13200000000000001</v>
      </c>
      <c r="T363" s="12" t="s">
        <v>23</v>
      </c>
      <c r="U363" s="12" t="s">
        <v>22</v>
      </c>
      <c r="V363" s="12" t="s">
        <v>30</v>
      </c>
      <c r="W363" s="12">
        <v>2</v>
      </c>
      <c r="Y363" s="12">
        <f t="shared" si="10"/>
        <v>0.51100000000000001</v>
      </c>
      <c r="Z363" s="12">
        <f t="shared" si="12"/>
        <v>-0.76</v>
      </c>
    </row>
    <row r="364" spans="1:26" x14ac:dyDescent="0.2">
      <c r="A364" s="12" t="s">
        <v>21</v>
      </c>
      <c r="B364" s="12">
        <v>3918.875</v>
      </c>
      <c r="C364" s="12">
        <v>15.704000000000001</v>
      </c>
      <c r="D364" s="12">
        <v>22.614000000000001</v>
      </c>
      <c r="E364" s="12">
        <v>1.325</v>
      </c>
      <c r="F364" s="12">
        <v>170.25</v>
      </c>
      <c r="G364" s="12">
        <v>2.7509999999999999</v>
      </c>
      <c r="H364" s="12">
        <v>7.1379999999999999</v>
      </c>
      <c r="I364" s="12">
        <v>3.4660000000000002</v>
      </c>
      <c r="J364" s="12">
        <v>85.926000000000002</v>
      </c>
      <c r="K364" s="12">
        <v>91.608999999999995</v>
      </c>
      <c r="L364" s="12">
        <v>4.694</v>
      </c>
      <c r="M364" s="12">
        <v>1.7000000000000001E-2</v>
      </c>
      <c r="N364" s="12">
        <v>43.784999999999997</v>
      </c>
      <c r="O364" s="12">
        <v>1E-3</v>
      </c>
      <c r="P364" s="12">
        <v>0.71799999999999997</v>
      </c>
      <c r="Q364" s="12">
        <v>0.54700000000000004</v>
      </c>
      <c r="R364" s="12">
        <v>0.32600000000000001</v>
      </c>
      <c r="S364" s="12">
        <v>0.20399999999999999</v>
      </c>
      <c r="T364" s="12" t="s">
        <v>23</v>
      </c>
      <c r="U364" s="12" t="s">
        <v>22</v>
      </c>
      <c r="V364" s="12" t="s">
        <v>30</v>
      </c>
      <c r="W364" s="12">
        <v>2</v>
      </c>
      <c r="Y364" s="12">
        <f t="shared" si="10"/>
        <v>0.54800000000000004</v>
      </c>
      <c r="Z364" s="12">
        <f t="shared" si="12"/>
        <v>-0.71699999999999997</v>
      </c>
    </row>
    <row r="365" spans="1:26" x14ac:dyDescent="0.2">
      <c r="A365" s="12" t="s">
        <v>21</v>
      </c>
      <c r="B365" s="12">
        <v>3919</v>
      </c>
      <c r="C365" s="12">
        <v>16.385999999999999</v>
      </c>
      <c r="D365" s="12">
        <v>22.620999999999999</v>
      </c>
      <c r="E365" s="12">
        <v>1.202</v>
      </c>
      <c r="F365" s="12">
        <v>171.04400000000001</v>
      </c>
      <c r="G365" s="12">
        <v>2.7429999999999999</v>
      </c>
      <c r="H365" s="12">
        <v>7.5890000000000004</v>
      </c>
      <c r="I365" s="12">
        <v>3.41</v>
      </c>
      <c r="J365" s="12">
        <v>72.725999999999999</v>
      </c>
      <c r="K365" s="12">
        <v>77.275000000000006</v>
      </c>
      <c r="L365" s="12">
        <v>5.1020000000000003</v>
      </c>
      <c r="M365" s="12">
        <v>2.1999999999999999E-2</v>
      </c>
      <c r="N365" s="12">
        <v>43.627000000000002</v>
      </c>
      <c r="O365" s="12">
        <v>6.0000000000000001E-3</v>
      </c>
      <c r="P365" s="12">
        <v>0.63500000000000001</v>
      </c>
      <c r="Q365" s="12">
        <v>0.58199999999999996</v>
      </c>
      <c r="R365" s="12">
        <v>0.28299999999999997</v>
      </c>
      <c r="S365" s="12">
        <v>0.27</v>
      </c>
      <c r="T365" s="12" t="s">
        <v>23</v>
      </c>
      <c r="U365" s="12" t="s">
        <v>22</v>
      </c>
      <c r="V365" s="12" t="s">
        <v>30</v>
      </c>
      <c r="W365" s="12">
        <v>2</v>
      </c>
      <c r="Y365" s="12">
        <f t="shared" si="10"/>
        <v>0.58799999999999997</v>
      </c>
      <c r="Z365" s="12">
        <f t="shared" si="12"/>
        <v>-0.629</v>
      </c>
    </row>
    <row r="366" spans="1:26" x14ac:dyDescent="0.2">
      <c r="A366" s="12" t="s">
        <v>21</v>
      </c>
      <c r="B366" s="12">
        <v>3919.125</v>
      </c>
      <c r="C366" s="12">
        <v>17.536999999999999</v>
      </c>
      <c r="D366" s="12">
        <v>22.641999999999999</v>
      </c>
      <c r="E366" s="12">
        <v>1.214</v>
      </c>
      <c r="F366" s="12">
        <v>172.06200000000001</v>
      </c>
      <c r="G366" s="12">
        <v>2.7309999999999999</v>
      </c>
      <c r="H366" s="12">
        <v>7.9450000000000003</v>
      </c>
      <c r="I366" s="12">
        <v>3.3420000000000001</v>
      </c>
      <c r="J366" s="12">
        <v>59.128</v>
      </c>
      <c r="K366" s="12">
        <v>62.636000000000003</v>
      </c>
      <c r="L366" s="12">
        <v>5.1020000000000003</v>
      </c>
      <c r="M366" s="12">
        <v>2.1999999999999999E-2</v>
      </c>
      <c r="N366" s="12">
        <v>47.801000000000002</v>
      </c>
      <c r="O366" s="12">
        <v>1.7999999999999999E-2</v>
      </c>
      <c r="P366" s="12">
        <v>0.53400000000000003</v>
      </c>
      <c r="Q366" s="12">
        <v>0.625</v>
      </c>
      <c r="R366" s="12">
        <v>0.216</v>
      </c>
      <c r="S366" s="12">
        <v>0.32300000000000001</v>
      </c>
      <c r="T366" s="12" t="s">
        <v>23</v>
      </c>
      <c r="U366" s="12" t="s">
        <v>22</v>
      </c>
      <c r="V366" s="12" t="s">
        <v>30</v>
      </c>
      <c r="W366" s="12">
        <v>2</v>
      </c>
      <c r="Y366" s="12">
        <f t="shared" si="10"/>
        <v>0.64300000000000002</v>
      </c>
      <c r="Z366" s="12">
        <f t="shared" si="12"/>
        <v>-0.51600000000000001</v>
      </c>
    </row>
    <row r="367" spans="1:26" x14ac:dyDescent="0.2">
      <c r="A367" s="12" t="s">
        <v>21</v>
      </c>
      <c r="B367" s="12">
        <v>3920.625</v>
      </c>
      <c r="C367" s="12">
        <v>18.456</v>
      </c>
      <c r="D367" s="12">
        <v>22.59</v>
      </c>
      <c r="E367" s="12">
        <v>0.59899999999999998</v>
      </c>
      <c r="F367" s="12">
        <v>169.453</v>
      </c>
      <c r="G367" s="12">
        <v>2.7269999999999999</v>
      </c>
      <c r="H367" s="12">
        <v>7.6520000000000001</v>
      </c>
      <c r="I367" s="12">
        <v>3.5790000000000002</v>
      </c>
      <c r="J367" s="12">
        <v>58.234000000000002</v>
      </c>
      <c r="K367" s="12">
        <v>61.597999999999999</v>
      </c>
      <c r="L367" s="12">
        <v>5.1020000000000003</v>
      </c>
      <c r="M367" s="12">
        <v>2.1999999999999999E-2</v>
      </c>
      <c r="N367" s="12">
        <v>41.215000000000003</v>
      </c>
      <c r="O367" s="12">
        <v>2.9000000000000001E-2</v>
      </c>
      <c r="P367" s="12">
        <v>0.88400000000000001</v>
      </c>
      <c r="Q367" s="12">
        <v>0.52700000000000002</v>
      </c>
      <c r="R367" s="12">
        <v>0.18</v>
      </c>
      <c r="S367" s="12">
        <v>0.28499999999999998</v>
      </c>
      <c r="T367" s="12" t="s">
        <v>23</v>
      </c>
      <c r="U367" s="12" t="s">
        <v>22</v>
      </c>
      <c r="V367" s="12" t="s">
        <v>30</v>
      </c>
      <c r="W367" s="12">
        <v>2</v>
      </c>
      <c r="Y367" s="12">
        <f t="shared" si="10"/>
        <v>0.55600000000000005</v>
      </c>
      <c r="Z367" s="12">
        <f t="shared" si="12"/>
        <v>-0.85499999999999998</v>
      </c>
    </row>
    <row r="368" spans="1:26" x14ac:dyDescent="0.2">
      <c r="A368" s="12" t="s">
        <v>21</v>
      </c>
      <c r="B368" s="12">
        <v>3920.75</v>
      </c>
      <c r="C368" s="12">
        <v>17.696999999999999</v>
      </c>
      <c r="D368" s="12">
        <v>22.521999999999998</v>
      </c>
      <c r="E368" s="12">
        <v>0.55200000000000005</v>
      </c>
      <c r="F368" s="12">
        <v>167.33099999999999</v>
      </c>
      <c r="G368" s="12">
        <v>2.73</v>
      </c>
      <c r="H368" s="12">
        <v>7.84</v>
      </c>
      <c r="I368" s="12">
        <v>3.556</v>
      </c>
      <c r="J368" s="12">
        <v>62.13</v>
      </c>
      <c r="K368" s="12">
        <v>65.850999999999999</v>
      </c>
      <c r="L368" s="12">
        <v>5.1020000000000003</v>
      </c>
      <c r="M368" s="12">
        <v>2.1999999999999999E-2</v>
      </c>
      <c r="N368" s="12">
        <v>38.637999999999998</v>
      </c>
      <c r="O368" s="12">
        <v>2.1000000000000001E-2</v>
      </c>
      <c r="P368" s="12">
        <v>0.85299999999999998</v>
      </c>
      <c r="Q368" s="12">
        <v>0.435</v>
      </c>
      <c r="R368" s="12">
        <v>0.2</v>
      </c>
      <c r="S368" s="12">
        <v>0.311</v>
      </c>
      <c r="T368" s="12" t="s">
        <v>23</v>
      </c>
      <c r="U368" s="12" t="s">
        <v>22</v>
      </c>
      <c r="V368" s="12" t="s">
        <v>30</v>
      </c>
      <c r="W368" s="12">
        <v>2</v>
      </c>
      <c r="Y368" s="12">
        <f t="shared" si="10"/>
        <v>0.45600000000000002</v>
      </c>
      <c r="Z368" s="12">
        <f t="shared" si="12"/>
        <v>-0.83199999999999996</v>
      </c>
    </row>
    <row r="369" spans="1:26" x14ac:dyDescent="0.2">
      <c r="A369" s="12" t="s">
        <v>21</v>
      </c>
      <c r="B369" s="12">
        <v>3920.875</v>
      </c>
      <c r="C369" s="12">
        <v>17.222999999999999</v>
      </c>
      <c r="D369" s="12">
        <v>22.45</v>
      </c>
      <c r="E369" s="12">
        <v>0.48099999999999998</v>
      </c>
      <c r="F369" s="12">
        <v>165.22499999999999</v>
      </c>
      <c r="G369" s="12">
        <v>2.73</v>
      </c>
      <c r="H369" s="12">
        <v>8.0719999999999992</v>
      </c>
      <c r="I369" s="12">
        <v>3.5129999999999999</v>
      </c>
      <c r="J369" s="12">
        <v>65.177000000000007</v>
      </c>
      <c r="K369" s="12">
        <v>69.305999999999997</v>
      </c>
      <c r="L369" s="12">
        <v>5.1020000000000003</v>
      </c>
      <c r="M369" s="12">
        <v>2.1999999999999999E-2</v>
      </c>
      <c r="N369" s="12">
        <v>36.484999999999999</v>
      </c>
      <c r="O369" s="12">
        <v>1.6E-2</v>
      </c>
      <c r="P369" s="12">
        <v>0.79100000000000004</v>
      </c>
      <c r="Q369" s="12">
        <v>0.34300000000000003</v>
      </c>
      <c r="R369" s="12">
        <v>0.20200000000000001</v>
      </c>
      <c r="S369" s="12">
        <v>0.34300000000000003</v>
      </c>
      <c r="T369" s="12" t="s">
        <v>23</v>
      </c>
      <c r="U369" s="12" t="s">
        <v>22</v>
      </c>
      <c r="V369" s="12" t="s">
        <v>30</v>
      </c>
      <c r="W369" s="12">
        <v>2</v>
      </c>
      <c r="Y369" s="12">
        <f t="shared" si="10"/>
        <v>0.35900000000000004</v>
      </c>
      <c r="Z369" s="12">
        <f t="shared" si="12"/>
        <v>-0.77500000000000002</v>
      </c>
    </row>
    <row r="370" spans="1:26" x14ac:dyDescent="0.2">
      <c r="A370" s="12" t="s">
        <v>21</v>
      </c>
      <c r="B370" s="12">
        <v>3921</v>
      </c>
      <c r="C370" s="12">
        <v>17.067</v>
      </c>
      <c r="D370" s="12">
        <v>22.385999999999999</v>
      </c>
      <c r="E370" s="12">
        <v>0.45800000000000002</v>
      </c>
      <c r="F370" s="12">
        <v>163.34800000000001</v>
      </c>
      <c r="G370" s="12">
        <v>2.7309999999999999</v>
      </c>
      <c r="H370" s="12">
        <v>8.2690000000000001</v>
      </c>
      <c r="I370" s="12">
        <v>3.4590000000000001</v>
      </c>
      <c r="J370" s="12">
        <v>69.644000000000005</v>
      </c>
      <c r="K370" s="12">
        <v>74.391999999999996</v>
      </c>
      <c r="L370" s="12">
        <v>5.7140000000000004</v>
      </c>
      <c r="M370" s="12">
        <v>3.7999999999999999E-2</v>
      </c>
      <c r="N370" s="12">
        <v>30.5</v>
      </c>
      <c r="O370" s="12">
        <v>1.4E-2</v>
      </c>
      <c r="P370" s="12">
        <v>0.71</v>
      </c>
      <c r="Q370" s="12">
        <v>0.26</v>
      </c>
      <c r="R370" s="12">
        <v>0.20699999999999999</v>
      </c>
      <c r="S370" s="12">
        <v>0.372</v>
      </c>
      <c r="T370" s="12" t="s">
        <v>23</v>
      </c>
      <c r="U370" s="12" t="s">
        <v>22</v>
      </c>
      <c r="V370" s="12" t="s">
        <v>30</v>
      </c>
      <c r="W370" s="12">
        <v>2</v>
      </c>
      <c r="Y370" s="12">
        <f t="shared" si="10"/>
        <v>0.27400000000000002</v>
      </c>
      <c r="Z370" s="12">
        <f t="shared" si="12"/>
        <v>-0.69599999999999995</v>
      </c>
    </row>
    <row r="371" spans="1:26" x14ac:dyDescent="0.2">
      <c r="A371" s="12" t="s">
        <v>21</v>
      </c>
      <c r="B371" s="12">
        <v>3921.125</v>
      </c>
      <c r="C371" s="12">
        <v>17.141999999999999</v>
      </c>
      <c r="D371" s="12">
        <v>22.341000000000001</v>
      </c>
      <c r="E371" s="12">
        <v>0.49</v>
      </c>
      <c r="F371" s="12">
        <v>161.864</v>
      </c>
      <c r="G371" s="12">
        <v>2.7349999999999999</v>
      </c>
      <c r="H371" s="12">
        <v>8.3610000000000007</v>
      </c>
      <c r="I371" s="12">
        <v>3.4049999999999998</v>
      </c>
      <c r="J371" s="12">
        <v>77.554000000000002</v>
      </c>
      <c r="K371" s="12">
        <v>83.230999999999995</v>
      </c>
      <c r="L371" s="12">
        <v>5.51</v>
      </c>
      <c r="M371" s="12">
        <v>3.3000000000000002E-2</v>
      </c>
      <c r="N371" s="12">
        <v>29.483000000000001</v>
      </c>
      <c r="O371" s="12">
        <v>1.4999999999999999E-2</v>
      </c>
      <c r="P371" s="12">
        <v>0.627</v>
      </c>
      <c r="Q371" s="12">
        <v>0.19400000000000001</v>
      </c>
      <c r="R371" s="12">
        <v>0.22900000000000001</v>
      </c>
      <c r="S371" s="12">
        <v>0.38700000000000001</v>
      </c>
      <c r="T371" s="12" t="s">
        <v>23</v>
      </c>
      <c r="U371" s="12" t="s">
        <v>22</v>
      </c>
      <c r="V371" s="12" t="s">
        <v>30</v>
      </c>
      <c r="W371" s="12">
        <v>2</v>
      </c>
      <c r="Y371" s="12">
        <f t="shared" si="10"/>
        <v>0.20900000000000002</v>
      </c>
      <c r="Z371" s="12">
        <f t="shared" si="12"/>
        <v>-0.61199999999999999</v>
      </c>
    </row>
    <row r="372" spans="1:26" x14ac:dyDescent="0.2">
      <c r="A372" s="12" t="s">
        <v>21</v>
      </c>
      <c r="B372" s="12">
        <v>3921.25</v>
      </c>
      <c r="C372" s="12">
        <v>16.981000000000002</v>
      </c>
      <c r="D372" s="12">
        <v>22.317</v>
      </c>
      <c r="E372" s="12">
        <v>0.55300000000000005</v>
      </c>
      <c r="F372" s="12">
        <v>160.82300000000001</v>
      </c>
      <c r="G372" s="12">
        <v>2.742</v>
      </c>
      <c r="H372" s="12">
        <v>8.3209999999999997</v>
      </c>
      <c r="I372" s="12">
        <v>3.3559999999999999</v>
      </c>
      <c r="J372" s="12">
        <v>90.778000000000006</v>
      </c>
      <c r="K372" s="12">
        <v>97.781000000000006</v>
      </c>
      <c r="L372" s="12">
        <v>5.1020000000000003</v>
      </c>
      <c r="M372" s="12">
        <v>2.1999999999999999E-2</v>
      </c>
      <c r="N372" s="12">
        <v>30.902000000000001</v>
      </c>
      <c r="O372" s="12">
        <v>1.2999999999999999E-2</v>
      </c>
      <c r="P372" s="12">
        <v>0.55200000000000005</v>
      </c>
      <c r="Q372" s="12">
        <v>0.14599999999999999</v>
      </c>
      <c r="R372" s="12">
        <v>0.26700000000000002</v>
      </c>
      <c r="S372" s="12">
        <v>0.38400000000000001</v>
      </c>
      <c r="T372" s="12" t="s">
        <v>23</v>
      </c>
      <c r="U372" s="12" t="s">
        <v>22</v>
      </c>
      <c r="V372" s="12" t="s">
        <v>30</v>
      </c>
      <c r="W372" s="12">
        <v>2</v>
      </c>
      <c r="Y372" s="12">
        <f t="shared" si="10"/>
        <v>0.159</v>
      </c>
      <c r="Z372" s="12">
        <f t="shared" si="12"/>
        <v>-0.53900000000000003</v>
      </c>
    </row>
    <row r="373" spans="1:26" x14ac:dyDescent="0.2">
      <c r="A373" s="12" t="s">
        <v>21</v>
      </c>
      <c r="B373" s="12">
        <v>3921.375</v>
      </c>
      <c r="C373" s="12">
        <v>16.376000000000001</v>
      </c>
      <c r="D373" s="12">
        <v>22.302</v>
      </c>
      <c r="E373" s="12">
        <v>0.65900000000000003</v>
      </c>
      <c r="F373" s="12">
        <v>160.072</v>
      </c>
      <c r="G373" s="12">
        <v>2.7509999999999999</v>
      </c>
      <c r="H373" s="12">
        <v>8.1519999999999992</v>
      </c>
      <c r="I373" s="12">
        <v>3.3159999999999998</v>
      </c>
      <c r="J373" s="12">
        <v>109.267</v>
      </c>
      <c r="K373" s="12">
        <v>118.001</v>
      </c>
      <c r="L373" s="12">
        <v>5.1020000000000003</v>
      </c>
      <c r="M373" s="12">
        <v>2.1999999999999999E-2</v>
      </c>
      <c r="N373" s="12">
        <v>30.550999999999998</v>
      </c>
      <c r="O373" s="12">
        <v>8.0000000000000002E-3</v>
      </c>
      <c r="P373" s="12">
        <v>0.48899999999999999</v>
      </c>
      <c r="Q373" s="12">
        <v>0.112</v>
      </c>
      <c r="R373" s="12">
        <v>0.318</v>
      </c>
      <c r="S373" s="12">
        <v>0.36099999999999999</v>
      </c>
      <c r="T373" s="12" t="s">
        <v>23</v>
      </c>
      <c r="U373" s="12" t="s">
        <v>22</v>
      </c>
      <c r="V373" s="12" t="s">
        <v>30</v>
      </c>
      <c r="W373" s="12">
        <v>2</v>
      </c>
      <c r="Y373" s="12">
        <f t="shared" si="10"/>
        <v>0.12</v>
      </c>
      <c r="Z373" s="12">
        <f t="shared" si="12"/>
        <v>-0.48099999999999998</v>
      </c>
    </row>
    <row r="374" spans="1:26" x14ac:dyDescent="0.2">
      <c r="A374" s="12" t="s">
        <v>21</v>
      </c>
      <c r="B374" s="12">
        <v>3921.5</v>
      </c>
      <c r="C374" s="12">
        <v>15.87</v>
      </c>
      <c r="D374" s="12">
        <v>22.285</v>
      </c>
      <c r="E374" s="12">
        <v>0.79800000000000004</v>
      </c>
      <c r="F374" s="12">
        <v>159.417</v>
      </c>
      <c r="G374" s="12">
        <v>2.7559999999999998</v>
      </c>
      <c r="H374" s="12">
        <v>7.891</v>
      </c>
      <c r="I374" s="12">
        <v>3.286</v>
      </c>
      <c r="J374" s="12">
        <v>130.49799999999999</v>
      </c>
      <c r="K374" s="12">
        <v>141.21600000000001</v>
      </c>
      <c r="L374" s="12">
        <v>4.49</v>
      </c>
      <c r="M374" s="12">
        <v>1.4999999999999999E-2</v>
      </c>
      <c r="N374" s="12">
        <v>34.472999999999999</v>
      </c>
      <c r="O374" s="12">
        <v>2E-3</v>
      </c>
      <c r="P374" s="12">
        <v>0.442</v>
      </c>
      <c r="Q374" s="12">
        <v>8.3000000000000004E-2</v>
      </c>
      <c r="R374" s="12">
        <v>0.34899999999999998</v>
      </c>
      <c r="S374" s="12">
        <v>0.32500000000000001</v>
      </c>
      <c r="T374" s="12" t="s">
        <v>23</v>
      </c>
      <c r="U374" s="12" t="s">
        <v>22</v>
      </c>
      <c r="V374" s="12" t="s">
        <v>30</v>
      </c>
      <c r="W374" s="12">
        <v>2</v>
      </c>
      <c r="Y374" s="12">
        <f t="shared" si="10"/>
        <v>8.5000000000000006E-2</v>
      </c>
      <c r="Z374" s="12">
        <f t="shared" si="12"/>
        <v>-0.44</v>
      </c>
    </row>
    <row r="375" spans="1:26" x14ac:dyDescent="0.2">
      <c r="A375" s="12" t="s">
        <v>21</v>
      </c>
      <c r="B375" s="12">
        <v>3921.625</v>
      </c>
      <c r="C375" s="12">
        <v>16.577000000000002</v>
      </c>
      <c r="D375" s="12">
        <v>22.263000000000002</v>
      </c>
      <c r="E375" s="12">
        <v>0.89300000000000002</v>
      </c>
      <c r="F375" s="12">
        <v>158.77500000000001</v>
      </c>
      <c r="G375" s="12">
        <v>2.7559999999999998</v>
      </c>
      <c r="H375" s="12">
        <v>7.577</v>
      </c>
      <c r="I375" s="12">
        <v>3.2650000000000001</v>
      </c>
      <c r="J375" s="12">
        <v>151.25399999999999</v>
      </c>
      <c r="K375" s="12">
        <v>163.95400000000001</v>
      </c>
      <c r="L375" s="12">
        <v>4.0819999999999999</v>
      </c>
      <c r="M375" s="12">
        <v>0.01</v>
      </c>
      <c r="N375" s="12">
        <v>36.536999999999999</v>
      </c>
      <c r="O375" s="12">
        <v>8.0000000000000002E-3</v>
      </c>
      <c r="P375" s="12">
        <v>0.40799999999999997</v>
      </c>
      <c r="Q375" s="12">
        <v>5.5E-2</v>
      </c>
      <c r="R375" s="12">
        <v>0.35299999999999998</v>
      </c>
      <c r="S375" s="12">
        <v>0.28100000000000003</v>
      </c>
      <c r="T375" s="12" t="s">
        <v>23</v>
      </c>
      <c r="U375" s="12" t="s">
        <v>22</v>
      </c>
      <c r="V375" s="12" t="s">
        <v>30</v>
      </c>
      <c r="W375" s="12">
        <v>2</v>
      </c>
      <c r="Y375" s="12">
        <f t="shared" si="10"/>
        <v>6.3E-2</v>
      </c>
      <c r="Z375" s="12">
        <f t="shared" si="12"/>
        <v>-0.39999999999999997</v>
      </c>
    </row>
    <row r="376" spans="1:26" x14ac:dyDescent="0.2">
      <c r="A376" s="12" t="s">
        <v>21</v>
      </c>
      <c r="B376" s="12">
        <v>3921.75</v>
      </c>
      <c r="C376" s="12">
        <v>19.065000000000001</v>
      </c>
      <c r="D376" s="12">
        <v>22.241</v>
      </c>
      <c r="E376" s="12">
        <v>0.91800000000000004</v>
      </c>
      <c r="F376" s="12">
        <v>158.18700000000001</v>
      </c>
      <c r="G376" s="12">
        <v>2.7530000000000001</v>
      </c>
      <c r="H376" s="12">
        <v>7.2389999999999999</v>
      </c>
      <c r="I376" s="12">
        <v>3.2570000000000001</v>
      </c>
      <c r="J376" s="12">
        <v>169.309</v>
      </c>
      <c r="K376" s="12">
        <v>183.797</v>
      </c>
      <c r="L376" s="12">
        <v>4.0819999999999999</v>
      </c>
      <c r="M376" s="12">
        <v>0.01</v>
      </c>
      <c r="N376" s="12">
        <v>35.738999999999997</v>
      </c>
      <c r="O376" s="12">
        <v>3.2000000000000001E-2</v>
      </c>
      <c r="P376" s="12">
        <v>0.39400000000000002</v>
      </c>
      <c r="Q376" s="12">
        <v>2.9000000000000001E-2</v>
      </c>
      <c r="R376" s="12">
        <v>0.33700000000000002</v>
      </c>
      <c r="S376" s="12">
        <v>0.23200000000000001</v>
      </c>
      <c r="T376" s="12" t="s">
        <v>23</v>
      </c>
      <c r="U376" s="12" t="s">
        <v>22</v>
      </c>
      <c r="V376" s="12" t="s">
        <v>30</v>
      </c>
      <c r="W376" s="12">
        <v>2</v>
      </c>
      <c r="Y376" s="12">
        <f t="shared" si="10"/>
        <v>6.0999999999999999E-2</v>
      </c>
      <c r="Z376" s="12">
        <f t="shared" si="12"/>
        <v>-0.36199999999999999</v>
      </c>
    </row>
    <row r="377" spans="1:26" x14ac:dyDescent="0.2">
      <c r="A377" s="12" t="s">
        <v>21</v>
      </c>
      <c r="B377" s="12">
        <v>3921.875</v>
      </c>
      <c r="C377" s="12">
        <v>21.763000000000002</v>
      </c>
      <c r="D377" s="12">
        <v>22.225000000000001</v>
      </c>
      <c r="E377" s="12">
        <v>0.91300000000000003</v>
      </c>
      <c r="F377" s="12">
        <v>157.76</v>
      </c>
      <c r="G377" s="12">
        <v>2.754</v>
      </c>
      <c r="H377" s="12">
        <v>6.9169999999999998</v>
      </c>
      <c r="I377" s="12">
        <v>3.2669999999999999</v>
      </c>
      <c r="J377" s="12">
        <v>186.96899999999999</v>
      </c>
      <c r="K377" s="12">
        <v>203.34299999999999</v>
      </c>
      <c r="L377" s="12">
        <v>3.47</v>
      </c>
      <c r="M377" s="12">
        <v>0.01</v>
      </c>
      <c r="N377" s="12">
        <v>42.061</v>
      </c>
      <c r="O377" s="12">
        <v>5.8999999999999997E-2</v>
      </c>
      <c r="P377" s="12">
        <v>0.40600000000000003</v>
      </c>
      <c r="Q377" s="12">
        <v>0.01</v>
      </c>
      <c r="R377" s="12">
        <v>0.34</v>
      </c>
      <c r="S377" s="12">
        <v>0.186</v>
      </c>
      <c r="T377" s="12" t="s">
        <v>23</v>
      </c>
      <c r="U377" s="12" t="s">
        <v>22</v>
      </c>
      <c r="V377" s="12" t="s">
        <v>30</v>
      </c>
      <c r="W377" s="12">
        <v>2</v>
      </c>
      <c r="Y377" s="12">
        <f t="shared" si="10"/>
        <v>6.8999999999999992E-2</v>
      </c>
      <c r="Z377" s="12">
        <f t="shared" si="12"/>
        <v>-0.34700000000000003</v>
      </c>
    </row>
    <row r="378" spans="1:26" x14ac:dyDescent="0.2">
      <c r="A378" s="12" t="s">
        <v>21</v>
      </c>
      <c r="B378" s="12">
        <v>3922</v>
      </c>
      <c r="C378" s="12">
        <v>23.033000000000001</v>
      </c>
      <c r="D378" s="12">
        <v>22.219000000000001</v>
      </c>
      <c r="E378" s="12">
        <v>0.93200000000000005</v>
      </c>
      <c r="F378" s="12">
        <v>157.58000000000001</v>
      </c>
      <c r="G378" s="12">
        <v>2.762</v>
      </c>
      <c r="H378" s="12">
        <v>6.6470000000000002</v>
      </c>
      <c r="I378" s="12">
        <v>3.2930000000000001</v>
      </c>
      <c r="J378" s="12">
        <v>212.345</v>
      </c>
      <c r="K378" s="12">
        <v>231.58699999999999</v>
      </c>
      <c r="L378" s="12">
        <v>3.0609999999999999</v>
      </c>
      <c r="M378" s="12">
        <v>0.01</v>
      </c>
      <c r="N378" s="12">
        <v>45.134</v>
      </c>
      <c r="O378" s="12">
        <v>7.3999999999999996E-2</v>
      </c>
      <c r="P378" s="12">
        <v>0.443</v>
      </c>
      <c r="Q378" s="12">
        <v>1E-3</v>
      </c>
      <c r="R378" s="12">
        <v>0.38200000000000001</v>
      </c>
      <c r="S378" s="12">
        <v>0.14599999999999999</v>
      </c>
      <c r="T378" s="12" t="s">
        <v>23</v>
      </c>
      <c r="U378" s="12" t="s">
        <v>22</v>
      </c>
      <c r="V378" s="12" t="s">
        <v>30</v>
      </c>
      <c r="W378" s="12">
        <v>2</v>
      </c>
      <c r="Y378" s="12">
        <f t="shared" si="10"/>
        <v>7.4999999999999997E-2</v>
      </c>
      <c r="Z378" s="12">
        <f t="shared" si="12"/>
        <v>-0.36899999999999999</v>
      </c>
    </row>
    <row r="379" spans="1:26" x14ac:dyDescent="0.2">
      <c r="A379" s="12" t="s">
        <v>21</v>
      </c>
      <c r="B379" s="12">
        <v>3922.125</v>
      </c>
      <c r="C379" s="12">
        <v>23.193999999999999</v>
      </c>
      <c r="D379" s="12">
        <v>22.222999999999999</v>
      </c>
      <c r="E379" s="12">
        <v>1.018</v>
      </c>
      <c r="F379" s="12">
        <v>157.69499999999999</v>
      </c>
      <c r="G379" s="12">
        <v>2.7759999999999998</v>
      </c>
      <c r="H379" s="12">
        <v>6.4539999999999997</v>
      </c>
      <c r="I379" s="12">
        <v>3.3260000000000001</v>
      </c>
      <c r="J379" s="12">
        <v>254.221</v>
      </c>
      <c r="K379" s="12">
        <v>278.14999999999998</v>
      </c>
      <c r="L379" s="12">
        <v>3.0609999999999999</v>
      </c>
      <c r="M379" s="12">
        <v>0.01</v>
      </c>
      <c r="N379" s="12">
        <v>43.476999999999997</v>
      </c>
      <c r="O379" s="12">
        <v>7.6999999999999999E-2</v>
      </c>
      <c r="P379" s="12">
        <v>0.49199999999999999</v>
      </c>
      <c r="Q379" s="12">
        <v>4.0000000000000001E-3</v>
      </c>
      <c r="R379" s="12">
        <v>0.45900000000000002</v>
      </c>
      <c r="S379" s="12">
        <v>0.11700000000000001</v>
      </c>
      <c r="T379" s="12" t="s">
        <v>23</v>
      </c>
      <c r="U379" s="12" t="s">
        <v>22</v>
      </c>
      <c r="V379" s="12" t="s">
        <v>30</v>
      </c>
      <c r="W379" s="12">
        <v>2</v>
      </c>
      <c r="Y379" s="12">
        <f t="shared" si="10"/>
        <v>8.1000000000000003E-2</v>
      </c>
      <c r="Z379" s="12">
        <f t="shared" si="12"/>
        <v>-0.41499999999999998</v>
      </c>
    </row>
    <row r="380" spans="1:26" x14ac:dyDescent="0.2">
      <c r="A380" s="12" t="s">
        <v>21</v>
      </c>
      <c r="B380" s="12">
        <v>3922.25</v>
      </c>
      <c r="C380" s="12">
        <v>24.161999999999999</v>
      </c>
      <c r="D380" s="12">
        <v>22.236000000000001</v>
      </c>
      <c r="E380" s="12">
        <v>1.2529999999999999</v>
      </c>
      <c r="F380" s="12">
        <v>158.18700000000001</v>
      </c>
      <c r="G380" s="12">
        <v>2.7919999999999998</v>
      </c>
      <c r="H380" s="12">
        <v>6.3609999999999998</v>
      </c>
      <c r="I380" s="12">
        <v>3.3580000000000001</v>
      </c>
      <c r="J380" s="12">
        <v>319.18700000000001</v>
      </c>
      <c r="K380" s="12">
        <v>350.05799999999999</v>
      </c>
      <c r="L380" s="12">
        <v>3.0609999999999999</v>
      </c>
      <c r="M380" s="12">
        <v>0.01</v>
      </c>
      <c r="N380" s="12">
        <v>42.158000000000001</v>
      </c>
      <c r="O380" s="12">
        <v>8.5999999999999993E-2</v>
      </c>
      <c r="P380" s="12">
        <v>0.54100000000000004</v>
      </c>
      <c r="Q380" s="12">
        <v>2.4E-2</v>
      </c>
      <c r="R380" s="12">
        <v>0.55000000000000004</v>
      </c>
      <c r="S380" s="12">
        <v>0.10199999999999999</v>
      </c>
      <c r="T380" s="12" t="s">
        <v>23</v>
      </c>
      <c r="U380" s="12" t="s">
        <v>22</v>
      </c>
      <c r="V380" s="12" t="s">
        <v>30</v>
      </c>
      <c r="W380" s="12">
        <v>2</v>
      </c>
      <c r="Y380" s="12">
        <f t="shared" si="10"/>
        <v>0.10999999999999999</v>
      </c>
      <c r="Z380" s="12">
        <f t="shared" si="12"/>
        <v>-0.45500000000000007</v>
      </c>
    </row>
    <row r="381" spans="1:26" x14ac:dyDescent="0.2">
      <c r="A381" s="12" t="s">
        <v>21</v>
      </c>
      <c r="B381" s="12">
        <v>3922.375</v>
      </c>
      <c r="C381" s="12">
        <v>27.414000000000001</v>
      </c>
      <c r="D381" s="12">
        <v>22.259</v>
      </c>
      <c r="E381" s="12">
        <v>1.64</v>
      </c>
      <c r="F381" s="12">
        <v>159.14500000000001</v>
      </c>
      <c r="G381" s="12">
        <v>2.8050000000000002</v>
      </c>
      <c r="H381" s="12">
        <v>6.415</v>
      </c>
      <c r="I381" s="12">
        <v>3.3780000000000001</v>
      </c>
      <c r="J381" s="12">
        <v>397.84399999999999</v>
      </c>
      <c r="K381" s="12">
        <v>436.57600000000002</v>
      </c>
      <c r="L381" s="12">
        <v>3.0609999999999999</v>
      </c>
      <c r="M381" s="12">
        <v>0.01</v>
      </c>
      <c r="N381" s="12">
        <v>40.911999999999999</v>
      </c>
      <c r="O381" s="12">
        <v>0.11700000000000001</v>
      </c>
      <c r="P381" s="12">
        <v>0.57399999999999995</v>
      </c>
      <c r="Q381" s="12">
        <v>6.3E-2</v>
      </c>
      <c r="R381" s="12">
        <v>0.627</v>
      </c>
      <c r="S381" s="12">
        <v>0.107</v>
      </c>
      <c r="T381" s="12" t="s">
        <v>23</v>
      </c>
      <c r="U381" s="12" t="s">
        <v>22</v>
      </c>
      <c r="V381" s="12" t="s">
        <v>30</v>
      </c>
      <c r="W381" s="12">
        <v>2</v>
      </c>
      <c r="Y381" s="12">
        <f t="shared" si="10"/>
        <v>0.18</v>
      </c>
      <c r="Z381" s="12">
        <f t="shared" si="12"/>
        <v>-0.45699999999999996</v>
      </c>
    </row>
    <row r="382" spans="1:26" x14ac:dyDescent="0.2">
      <c r="A382" s="12" t="s">
        <v>21</v>
      </c>
      <c r="B382" s="12">
        <v>3922.5</v>
      </c>
      <c r="C382" s="12">
        <v>34.207999999999998</v>
      </c>
      <c r="D382" s="12">
        <v>22.298999999999999</v>
      </c>
      <c r="E382" s="12">
        <v>2.093</v>
      </c>
      <c r="F382" s="12">
        <v>160.69800000000001</v>
      </c>
      <c r="G382" s="12">
        <v>2.8140000000000001</v>
      </c>
      <c r="H382" s="12">
        <v>6.6580000000000004</v>
      </c>
      <c r="I382" s="12">
        <v>3.3820000000000001</v>
      </c>
      <c r="J382" s="12">
        <v>465.435</v>
      </c>
      <c r="K382" s="12">
        <v>510.197</v>
      </c>
      <c r="L382" s="12">
        <v>3.0609999999999999</v>
      </c>
      <c r="M382" s="12">
        <v>0.01</v>
      </c>
      <c r="N382" s="12">
        <v>39.691000000000003</v>
      </c>
      <c r="O382" s="12">
        <v>0.183</v>
      </c>
      <c r="P382" s="12">
        <v>0.58299999999999996</v>
      </c>
      <c r="Q382" s="12">
        <v>0.128</v>
      </c>
      <c r="R382" s="12">
        <v>0.68200000000000005</v>
      </c>
      <c r="S382" s="12">
        <v>0.13900000000000001</v>
      </c>
      <c r="T382" s="12" t="s">
        <v>23</v>
      </c>
      <c r="U382" s="12" t="s">
        <v>22</v>
      </c>
      <c r="V382" s="12" t="s">
        <v>30</v>
      </c>
      <c r="W382" s="12">
        <v>2</v>
      </c>
      <c r="Y382" s="12">
        <f t="shared" si="10"/>
        <v>0.311</v>
      </c>
      <c r="Z382" s="12">
        <f t="shared" si="12"/>
        <v>-0.39999999999999997</v>
      </c>
    </row>
    <row r="383" spans="1:26" x14ac:dyDescent="0.2">
      <c r="A383" s="12" t="s">
        <v>38</v>
      </c>
      <c r="B383" s="12">
        <v>4033.25</v>
      </c>
      <c r="C383" s="12">
        <v>22.042000000000002</v>
      </c>
      <c r="D383" s="12">
        <v>21.701000000000001</v>
      </c>
      <c r="E383" s="12">
        <v>2.6190000000000002</v>
      </c>
      <c r="F383" s="12">
        <v>163.88300000000001</v>
      </c>
      <c r="G383" s="12">
        <v>2.6880000000000002</v>
      </c>
      <c r="H383" s="12">
        <v>9.9489999999999998</v>
      </c>
      <c r="I383" s="12">
        <v>2.9340000000000002</v>
      </c>
      <c r="J383" s="12">
        <v>57.350999999999999</v>
      </c>
      <c r="K383" s="12">
        <v>52.287999999999997</v>
      </c>
      <c r="L383" s="12">
        <v>5.6710000000000003</v>
      </c>
      <c r="M383" s="12">
        <v>0.18</v>
      </c>
      <c r="N383" s="12">
        <v>100</v>
      </c>
      <c r="O383" s="12">
        <v>2.8000000000000001E-2</v>
      </c>
      <c r="P383" s="12">
        <v>0.214</v>
      </c>
      <c r="Q383" s="12">
        <v>0.35</v>
      </c>
      <c r="R383" s="12">
        <v>0.45800000000000002</v>
      </c>
      <c r="S383" s="12">
        <v>0.46600000000000003</v>
      </c>
      <c r="U383" s="12" t="s">
        <v>22</v>
      </c>
      <c r="V383" s="12" t="s">
        <v>30</v>
      </c>
      <c r="W383" s="12">
        <v>2</v>
      </c>
      <c r="Y383" s="12">
        <f t="shared" si="10"/>
        <v>0.378</v>
      </c>
      <c r="Z383" s="12">
        <f t="shared" ref="Z383:Z400" si="13">O383-P383</f>
        <v>-0.186</v>
      </c>
    </row>
    <row r="384" spans="1:26" x14ac:dyDescent="0.2">
      <c r="A384" s="12" t="s">
        <v>38</v>
      </c>
      <c r="B384" s="12">
        <v>4033.375</v>
      </c>
      <c r="C384" s="12">
        <v>22.556999999999999</v>
      </c>
      <c r="D384" s="12">
        <v>21.710999999999999</v>
      </c>
      <c r="E384" s="12">
        <v>2.8050000000000002</v>
      </c>
      <c r="F384" s="12">
        <v>161.04300000000001</v>
      </c>
      <c r="G384" s="12">
        <v>2.702</v>
      </c>
      <c r="H384" s="12">
        <v>9.2959999999999994</v>
      </c>
      <c r="I384" s="12">
        <v>2.9740000000000002</v>
      </c>
      <c r="J384" s="12">
        <v>63.051000000000002</v>
      </c>
      <c r="K384" s="12">
        <v>58.216000000000001</v>
      </c>
      <c r="L384" s="12">
        <v>1.3440000000000001</v>
      </c>
      <c r="M384" s="12">
        <v>3.4000000000000002E-2</v>
      </c>
      <c r="N384" s="12">
        <v>100</v>
      </c>
      <c r="O384" s="12">
        <v>3.1E-2</v>
      </c>
      <c r="P384" s="12">
        <v>0.24099999999999999</v>
      </c>
      <c r="Q384" s="12">
        <v>0.26100000000000001</v>
      </c>
      <c r="R384" s="12">
        <v>0.51500000000000001</v>
      </c>
      <c r="S384" s="12">
        <v>0.41</v>
      </c>
      <c r="U384" s="12" t="s">
        <v>22</v>
      </c>
      <c r="V384" s="12" t="s">
        <v>30</v>
      </c>
      <c r="W384" s="12">
        <v>2</v>
      </c>
      <c r="Y384" s="12">
        <f t="shared" si="10"/>
        <v>0.29200000000000004</v>
      </c>
      <c r="Z384" s="12">
        <f t="shared" si="13"/>
        <v>-0.21</v>
      </c>
    </row>
    <row r="385" spans="1:26" x14ac:dyDescent="0.2">
      <c r="A385" s="12" t="s">
        <v>38</v>
      </c>
      <c r="B385" s="12">
        <v>4033.5</v>
      </c>
      <c r="C385" s="12">
        <v>22.911999999999999</v>
      </c>
      <c r="D385" s="12">
        <v>21.757999999999999</v>
      </c>
      <c r="E385" s="12">
        <v>2.8239999999999998</v>
      </c>
      <c r="F385" s="12">
        <v>160.50200000000001</v>
      </c>
      <c r="G385" s="12">
        <v>2.7120000000000002</v>
      </c>
      <c r="H385" s="12">
        <v>8.6539999999999999</v>
      </c>
      <c r="I385" s="12">
        <v>3.0430000000000001</v>
      </c>
      <c r="J385" s="12">
        <v>69.724999999999994</v>
      </c>
      <c r="K385" s="12">
        <v>65.332999999999998</v>
      </c>
      <c r="L385" s="12">
        <v>0</v>
      </c>
      <c r="M385" s="12">
        <v>0</v>
      </c>
      <c r="N385" s="12">
        <v>100</v>
      </c>
      <c r="O385" s="12">
        <v>3.4000000000000002E-2</v>
      </c>
      <c r="P385" s="12">
        <v>0.28399999999999997</v>
      </c>
      <c r="Q385" s="12">
        <v>0.22900000000000001</v>
      </c>
      <c r="R385" s="12">
        <v>0.55900000000000005</v>
      </c>
      <c r="S385" s="12">
        <v>0.35499999999999998</v>
      </c>
      <c r="U385" s="12" t="s">
        <v>22</v>
      </c>
      <c r="V385" s="12" t="s">
        <v>30</v>
      </c>
      <c r="W385" s="12">
        <v>2</v>
      </c>
      <c r="Y385" s="12">
        <f t="shared" si="10"/>
        <v>0.26300000000000001</v>
      </c>
      <c r="Z385" s="12">
        <f t="shared" si="13"/>
        <v>-0.24999999999999997</v>
      </c>
    </row>
    <row r="386" spans="1:26" x14ac:dyDescent="0.2">
      <c r="A386" s="12" t="s">
        <v>38</v>
      </c>
      <c r="B386" s="12">
        <v>4033.625</v>
      </c>
      <c r="C386" s="12">
        <v>23.338999999999999</v>
      </c>
      <c r="D386" s="12">
        <v>21.81</v>
      </c>
      <c r="E386" s="12">
        <v>2.8159999999999998</v>
      </c>
      <c r="F386" s="12">
        <v>157.322</v>
      </c>
      <c r="G386" s="12">
        <v>2.722</v>
      </c>
      <c r="H386" s="12">
        <v>8.3829999999999991</v>
      </c>
      <c r="I386" s="12">
        <v>3.137</v>
      </c>
      <c r="J386" s="12">
        <v>81.405000000000001</v>
      </c>
      <c r="K386" s="12">
        <v>77.094999999999999</v>
      </c>
      <c r="L386" s="12">
        <v>0</v>
      </c>
      <c r="M386" s="12">
        <v>0</v>
      </c>
      <c r="N386" s="12">
        <v>100</v>
      </c>
      <c r="O386" s="12">
        <v>3.6999999999999998E-2</v>
      </c>
      <c r="P386" s="12">
        <v>0.34399999999999997</v>
      </c>
      <c r="Q386" s="12">
        <v>0.14399999999999999</v>
      </c>
      <c r="R386" s="12">
        <v>0.59899999999999998</v>
      </c>
      <c r="S386" s="12">
        <v>0.32600000000000001</v>
      </c>
      <c r="U386" s="12" t="s">
        <v>22</v>
      </c>
      <c r="V386" s="12" t="s">
        <v>30</v>
      </c>
      <c r="W386" s="12">
        <v>2</v>
      </c>
      <c r="Y386" s="12">
        <f t="shared" si="10"/>
        <v>0.18099999999999999</v>
      </c>
      <c r="Z386" s="12">
        <f t="shared" si="13"/>
        <v>-0.307</v>
      </c>
    </row>
    <row r="387" spans="1:26" x14ac:dyDescent="0.2">
      <c r="A387" s="12" t="s">
        <v>38</v>
      </c>
      <c r="B387" s="12">
        <v>4033.75</v>
      </c>
      <c r="C387" s="12">
        <v>23.645</v>
      </c>
      <c r="D387" s="12">
        <v>21.866</v>
      </c>
      <c r="E387" s="12">
        <v>2.891</v>
      </c>
      <c r="F387" s="12">
        <v>154.18</v>
      </c>
      <c r="G387" s="12">
        <v>2.734</v>
      </c>
      <c r="H387" s="12">
        <v>8.3670000000000009</v>
      </c>
      <c r="I387" s="12">
        <v>3.2010000000000001</v>
      </c>
      <c r="J387" s="12">
        <v>92.759</v>
      </c>
      <c r="K387" s="12">
        <v>88.537999999999997</v>
      </c>
      <c r="L387" s="12">
        <v>0</v>
      </c>
      <c r="M387" s="12">
        <v>0</v>
      </c>
      <c r="N387" s="12">
        <v>100</v>
      </c>
      <c r="O387" s="12">
        <v>0.04</v>
      </c>
      <c r="P387" s="12">
        <v>0.39100000000000001</v>
      </c>
      <c r="Q387" s="12">
        <v>4.2000000000000003E-2</v>
      </c>
      <c r="R387" s="12">
        <v>0.64600000000000002</v>
      </c>
      <c r="S387" s="12">
        <v>0.32</v>
      </c>
      <c r="U387" s="12" t="s">
        <v>22</v>
      </c>
      <c r="V387" s="12" t="s">
        <v>30</v>
      </c>
      <c r="W387" s="12">
        <v>2</v>
      </c>
      <c r="Y387" s="12">
        <f t="shared" ref="Y387:Y450" si="14">O387+Q387</f>
        <v>8.2000000000000003E-2</v>
      </c>
      <c r="Z387" s="12">
        <f t="shared" si="13"/>
        <v>-0.35100000000000003</v>
      </c>
    </row>
    <row r="388" spans="1:26" x14ac:dyDescent="0.2">
      <c r="A388" s="12" t="s">
        <v>38</v>
      </c>
      <c r="B388" s="12">
        <v>4033.875</v>
      </c>
      <c r="C388" s="12">
        <v>23.995000000000001</v>
      </c>
      <c r="D388" s="12">
        <v>21.989000000000001</v>
      </c>
      <c r="E388" s="12">
        <v>3.0409999999999999</v>
      </c>
      <c r="F388" s="12">
        <v>153.488</v>
      </c>
      <c r="G388" s="12">
        <v>2.7509999999999999</v>
      </c>
      <c r="H388" s="12">
        <v>8.327</v>
      </c>
      <c r="I388" s="12">
        <v>3.22</v>
      </c>
      <c r="J388" s="12">
        <v>114.553</v>
      </c>
      <c r="K388" s="12">
        <v>110.423</v>
      </c>
      <c r="L388" s="12">
        <v>0</v>
      </c>
      <c r="M388" s="12">
        <v>0</v>
      </c>
      <c r="N388" s="12">
        <v>100</v>
      </c>
      <c r="O388" s="12">
        <v>4.2999999999999997E-2</v>
      </c>
      <c r="P388" s="12">
        <v>0.41</v>
      </c>
      <c r="Q388" s="12">
        <v>4.0000000000000001E-3</v>
      </c>
      <c r="R388" s="12">
        <v>0.71099999999999997</v>
      </c>
      <c r="S388" s="12">
        <v>0.317</v>
      </c>
      <c r="U388" s="12" t="s">
        <v>22</v>
      </c>
      <c r="V388" s="12" t="s">
        <v>30</v>
      </c>
      <c r="W388" s="12">
        <v>2</v>
      </c>
      <c r="Y388" s="12">
        <f t="shared" si="14"/>
        <v>4.7E-2</v>
      </c>
      <c r="Z388" s="12">
        <f t="shared" si="13"/>
        <v>-0.36699999999999999</v>
      </c>
    </row>
    <row r="389" spans="1:26" x14ac:dyDescent="0.2">
      <c r="A389" s="12" t="s">
        <v>38</v>
      </c>
      <c r="B389" s="12">
        <v>4034</v>
      </c>
      <c r="C389" s="12">
        <v>25.155999999999999</v>
      </c>
      <c r="D389" s="12">
        <v>22.148</v>
      </c>
      <c r="E389" s="12">
        <v>3.0129999999999999</v>
      </c>
      <c r="F389" s="12">
        <v>153.488</v>
      </c>
      <c r="G389" s="12">
        <v>2.762</v>
      </c>
      <c r="H389" s="12">
        <v>8.1340000000000003</v>
      </c>
      <c r="I389" s="12">
        <v>3.2</v>
      </c>
      <c r="J389" s="12">
        <v>149.71700000000001</v>
      </c>
      <c r="K389" s="12">
        <v>146.376</v>
      </c>
      <c r="L389" s="12">
        <v>0</v>
      </c>
      <c r="M389" s="12">
        <v>0</v>
      </c>
      <c r="N389" s="12">
        <v>100</v>
      </c>
      <c r="O389" s="12">
        <v>5.0999999999999997E-2</v>
      </c>
      <c r="P389" s="12">
        <v>0.40200000000000002</v>
      </c>
      <c r="Q389" s="12">
        <v>0</v>
      </c>
      <c r="R389" s="12">
        <v>0.76</v>
      </c>
      <c r="S389" s="12">
        <v>0.30299999999999999</v>
      </c>
      <c r="U389" s="12" t="s">
        <v>22</v>
      </c>
      <c r="V389" s="12" t="s">
        <v>30</v>
      </c>
      <c r="W389" s="12">
        <v>2</v>
      </c>
      <c r="Y389" s="12">
        <f t="shared" si="14"/>
        <v>5.0999999999999997E-2</v>
      </c>
      <c r="Z389" s="12">
        <f t="shared" si="13"/>
        <v>-0.35100000000000003</v>
      </c>
    </row>
    <row r="390" spans="1:26" x14ac:dyDescent="0.2">
      <c r="A390" s="12" t="s">
        <v>38</v>
      </c>
      <c r="B390" s="12">
        <v>4034.125</v>
      </c>
      <c r="C390" s="12">
        <v>25.989000000000001</v>
      </c>
      <c r="D390" s="12">
        <v>22.44</v>
      </c>
      <c r="E390" s="12">
        <v>2.5049999999999999</v>
      </c>
      <c r="F390" s="12">
        <v>154.739</v>
      </c>
      <c r="G390" s="12">
        <v>2.7639999999999998</v>
      </c>
      <c r="H390" s="12">
        <v>7.8220000000000001</v>
      </c>
      <c r="I390" s="12">
        <v>3.1560000000000001</v>
      </c>
      <c r="J390" s="12">
        <v>193.03399999999999</v>
      </c>
      <c r="K390" s="12">
        <v>191.684</v>
      </c>
      <c r="L390" s="12">
        <v>0</v>
      </c>
      <c r="M390" s="12">
        <v>0</v>
      </c>
      <c r="N390" s="12">
        <v>100</v>
      </c>
      <c r="O390" s="12">
        <v>5.8000000000000003E-2</v>
      </c>
      <c r="P390" s="12">
        <v>0.375</v>
      </c>
      <c r="Q390" s="12">
        <v>3.2000000000000001E-2</v>
      </c>
      <c r="R390" s="12">
        <v>0.77600000000000002</v>
      </c>
      <c r="S390" s="12">
        <v>0.27900000000000003</v>
      </c>
      <c r="U390" s="12" t="s">
        <v>22</v>
      </c>
      <c r="V390" s="12" t="s">
        <v>30</v>
      </c>
      <c r="W390" s="12">
        <v>2</v>
      </c>
      <c r="Y390" s="12">
        <f t="shared" si="14"/>
        <v>0.09</v>
      </c>
      <c r="Z390" s="12">
        <f t="shared" si="13"/>
        <v>-0.317</v>
      </c>
    </row>
    <row r="391" spans="1:26" x14ac:dyDescent="0.2">
      <c r="A391" s="12" t="s">
        <v>38</v>
      </c>
      <c r="B391" s="12">
        <v>4034.25</v>
      </c>
      <c r="C391" s="12">
        <v>26.419</v>
      </c>
      <c r="D391" s="12">
        <v>22.451000000000001</v>
      </c>
      <c r="E391" s="12">
        <v>1.921</v>
      </c>
      <c r="F391" s="12">
        <v>156.08500000000001</v>
      </c>
      <c r="G391" s="12">
        <v>2.76</v>
      </c>
      <c r="H391" s="12">
        <v>7.3570000000000002</v>
      </c>
      <c r="I391" s="12">
        <v>3.14</v>
      </c>
      <c r="J391" s="12">
        <v>254.09700000000001</v>
      </c>
      <c r="K391" s="12">
        <v>258.26299999999998</v>
      </c>
      <c r="L391" s="12">
        <v>0</v>
      </c>
      <c r="M391" s="12">
        <v>0</v>
      </c>
      <c r="N391" s="12">
        <v>100</v>
      </c>
      <c r="O391" s="12">
        <v>6.2E-2</v>
      </c>
      <c r="P391" s="12">
        <v>0.36099999999999999</v>
      </c>
      <c r="Q391" s="12">
        <v>7.4999999999999997E-2</v>
      </c>
      <c r="R391" s="12">
        <v>0.76400000000000001</v>
      </c>
      <c r="S391" s="12">
        <v>0.24199999999999999</v>
      </c>
      <c r="U391" s="12" t="s">
        <v>22</v>
      </c>
      <c r="V391" s="12" t="s">
        <v>30</v>
      </c>
      <c r="W391" s="12">
        <v>2</v>
      </c>
      <c r="Y391" s="12">
        <f t="shared" si="14"/>
        <v>0.13700000000000001</v>
      </c>
      <c r="Z391" s="12">
        <f t="shared" si="13"/>
        <v>-0.29899999999999999</v>
      </c>
    </row>
    <row r="392" spans="1:26" x14ac:dyDescent="0.2">
      <c r="A392" s="12" t="s">
        <v>38</v>
      </c>
      <c r="B392" s="12">
        <v>4034.375</v>
      </c>
      <c r="C392" s="12">
        <v>26.792999999999999</v>
      </c>
      <c r="D392" s="12">
        <v>22.54</v>
      </c>
      <c r="E392" s="12">
        <v>1.7629999999999999</v>
      </c>
      <c r="F392" s="12">
        <v>156.887</v>
      </c>
      <c r="G392" s="12">
        <v>2.7610000000000001</v>
      </c>
      <c r="H392" s="12">
        <v>6.7960000000000003</v>
      </c>
      <c r="I392" s="12">
        <v>3.14</v>
      </c>
      <c r="J392" s="12">
        <v>309.06799999999998</v>
      </c>
      <c r="K392" s="12">
        <v>319.02300000000002</v>
      </c>
      <c r="L392" s="12">
        <v>0</v>
      </c>
      <c r="M392" s="12">
        <v>0</v>
      </c>
      <c r="N392" s="12">
        <v>100</v>
      </c>
      <c r="O392" s="12">
        <v>6.5000000000000002E-2</v>
      </c>
      <c r="P392" s="12">
        <v>0.35899999999999999</v>
      </c>
      <c r="Q392" s="12">
        <v>0.104</v>
      </c>
      <c r="R392" s="12">
        <v>0.76400000000000001</v>
      </c>
      <c r="S392" s="12">
        <v>0.19600000000000001</v>
      </c>
      <c r="U392" s="12" t="s">
        <v>22</v>
      </c>
      <c r="V392" s="12" t="s">
        <v>30</v>
      </c>
      <c r="W392" s="12">
        <v>2</v>
      </c>
      <c r="Y392" s="12">
        <f t="shared" si="14"/>
        <v>0.16899999999999998</v>
      </c>
      <c r="Z392" s="12">
        <f t="shared" si="13"/>
        <v>-0.29399999999999998</v>
      </c>
    </row>
    <row r="393" spans="1:26" x14ac:dyDescent="0.2">
      <c r="A393" s="12" t="s">
        <v>38</v>
      </c>
      <c r="B393" s="12">
        <v>4034.5</v>
      </c>
      <c r="C393" s="12">
        <v>26.838999999999999</v>
      </c>
      <c r="D393" s="12">
        <v>22.693999999999999</v>
      </c>
      <c r="E393" s="12">
        <v>2.0979999999999999</v>
      </c>
      <c r="F393" s="12">
        <v>157.50899999999999</v>
      </c>
      <c r="G393" s="12">
        <v>2.7639999999999998</v>
      </c>
      <c r="H393" s="12">
        <v>6.26</v>
      </c>
      <c r="I393" s="12">
        <v>3.18</v>
      </c>
      <c r="J393" s="12">
        <v>357.02800000000002</v>
      </c>
      <c r="K393" s="12">
        <v>369.91300000000001</v>
      </c>
      <c r="L393" s="12">
        <v>0</v>
      </c>
      <c r="M393" s="12">
        <v>0</v>
      </c>
      <c r="N393" s="12">
        <v>100</v>
      </c>
      <c r="O393" s="12">
        <v>6.6000000000000003E-2</v>
      </c>
      <c r="P393" s="12">
        <v>0.38</v>
      </c>
      <c r="Q393" s="12">
        <v>0.125</v>
      </c>
      <c r="R393" s="12">
        <v>0.77500000000000002</v>
      </c>
      <c r="S393" s="12">
        <v>0.15</v>
      </c>
      <c r="U393" s="12" t="s">
        <v>22</v>
      </c>
      <c r="V393" s="12" t="s">
        <v>30</v>
      </c>
      <c r="W393" s="12">
        <v>2</v>
      </c>
      <c r="Y393" s="12">
        <f t="shared" si="14"/>
        <v>0.191</v>
      </c>
      <c r="Z393" s="12">
        <f t="shared" si="13"/>
        <v>-0.314</v>
      </c>
    </row>
    <row r="394" spans="1:26" x14ac:dyDescent="0.2">
      <c r="A394" s="12" t="s">
        <v>38</v>
      </c>
      <c r="B394" s="12">
        <v>4034.625</v>
      </c>
      <c r="C394" s="12">
        <v>27.774000000000001</v>
      </c>
      <c r="D394" s="12">
        <v>22.669</v>
      </c>
      <c r="E394" s="12">
        <v>2.5920000000000001</v>
      </c>
      <c r="F394" s="12">
        <v>157.18299999999999</v>
      </c>
      <c r="G394" s="12">
        <v>2.76</v>
      </c>
      <c r="H394" s="12">
        <v>6.0049999999999999</v>
      </c>
      <c r="I394" s="12">
        <v>3.2090000000000001</v>
      </c>
      <c r="J394" s="12">
        <v>371.80099999999999</v>
      </c>
      <c r="K394" s="12">
        <v>389.536</v>
      </c>
      <c r="L394" s="12">
        <v>0</v>
      </c>
      <c r="M394" s="12">
        <v>0</v>
      </c>
      <c r="N394" s="12">
        <v>100</v>
      </c>
      <c r="O394" s="12">
        <v>7.2999999999999995E-2</v>
      </c>
      <c r="P394" s="12">
        <v>0.40100000000000002</v>
      </c>
      <c r="Q394" s="12">
        <v>0.121</v>
      </c>
      <c r="R394" s="12">
        <v>0.76400000000000001</v>
      </c>
      <c r="S394" s="12">
        <v>0.123</v>
      </c>
      <c r="U394" s="12" t="s">
        <v>22</v>
      </c>
      <c r="V394" s="12" t="s">
        <v>30</v>
      </c>
      <c r="W394" s="12">
        <v>2</v>
      </c>
      <c r="Y394" s="12">
        <f t="shared" si="14"/>
        <v>0.19400000000000001</v>
      </c>
      <c r="Z394" s="12">
        <f t="shared" si="13"/>
        <v>-0.32800000000000001</v>
      </c>
    </row>
    <row r="395" spans="1:26" x14ac:dyDescent="0.2">
      <c r="A395" s="12" t="s">
        <v>38</v>
      </c>
      <c r="B395" s="12">
        <v>4034.75</v>
      </c>
      <c r="C395" s="12">
        <v>29.344000000000001</v>
      </c>
      <c r="D395" s="12">
        <v>23.062000000000001</v>
      </c>
      <c r="E395" s="12">
        <v>3.0089999999999999</v>
      </c>
      <c r="F395" s="12">
        <v>156.96</v>
      </c>
      <c r="G395" s="12">
        <v>2.7530000000000001</v>
      </c>
      <c r="H395" s="12">
        <v>6.2350000000000003</v>
      </c>
      <c r="I395" s="12">
        <v>3.2469999999999999</v>
      </c>
      <c r="J395" s="12">
        <v>386.03100000000001</v>
      </c>
      <c r="K395" s="12">
        <v>408.64299999999997</v>
      </c>
      <c r="L395" s="12">
        <v>0</v>
      </c>
      <c r="M395" s="12">
        <v>0</v>
      </c>
      <c r="N395" s="12">
        <v>100</v>
      </c>
      <c r="O395" s="12">
        <v>8.4000000000000005E-2</v>
      </c>
      <c r="P395" s="12">
        <v>0.42599999999999999</v>
      </c>
      <c r="Q395" s="12">
        <v>0.113</v>
      </c>
      <c r="R395" s="12">
        <v>0.73799999999999999</v>
      </c>
      <c r="S395" s="12">
        <v>0.13400000000000001</v>
      </c>
      <c r="U395" s="12" t="s">
        <v>22</v>
      </c>
      <c r="V395" s="12" t="s">
        <v>30</v>
      </c>
      <c r="W395" s="12">
        <v>2</v>
      </c>
      <c r="Y395" s="12">
        <f t="shared" si="14"/>
        <v>0.19700000000000001</v>
      </c>
      <c r="Z395" s="12">
        <f t="shared" si="13"/>
        <v>-0.34199999999999997</v>
      </c>
    </row>
    <row r="396" spans="1:26" x14ac:dyDescent="0.2">
      <c r="A396" s="12" t="s">
        <v>38</v>
      </c>
      <c r="B396" s="12">
        <v>4034.875</v>
      </c>
      <c r="C396" s="12">
        <v>30.709</v>
      </c>
      <c r="D396" s="12">
        <v>23.305</v>
      </c>
      <c r="E396" s="12">
        <v>3.274</v>
      </c>
      <c r="F396" s="12">
        <v>158.46799999999999</v>
      </c>
      <c r="G396" s="12">
        <v>2.746</v>
      </c>
      <c r="H396" s="12">
        <v>6.7809999999999997</v>
      </c>
      <c r="I396" s="12">
        <v>3.26</v>
      </c>
      <c r="J396" s="12">
        <v>407.83499999999998</v>
      </c>
      <c r="K396" s="12">
        <v>435.70499999999998</v>
      </c>
      <c r="L396" s="12">
        <v>0</v>
      </c>
      <c r="M396" s="12">
        <v>0</v>
      </c>
      <c r="N396" s="12">
        <v>100</v>
      </c>
      <c r="O396" s="12">
        <v>9.6000000000000002E-2</v>
      </c>
      <c r="P396" s="12">
        <v>0.438</v>
      </c>
      <c r="Q396" s="12">
        <v>0.15</v>
      </c>
      <c r="R396" s="12">
        <v>0.71</v>
      </c>
      <c r="S396" s="12">
        <v>0.17599999999999999</v>
      </c>
      <c r="U396" s="12" t="s">
        <v>22</v>
      </c>
      <c r="V396" s="12" t="s">
        <v>30</v>
      </c>
      <c r="W396" s="12">
        <v>2</v>
      </c>
      <c r="Y396" s="12">
        <f t="shared" si="14"/>
        <v>0.246</v>
      </c>
      <c r="Z396" s="12">
        <f t="shared" si="13"/>
        <v>-0.34199999999999997</v>
      </c>
    </row>
    <row r="397" spans="1:26" x14ac:dyDescent="0.2">
      <c r="A397" s="12" t="s">
        <v>38</v>
      </c>
      <c r="B397" s="12">
        <v>4035</v>
      </c>
      <c r="C397" s="12">
        <v>32.484000000000002</v>
      </c>
      <c r="D397" s="12">
        <v>23.600999999999999</v>
      </c>
      <c r="E397" s="12">
        <v>3.278</v>
      </c>
      <c r="F397" s="12">
        <v>161.20699999999999</v>
      </c>
      <c r="G397" s="12">
        <v>2.7440000000000002</v>
      </c>
      <c r="H397" s="12">
        <v>7.5380000000000003</v>
      </c>
      <c r="I397" s="12">
        <v>3.26</v>
      </c>
      <c r="J397" s="12">
        <v>442.76600000000002</v>
      </c>
      <c r="K397" s="12">
        <v>474.68700000000001</v>
      </c>
      <c r="L397" s="12">
        <v>0</v>
      </c>
      <c r="M397" s="12">
        <v>0</v>
      </c>
      <c r="N397" s="12">
        <v>100</v>
      </c>
      <c r="O397" s="12">
        <v>0.11</v>
      </c>
      <c r="P397" s="12">
        <v>0.44</v>
      </c>
      <c r="Q397" s="12">
        <v>0.23100000000000001</v>
      </c>
      <c r="R397" s="12">
        <v>0.69799999999999995</v>
      </c>
      <c r="S397" s="12">
        <v>0.23599999999999999</v>
      </c>
      <c r="U397" s="12" t="s">
        <v>22</v>
      </c>
      <c r="V397" s="12" t="s">
        <v>30</v>
      </c>
      <c r="W397" s="12">
        <v>2</v>
      </c>
      <c r="Y397" s="12">
        <f t="shared" si="14"/>
        <v>0.34100000000000003</v>
      </c>
      <c r="Z397" s="12">
        <f t="shared" si="13"/>
        <v>-0.33</v>
      </c>
    </row>
    <row r="398" spans="1:26" x14ac:dyDescent="0.2">
      <c r="A398" s="12" t="s">
        <v>38</v>
      </c>
      <c r="B398" s="12">
        <v>4035.125</v>
      </c>
      <c r="C398" s="12">
        <v>35.192999999999998</v>
      </c>
      <c r="D398" s="12">
        <v>23.210999999999999</v>
      </c>
      <c r="E398" s="12">
        <v>3.0590000000000002</v>
      </c>
      <c r="F398" s="12">
        <v>164.631</v>
      </c>
      <c r="G398" s="12">
        <v>2.7480000000000002</v>
      </c>
      <c r="H398" s="12">
        <v>8.2590000000000003</v>
      </c>
      <c r="I398" s="12">
        <v>3.26</v>
      </c>
      <c r="J398" s="12">
        <v>518.41399999999999</v>
      </c>
      <c r="K398" s="12">
        <v>560.41999999999996</v>
      </c>
      <c r="L398" s="12">
        <v>0</v>
      </c>
      <c r="M398" s="12">
        <v>0</v>
      </c>
      <c r="N398" s="12">
        <v>100</v>
      </c>
      <c r="O398" s="12">
        <v>0.13</v>
      </c>
      <c r="P398" s="12">
        <v>0.44</v>
      </c>
      <c r="Q398" s="12">
        <v>0.33600000000000002</v>
      </c>
      <c r="R398" s="12">
        <v>0.70899999999999996</v>
      </c>
      <c r="S398" s="12">
        <v>0.29799999999999999</v>
      </c>
      <c r="U398" s="12" t="s">
        <v>22</v>
      </c>
      <c r="V398" s="12" t="s">
        <v>30</v>
      </c>
      <c r="W398" s="12">
        <v>2</v>
      </c>
      <c r="Y398" s="12">
        <f t="shared" si="14"/>
        <v>0.46600000000000003</v>
      </c>
      <c r="Z398" s="12">
        <f t="shared" si="13"/>
        <v>-0.31</v>
      </c>
    </row>
    <row r="399" spans="1:26" x14ac:dyDescent="0.2">
      <c r="A399" s="12" t="s">
        <v>38</v>
      </c>
      <c r="B399" s="12">
        <v>4035.25</v>
      </c>
      <c r="C399" s="12">
        <v>40.369</v>
      </c>
      <c r="D399" s="12">
        <v>22.966000000000001</v>
      </c>
      <c r="E399" s="12">
        <v>2.8490000000000002</v>
      </c>
      <c r="F399" s="12">
        <v>170.36500000000001</v>
      </c>
      <c r="G399" s="12">
        <v>2.7549999999999999</v>
      </c>
      <c r="H399" s="12">
        <v>8.7739999999999991</v>
      </c>
      <c r="I399" s="12">
        <v>3.254</v>
      </c>
      <c r="J399" s="12">
        <v>568.21900000000005</v>
      </c>
      <c r="K399" s="12">
        <v>618.02599999999995</v>
      </c>
      <c r="L399" s="12">
        <v>0</v>
      </c>
      <c r="M399" s="12">
        <v>0</v>
      </c>
      <c r="N399" s="12">
        <v>100</v>
      </c>
      <c r="O399" s="12">
        <v>0.16800000000000001</v>
      </c>
      <c r="P399" s="12">
        <v>0.437</v>
      </c>
      <c r="Q399" s="12">
        <v>0.50600000000000001</v>
      </c>
      <c r="R399" s="12">
        <v>0.73499999999999999</v>
      </c>
      <c r="S399" s="12">
        <v>0.34599999999999997</v>
      </c>
      <c r="U399" s="12" t="s">
        <v>22</v>
      </c>
      <c r="V399" s="12" t="s">
        <v>30</v>
      </c>
      <c r="W399" s="12">
        <v>2</v>
      </c>
      <c r="Y399" s="12">
        <f t="shared" si="14"/>
        <v>0.67400000000000004</v>
      </c>
      <c r="Z399" s="12">
        <f t="shared" si="13"/>
        <v>-0.26900000000000002</v>
      </c>
    </row>
    <row r="400" spans="1:26" x14ac:dyDescent="0.2">
      <c r="A400" s="12" t="s">
        <v>38</v>
      </c>
      <c r="B400" s="12">
        <v>4035.375</v>
      </c>
      <c r="C400" s="12">
        <v>50.826999999999998</v>
      </c>
      <c r="D400" s="12">
        <v>23.210999999999999</v>
      </c>
      <c r="E400" s="12">
        <v>2.8530000000000002</v>
      </c>
      <c r="F400" s="12">
        <v>177.94200000000001</v>
      </c>
      <c r="G400" s="12">
        <v>2.758</v>
      </c>
      <c r="H400" s="12">
        <v>9.5500000000000007</v>
      </c>
      <c r="I400" s="12">
        <v>3.23</v>
      </c>
      <c r="J400" s="12">
        <v>550.90700000000004</v>
      </c>
      <c r="K400" s="12">
        <v>596.98900000000003</v>
      </c>
      <c r="L400" s="12">
        <v>0</v>
      </c>
      <c r="M400" s="12">
        <v>0</v>
      </c>
      <c r="N400" s="12">
        <v>100</v>
      </c>
      <c r="O400" s="12">
        <v>0.245</v>
      </c>
      <c r="P400" s="12">
        <v>0.42299999999999999</v>
      </c>
      <c r="Q400" s="12">
        <v>0.73699999999999999</v>
      </c>
      <c r="R400" s="12">
        <v>0.751</v>
      </c>
      <c r="S400" s="12">
        <v>0.40699999999999997</v>
      </c>
      <c r="U400" s="12" t="s">
        <v>22</v>
      </c>
      <c r="V400" s="12" t="s">
        <v>30</v>
      </c>
      <c r="W400" s="12">
        <v>2</v>
      </c>
      <c r="Y400" s="12">
        <f t="shared" si="14"/>
        <v>0.98199999999999998</v>
      </c>
      <c r="Z400" s="12">
        <f t="shared" si="13"/>
        <v>-0.17799999999999999</v>
      </c>
    </row>
    <row r="401" spans="1:26" x14ac:dyDescent="0.2">
      <c r="A401" s="12" t="s">
        <v>38</v>
      </c>
      <c r="B401" s="12">
        <v>4036.125</v>
      </c>
      <c r="C401" s="12">
        <v>74.933999999999997</v>
      </c>
      <c r="D401" s="12">
        <v>23.67</v>
      </c>
      <c r="E401" s="12">
        <v>4.0069999999999997</v>
      </c>
      <c r="F401" s="12">
        <v>161.935</v>
      </c>
      <c r="G401" s="12">
        <v>2.7519999999999998</v>
      </c>
      <c r="H401" s="12">
        <v>13.048</v>
      </c>
      <c r="I401" s="12">
        <v>3.1509999999999998</v>
      </c>
      <c r="J401" s="12">
        <v>505.76299999999998</v>
      </c>
      <c r="K401" s="12">
        <v>545.90599999999995</v>
      </c>
      <c r="L401" s="12">
        <v>0</v>
      </c>
      <c r="M401" s="12">
        <v>0</v>
      </c>
      <c r="N401" s="12">
        <v>100</v>
      </c>
      <c r="O401" s="12">
        <v>0.48699999999999999</v>
      </c>
      <c r="P401" s="12">
        <v>0.35799999999999998</v>
      </c>
      <c r="Q401" s="12">
        <v>0.28499999999999998</v>
      </c>
      <c r="R401" s="12">
        <v>0.71299999999999997</v>
      </c>
      <c r="S401" s="12">
        <v>0.73399999999999999</v>
      </c>
      <c r="U401" s="12" t="s">
        <v>33</v>
      </c>
      <c r="V401" s="12" t="s">
        <v>30</v>
      </c>
      <c r="W401" s="12">
        <v>3</v>
      </c>
      <c r="Y401" s="12">
        <f t="shared" si="14"/>
        <v>0.77200000000000002</v>
      </c>
      <c r="Z401" s="12">
        <f t="shared" ref="Z401:Z402" si="15">O401-P401</f>
        <v>0.129</v>
      </c>
    </row>
    <row r="402" spans="1:26" x14ac:dyDescent="0.2">
      <c r="A402" s="12" t="s">
        <v>38</v>
      </c>
      <c r="B402" s="12">
        <v>4036.25</v>
      </c>
      <c r="C402" s="12">
        <v>57.000999999999998</v>
      </c>
      <c r="D402" s="12">
        <v>23.414999999999999</v>
      </c>
      <c r="E402" s="12">
        <v>3.4140000000000001</v>
      </c>
      <c r="F402" s="12">
        <v>160.56899999999999</v>
      </c>
      <c r="G402" s="12">
        <v>2.7730000000000001</v>
      </c>
      <c r="H402" s="12">
        <v>11.542</v>
      </c>
      <c r="I402" s="12">
        <v>3.1930000000000001</v>
      </c>
      <c r="J402" s="12">
        <v>545.32799999999997</v>
      </c>
      <c r="K402" s="12">
        <v>590.625</v>
      </c>
      <c r="L402" s="12">
        <v>0</v>
      </c>
      <c r="M402" s="12">
        <v>0</v>
      </c>
      <c r="N402" s="12">
        <v>100</v>
      </c>
      <c r="O402" s="12">
        <v>0.34100000000000003</v>
      </c>
      <c r="P402" s="12">
        <v>0.38900000000000001</v>
      </c>
      <c r="Q402" s="12">
        <v>0.23599999999999999</v>
      </c>
      <c r="R402" s="12">
        <v>0.79700000000000004</v>
      </c>
      <c r="S402" s="12">
        <v>0.61499999999999999</v>
      </c>
      <c r="U402" s="12" t="s">
        <v>33</v>
      </c>
      <c r="V402" s="12" t="s">
        <v>30</v>
      </c>
      <c r="W402" s="12">
        <v>3</v>
      </c>
      <c r="Y402" s="12">
        <f t="shared" si="14"/>
        <v>0.57699999999999996</v>
      </c>
      <c r="Z402" s="12">
        <f t="shared" si="15"/>
        <v>-4.7999999999999987E-2</v>
      </c>
    </row>
    <row r="403" spans="1:26" x14ac:dyDescent="0.2">
      <c r="A403" s="12" t="s">
        <v>38</v>
      </c>
      <c r="B403" s="12">
        <v>4036.375</v>
      </c>
      <c r="C403" s="12">
        <v>42.250999999999998</v>
      </c>
      <c r="D403" s="12">
        <v>23.050999999999998</v>
      </c>
      <c r="E403" s="12">
        <v>2.7909999999999999</v>
      </c>
      <c r="F403" s="12">
        <v>161.02699999999999</v>
      </c>
      <c r="G403" s="12">
        <v>2.79</v>
      </c>
      <c r="H403" s="12">
        <v>9.8230000000000004</v>
      </c>
      <c r="I403" s="12">
        <v>3.1779999999999999</v>
      </c>
      <c r="J403" s="12">
        <v>541.61500000000001</v>
      </c>
      <c r="K403" s="12">
        <v>580.745</v>
      </c>
      <c r="L403" s="12">
        <v>0</v>
      </c>
      <c r="M403" s="12">
        <v>0</v>
      </c>
      <c r="N403" s="12">
        <v>100</v>
      </c>
      <c r="O403" s="12">
        <v>0.216</v>
      </c>
      <c r="P403" s="12">
        <v>0.38600000000000001</v>
      </c>
      <c r="Q403" s="12">
        <v>0.23899999999999999</v>
      </c>
      <c r="R403" s="12">
        <v>0.86899999999999999</v>
      </c>
      <c r="S403" s="12">
        <v>0.47299999999999998</v>
      </c>
      <c r="U403" s="12" t="s">
        <v>33</v>
      </c>
      <c r="V403" s="12" t="s">
        <v>30</v>
      </c>
      <c r="W403" s="12">
        <v>3</v>
      </c>
      <c r="Y403" s="12">
        <f t="shared" si="14"/>
        <v>0.45499999999999996</v>
      </c>
      <c r="Z403" s="12">
        <f t="shared" ref="Z403:Z423" si="16">O403-P403</f>
        <v>-0.17</v>
      </c>
    </row>
    <row r="404" spans="1:26" x14ac:dyDescent="0.2">
      <c r="A404" s="12" t="s">
        <v>38</v>
      </c>
      <c r="B404" s="12">
        <v>4036.5</v>
      </c>
      <c r="C404" s="12">
        <v>33.048999999999999</v>
      </c>
      <c r="D404" s="12">
        <v>22.681999999999999</v>
      </c>
      <c r="E404" s="12">
        <v>2.4430000000000001</v>
      </c>
      <c r="F404" s="12">
        <v>163.46700000000001</v>
      </c>
      <c r="G404" s="12">
        <v>2.7949999999999999</v>
      </c>
      <c r="H404" s="12">
        <v>8.3930000000000007</v>
      </c>
      <c r="I404" s="12">
        <v>3.1360000000000001</v>
      </c>
      <c r="J404" s="12">
        <v>499.23599999999999</v>
      </c>
      <c r="K404" s="12">
        <v>525.98099999999999</v>
      </c>
      <c r="L404" s="12">
        <v>0</v>
      </c>
      <c r="M404" s="12">
        <v>0</v>
      </c>
      <c r="N404" s="12">
        <v>100</v>
      </c>
      <c r="O404" s="12">
        <v>0.13200000000000001</v>
      </c>
      <c r="P404" s="12">
        <v>0.36199999999999999</v>
      </c>
      <c r="Q404" s="12">
        <v>0.30499999999999999</v>
      </c>
      <c r="R404" s="12">
        <v>0.89900000000000002</v>
      </c>
      <c r="S404" s="12">
        <v>0.34599999999999997</v>
      </c>
      <c r="U404" s="12" t="s">
        <v>33</v>
      </c>
      <c r="V404" s="12" t="s">
        <v>30</v>
      </c>
      <c r="W404" s="12">
        <v>3</v>
      </c>
      <c r="Y404" s="12">
        <f t="shared" si="14"/>
        <v>0.437</v>
      </c>
      <c r="Z404" s="12">
        <f t="shared" si="16"/>
        <v>-0.22999999999999998</v>
      </c>
    </row>
    <row r="405" spans="1:26" x14ac:dyDescent="0.2">
      <c r="A405" s="12" t="s">
        <v>38</v>
      </c>
      <c r="B405" s="12">
        <v>4036.625</v>
      </c>
      <c r="C405" s="12">
        <v>28.72</v>
      </c>
      <c r="D405" s="12">
        <v>22.923999999999999</v>
      </c>
      <c r="E405" s="12">
        <v>2.3849999999999998</v>
      </c>
      <c r="F405" s="12">
        <v>166.453</v>
      </c>
      <c r="G405" s="12">
        <v>2.78</v>
      </c>
      <c r="H405" s="12">
        <v>7.6669999999999998</v>
      </c>
      <c r="I405" s="12">
        <v>3.093</v>
      </c>
      <c r="J405" s="12">
        <v>442.49900000000002</v>
      </c>
      <c r="K405" s="12">
        <v>457.70100000000002</v>
      </c>
      <c r="L405" s="12">
        <v>0</v>
      </c>
      <c r="M405" s="12">
        <v>0</v>
      </c>
      <c r="N405" s="12">
        <v>100</v>
      </c>
      <c r="O405" s="12">
        <v>8.8999999999999996E-2</v>
      </c>
      <c r="P405" s="12">
        <v>0.33300000000000002</v>
      </c>
      <c r="Q405" s="12">
        <v>0.39700000000000002</v>
      </c>
      <c r="R405" s="12">
        <v>0.85399999999999998</v>
      </c>
      <c r="S405" s="12">
        <v>0.27200000000000002</v>
      </c>
      <c r="U405" s="12" t="s">
        <v>33</v>
      </c>
      <c r="V405" s="12" t="s">
        <v>30</v>
      </c>
      <c r="W405" s="12">
        <v>3</v>
      </c>
      <c r="Y405" s="12">
        <f t="shared" si="14"/>
        <v>0.48599999999999999</v>
      </c>
      <c r="Z405" s="12">
        <f t="shared" si="16"/>
        <v>-0.24400000000000002</v>
      </c>
    </row>
    <row r="406" spans="1:26" x14ac:dyDescent="0.2">
      <c r="A406" s="12" t="s">
        <v>38</v>
      </c>
      <c r="B406" s="12">
        <v>4036.75</v>
      </c>
      <c r="C406" s="12">
        <v>29.77</v>
      </c>
      <c r="D406" s="12">
        <v>23.143000000000001</v>
      </c>
      <c r="E406" s="12">
        <v>2.3780000000000001</v>
      </c>
      <c r="F406" s="12">
        <v>168.40199999999999</v>
      </c>
      <c r="G406" s="12">
        <v>2.7549999999999999</v>
      </c>
      <c r="H406" s="12">
        <v>7.5209999999999999</v>
      </c>
      <c r="I406" s="12">
        <v>3.0569999999999999</v>
      </c>
      <c r="J406" s="12">
        <v>418.964</v>
      </c>
      <c r="K406" s="12">
        <v>430.12400000000002</v>
      </c>
      <c r="L406" s="12">
        <v>0</v>
      </c>
      <c r="M406" s="12">
        <v>0</v>
      </c>
      <c r="N406" s="12">
        <v>100</v>
      </c>
      <c r="O406" s="12">
        <v>8.8999999999999996E-2</v>
      </c>
      <c r="P406" s="12">
        <v>0.307</v>
      </c>
      <c r="Q406" s="12">
        <v>0.46700000000000003</v>
      </c>
      <c r="R406" s="12">
        <v>0.76100000000000001</v>
      </c>
      <c r="S406" s="12">
        <v>0.25</v>
      </c>
      <c r="U406" s="12" t="s">
        <v>33</v>
      </c>
      <c r="V406" s="12" t="s">
        <v>30</v>
      </c>
      <c r="W406" s="12">
        <v>3</v>
      </c>
      <c r="Y406" s="12">
        <f t="shared" si="14"/>
        <v>0.55600000000000005</v>
      </c>
      <c r="Z406" s="12">
        <f t="shared" si="16"/>
        <v>-0.218</v>
      </c>
    </row>
    <row r="407" spans="1:26" x14ac:dyDescent="0.2">
      <c r="A407" s="12" t="s">
        <v>38</v>
      </c>
      <c r="B407" s="12">
        <v>4036.875</v>
      </c>
      <c r="C407" s="12">
        <v>34.999000000000002</v>
      </c>
      <c r="D407" s="12">
        <v>23.443999999999999</v>
      </c>
      <c r="E407" s="12">
        <v>2.4990000000000001</v>
      </c>
      <c r="F407" s="12">
        <v>168.34700000000001</v>
      </c>
      <c r="G407" s="12">
        <v>2.7320000000000002</v>
      </c>
      <c r="H407" s="12">
        <v>8.0370000000000008</v>
      </c>
      <c r="I407" s="12">
        <v>3.01</v>
      </c>
      <c r="J407" s="12">
        <v>437.89100000000002</v>
      </c>
      <c r="K407" s="12">
        <v>450.42700000000002</v>
      </c>
      <c r="L407" s="12">
        <v>0</v>
      </c>
      <c r="M407" s="12">
        <v>0</v>
      </c>
      <c r="N407" s="12">
        <v>100</v>
      </c>
      <c r="O407" s="12">
        <v>0.124</v>
      </c>
      <c r="P407" s="12">
        <v>0.27700000000000002</v>
      </c>
      <c r="Q407" s="12">
        <v>0.47799999999999998</v>
      </c>
      <c r="R407" s="12">
        <v>0.66600000000000004</v>
      </c>
      <c r="S407" s="12">
        <v>0.28299999999999997</v>
      </c>
      <c r="U407" s="12" t="s">
        <v>33</v>
      </c>
      <c r="V407" s="12" t="s">
        <v>30</v>
      </c>
      <c r="W407" s="12">
        <v>3</v>
      </c>
      <c r="Y407" s="12">
        <f t="shared" si="14"/>
        <v>0.60199999999999998</v>
      </c>
      <c r="Z407" s="12">
        <f t="shared" si="16"/>
        <v>-0.15300000000000002</v>
      </c>
    </row>
    <row r="408" spans="1:26" x14ac:dyDescent="0.2">
      <c r="A408" s="12" t="s">
        <v>38</v>
      </c>
      <c r="B408" s="12">
        <v>4037</v>
      </c>
      <c r="C408" s="12">
        <v>42.343000000000004</v>
      </c>
      <c r="D408" s="12">
        <v>23.361999999999998</v>
      </c>
      <c r="E408" s="12">
        <v>2.988</v>
      </c>
      <c r="F408" s="12">
        <v>166.786</v>
      </c>
      <c r="G408" s="12">
        <v>2.7170000000000001</v>
      </c>
      <c r="H408" s="12">
        <v>8.8279999999999994</v>
      </c>
      <c r="I408" s="12">
        <v>3.0009999999999999</v>
      </c>
      <c r="J408" s="12">
        <v>493.41800000000001</v>
      </c>
      <c r="K408" s="12">
        <v>514.22699999999998</v>
      </c>
      <c r="L408" s="12">
        <v>0</v>
      </c>
      <c r="M408" s="12">
        <v>0</v>
      </c>
      <c r="N408" s="12">
        <v>100</v>
      </c>
      <c r="O408" s="12">
        <v>0.18099999999999999</v>
      </c>
      <c r="P408" s="12">
        <v>0.26600000000000001</v>
      </c>
      <c r="Q408" s="12">
        <v>0.437</v>
      </c>
      <c r="R408" s="12">
        <v>0.59899999999999998</v>
      </c>
      <c r="S408" s="12">
        <v>0.34599999999999997</v>
      </c>
      <c r="U408" s="12" t="s">
        <v>33</v>
      </c>
      <c r="V408" s="12" t="s">
        <v>30</v>
      </c>
      <c r="W408" s="12">
        <v>3</v>
      </c>
      <c r="Y408" s="12">
        <f t="shared" si="14"/>
        <v>0.61799999999999999</v>
      </c>
      <c r="Z408" s="12">
        <f t="shared" si="16"/>
        <v>-8.500000000000002E-2</v>
      </c>
    </row>
    <row r="409" spans="1:26" x14ac:dyDescent="0.2">
      <c r="A409" s="12" t="s">
        <v>38</v>
      </c>
      <c r="B409" s="12">
        <v>4037.125</v>
      </c>
      <c r="C409" s="12">
        <v>49.128</v>
      </c>
      <c r="D409" s="12">
        <v>23.103999999999999</v>
      </c>
      <c r="E409" s="12">
        <v>3.698</v>
      </c>
      <c r="F409" s="12">
        <v>164.71700000000001</v>
      </c>
      <c r="G409" s="12">
        <v>2.7149999999999999</v>
      </c>
      <c r="H409" s="12">
        <v>9.3610000000000007</v>
      </c>
      <c r="I409" s="12">
        <v>3.012</v>
      </c>
      <c r="J409" s="12">
        <v>656.33399999999995</v>
      </c>
      <c r="K409" s="12">
        <v>621.72199999999998</v>
      </c>
      <c r="L409" s="12">
        <v>0</v>
      </c>
      <c r="M409" s="12">
        <v>0</v>
      </c>
      <c r="N409" s="12">
        <v>100</v>
      </c>
      <c r="O409" s="12">
        <v>0.23699999999999999</v>
      </c>
      <c r="P409" s="12">
        <v>0.27100000000000002</v>
      </c>
      <c r="Q409" s="12">
        <v>0.374</v>
      </c>
      <c r="R409" s="12">
        <v>0.58099999999999996</v>
      </c>
      <c r="S409" s="12">
        <v>0.39500000000000002</v>
      </c>
      <c r="U409" s="12" t="s">
        <v>33</v>
      </c>
      <c r="V409" s="12" t="s">
        <v>30</v>
      </c>
      <c r="W409" s="12">
        <v>3</v>
      </c>
      <c r="Y409" s="12">
        <f t="shared" si="14"/>
        <v>0.61099999999999999</v>
      </c>
      <c r="Z409" s="12">
        <f t="shared" si="16"/>
        <v>-3.400000000000003E-2</v>
      </c>
    </row>
    <row r="410" spans="1:26" x14ac:dyDescent="0.2">
      <c r="A410" s="12" t="s">
        <v>38</v>
      </c>
      <c r="B410" s="12">
        <v>4037.25</v>
      </c>
      <c r="C410" s="12">
        <v>54.081000000000003</v>
      </c>
      <c r="D410" s="12">
        <v>22.614999999999998</v>
      </c>
      <c r="E410" s="12">
        <v>4.0880000000000001</v>
      </c>
      <c r="F410" s="12">
        <v>163.27099999999999</v>
      </c>
      <c r="G410" s="12">
        <v>2.72</v>
      </c>
      <c r="H410" s="12">
        <v>9.5440000000000005</v>
      </c>
      <c r="I410" s="12">
        <v>3.0990000000000002</v>
      </c>
      <c r="J410" s="12">
        <v>726.64099999999996</v>
      </c>
      <c r="K410" s="12">
        <v>760.87199999999996</v>
      </c>
      <c r="L410" s="12">
        <v>0</v>
      </c>
      <c r="M410" s="12">
        <v>0</v>
      </c>
      <c r="N410" s="12">
        <v>100</v>
      </c>
      <c r="O410" s="12">
        <v>0.28000000000000003</v>
      </c>
      <c r="P410" s="12">
        <v>0.31900000000000001</v>
      </c>
      <c r="Q410" s="12">
        <v>0.32400000000000001</v>
      </c>
      <c r="R410" s="12">
        <v>0.59499999999999997</v>
      </c>
      <c r="S410" s="12">
        <v>0.41699999999999998</v>
      </c>
      <c r="U410" s="12" t="s">
        <v>33</v>
      </c>
      <c r="V410" s="12" t="s">
        <v>30</v>
      </c>
      <c r="W410" s="12">
        <v>3</v>
      </c>
      <c r="Y410" s="12">
        <f t="shared" si="14"/>
        <v>0.60400000000000009</v>
      </c>
      <c r="Z410" s="12">
        <f t="shared" si="16"/>
        <v>-3.8999999999999979E-2</v>
      </c>
    </row>
    <row r="411" spans="1:26" x14ac:dyDescent="0.2">
      <c r="A411" s="12" t="s">
        <v>38</v>
      </c>
      <c r="B411" s="12">
        <v>4037.375</v>
      </c>
      <c r="C411" s="12">
        <v>56.777000000000001</v>
      </c>
      <c r="D411" s="12">
        <v>22.491</v>
      </c>
      <c r="E411" s="12">
        <v>4.1319999999999997</v>
      </c>
      <c r="F411" s="12">
        <v>163.291</v>
      </c>
      <c r="G411" s="12">
        <v>2.726</v>
      </c>
      <c r="H411" s="12">
        <v>9.6289999999999996</v>
      </c>
      <c r="I411" s="12">
        <v>3.2240000000000002</v>
      </c>
      <c r="J411" s="12">
        <v>787.35500000000002</v>
      </c>
      <c r="K411" s="12">
        <v>828.59299999999996</v>
      </c>
      <c r="L411" s="12">
        <v>0</v>
      </c>
      <c r="M411" s="12">
        <v>0</v>
      </c>
      <c r="N411" s="12">
        <v>100</v>
      </c>
      <c r="O411" s="12">
        <v>0.30599999999999999</v>
      </c>
      <c r="P411" s="12">
        <v>0.39900000000000002</v>
      </c>
      <c r="Q411" s="12">
        <v>0.315</v>
      </c>
      <c r="R411" s="12">
        <v>0.61899999999999999</v>
      </c>
      <c r="S411" s="12">
        <v>0.42599999999999999</v>
      </c>
      <c r="U411" s="12" t="s">
        <v>33</v>
      </c>
      <c r="V411" s="12" t="s">
        <v>30</v>
      </c>
      <c r="W411" s="12">
        <v>3</v>
      </c>
      <c r="Y411" s="12">
        <f t="shared" si="14"/>
        <v>0.621</v>
      </c>
      <c r="Z411" s="12">
        <f t="shared" si="16"/>
        <v>-9.3000000000000027E-2</v>
      </c>
    </row>
    <row r="412" spans="1:26" x14ac:dyDescent="0.2">
      <c r="A412" s="12" t="s">
        <v>38</v>
      </c>
      <c r="B412" s="12">
        <v>4037.5</v>
      </c>
      <c r="C412" s="12">
        <v>58.485999999999997</v>
      </c>
      <c r="D412" s="12">
        <v>22.646000000000001</v>
      </c>
      <c r="E412" s="12">
        <v>3.9889999999999999</v>
      </c>
      <c r="F412" s="12">
        <v>163.40600000000001</v>
      </c>
      <c r="G412" s="12">
        <v>2.7389999999999999</v>
      </c>
      <c r="H412" s="12">
        <v>9.7230000000000008</v>
      </c>
      <c r="I412" s="12">
        <v>3.3330000000000002</v>
      </c>
      <c r="J412" s="12">
        <v>784.08199999999999</v>
      </c>
      <c r="K412" s="12">
        <v>830.19899999999996</v>
      </c>
      <c r="L412" s="12">
        <v>0</v>
      </c>
      <c r="M412" s="12">
        <v>0</v>
      </c>
      <c r="N412" s="12">
        <v>100</v>
      </c>
      <c r="O412" s="12">
        <v>0.32100000000000001</v>
      </c>
      <c r="P412" s="12">
        <v>0.47399999999999998</v>
      </c>
      <c r="Q412" s="12">
        <v>0.318</v>
      </c>
      <c r="R412" s="12">
        <v>0.66600000000000004</v>
      </c>
      <c r="S412" s="12">
        <v>0.434</v>
      </c>
      <c r="U412" s="12" t="s">
        <v>33</v>
      </c>
      <c r="V412" s="12" t="s">
        <v>30</v>
      </c>
      <c r="W412" s="12">
        <v>3</v>
      </c>
      <c r="Y412" s="12">
        <f t="shared" si="14"/>
        <v>0.63900000000000001</v>
      </c>
      <c r="Z412" s="12">
        <f t="shared" si="16"/>
        <v>-0.15299999999999997</v>
      </c>
    </row>
    <row r="413" spans="1:26" x14ac:dyDescent="0.2">
      <c r="A413" s="12" t="s">
        <v>38</v>
      </c>
      <c r="B413" s="12">
        <v>4037.625</v>
      </c>
      <c r="C413" s="12">
        <v>59.942</v>
      </c>
      <c r="D413" s="12">
        <v>22.984000000000002</v>
      </c>
      <c r="E413" s="12">
        <v>3.6829999999999998</v>
      </c>
      <c r="F413" s="12">
        <v>162.845</v>
      </c>
      <c r="G413" s="12">
        <v>2.758</v>
      </c>
      <c r="H413" s="12">
        <v>9.6739999999999995</v>
      </c>
      <c r="I413" s="12">
        <v>3.3980000000000001</v>
      </c>
      <c r="J413" s="12">
        <v>775.47699999999998</v>
      </c>
      <c r="K413" s="12">
        <v>836.779</v>
      </c>
      <c r="L413" s="12">
        <v>0</v>
      </c>
      <c r="M413" s="12">
        <v>0</v>
      </c>
      <c r="N413" s="12">
        <v>100</v>
      </c>
      <c r="O413" s="12">
        <v>0.33300000000000002</v>
      </c>
      <c r="P413" s="12">
        <v>0.52400000000000002</v>
      </c>
      <c r="Q413" s="12">
        <v>0.30399999999999999</v>
      </c>
      <c r="R413" s="12">
        <v>0.73799999999999999</v>
      </c>
      <c r="S413" s="12">
        <v>0.432</v>
      </c>
      <c r="U413" s="12" t="s">
        <v>33</v>
      </c>
      <c r="V413" s="12" t="s">
        <v>30</v>
      </c>
      <c r="W413" s="12">
        <v>3</v>
      </c>
      <c r="Y413" s="12">
        <f t="shared" si="14"/>
        <v>0.63700000000000001</v>
      </c>
      <c r="Z413" s="12">
        <f t="shared" si="16"/>
        <v>-0.191</v>
      </c>
    </row>
    <row r="414" spans="1:26" x14ac:dyDescent="0.2">
      <c r="A414" s="12" t="s">
        <v>38</v>
      </c>
      <c r="B414" s="12">
        <v>4037.75</v>
      </c>
      <c r="C414" s="12">
        <v>59.84</v>
      </c>
      <c r="D414" s="12">
        <v>23.253</v>
      </c>
      <c r="E414" s="12">
        <v>3.2469999999999999</v>
      </c>
      <c r="F414" s="12">
        <v>162.65799999999999</v>
      </c>
      <c r="G414" s="12">
        <v>2.786</v>
      </c>
      <c r="H414" s="12">
        <v>9.3249999999999993</v>
      </c>
      <c r="I414" s="12">
        <v>3.4239999999999999</v>
      </c>
      <c r="J414" s="12">
        <v>778.10900000000004</v>
      </c>
      <c r="K414" s="12">
        <v>853.96900000000005</v>
      </c>
      <c r="L414" s="12">
        <v>0</v>
      </c>
      <c r="M414" s="12">
        <v>0</v>
      </c>
      <c r="N414" s="12">
        <v>100</v>
      </c>
      <c r="O414" s="12">
        <v>0.33500000000000002</v>
      </c>
      <c r="P414" s="12">
        <v>0.54700000000000004</v>
      </c>
      <c r="Q414" s="12">
        <v>0.29599999999999999</v>
      </c>
      <c r="R414" s="12">
        <v>0.84399999999999997</v>
      </c>
      <c r="S414" s="12">
        <v>0.40699999999999997</v>
      </c>
      <c r="U414" s="12" t="s">
        <v>33</v>
      </c>
      <c r="V414" s="12" t="s">
        <v>30</v>
      </c>
      <c r="W414" s="12">
        <v>3</v>
      </c>
      <c r="Y414" s="12">
        <f t="shared" si="14"/>
        <v>0.63100000000000001</v>
      </c>
      <c r="Z414" s="12">
        <f t="shared" si="16"/>
        <v>-0.21200000000000002</v>
      </c>
    </row>
    <row r="415" spans="1:26" x14ac:dyDescent="0.2">
      <c r="A415" s="12" t="s">
        <v>38</v>
      </c>
      <c r="B415" s="12">
        <v>4038.125</v>
      </c>
      <c r="C415" s="12">
        <v>59.076999999999998</v>
      </c>
      <c r="D415" s="12">
        <v>22.785</v>
      </c>
      <c r="E415" s="12">
        <v>2.6970000000000001</v>
      </c>
      <c r="F415" s="12">
        <v>164.988</v>
      </c>
      <c r="G415" s="12">
        <v>2.7970000000000002</v>
      </c>
      <c r="H415" s="12">
        <v>8.3109999999999999</v>
      </c>
      <c r="I415" s="12">
        <v>3.3650000000000002</v>
      </c>
      <c r="J415" s="12">
        <v>770.79899999999998</v>
      </c>
      <c r="K415" s="12">
        <v>851.83299999999997</v>
      </c>
      <c r="L415" s="12">
        <v>0</v>
      </c>
      <c r="M415" s="12">
        <v>0</v>
      </c>
      <c r="N415" s="12">
        <v>100</v>
      </c>
      <c r="O415" s="12">
        <v>0.32600000000000001</v>
      </c>
      <c r="P415" s="12">
        <v>0.51700000000000002</v>
      </c>
      <c r="Q415" s="12">
        <v>0.36299999999999999</v>
      </c>
      <c r="R415" s="12">
        <v>0.91800000000000004</v>
      </c>
      <c r="S415" s="12">
        <v>0.318</v>
      </c>
      <c r="U415" s="12" t="s">
        <v>33</v>
      </c>
      <c r="V415" s="12" t="s">
        <v>30</v>
      </c>
      <c r="W415" s="12">
        <v>3</v>
      </c>
      <c r="Y415" s="12">
        <f t="shared" si="14"/>
        <v>0.68900000000000006</v>
      </c>
      <c r="Z415" s="12">
        <f t="shared" si="16"/>
        <v>-0.191</v>
      </c>
    </row>
    <row r="416" spans="1:26" x14ac:dyDescent="0.2">
      <c r="A416" s="12" t="s">
        <v>38</v>
      </c>
      <c r="B416" s="12">
        <v>4038.25</v>
      </c>
      <c r="C416" s="12">
        <v>60.725000000000001</v>
      </c>
      <c r="D416" s="12">
        <v>22.716999999999999</v>
      </c>
      <c r="E416" s="12">
        <v>2.7040000000000002</v>
      </c>
      <c r="F416" s="12">
        <v>165.346</v>
      </c>
      <c r="G416" s="12">
        <v>2.7759999999999998</v>
      </c>
      <c r="H416" s="12">
        <v>8.2780000000000005</v>
      </c>
      <c r="I416" s="12">
        <v>3.3340000000000001</v>
      </c>
      <c r="J416" s="12">
        <v>964.54</v>
      </c>
      <c r="K416" s="12">
        <v>1024.816</v>
      </c>
      <c r="L416" s="12">
        <v>0</v>
      </c>
      <c r="M416" s="12">
        <v>0</v>
      </c>
      <c r="N416" s="12">
        <v>100</v>
      </c>
      <c r="O416" s="12">
        <v>0.34</v>
      </c>
      <c r="P416" s="12">
        <v>0.49399999999999999</v>
      </c>
      <c r="Q416" s="12">
        <v>0.379</v>
      </c>
      <c r="R416" s="12">
        <v>0.84299999999999997</v>
      </c>
      <c r="S416" s="12">
        <v>0.313</v>
      </c>
      <c r="U416" s="12" t="s">
        <v>33</v>
      </c>
      <c r="V416" s="12" t="s">
        <v>30</v>
      </c>
      <c r="W416" s="12">
        <v>3</v>
      </c>
      <c r="Y416" s="12">
        <f t="shared" si="14"/>
        <v>0.71900000000000008</v>
      </c>
      <c r="Z416" s="12">
        <f t="shared" si="16"/>
        <v>-0.15399999999999997</v>
      </c>
    </row>
    <row r="417" spans="1:26" x14ac:dyDescent="0.2">
      <c r="A417" s="12" t="s">
        <v>38</v>
      </c>
      <c r="B417" s="12">
        <v>4038.375</v>
      </c>
      <c r="C417" s="12">
        <v>60.279000000000003</v>
      </c>
      <c r="D417" s="12">
        <v>22.404</v>
      </c>
      <c r="E417" s="12">
        <v>2.4870000000000001</v>
      </c>
      <c r="F417" s="12">
        <v>164.76900000000001</v>
      </c>
      <c r="G417" s="12">
        <v>2.75</v>
      </c>
      <c r="H417" s="12">
        <v>8.3940000000000001</v>
      </c>
      <c r="I417" s="12">
        <v>3.2930000000000001</v>
      </c>
      <c r="J417" s="12">
        <v>1164.711</v>
      </c>
      <c r="K417" s="12">
        <v>1175.5409999999999</v>
      </c>
      <c r="L417" s="12">
        <v>0</v>
      </c>
      <c r="M417" s="12">
        <v>0</v>
      </c>
      <c r="N417" s="12">
        <v>100</v>
      </c>
      <c r="O417" s="12">
        <v>0.33900000000000002</v>
      </c>
      <c r="P417" s="12">
        <v>0.46800000000000003</v>
      </c>
      <c r="Q417" s="12">
        <v>0.36599999999999999</v>
      </c>
      <c r="R417" s="12">
        <v>0.74199999999999999</v>
      </c>
      <c r="S417" s="12">
        <v>0.32</v>
      </c>
      <c r="U417" s="12" t="s">
        <v>33</v>
      </c>
      <c r="V417" s="12" t="s">
        <v>30</v>
      </c>
      <c r="W417" s="12">
        <v>3</v>
      </c>
      <c r="Y417" s="12">
        <f t="shared" si="14"/>
        <v>0.70500000000000007</v>
      </c>
      <c r="Z417" s="12">
        <f t="shared" si="16"/>
        <v>-0.129</v>
      </c>
    </row>
    <row r="418" spans="1:26" x14ac:dyDescent="0.2">
      <c r="A418" s="12" t="s">
        <v>38</v>
      </c>
      <c r="B418" s="12">
        <v>4038.5</v>
      </c>
      <c r="C418" s="12">
        <v>55.884</v>
      </c>
      <c r="D418" s="12">
        <v>22.273</v>
      </c>
      <c r="E418" s="12">
        <v>2.33</v>
      </c>
      <c r="F418" s="12">
        <v>162.71799999999999</v>
      </c>
      <c r="G418" s="12">
        <v>2.7269999999999999</v>
      </c>
      <c r="H418" s="12">
        <v>8.8000000000000007</v>
      </c>
      <c r="I418" s="12">
        <v>3.262</v>
      </c>
      <c r="J418" s="12">
        <v>1292.8009999999999</v>
      </c>
      <c r="K418" s="12">
        <v>1241.3679999999999</v>
      </c>
      <c r="L418" s="12">
        <v>0</v>
      </c>
      <c r="M418" s="12">
        <v>0</v>
      </c>
      <c r="N418" s="12">
        <v>100</v>
      </c>
      <c r="O418" s="12">
        <v>0.31</v>
      </c>
      <c r="P418" s="12">
        <v>0.44500000000000001</v>
      </c>
      <c r="Q418" s="12">
        <v>0.31</v>
      </c>
      <c r="R418" s="12">
        <v>0.64600000000000002</v>
      </c>
      <c r="S418" s="12">
        <v>0.35</v>
      </c>
      <c r="U418" s="12" t="s">
        <v>33</v>
      </c>
      <c r="V418" s="12" t="s">
        <v>30</v>
      </c>
      <c r="W418" s="12">
        <v>3</v>
      </c>
      <c r="Y418" s="12">
        <f t="shared" si="14"/>
        <v>0.62</v>
      </c>
      <c r="Z418" s="12">
        <f t="shared" si="16"/>
        <v>-0.13500000000000001</v>
      </c>
    </row>
    <row r="419" spans="1:26" x14ac:dyDescent="0.2">
      <c r="A419" s="12" t="s">
        <v>38</v>
      </c>
      <c r="B419" s="12">
        <v>4038.625</v>
      </c>
      <c r="C419" s="12">
        <v>51.262</v>
      </c>
      <c r="D419" s="12">
        <v>22.141999999999999</v>
      </c>
      <c r="E419" s="12">
        <v>2.8069999999999999</v>
      </c>
      <c r="F419" s="12">
        <v>160.392</v>
      </c>
      <c r="G419" s="12">
        <v>2.72</v>
      </c>
      <c r="H419" s="12">
        <v>9.5090000000000003</v>
      </c>
      <c r="I419" s="12">
        <v>3.2410000000000001</v>
      </c>
      <c r="J419" s="12">
        <v>1303.5740000000001</v>
      </c>
      <c r="K419" s="12">
        <v>1223.3889999999999</v>
      </c>
      <c r="L419" s="12">
        <v>0</v>
      </c>
      <c r="M419" s="12">
        <v>0</v>
      </c>
      <c r="N419" s="12">
        <v>100</v>
      </c>
      <c r="O419" s="12">
        <v>0.27300000000000002</v>
      </c>
      <c r="P419" s="12">
        <v>0.43</v>
      </c>
      <c r="Q419" s="12">
        <v>0.23699999999999999</v>
      </c>
      <c r="R419" s="12">
        <v>0.60499999999999998</v>
      </c>
      <c r="S419" s="12">
        <v>0.40500000000000003</v>
      </c>
      <c r="U419" s="12" t="s">
        <v>33</v>
      </c>
      <c r="V419" s="12" t="s">
        <v>30</v>
      </c>
      <c r="W419" s="12">
        <v>3</v>
      </c>
      <c r="Y419" s="12">
        <f t="shared" si="14"/>
        <v>0.51</v>
      </c>
      <c r="Z419" s="12">
        <f t="shared" si="16"/>
        <v>-0.15699999999999997</v>
      </c>
    </row>
    <row r="420" spans="1:26" x14ac:dyDescent="0.2">
      <c r="A420" s="12" t="s">
        <v>38</v>
      </c>
      <c r="B420" s="12">
        <v>4038.75</v>
      </c>
      <c r="C420" s="12">
        <v>49.817999999999998</v>
      </c>
      <c r="D420" s="12">
        <v>22.11</v>
      </c>
      <c r="E420" s="12">
        <v>3.4569999999999999</v>
      </c>
      <c r="F420" s="12">
        <v>161.059</v>
      </c>
      <c r="G420" s="12">
        <v>2.7269999999999999</v>
      </c>
      <c r="H420" s="12">
        <v>10.327</v>
      </c>
      <c r="I420" s="12">
        <v>3.2280000000000002</v>
      </c>
      <c r="J420" s="12">
        <v>1184.5</v>
      </c>
      <c r="K420" s="12">
        <v>1169.8130000000001</v>
      </c>
      <c r="L420" s="12">
        <v>0</v>
      </c>
      <c r="M420" s="12">
        <v>0</v>
      </c>
      <c r="N420" s="12">
        <v>100</v>
      </c>
      <c r="O420" s="12">
        <v>0.25600000000000001</v>
      </c>
      <c r="P420" s="12">
        <v>0.42</v>
      </c>
      <c r="Q420" s="12">
        <v>0.23899999999999999</v>
      </c>
      <c r="R420" s="12">
        <v>0.622</v>
      </c>
      <c r="S420" s="12">
        <v>0.47299999999999998</v>
      </c>
      <c r="U420" s="12" t="s">
        <v>33</v>
      </c>
      <c r="V420" s="12" t="s">
        <v>30</v>
      </c>
      <c r="W420" s="12">
        <v>3</v>
      </c>
      <c r="Y420" s="12">
        <f t="shared" si="14"/>
        <v>0.495</v>
      </c>
      <c r="Z420" s="12">
        <f t="shared" si="16"/>
        <v>-0.16399999999999998</v>
      </c>
    </row>
    <row r="421" spans="1:26" x14ac:dyDescent="0.2">
      <c r="A421" s="12" t="s">
        <v>38</v>
      </c>
      <c r="B421" s="12">
        <v>4038.875</v>
      </c>
      <c r="C421" s="12">
        <v>54.997999999999998</v>
      </c>
      <c r="D421" s="12">
        <v>22.126000000000001</v>
      </c>
      <c r="E421" s="12">
        <v>3.5630000000000002</v>
      </c>
      <c r="F421" s="12">
        <v>166.03200000000001</v>
      </c>
      <c r="G421" s="12">
        <v>2.7450000000000001</v>
      </c>
      <c r="H421" s="12">
        <v>11.11</v>
      </c>
      <c r="I421" s="12">
        <v>3.214</v>
      </c>
      <c r="J421" s="12">
        <v>1032.855</v>
      </c>
      <c r="K421" s="12">
        <v>1082.7070000000001</v>
      </c>
      <c r="L421" s="12">
        <v>0</v>
      </c>
      <c r="M421" s="12">
        <v>0</v>
      </c>
      <c r="N421" s="12">
        <v>100</v>
      </c>
      <c r="O421" s="12">
        <v>0.28699999999999998</v>
      </c>
      <c r="P421" s="12">
        <v>0.41099999999999998</v>
      </c>
      <c r="Q421" s="12">
        <v>0.371</v>
      </c>
      <c r="R421" s="12">
        <v>0.68600000000000005</v>
      </c>
      <c r="S421" s="12">
        <v>0.54</v>
      </c>
      <c r="U421" s="12" t="s">
        <v>33</v>
      </c>
      <c r="V421" s="12" t="s">
        <v>30</v>
      </c>
      <c r="W421" s="12">
        <v>3</v>
      </c>
      <c r="Y421" s="12">
        <f t="shared" si="14"/>
        <v>0.65799999999999992</v>
      </c>
      <c r="Z421" s="12">
        <f t="shared" si="16"/>
        <v>-0.124</v>
      </c>
    </row>
    <row r="422" spans="1:26" x14ac:dyDescent="0.2">
      <c r="A422" s="12" t="s">
        <v>38</v>
      </c>
      <c r="B422" s="12">
        <v>4039</v>
      </c>
      <c r="C422" s="12">
        <v>67.417000000000002</v>
      </c>
      <c r="D422" s="12">
        <v>22.238</v>
      </c>
      <c r="E422" s="12">
        <v>3.1909999999999998</v>
      </c>
      <c r="F422" s="12">
        <v>174.12100000000001</v>
      </c>
      <c r="G422" s="12">
        <v>2.762</v>
      </c>
      <c r="H422" s="12">
        <v>11.853</v>
      </c>
      <c r="I422" s="12">
        <v>3.214</v>
      </c>
      <c r="J422" s="12">
        <v>894.26400000000001</v>
      </c>
      <c r="K422" s="12">
        <v>914.72299999999996</v>
      </c>
      <c r="L422" s="12">
        <v>0</v>
      </c>
      <c r="M422" s="12">
        <v>0</v>
      </c>
      <c r="N422" s="12">
        <v>100</v>
      </c>
      <c r="O422" s="12">
        <v>0.377</v>
      </c>
      <c r="P422" s="12">
        <v>0.40899999999999997</v>
      </c>
      <c r="Q422" s="12">
        <v>0.61099999999999999</v>
      </c>
      <c r="R422" s="12">
        <v>0.75600000000000001</v>
      </c>
      <c r="S422" s="12">
        <v>0.60399999999999998</v>
      </c>
      <c r="U422" s="12" t="s">
        <v>33</v>
      </c>
      <c r="V422" s="12" t="s">
        <v>30</v>
      </c>
      <c r="W422" s="12">
        <v>3</v>
      </c>
      <c r="Y422" s="12">
        <f t="shared" si="14"/>
        <v>0.98799999999999999</v>
      </c>
      <c r="Z422" s="12">
        <f t="shared" si="16"/>
        <v>-3.1999999999999973E-2</v>
      </c>
    </row>
    <row r="423" spans="1:26" x14ac:dyDescent="0.2">
      <c r="A423" s="12" t="s">
        <v>38</v>
      </c>
      <c r="B423" s="12">
        <v>4039.125</v>
      </c>
      <c r="C423" s="12">
        <v>83.593000000000004</v>
      </c>
      <c r="D423" s="12">
        <v>22.620999999999999</v>
      </c>
      <c r="E423" s="12">
        <v>3.3769999999999998</v>
      </c>
      <c r="F423" s="12">
        <v>179.26400000000001</v>
      </c>
      <c r="G423" s="12">
        <v>2.766</v>
      </c>
      <c r="H423" s="12">
        <v>12.715999999999999</v>
      </c>
      <c r="I423" s="12">
        <v>3.24</v>
      </c>
      <c r="J423" s="12">
        <v>654.12400000000002</v>
      </c>
      <c r="K423" s="12">
        <v>651.40599999999995</v>
      </c>
      <c r="L423" s="12">
        <v>0</v>
      </c>
      <c r="M423" s="12">
        <v>0</v>
      </c>
      <c r="N423" s="12">
        <v>100</v>
      </c>
      <c r="O423" s="12">
        <v>0.502</v>
      </c>
      <c r="P423" s="12">
        <v>0.42299999999999999</v>
      </c>
      <c r="Q423" s="12">
        <v>0.79500000000000004</v>
      </c>
      <c r="R423" s="12">
        <v>0.78200000000000003</v>
      </c>
      <c r="S423" s="12">
        <v>0.67500000000000004</v>
      </c>
      <c r="U423" s="12" t="s">
        <v>33</v>
      </c>
      <c r="V423" s="12" t="s">
        <v>30</v>
      </c>
      <c r="W423" s="12">
        <v>3</v>
      </c>
      <c r="Y423" s="12">
        <f t="shared" si="14"/>
        <v>1.2970000000000002</v>
      </c>
      <c r="Z423" s="12">
        <f t="shared" si="16"/>
        <v>7.9000000000000015E-2</v>
      </c>
    </row>
    <row r="424" spans="1:26" x14ac:dyDescent="0.2">
      <c r="A424" s="12" t="s">
        <v>43</v>
      </c>
      <c r="B424" s="12">
        <v>3892.625</v>
      </c>
      <c r="C424" s="12">
        <v>52.567</v>
      </c>
      <c r="D424" s="12">
        <v>28.04</v>
      </c>
      <c r="E424" s="12">
        <v>3.4820000000000002</v>
      </c>
      <c r="F424" s="12">
        <v>166.00299999999999</v>
      </c>
      <c r="G424" s="12">
        <v>2.5</v>
      </c>
      <c r="H424" s="12">
        <v>7.4710000000000001</v>
      </c>
      <c r="I424" s="12">
        <v>2.8849999999999998</v>
      </c>
      <c r="J424" s="12">
        <v>654.83100000000002</v>
      </c>
      <c r="K424" s="12">
        <v>712.38800000000003</v>
      </c>
      <c r="L424" s="12">
        <v>0.01</v>
      </c>
      <c r="M424" s="12">
        <v>1E-3</v>
      </c>
      <c r="N424" s="12">
        <v>100</v>
      </c>
      <c r="O424" s="12">
        <v>0.34</v>
      </c>
      <c r="P424" s="12">
        <v>0.40300000000000002</v>
      </c>
      <c r="Q424" s="12">
        <v>6.0000000000000001E-3</v>
      </c>
      <c r="R424" s="12">
        <v>0.53100000000000003</v>
      </c>
      <c r="S424" s="12">
        <v>0.2</v>
      </c>
      <c r="U424" s="12" t="s">
        <v>33</v>
      </c>
      <c r="V424" s="12" t="s">
        <v>30</v>
      </c>
      <c r="W424" s="12">
        <v>10</v>
      </c>
      <c r="Y424" s="12">
        <f t="shared" si="14"/>
        <v>0.34600000000000003</v>
      </c>
      <c r="Z424" s="12">
        <f t="shared" ref="Z424:Z428" si="17">O424-P424</f>
        <v>-6.3E-2</v>
      </c>
    </row>
    <row r="425" spans="1:26" x14ac:dyDescent="0.2">
      <c r="A425" s="12" t="s">
        <v>43</v>
      </c>
      <c r="B425" s="12">
        <v>3892.75</v>
      </c>
      <c r="C425" s="12">
        <v>57.429000000000002</v>
      </c>
      <c r="D425" s="12">
        <v>30.003</v>
      </c>
      <c r="E425" s="12">
        <v>3.6989999999999998</v>
      </c>
      <c r="F425" s="12">
        <v>175.18199999999999</v>
      </c>
      <c r="G425" s="12">
        <v>2.4710000000000001</v>
      </c>
      <c r="H425" s="12">
        <v>8.1</v>
      </c>
      <c r="I425" s="12">
        <v>2.7949999999999999</v>
      </c>
      <c r="J425" s="12">
        <v>600.63099999999997</v>
      </c>
      <c r="K425" s="12">
        <v>653.40800000000002</v>
      </c>
      <c r="L425" s="12">
        <v>0.01</v>
      </c>
      <c r="M425" s="12">
        <v>1E-3</v>
      </c>
      <c r="N425" s="12">
        <v>100</v>
      </c>
      <c r="O425" s="12">
        <v>0.39700000000000002</v>
      </c>
      <c r="P425" s="12">
        <v>0.33400000000000002</v>
      </c>
      <c r="Q425" s="12">
        <v>3.9E-2</v>
      </c>
      <c r="R425" s="12">
        <v>0.42199999999999999</v>
      </c>
      <c r="S425" s="12">
        <v>0.217</v>
      </c>
      <c r="U425" s="12" t="s">
        <v>33</v>
      </c>
      <c r="V425" s="12" t="s">
        <v>30</v>
      </c>
      <c r="W425" s="12">
        <v>10</v>
      </c>
      <c r="Y425" s="12">
        <f t="shared" si="14"/>
        <v>0.436</v>
      </c>
      <c r="Z425" s="12">
        <f t="shared" si="17"/>
        <v>6.3E-2</v>
      </c>
    </row>
    <row r="426" spans="1:26" x14ac:dyDescent="0.2">
      <c r="A426" s="12" t="s">
        <v>43</v>
      </c>
      <c r="B426" s="12">
        <v>3892.875</v>
      </c>
      <c r="C426" s="12">
        <v>61.298000000000002</v>
      </c>
      <c r="D426" s="12">
        <v>32.231000000000002</v>
      </c>
      <c r="E426" s="12">
        <v>3.996</v>
      </c>
      <c r="F426" s="12">
        <v>198.28100000000001</v>
      </c>
      <c r="G426" s="12">
        <v>2.4390000000000001</v>
      </c>
      <c r="H426" s="12">
        <v>9.7200000000000006</v>
      </c>
      <c r="I426" s="12">
        <v>2.7050000000000001</v>
      </c>
      <c r="J426" s="12">
        <v>503.38299999999998</v>
      </c>
      <c r="K426" s="12">
        <v>547.65300000000002</v>
      </c>
      <c r="L426" s="12">
        <v>0.01</v>
      </c>
      <c r="M426" s="12">
        <v>1E-3</v>
      </c>
      <c r="N426" s="12">
        <v>100</v>
      </c>
      <c r="O426" s="12">
        <v>0.44500000000000001</v>
      </c>
      <c r="P426" s="12">
        <v>0.252</v>
      </c>
      <c r="Q426" s="12">
        <v>0.14399999999999999</v>
      </c>
      <c r="R426" s="12">
        <v>0.36599999999999999</v>
      </c>
      <c r="S426" s="12">
        <v>0.28999999999999998</v>
      </c>
      <c r="U426" s="12" t="s">
        <v>33</v>
      </c>
      <c r="V426" s="12" t="s">
        <v>30</v>
      </c>
      <c r="W426" s="12">
        <v>10</v>
      </c>
      <c r="Y426" s="12">
        <f t="shared" si="14"/>
        <v>0.58899999999999997</v>
      </c>
      <c r="Z426" s="12">
        <f t="shared" si="17"/>
        <v>0.193</v>
      </c>
    </row>
    <row r="427" spans="1:26" x14ac:dyDescent="0.2">
      <c r="A427" s="12" t="s">
        <v>43</v>
      </c>
      <c r="B427" s="12">
        <v>3893</v>
      </c>
      <c r="C427" s="12">
        <v>67.260999999999996</v>
      </c>
      <c r="D427" s="12">
        <v>34.058</v>
      </c>
      <c r="E427" s="12">
        <v>4.3079999999999998</v>
      </c>
      <c r="F427" s="12">
        <v>235.45699999999999</v>
      </c>
      <c r="G427" s="12">
        <v>2.4079999999999999</v>
      </c>
      <c r="H427" s="12">
        <v>12.333</v>
      </c>
      <c r="I427" s="12">
        <v>2.6619999999999999</v>
      </c>
      <c r="J427" s="12">
        <v>380.36200000000002</v>
      </c>
      <c r="K427" s="12">
        <v>413.86099999999999</v>
      </c>
      <c r="L427" s="12">
        <v>0.01</v>
      </c>
      <c r="M427" s="12">
        <v>1E-3</v>
      </c>
      <c r="N427" s="12">
        <v>100</v>
      </c>
      <c r="O427" s="12">
        <v>0.499</v>
      </c>
      <c r="P427" s="12">
        <v>0.191</v>
      </c>
      <c r="Q427" s="12">
        <v>0.34</v>
      </c>
      <c r="R427" s="12">
        <v>0.308</v>
      </c>
      <c r="S427" s="12">
        <v>0.42699999999999999</v>
      </c>
      <c r="U427" s="12" t="s">
        <v>33</v>
      </c>
      <c r="V427" s="12" t="s">
        <v>30</v>
      </c>
      <c r="W427" s="12">
        <v>10</v>
      </c>
      <c r="Y427" s="12">
        <f t="shared" si="14"/>
        <v>0.83899999999999997</v>
      </c>
      <c r="Z427" s="12">
        <f t="shared" si="17"/>
        <v>0.308</v>
      </c>
    </row>
    <row r="428" spans="1:26" x14ac:dyDescent="0.2">
      <c r="A428" s="12" t="s">
        <v>43</v>
      </c>
      <c r="B428" s="12">
        <v>3893.125</v>
      </c>
      <c r="C428" s="12">
        <v>77.641999999999996</v>
      </c>
      <c r="D428" s="12">
        <v>34.194000000000003</v>
      </c>
      <c r="E428" s="12">
        <v>4.7240000000000002</v>
      </c>
      <c r="F428" s="12">
        <v>277.44400000000002</v>
      </c>
      <c r="G428" s="12">
        <v>2.3130000000000002</v>
      </c>
      <c r="H428" s="12">
        <v>15.52</v>
      </c>
      <c r="I428" s="12">
        <v>2.6669999999999998</v>
      </c>
      <c r="J428" s="12">
        <v>259.59300000000002</v>
      </c>
      <c r="K428" s="12">
        <v>282.48099999999999</v>
      </c>
      <c r="L428" s="12">
        <v>0.01</v>
      </c>
      <c r="M428" s="12">
        <v>1E-3</v>
      </c>
      <c r="N428" s="12">
        <v>100</v>
      </c>
      <c r="O428" s="12">
        <v>0.58899999999999997</v>
      </c>
      <c r="P428" s="12">
        <v>0.17299999999999999</v>
      </c>
      <c r="Q428" s="12">
        <v>0.59599999999999997</v>
      </c>
      <c r="R428" s="12">
        <v>0.192</v>
      </c>
      <c r="S428" s="12">
        <v>0.61399999999999999</v>
      </c>
      <c r="U428" s="12" t="s">
        <v>33</v>
      </c>
      <c r="V428" s="12" t="s">
        <v>30</v>
      </c>
      <c r="W428" s="12">
        <v>10</v>
      </c>
      <c r="Y428" s="12">
        <f t="shared" si="14"/>
        <v>1.1850000000000001</v>
      </c>
      <c r="Z428" s="12">
        <f t="shared" si="17"/>
        <v>0.41599999999999998</v>
      </c>
    </row>
    <row r="429" spans="1:26" x14ac:dyDescent="0.2">
      <c r="A429" s="12" t="s">
        <v>44</v>
      </c>
      <c r="B429" s="12">
        <v>3887.875</v>
      </c>
      <c r="C429" s="12">
        <v>26.657</v>
      </c>
      <c r="D429" s="12">
        <v>21.613</v>
      </c>
      <c r="E429" s="12">
        <v>2.7</v>
      </c>
      <c r="F429" s="12">
        <v>158.44999999999999</v>
      </c>
      <c r="G429" s="12">
        <v>2.677</v>
      </c>
      <c r="H429" s="12">
        <v>1.6819999999999999</v>
      </c>
      <c r="I429" s="12">
        <v>4.0819999999999999</v>
      </c>
      <c r="J429" s="12">
        <v>2490.511</v>
      </c>
      <c r="K429" s="12">
        <v>2697.422</v>
      </c>
      <c r="L429" s="12">
        <v>9.5000000000000001E-2</v>
      </c>
      <c r="M429" s="12">
        <v>1E-3</v>
      </c>
      <c r="N429" s="12">
        <v>100</v>
      </c>
      <c r="O429" s="12">
        <v>8.1000000000000003E-2</v>
      </c>
      <c r="P429" s="12">
        <v>0.58199999999999996</v>
      </c>
      <c r="Q429" s="12">
        <v>0.21199999999999999</v>
      </c>
      <c r="R429" s="12">
        <v>0.56100000000000005</v>
      </c>
      <c r="S429" s="12">
        <v>3.5999999999999997E-2</v>
      </c>
      <c r="U429" s="12" t="s">
        <v>22</v>
      </c>
      <c r="V429" s="12" t="s">
        <v>30</v>
      </c>
      <c r="W429" s="12">
        <v>4</v>
      </c>
      <c r="Y429" s="12">
        <f t="shared" si="14"/>
        <v>0.29299999999999998</v>
      </c>
      <c r="Z429" s="12">
        <f t="shared" ref="Z429:Z458" si="18">O429-P429</f>
        <v>-0.501</v>
      </c>
    </row>
    <row r="430" spans="1:26" x14ac:dyDescent="0.2">
      <c r="A430" s="12" t="s">
        <v>44</v>
      </c>
      <c r="B430" s="12">
        <v>3888</v>
      </c>
      <c r="C430" s="12">
        <v>29.373000000000001</v>
      </c>
      <c r="D430" s="12">
        <v>21.623000000000001</v>
      </c>
      <c r="E430" s="12">
        <v>3.0329999999999999</v>
      </c>
      <c r="F430" s="12">
        <v>159.21100000000001</v>
      </c>
      <c r="G430" s="12">
        <v>2.665</v>
      </c>
      <c r="H430" s="12">
        <v>3.5350000000000001</v>
      </c>
      <c r="I430" s="12">
        <v>3.6309999999999998</v>
      </c>
      <c r="J430" s="12">
        <v>1687.213</v>
      </c>
      <c r="K430" s="12">
        <v>1827.3869999999999</v>
      </c>
      <c r="L430" s="12">
        <v>0.97599999999999998</v>
      </c>
      <c r="M430" s="12">
        <v>1E-3</v>
      </c>
      <c r="N430" s="12">
        <v>82.031000000000006</v>
      </c>
      <c r="O430" s="12">
        <v>0.1</v>
      </c>
      <c r="P430" s="12">
        <v>0.40500000000000003</v>
      </c>
      <c r="Q430" s="12">
        <v>0.223</v>
      </c>
      <c r="R430" s="12">
        <v>0.52400000000000002</v>
      </c>
      <c r="S430" s="12">
        <v>0.115</v>
      </c>
      <c r="T430" s="12" t="s">
        <v>23</v>
      </c>
      <c r="U430" s="12" t="s">
        <v>22</v>
      </c>
      <c r="V430" s="12" t="s">
        <v>30</v>
      </c>
      <c r="W430" s="12">
        <v>4</v>
      </c>
      <c r="Y430" s="12">
        <f t="shared" si="14"/>
        <v>0.32300000000000001</v>
      </c>
      <c r="Z430" s="12">
        <f t="shared" si="18"/>
        <v>-0.30500000000000005</v>
      </c>
    </row>
    <row r="431" spans="1:26" x14ac:dyDescent="0.2">
      <c r="A431" s="12" t="s">
        <v>44</v>
      </c>
      <c r="B431" s="12">
        <v>3888.125</v>
      </c>
      <c r="C431" s="12">
        <v>32.520000000000003</v>
      </c>
      <c r="D431" s="12">
        <v>21.655999999999999</v>
      </c>
      <c r="E431" s="12">
        <v>3.1960000000000002</v>
      </c>
      <c r="F431" s="12">
        <v>160.858</v>
      </c>
      <c r="G431" s="12">
        <v>2.649</v>
      </c>
      <c r="H431" s="12">
        <v>5.9089999999999998</v>
      </c>
      <c r="I431" s="12">
        <v>3.274</v>
      </c>
      <c r="J431" s="12">
        <v>878.61800000000005</v>
      </c>
      <c r="K431" s="12">
        <v>951.61300000000006</v>
      </c>
      <c r="L431" s="12">
        <v>2.58</v>
      </c>
      <c r="M431" s="12">
        <v>2E-3</v>
      </c>
      <c r="N431" s="12">
        <v>37.173000000000002</v>
      </c>
      <c r="O431" s="12">
        <v>0.125</v>
      </c>
      <c r="P431" s="12">
        <v>0.25600000000000001</v>
      </c>
      <c r="Q431" s="12">
        <v>0.253</v>
      </c>
      <c r="R431" s="12">
        <v>0.46899999999999997</v>
      </c>
      <c r="S431" s="12">
        <v>0.23300000000000001</v>
      </c>
      <c r="T431" s="12" t="s">
        <v>23</v>
      </c>
      <c r="U431" s="12" t="s">
        <v>22</v>
      </c>
      <c r="V431" s="12" t="s">
        <v>30</v>
      </c>
      <c r="W431" s="12">
        <v>4</v>
      </c>
      <c r="Y431" s="12">
        <f t="shared" si="14"/>
        <v>0.378</v>
      </c>
      <c r="Z431" s="12">
        <f t="shared" si="18"/>
        <v>-0.13100000000000001</v>
      </c>
    </row>
    <row r="432" spans="1:26" x14ac:dyDescent="0.2">
      <c r="A432" s="12" t="s">
        <v>44</v>
      </c>
      <c r="B432" s="12">
        <v>3888.25</v>
      </c>
      <c r="C432" s="12">
        <v>34.087000000000003</v>
      </c>
      <c r="D432" s="12">
        <v>21.699000000000002</v>
      </c>
      <c r="E432" s="12">
        <v>2.887</v>
      </c>
      <c r="F432" s="12">
        <v>163.416</v>
      </c>
      <c r="G432" s="12">
        <v>2.6339999999999999</v>
      </c>
      <c r="H432" s="12">
        <v>7.3490000000000002</v>
      </c>
      <c r="I432" s="12">
        <v>3.0270000000000001</v>
      </c>
      <c r="J432" s="12">
        <v>415.73599999999999</v>
      </c>
      <c r="K432" s="12">
        <v>450.27600000000001</v>
      </c>
      <c r="L432" s="12">
        <v>3.4889999999999999</v>
      </c>
      <c r="M432" s="12">
        <v>8.0000000000000002E-3</v>
      </c>
      <c r="N432" s="12">
        <v>36.970999999999997</v>
      </c>
      <c r="O432" s="12">
        <v>0.14399999999999999</v>
      </c>
      <c r="P432" s="12">
        <v>0.14599999999999999</v>
      </c>
      <c r="Q432" s="12">
        <v>0.30399999999999999</v>
      </c>
      <c r="R432" s="12">
        <v>0.40899999999999997</v>
      </c>
      <c r="S432" s="12">
        <v>0.33100000000000002</v>
      </c>
      <c r="T432" s="12" t="s">
        <v>23</v>
      </c>
      <c r="U432" s="12" t="s">
        <v>22</v>
      </c>
      <c r="V432" s="12" t="s">
        <v>30</v>
      </c>
      <c r="W432" s="12">
        <v>4</v>
      </c>
      <c r="Y432" s="12">
        <f t="shared" si="14"/>
        <v>0.44799999999999995</v>
      </c>
      <c r="Z432" s="12">
        <f t="shared" si="18"/>
        <v>-2.0000000000000018E-3</v>
      </c>
    </row>
    <row r="433" spans="1:26" x14ac:dyDescent="0.2">
      <c r="A433" s="12" t="s">
        <v>44</v>
      </c>
      <c r="B433" s="12">
        <v>3888.375</v>
      </c>
      <c r="C433" s="12">
        <v>32.549999999999997</v>
      </c>
      <c r="D433" s="12">
        <v>21.753</v>
      </c>
      <c r="E433" s="12">
        <v>2.2890000000000001</v>
      </c>
      <c r="F433" s="12">
        <v>166.44399999999999</v>
      </c>
      <c r="G433" s="12">
        <v>2.6339999999999999</v>
      </c>
      <c r="H433" s="12">
        <v>7.5860000000000003</v>
      </c>
      <c r="I433" s="12">
        <v>3.0270000000000001</v>
      </c>
      <c r="J433" s="12">
        <v>227.274</v>
      </c>
      <c r="K433" s="12">
        <v>246.15600000000001</v>
      </c>
      <c r="L433" s="12">
        <v>3.62</v>
      </c>
      <c r="M433" s="12">
        <v>8.9999999999999993E-3</v>
      </c>
      <c r="N433" s="12">
        <v>46.305</v>
      </c>
      <c r="O433" s="12">
        <v>0.14199999999999999</v>
      </c>
      <c r="P433" s="12">
        <v>0.109</v>
      </c>
      <c r="Q433" s="12">
        <v>0.36899999999999999</v>
      </c>
      <c r="R433" s="12">
        <v>0.38600000000000001</v>
      </c>
      <c r="S433" s="12">
        <v>0.37</v>
      </c>
      <c r="T433" s="12" t="s">
        <v>23</v>
      </c>
      <c r="U433" s="12" t="s">
        <v>22</v>
      </c>
      <c r="V433" s="12" t="s">
        <v>30</v>
      </c>
      <c r="W433" s="12">
        <v>4</v>
      </c>
      <c r="Y433" s="12">
        <f t="shared" si="14"/>
        <v>0.51100000000000001</v>
      </c>
      <c r="Z433" s="12">
        <f t="shared" si="18"/>
        <v>3.2999999999999988E-2</v>
      </c>
    </row>
    <row r="434" spans="1:26" x14ac:dyDescent="0.2">
      <c r="A434" s="12" t="s">
        <v>44</v>
      </c>
      <c r="B434" s="12">
        <v>3888.875</v>
      </c>
      <c r="C434" s="12">
        <v>21.184000000000001</v>
      </c>
      <c r="D434" s="12">
        <v>21.722000000000001</v>
      </c>
      <c r="E434" s="12">
        <v>1.52</v>
      </c>
      <c r="F434" s="12">
        <v>174.07</v>
      </c>
      <c r="G434" s="12">
        <v>2.625</v>
      </c>
      <c r="H434" s="12">
        <v>8.5739999999999998</v>
      </c>
      <c r="I434" s="12">
        <v>2.9790000000000001</v>
      </c>
      <c r="J434" s="12">
        <v>50.582000000000001</v>
      </c>
      <c r="K434" s="12">
        <v>54.783999999999999</v>
      </c>
      <c r="L434" s="12">
        <v>4.2039999999999997</v>
      </c>
      <c r="M434" s="12">
        <v>1.7999999999999999E-2</v>
      </c>
      <c r="N434" s="12">
        <v>76.027000000000001</v>
      </c>
      <c r="O434" s="12">
        <v>4.2999999999999997E-2</v>
      </c>
      <c r="P434" s="12">
        <v>7.1999999999999995E-2</v>
      </c>
      <c r="Q434" s="12">
        <v>0.57199999999999995</v>
      </c>
      <c r="R434" s="12">
        <v>0.35</v>
      </c>
      <c r="S434" s="12">
        <v>0.41299999999999998</v>
      </c>
      <c r="T434" s="12" t="s">
        <v>23</v>
      </c>
      <c r="U434" s="12" t="s">
        <v>22</v>
      </c>
      <c r="V434" s="12" t="s">
        <v>30</v>
      </c>
      <c r="W434" s="12">
        <v>4</v>
      </c>
      <c r="Y434" s="12">
        <f t="shared" si="14"/>
        <v>0.61499999999999999</v>
      </c>
      <c r="Z434" s="12">
        <f t="shared" si="18"/>
        <v>-2.8999999999999998E-2</v>
      </c>
    </row>
    <row r="435" spans="1:26" x14ac:dyDescent="0.2">
      <c r="A435" s="12" t="s">
        <v>44</v>
      </c>
      <c r="B435" s="12">
        <v>3889</v>
      </c>
      <c r="C435" s="12">
        <v>20.884</v>
      </c>
      <c r="D435" s="12">
        <v>21.670999999999999</v>
      </c>
      <c r="E435" s="12">
        <v>1.5629999999999999</v>
      </c>
      <c r="F435" s="12">
        <v>172.53100000000001</v>
      </c>
      <c r="G435" s="12">
        <v>2.629</v>
      </c>
      <c r="H435" s="12">
        <v>9.8049999999999997</v>
      </c>
      <c r="I435" s="12">
        <v>3.1749999999999998</v>
      </c>
      <c r="J435" s="12">
        <v>47.884999999999998</v>
      </c>
      <c r="K435" s="12">
        <v>51.863</v>
      </c>
      <c r="L435" s="12">
        <v>4.9980000000000002</v>
      </c>
      <c r="M435" s="12">
        <v>3.7999999999999999E-2</v>
      </c>
      <c r="N435" s="12">
        <v>64.265000000000001</v>
      </c>
      <c r="O435" s="12">
        <v>3.6999999999999998E-2</v>
      </c>
      <c r="P435" s="12">
        <v>0.13500000000000001</v>
      </c>
      <c r="Q435" s="12">
        <v>0.55200000000000005</v>
      </c>
      <c r="R435" s="12">
        <v>0.36099999999999999</v>
      </c>
      <c r="S435" s="12">
        <v>0.46899999999999997</v>
      </c>
      <c r="T435" s="12" t="s">
        <v>23</v>
      </c>
      <c r="U435" s="12" t="s">
        <v>22</v>
      </c>
      <c r="V435" s="12" t="s">
        <v>30</v>
      </c>
      <c r="W435" s="12">
        <v>4</v>
      </c>
      <c r="Y435" s="12">
        <f t="shared" si="14"/>
        <v>0.58900000000000008</v>
      </c>
      <c r="Z435" s="12">
        <f t="shared" si="18"/>
        <v>-9.8000000000000004E-2</v>
      </c>
    </row>
    <row r="436" spans="1:26" x14ac:dyDescent="0.2">
      <c r="A436" s="12" t="s">
        <v>44</v>
      </c>
      <c r="B436" s="12">
        <v>3889.125</v>
      </c>
      <c r="C436" s="12">
        <v>21.096</v>
      </c>
      <c r="D436" s="12">
        <v>21.651</v>
      </c>
      <c r="E436" s="12">
        <v>1.601</v>
      </c>
      <c r="F436" s="12">
        <v>169.89699999999999</v>
      </c>
      <c r="G436" s="12">
        <v>2.6379999999999999</v>
      </c>
      <c r="H436" s="12">
        <v>10.999000000000001</v>
      </c>
      <c r="I436" s="12">
        <v>3.35</v>
      </c>
      <c r="J436" s="12">
        <v>50.728999999999999</v>
      </c>
      <c r="K436" s="12">
        <v>54.944000000000003</v>
      </c>
      <c r="L436" s="12">
        <v>5.7759999999999998</v>
      </c>
      <c r="M436" s="12">
        <v>7.1999999999999995E-2</v>
      </c>
      <c r="N436" s="12">
        <v>53.354999999999997</v>
      </c>
      <c r="O436" s="12">
        <v>3.6999999999999998E-2</v>
      </c>
      <c r="P436" s="12">
        <v>0.20399999999999999</v>
      </c>
      <c r="Q436" s="12">
        <v>0.501</v>
      </c>
      <c r="R436" s="12">
        <v>0.38800000000000001</v>
      </c>
      <c r="S436" s="12">
        <v>0.53400000000000003</v>
      </c>
      <c r="T436" s="12" t="s">
        <v>23</v>
      </c>
      <c r="U436" s="12" t="s">
        <v>22</v>
      </c>
      <c r="V436" s="12" t="s">
        <v>30</v>
      </c>
      <c r="W436" s="12">
        <v>4</v>
      </c>
      <c r="Y436" s="12">
        <f t="shared" si="14"/>
        <v>0.53800000000000003</v>
      </c>
      <c r="Z436" s="12">
        <f t="shared" si="18"/>
        <v>-0.16699999999999998</v>
      </c>
    </row>
    <row r="437" spans="1:26" x14ac:dyDescent="0.2">
      <c r="A437" s="12" t="s">
        <v>44</v>
      </c>
      <c r="B437" s="12">
        <v>3889.25</v>
      </c>
      <c r="C437" s="12">
        <v>21.238</v>
      </c>
      <c r="D437" s="12">
        <v>21.640999999999998</v>
      </c>
      <c r="E437" s="12">
        <v>1.61</v>
      </c>
      <c r="F437" s="12">
        <v>167.119</v>
      </c>
      <c r="G437" s="12">
        <v>2.6509999999999998</v>
      </c>
      <c r="H437" s="12">
        <v>11.323</v>
      </c>
      <c r="I437" s="12">
        <v>3.4710000000000001</v>
      </c>
      <c r="J437" s="12">
        <v>56.860999999999997</v>
      </c>
      <c r="K437" s="12">
        <v>61.585000000000001</v>
      </c>
      <c r="L437" s="12">
        <v>5.8070000000000004</v>
      </c>
      <c r="M437" s="12">
        <v>7.3999999999999996E-2</v>
      </c>
      <c r="N437" s="12">
        <v>50.44</v>
      </c>
      <c r="O437" s="12">
        <v>3.7999999999999999E-2</v>
      </c>
      <c r="P437" s="12">
        <v>0.25800000000000001</v>
      </c>
      <c r="Q437" s="12">
        <v>0.438</v>
      </c>
      <c r="R437" s="12">
        <v>0.432</v>
      </c>
      <c r="S437" s="12">
        <v>0.57099999999999995</v>
      </c>
      <c r="T437" s="12" t="s">
        <v>23</v>
      </c>
      <c r="U437" s="12" t="s">
        <v>22</v>
      </c>
      <c r="V437" s="12" t="s">
        <v>30</v>
      </c>
      <c r="W437" s="12">
        <v>4</v>
      </c>
      <c r="Y437" s="12">
        <f t="shared" si="14"/>
        <v>0.47599999999999998</v>
      </c>
      <c r="Z437" s="12">
        <f t="shared" si="18"/>
        <v>-0.22</v>
      </c>
    </row>
    <row r="438" spans="1:26" x14ac:dyDescent="0.2">
      <c r="A438" s="12" t="s">
        <v>44</v>
      </c>
      <c r="B438" s="12">
        <v>3889.375</v>
      </c>
      <c r="C438" s="12">
        <v>21.039000000000001</v>
      </c>
      <c r="D438" s="12">
        <v>21.658999999999999</v>
      </c>
      <c r="E438" s="12">
        <v>1.577</v>
      </c>
      <c r="F438" s="12">
        <v>165.28899999999999</v>
      </c>
      <c r="G438" s="12">
        <v>2.665</v>
      </c>
      <c r="H438" s="12">
        <v>10.62</v>
      </c>
      <c r="I438" s="12">
        <v>3.5390000000000001</v>
      </c>
      <c r="J438" s="12">
        <v>63.183</v>
      </c>
      <c r="K438" s="12">
        <v>68.430999999999997</v>
      </c>
      <c r="L438" s="12">
        <v>5.0999999999999996</v>
      </c>
      <c r="M438" s="12">
        <v>4.2000000000000003E-2</v>
      </c>
      <c r="N438" s="12">
        <v>55.616</v>
      </c>
      <c r="O438" s="12">
        <v>3.7999999999999999E-2</v>
      </c>
      <c r="P438" s="12">
        <v>0.29199999999999998</v>
      </c>
      <c r="Q438" s="12">
        <v>0.38700000000000001</v>
      </c>
      <c r="R438" s="12">
        <v>0.48399999999999999</v>
      </c>
      <c r="S438" s="12">
        <v>0.55500000000000005</v>
      </c>
      <c r="T438" s="12" t="s">
        <v>23</v>
      </c>
      <c r="U438" s="12" t="s">
        <v>22</v>
      </c>
      <c r="V438" s="12" t="s">
        <v>30</v>
      </c>
      <c r="W438" s="12">
        <v>4</v>
      </c>
      <c r="Y438" s="12">
        <f t="shared" si="14"/>
        <v>0.42499999999999999</v>
      </c>
      <c r="Z438" s="12">
        <f t="shared" si="18"/>
        <v>-0.254</v>
      </c>
    </row>
    <row r="439" spans="1:26" x14ac:dyDescent="0.2">
      <c r="A439" s="12" t="s">
        <v>44</v>
      </c>
      <c r="B439" s="12">
        <v>3889.5</v>
      </c>
      <c r="C439" s="12">
        <v>20.693000000000001</v>
      </c>
      <c r="D439" s="12">
        <v>21.72</v>
      </c>
      <c r="E439" s="12">
        <v>1.502</v>
      </c>
      <c r="F439" s="12">
        <v>165.14500000000001</v>
      </c>
      <c r="G439" s="12">
        <v>2.6749999999999998</v>
      </c>
      <c r="H439" s="12">
        <v>9.5530000000000008</v>
      </c>
      <c r="I439" s="12">
        <v>3.5390000000000001</v>
      </c>
      <c r="J439" s="12">
        <v>67.713999999999999</v>
      </c>
      <c r="K439" s="12">
        <v>73.34</v>
      </c>
      <c r="L439" s="12">
        <v>4.266</v>
      </c>
      <c r="M439" s="12">
        <v>1.9E-2</v>
      </c>
      <c r="N439" s="12">
        <v>65.771000000000001</v>
      </c>
      <c r="O439" s="12">
        <v>3.5000000000000003E-2</v>
      </c>
      <c r="P439" s="12">
        <v>0.30199999999999999</v>
      </c>
      <c r="Q439" s="12">
        <v>0.36799999999999999</v>
      </c>
      <c r="R439" s="12">
        <v>0.52900000000000003</v>
      </c>
      <c r="S439" s="12">
        <v>0.505</v>
      </c>
      <c r="T439" s="12" t="s">
        <v>23</v>
      </c>
      <c r="U439" s="12" t="s">
        <v>22</v>
      </c>
      <c r="V439" s="12" t="s">
        <v>30</v>
      </c>
      <c r="W439" s="12">
        <v>4</v>
      </c>
      <c r="Y439" s="12">
        <f t="shared" si="14"/>
        <v>0.40300000000000002</v>
      </c>
      <c r="Z439" s="12">
        <f t="shared" si="18"/>
        <v>-0.26700000000000002</v>
      </c>
    </row>
    <row r="440" spans="1:26" x14ac:dyDescent="0.2">
      <c r="A440" s="12" t="s">
        <v>44</v>
      </c>
      <c r="B440" s="12">
        <v>3889.625</v>
      </c>
      <c r="C440" s="12">
        <v>20.395</v>
      </c>
      <c r="D440" s="12">
        <v>21.797999999999998</v>
      </c>
      <c r="E440" s="12">
        <v>1.407</v>
      </c>
      <c r="F440" s="12">
        <v>166.60400000000001</v>
      </c>
      <c r="G440" s="12">
        <v>2.6789999999999998</v>
      </c>
      <c r="H440" s="12">
        <v>8.9109999999999996</v>
      </c>
      <c r="I440" s="12">
        <v>3.4020000000000001</v>
      </c>
      <c r="J440" s="12">
        <v>70.295000000000002</v>
      </c>
      <c r="K440" s="12">
        <v>76.135000000000005</v>
      </c>
      <c r="L440" s="12">
        <v>3.7170000000000001</v>
      </c>
      <c r="M440" s="12">
        <v>0.01</v>
      </c>
      <c r="N440" s="12">
        <v>75.400999999999996</v>
      </c>
      <c r="O440" s="12">
        <v>3.3000000000000002E-2</v>
      </c>
      <c r="P440" s="12">
        <v>0.27100000000000002</v>
      </c>
      <c r="Q440" s="12">
        <v>0.38700000000000001</v>
      </c>
      <c r="R440" s="12">
        <v>0.55400000000000005</v>
      </c>
      <c r="S440" s="12">
        <v>0.46100000000000002</v>
      </c>
      <c r="T440" s="12" t="s">
        <v>23</v>
      </c>
      <c r="U440" s="12" t="s">
        <v>22</v>
      </c>
      <c r="V440" s="12" t="s">
        <v>30</v>
      </c>
      <c r="W440" s="12">
        <v>4</v>
      </c>
      <c r="Y440" s="12">
        <f t="shared" si="14"/>
        <v>0.42000000000000004</v>
      </c>
      <c r="Z440" s="12">
        <f t="shared" si="18"/>
        <v>-0.23800000000000002</v>
      </c>
    </row>
    <row r="441" spans="1:26" x14ac:dyDescent="0.2">
      <c r="A441" s="12" t="s">
        <v>44</v>
      </c>
      <c r="B441" s="12">
        <v>3889.75</v>
      </c>
      <c r="C441" s="12">
        <v>20.077000000000002</v>
      </c>
      <c r="D441" s="12">
        <v>21.831</v>
      </c>
      <c r="E441" s="12">
        <v>1.2829999999999999</v>
      </c>
      <c r="F441" s="12">
        <v>168.66399999999999</v>
      </c>
      <c r="G441" s="12">
        <v>2.6789999999999998</v>
      </c>
      <c r="H441" s="12">
        <v>8.8659999999999997</v>
      </c>
      <c r="I441" s="12">
        <v>3.12</v>
      </c>
      <c r="J441" s="12">
        <v>72.61</v>
      </c>
      <c r="K441" s="12">
        <v>78.643000000000001</v>
      </c>
      <c r="L441" s="12">
        <v>3.68</v>
      </c>
      <c r="M441" s="12">
        <v>0.01</v>
      </c>
      <c r="N441" s="12">
        <v>75.152000000000001</v>
      </c>
      <c r="O441" s="12">
        <v>0.03</v>
      </c>
      <c r="P441" s="12">
        <v>0.186</v>
      </c>
      <c r="Q441" s="12">
        <v>0.42899999999999999</v>
      </c>
      <c r="R441" s="12">
        <v>0.56000000000000005</v>
      </c>
      <c r="S441" s="12">
        <v>0.44600000000000001</v>
      </c>
      <c r="T441" s="12" t="s">
        <v>23</v>
      </c>
      <c r="U441" s="12" t="s">
        <v>22</v>
      </c>
      <c r="V441" s="12" t="s">
        <v>30</v>
      </c>
      <c r="W441" s="12">
        <v>4</v>
      </c>
      <c r="Y441" s="12">
        <f t="shared" si="14"/>
        <v>0.45899999999999996</v>
      </c>
      <c r="Z441" s="12">
        <f t="shared" si="18"/>
        <v>-0.156</v>
      </c>
    </row>
    <row r="442" spans="1:26" x14ac:dyDescent="0.2">
      <c r="A442" s="12" t="s">
        <v>44</v>
      </c>
      <c r="B442" s="12">
        <v>3889.875</v>
      </c>
      <c r="C442" s="12">
        <v>19.577000000000002</v>
      </c>
      <c r="D442" s="12">
        <v>21.852</v>
      </c>
      <c r="E442" s="12">
        <v>1.129</v>
      </c>
      <c r="F442" s="12">
        <v>170.59</v>
      </c>
      <c r="G442" s="12">
        <v>2.6749999999999998</v>
      </c>
      <c r="H442" s="12">
        <v>9.2309999999999999</v>
      </c>
      <c r="I442" s="12">
        <v>2.855</v>
      </c>
      <c r="J442" s="12">
        <v>75.66</v>
      </c>
      <c r="K442" s="12">
        <v>81.945999999999998</v>
      </c>
      <c r="L442" s="12">
        <v>3.9049999999999998</v>
      </c>
      <c r="M442" s="12">
        <v>1.2999999999999999E-2</v>
      </c>
      <c r="N442" s="12">
        <v>69.099000000000004</v>
      </c>
      <c r="O442" s="12">
        <v>2.5999999999999999E-2</v>
      </c>
      <c r="P442" s="12">
        <v>8.4000000000000005E-2</v>
      </c>
      <c r="Q442" s="12">
        <v>0.47499999999999998</v>
      </c>
      <c r="R442" s="12">
        <v>0.55100000000000005</v>
      </c>
      <c r="S442" s="12">
        <v>0.45600000000000002</v>
      </c>
      <c r="T442" s="12" t="s">
        <v>23</v>
      </c>
      <c r="U442" s="12" t="s">
        <v>22</v>
      </c>
      <c r="V442" s="12" t="s">
        <v>30</v>
      </c>
      <c r="W442" s="12">
        <v>4</v>
      </c>
      <c r="Y442" s="12">
        <f t="shared" si="14"/>
        <v>0.501</v>
      </c>
      <c r="Z442" s="12">
        <f t="shared" si="18"/>
        <v>-5.800000000000001E-2</v>
      </c>
    </row>
    <row r="443" spans="1:26" x14ac:dyDescent="0.2">
      <c r="A443" s="12" t="s">
        <v>44</v>
      </c>
      <c r="B443" s="12">
        <v>3890</v>
      </c>
      <c r="C443" s="12">
        <v>19.151</v>
      </c>
      <c r="D443" s="12">
        <v>21.995999999999999</v>
      </c>
      <c r="E443" s="12">
        <v>1.032</v>
      </c>
      <c r="F443" s="12">
        <v>172.05199999999999</v>
      </c>
      <c r="G443" s="12">
        <v>2.665</v>
      </c>
      <c r="H443" s="12">
        <v>9.5980000000000008</v>
      </c>
      <c r="I443" s="12">
        <v>2.786</v>
      </c>
      <c r="J443" s="12">
        <v>79.165999999999997</v>
      </c>
      <c r="K443" s="12">
        <v>85.742000000000004</v>
      </c>
      <c r="L443" s="12">
        <v>4.2910000000000004</v>
      </c>
      <c r="M443" s="12">
        <v>0.02</v>
      </c>
      <c r="N443" s="12">
        <v>61.006</v>
      </c>
      <c r="O443" s="12">
        <v>2.1999999999999999E-2</v>
      </c>
      <c r="P443" s="12">
        <v>2.8000000000000001E-2</v>
      </c>
      <c r="Q443" s="12">
        <v>0.51300000000000001</v>
      </c>
      <c r="R443" s="12">
        <v>0.52100000000000002</v>
      </c>
      <c r="S443" s="12">
        <v>0.47599999999999998</v>
      </c>
      <c r="T443" s="12" t="s">
        <v>23</v>
      </c>
      <c r="U443" s="12" t="s">
        <v>22</v>
      </c>
      <c r="V443" s="12" t="s">
        <v>30</v>
      </c>
      <c r="W443" s="12">
        <v>4</v>
      </c>
      <c r="Y443" s="12">
        <f t="shared" si="14"/>
        <v>0.53500000000000003</v>
      </c>
      <c r="Z443" s="12">
        <f t="shared" si="18"/>
        <v>-6.0000000000000019E-3</v>
      </c>
    </row>
    <row r="444" spans="1:26" x14ac:dyDescent="0.2">
      <c r="A444" s="12" t="s">
        <v>44</v>
      </c>
      <c r="B444" s="12">
        <v>3890.125</v>
      </c>
      <c r="C444" s="12">
        <v>19.559999999999999</v>
      </c>
      <c r="D444" s="12">
        <v>22.106000000000002</v>
      </c>
      <c r="E444" s="12">
        <v>1.08</v>
      </c>
      <c r="F444" s="12">
        <v>173.25899999999999</v>
      </c>
      <c r="G444" s="12">
        <v>2.653</v>
      </c>
      <c r="H444" s="12">
        <v>9.7140000000000004</v>
      </c>
      <c r="I444" s="12">
        <v>2.9740000000000002</v>
      </c>
      <c r="J444" s="12">
        <v>83.200999999999993</v>
      </c>
      <c r="K444" s="12">
        <v>90.114000000000004</v>
      </c>
      <c r="L444" s="12">
        <v>4.5179999999999998</v>
      </c>
      <c r="M444" s="12">
        <v>2.5000000000000001E-2</v>
      </c>
      <c r="N444" s="12">
        <v>56.365000000000002</v>
      </c>
      <c r="O444" s="12">
        <v>2.3E-2</v>
      </c>
      <c r="P444" s="12">
        <v>0.06</v>
      </c>
      <c r="Q444" s="12">
        <v>0.54300000000000004</v>
      </c>
      <c r="R444" s="12">
        <v>0.47799999999999998</v>
      </c>
      <c r="S444" s="12">
        <v>0.48799999999999999</v>
      </c>
      <c r="T444" s="12" t="s">
        <v>23</v>
      </c>
      <c r="U444" s="12" t="s">
        <v>22</v>
      </c>
      <c r="V444" s="12" t="s">
        <v>30</v>
      </c>
      <c r="W444" s="12">
        <v>4</v>
      </c>
      <c r="Y444" s="12">
        <f t="shared" si="14"/>
        <v>0.56600000000000006</v>
      </c>
      <c r="Z444" s="12">
        <f t="shared" si="18"/>
        <v>-3.6999999999999998E-2</v>
      </c>
    </row>
    <row r="445" spans="1:26" x14ac:dyDescent="0.2">
      <c r="A445" s="12" t="s">
        <v>44</v>
      </c>
      <c r="B445" s="12">
        <v>3890.25</v>
      </c>
      <c r="C445" s="12">
        <v>21.004000000000001</v>
      </c>
      <c r="D445" s="12">
        <v>22.515000000000001</v>
      </c>
      <c r="E445" s="12">
        <v>1.272</v>
      </c>
      <c r="F445" s="12">
        <v>174.45</v>
      </c>
      <c r="G445" s="12">
        <v>2.6480000000000001</v>
      </c>
      <c r="H445" s="12">
        <v>9.6750000000000007</v>
      </c>
      <c r="I445" s="12">
        <v>3.2629999999999999</v>
      </c>
      <c r="J445" s="12">
        <v>90.153000000000006</v>
      </c>
      <c r="K445" s="12">
        <v>97.644000000000005</v>
      </c>
      <c r="L445" s="12">
        <v>4.5519999999999996</v>
      </c>
      <c r="M445" s="12">
        <v>2.5000000000000001E-2</v>
      </c>
      <c r="N445" s="12">
        <v>53.948</v>
      </c>
      <c r="O445" s="12">
        <v>3.2000000000000001E-2</v>
      </c>
      <c r="P445" s="12">
        <v>0.154</v>
      </c>
      <c r="Q445" s="12">
        <v>0.57099999999999995</v>
      </c>
      <c r="R445" s="12">
        <v>0.44800000000000001</v>
      </c>
      <c r="S445" s="12">
        <v>0.48899999999999999</v>
      </c>
      <c r="T445" s="12" t="s">
        <v>23</v>
      </c>
      <c r="U445" s="12" t="s">
        <v>22</v>
      </c>
      <c r="V445" s="12" t="s">
        <v>30</v>
      </c>
      <c r="W445" s="12">
        <v>4</v>
      </c>
      <c r="Y445" s="12">
        <f t="shared" si="14"/>
        <v>0.60299999999999998</v>
      </c>
      <c r="Z445" s="12">
        <f t="shared" si="18"/>
        <v>-0.122</v>
      </c>
    </row>
    <row r="446" spans="1:26" x14ac:dyDescent="0.2">
      <c r="A446" s="12" t="s">
        <v>44</v>
      </c>
      <c r="B446" s="12">
        <v>3890.375</v>
      </c>
      <c r="C446" s="12">
        <v>23.029</v>
      </c>
      <c r="D446" s="12">
        <v>22.641999999999999</v>
      </c>
      <c r="E446" s="12">
        <v>1.5189999999999999</v>
      </c>
      <c r="F446" s="12">
        <v>175.27699999999999</v>
      </c>
      <c r="G446" s="12">
        <v>2.66</v>
      </c>
      <c r="H446" s="12">
        <v>9.64</v>
      </c>
      <c r="I446" s="12">
        <v>3.4689999999999999</v>
      </c>
      <c r="J446" s="12">
        <v>106.054</v>
      </c>
      <c r="K446" s="12">
        <v>114.864</v>
      </c>
      <c r="L446" s="12">
        <v>4.218</v>
      </c>
      <c r="M446" s="12">
        <v>1.7999999999999999E-2</v>
      </c>
      <c r="N446" s="12">
        <v>54.656999999999996</v>
      </c>
      <c r="O446" s="12">
        <v>4.7E-2</v>
      </c>
      <c r="P446" s="12">
        <v>0.245</v>
      </c>
      <c r="Q446" s="12">
        <v>0.59299999999999997</v>
      </c>
      <c r="R446" s="12">
        <v>0.46800000000000003</v>
      </c>
      <c r="S446" s="12">
        <v>0.48699999999999999</v>
      </c>
      <c r="T446" s="12" t="s">
        <v>23</v>
      </c>
      <c r="U446" s="12" t="s">
        <v>22</v>
      </c>
      <c r="V446" s="12" t="s">
        <v>30</v>
      </c>
      <c r="W446" s="12">
        <v>4</v>
      </c>
      <c r="Y446" s="12">
        <f t="shared" si="14"/>
        <v>0.64</v>
      </c>
      <c r="Z446" s="12">
        <f t="shared" si="18"/>
        <v>-0.19800000000000001</v>
      </c>
    </row>
    <row r="447" spans="1:26" x14ac:dyDescent="0.2">
      <c r="A447" s="12" t="s">
        <v>44</v>
      </c>
      <c r="B447" s="12">
        <v>3890.5</v>
      </c>
      <c r="C447" s="12">
        <v>24.71</v>
      </c>
      <c r="D447" s="12">
        <v>22.398</v>
      </c>
      <c r="E447" s="12">
        <v>1.7170000000000001</v>
      </c>
      <c r="F447" s="12">
        <v>174.91300000000001</v>
      </c>
      <c r="G447" s="12">
        <v>2.6859999999999999</v>
      </c>
      <c r="H447" s="12">
        <v>9.3629999999999995</v>
      </c>
      <c r="I447" s="12">
        <v>3.492</v>
      </c>
      <c r="J447" s="12">
        <v>144.58600000000001</v>
      </c>
      <c r="K447" s="12">
        <v>156.59899999999999</v>
      </c>
      <c r="L447" s="12">
        <v>9.2999999999999999E-2</v>
      </c>
      <c r="M447" s="12">
        <v>1E-3</v>
      </c>
      <c r="N447" s="12">
        <v>100</v>
      </c>
      <c r="O447" s="12">
        <v>6.3E-2</v>
      </c>
      <c r="P447" s="12">
        <v>0.28100000000000003</v>
      </c>
      <c r="Q447" s="12">
        <v>0.59599999999999997</v>
      </c>
      <c r="R447" s="12">
        <v>0.54700000000000004</v>
      </c>
      <c r="S447" s="12">
        <v>0.47799999999999998</v>
      </c>
      <c r="U447" s="12" t="s">
        <v>22</v>
      </c>
      <c r="V447" s="12" t="s">
        <v>30</v>
      </c>
      <c r="W447" s="12">
        <v>4</v>
      </c>
      <c r="Y447" s="12">
        <f t="shared" si="14"/>
        <v>0.65900000000000003</v>
      </c>
      <c r="Z447" s="12">
        <f t="shared" si="18"/>
        <v>-0.21800000000000003</v>
      </c>
    </row>
    <row r="448" spans="1:26" x14ac:dyDescent="0.2">
      <c r="A448" s="12" t="s">
        <v>44</v>
      </c>
      <c r="B448" s="12">
        <v>3890.625</v>
      </c>
      <c r="C448" s="12">
        <v>25.971</v>
      </c>
      <c r="D448" s="12">
        <v>22.25</v>
      </c>
      <c r="E448" s="12">
        <v>1.885</v>
      </c>
      <c r="F448" s="12">
        <v>172.535</v>
      </c>
      <c r="G448" s="12">
        <v>2.718</v>
      </c>
      <c r="H448" s="12">
        <v>8.3320000000000007</v>
      </c>
      <c r="I448" s="12">
        <v>3.4079999999999999</v>
      </c>
      <c r="J448" s="12">
        <v>258.43799999999999</v>
      </c>
      <c r="K448" s="12">
        <v>279.90899999999999</v>
      </c>
      <c r="L448" s="12">
        <v>9.2999999999999999E-2</v>
      </c>
      <c r="M448" s="12">
        <v>1E-3</v>
      </c>
      <c r="N448" s="12">
        <v>100</v>
      </c>
      <c r="O448" s="12">
        <v>7.4999999999999997E-2</v>
      </c>
      <c r="P448" s="12">
        <v>0.26500000000000001</v>
      </c>
      <c r="Q448" s="12">
        <v>0.55900000000000005</v>
      </c>
      <c r="R448" s="12">
        <v>0.66100000000000003</v>
      </c>
      <c r="S448" s="12">
        <v>0.438</v>
      </c>
      <c r="U448" s="12" t="s">
        <v>22</v>
      </c>
      <c r="V448" s="12" t="s">
        <v>30</v>
      </c>
      <c r="W448" s="12">
        <v>4</v>
      </c>
      <c r="Y448" s="12">
        <f t="shared" si="14"/>
        <v>0.63400000000000001</v>
      </c>
      <c r="Z448" s="12">
        <f t="shared" si="18"/>
        <v>-0.19</v>
      </c>
    </row>
    <row r="449" spans="1:26" x14ac:dyDescent="0.2">
      <c r="A449" s="12" t="s">
        <v>44</v>
      </c>
      <c r="B449" s="12">
        <v>3890.75</v>
      </c>
      <c r="C449" s="12">
        <v>27.331</v>
      </c>
      <c r="D449" s="12">
        <v>21.968</v>
      </c>
      <c r="E449" s="12">
        <v>2.0550000000000002</v>
      </c>
      <c r="F449" s="12">
        <v>169.02799999999999</v>
      </c>
      <c r="G449" s="12">
        <v>2.7450000000000001</v>
      </c>
      <c r="H449" s="12">
        <v>6.7779999999999996</v>
      </c>
      <c r="I449" s="12">
        <v>3.3780000000000001</v>
      </c>
      <c r="J449" s="12">
        <v>480.60899999999998</v>
      </c>
      <c r="K449" s="12">
        <v>520.53800000000001</v>
      </c>
      <c r="L449" s="12">
        <v>9.2999999999999999E-2</v>
      </c>
      <c r="M449" s="12">
        <v>1E-3</v>
      </c>
      <c r="N449" s="12">
        <v>100</v>
      </c>
      <c r="O449" s="12">
        <v>8.6999999999999994E-2</v>
      </c>
      <c r="P449" s="12">
        <v>0.246</v>
      </c>
      <c r="Q449" s="12">
        <v>0.48899999999999999</v>
      </c>
      <c r="R449" s="12">
        <v>0.77300000000000002</v>
      </c>
      <c r="S449" s="12">
        <v>0.36499999999999999</v>
      </c>
      <c r="U449" s="12" t="s">
        <v>22</v>
      </c>
      <c r="V449" s="12" t="s">
        <v>30</v>
      </c>
      <c r="W449" s="12">
        <v>4</v>
      </c>
      <c r="Y449" s="12">
        <f t="shared" si="14"/>
        <v>0.57599999999999996</v>
      </c>
      <c r="Z449" s="12">
        <f t="shared" si="18"/>
        <v>-0.159</v>
      </c>
    </row>
    <row r="450" spans="1:26" x14ac:dyDescent="0.2">
      <c r="A450" s="12" t="s">
        <v>44</v>
      </c>
      <c r="B450" s="12">
        <v>3890.875</v>
      </c>
      <c r="C450" s="12">
        <v>29.257000000000001</v>
      </c>
      <c r="D450" s="12">
        <v>21.826000000000001</v>
      </c>
      <c r="E450" s="12">
        <v>2.1640000000000001</v>
      </c>
      <c r="F450" s="12">
        <v>165.643</v>
      </c>
      <c r="G450" s="12">
        <v>2.7730000000000001</v>
      </c>
      <c r="H450" s="12">
        <v>5.46</v>
      </c>
      <c r="I450" s="12">
        <v>3.2040000000000002</v>
      </c>
      <c r="J450" s="12">
        <v>769.98500000000001</v>
      </c>
      <c r="K450" s="12">
        <v>833.95399999999995</v>
      </c>
      <c r="L450" s="12">
        <v>9.2999999999999999E-2</v>
      </c>
      <c r="M450" s="12">
        <v>1E-3</v>
      </c>
      <c r="N450" s="12">
        <v>100</v>
      </c>
      <c r="O450" s="12">
        <v>0.10100000000000001</v>
      </c>
      <c r="P450" s="12">
        <v>0.20200000000000001</v>
      </c>
      <c r="Q450" s="12">
        <v>0.41</v>
      </c>
      <c r="R450" s="12">
        <v>0.879</v>
      </c>
      <c r="S450" s="12">
        <v>0.28799999999999998</v>
      </c>
      <c r="U450" s="12" t="s">
        <v>22</v>
      </c>
      <c r="V450" s="12" t="s">
        <v>30</v>
      </c>
      <c r="W450" s="12">
        <v>4</v>
      </c>
      <c r="Y450" s="12">
        <f t="shared" si="14"/>
        <v>0.51100000000000001</v>
      </c>
      <c r="Z450" s="12">
        <f t="shared" si="18"/>
        <v>-0.10100000000000001</v>
      </c>
    </row>
    <row r="451" spans="1:26" x14ac:dyDescent="0.2">
      <c r="A451" s="12" t="s">
        <v>44</v>
      </c>
      <c r="B451" s="12">
        <v>3891</v>
      </c>
      <c r="C451" s="12">
        <v>31.431999999999999</v>
      </c>
      <c r="D451" s="12">
        <v>21.742000000000001</v>
      </c>
      <c r="E451" s="12">
        <v>2.1040000000000001</v>
      </c>
      <c r="F451" s="12">
        <v>163.495</v>
      </c>
      <c r="G451" s="12">
        <v>2.7730000000000001</v>
      </c>
      <c r="H451" s="12">
        <v>4.8460000000000001</v>
      </c>
      <c r="I451" s="12">
        <v>3.1539999999999999</v>
      </c>
      <c r="J451" s="12">
        <v>1000.62</v>
      </c>
      <c r="K451" s="12">
        <v>1083.751</v>
      </c>
      <c r="L451" s="12">
        <v>9.1999999999999998E-2</v>
      </c>
      <c r="M451" s="12">
        <v>1E-3</v>
      </c>
      <c r="N451" s="12">
        <v>100</v>
      </c>
      <c r="O451" s="12">
        <v>0.11899999999999999</v>
      </c>
      <c r="P451" s="12">
        <v>0.16400000000000001</v>
      </c>
      <c r="Q451" s="12">
        <v>0.34899999999999998</v>
      </c>
      <c r="R451" s="12">
        <v>0.92300000000000004</v>
      </c>
      <c r="S451" s="12">
        <v>0.24</v>
      </c>
      <c r="U451" s="12" t="s">
        <v>22</v>
      </c>
      <c r="V451" s="12" t="s">
        <v>30</v>
      </c>
      <c r="W451" s="12">
        <v>4</v>
      </c>
      <c r="Y451" s="12">
        <f t="shared" ref="Y451:Y514" si="19">O451+Q451</f>
        <v>0.46799999999999997</v>
      </c>
      <c r="Z451" s="12">
        <f t="shared" si="18"/>
        <v>-4.5000000000000012E-2</v>
      </c>
    </row>
    <row r="452" spans="1:26" x14ac:dyDescent="0.2">
      <c r="A452" s="12" t="s">
        <v>44</v>
      </c>
      <c r="B452" s="12">
        <v>3891.125</v>
      </c>
      <c r="C452" s="12">
        <v>32.536000000000001</v>
      </c>
      <c r="D452" s="12">
        <v>21.675999999999998</v>
      </c>
      <c r="E452" s="12">
        <v>1.8660000000000001</v>
      </c>
      <c r="F452" s="12">
        <v>162.50800000000001</v>
      </c>
      <c r="G452" s="12">
        <v>2.7749999999999999</v>
      </c>
      <c r="H452" s="12">
        <v>4.7450000000000001</v>
      </c>
      <c r="I452" s="12">
        <v>3.1040000000000001</v>
      </c>
      <c r="J452" s="12">
        <v>1106.501</v>
      </c>
      <c r="K452" s="12">
        <v>1198.4280000000001</v>
      </c>
      <c r="L452" s="12">
        <v>9.0999999999999998E-2</v>
      </c>
      <c r="M452" s="12">
        <v>1E-3</v>
      </c>
      <c r="N452" s="12">
        <v>100</v>
      </c>
      <c r="O452" s="12">
        <v>0.13200000000000001</v>
      </c>
      <c r="P452" s="12">
        <v>0.14499999999999999</v>
      </c>
      <c r="Q452" s="12">
        <v>0.315</v>
      </c>
      <c r="R452" s="12">
        <v>0.92700000000000005</v>
      </c>
      <c r="S452" s="12">
        <v>0.223</v>
      </c>
      <c r="U452" s="12" t="s">
        <v>22</v>
      </c>
      <c r="V452" s="12" t="s">
        <v>30</v>
      </c>
      <c r="W452" s="12">
        <v>4</v>
      </c>
      <c r="Y452" s="12">
        <f t="shared" si="19"/>
        <v>0.44700000000000001</v>
      </c>
      <c r="Z452" s="12">
        <f t="shared" si="18"/>
        <v>-1.2999999999999984E-2</v>
      </c>
    </row>
    <row r="453" spans="1:26" x14ac:dyDescent="0.2">
      <c r="A453" s="12" t="s">
        <v>44</v>
      </c>
      <c r="B453" s="12">
        <v>3891.25</v>
      </c>
      <c r="C453" s="12">
        <v>31.997</v>
      </c>
      <c r="D453" s="12">
        <v>21.635999999999999</v>
      </c>
      <c r="E453" s="12">
        <v>1.526</v>
      </c>
      <c r="F453" s="12">
        <v>162.18899999999999</v>
      </c>
      <c r="G453" s="12">
        <v>2.78</v>
      </c>
      <c r="H453" s="12">
        <v>4.9260000000000002</v>
      </c>
      <c r="I453" s="12">
        <v>3.0619999999999998</v>
      </c>
      <c r="J453" s="12">
        <v>1104.4159999999999</v>
      </c>
      <c r="K453" s="12">
        <v>1196.171</v>
      </c>
      <c r="L453" s="12">
        <v>0.09</v>
      </c>
      <c r="M453" s="12">
        <v>1E-3</v>
      </c>
      <c r="N453" s="12">
        <v>100</v>
      </c>
      <c r="O453" s="12">
        <v>0.13300000000000001</v>
      </c>
      <c r="P453" s="12">
        <v>0.128</v>
      </c>
      <c r="Q453" s="12">
        <v>0.30199999999999999</v>
      </c>
      <c r="R453" s="12">
        <v>0.94199999999999995</v>
      </c>
      <c r="S453" s="12">
        <v>0.22700000000000001</v>
      </c>
      <c r="U453" s="12" t="s">
        <v>22</v>
      </c>
      <c r="V453" s="12" t="s">
        <v>30</v>
      </c>
      <c r="W453" s="12">
        <v>4</v>
      </c>
      <c r="Y453" s="12">
        <f t="shared" si="19"/>
        <v>0.435</v>
      </c>
      <c r="Z453" s="12">
        <f t="shared" si="18"/>
        <v>5.0000000000000044E-3</v>
      </c>
    </row>
    <row r="454" spans="1:26" x14ac:dyDescent="0.2">
      <c r="A454" s="12" t="s">
        <v>44</v>
      </c>
      <c r="B454" s="12">
        <v>3891.375</v>
      </c>
      <c r="C454" s="12">
        <v>30.527000000000001</v>
      </c>
      <c r="D454" s="12">
        <v>21.631</v>
      </c>
      <c r="E454" s="12">
        <v>1.2729999999999999</v>
      </c>
      <c r="F454" s="12">
        <v>161.93</v>
      </c>
      <c r="G454" s="12">
        <v>2.7839999999999998</v>
      </c>
      <c r="H454" s="12">
        <v>5.3129999999999997</v>
      </c>
      <c r="I454" s="12">
        <v>3.081</v>
      </c>
      <c r="J454" s="12">
        <v>1069.8710000000001</v>
      </c>
      <c r="K454" s="12">
        <v>1158.7560000000001</v>
      </c>
      <c r="L454" s="12">
        <v>8.8999999999999996E-2</v>
      </c>
      <c r="M454" s="12">
        <v>1E-3</v>
      </c>
      <c r="N454" s="12">
        <v>100</v>
      </c>
      <c r="O454" s="12">
        <v>0.124</v>
      </c>
      <c r="P454" s="12">
        <v>0.126</v>
      </c>
      <c r="Q454" s="12">
        <v>0.29499999999999998</v>
      </c>
      <c r="R454" s="12">
        <v>0.95899999999999996</v>
      </c>
      <c r="S454" s="12">
        <v>0.24299999999999999</v>
      </c>
      <c r="U454" s="12" t="s">
        <v>22</v>
      </c>
      <c r="V454" s="12" t="s">
        <v>30</v>
      </c>
      <c r="W454" s="12">
        <v>4</v>
      </c>
      <c r="Y454" s="12">
        <f t="shared" si="19"/>
        <v>0.41899999999999998</v>
      </c>
      <c r="Z454" s="12">
        <f t="shared" si="18"/>
        <v>-2.0000000000000018E-3</v>
      </c>
    </row>
    <row r="455" spans="1:26" x14ac:dyDescent="0.2">
      <c r="A455" s="12" t="s">
        <v>44</v>
      </c>
      <c r="B455" s="12">
        <v>3891.5</v>
      </c>
      <c r="C455" s="12">
        <v>29.706</v>
      </c>
      <c r="D455" s="12">
        <v>21.681000000000001</v>
      </c>
      <c r="E455" s="12">
        <v>1.1220000000000001</v>
      </c>
      <c r="F455" s="12">
        <v>161.83799999999999</v>
      </c>
      <c r="G455" s="12">
        <v>2.766</v>
      </c>
      <c r="H455" s="12">
        <v>5.8289999999999997</v>
      </c>
      <c r="I455" s="12">
        <v>3.3090000000000002</v>
      </c>
      <c r="J455" s="12">
        <v>1048.1869999999999</v>
      </c>
      <c r="K455" s="12">
        <v>1135.271</v>
      </c>
      <c r="L455" s="12">
        <v>8.7999999999999995E-2</v>
      </c>
      <c r="M455" s="12">
        <v>1E-3</v>
      </c>
      <c r="N455" s="12">
        <v>100</v>
      </c>
      <c r="O455" s="12">
        <v>0.115</v>
      </c>
      <c r="P455" s="12">
        <v>0.18099999999999999</v>
      </c>
      <c r="Q455" s="12">
        <v>0.29199999999999998</v>
      </c>
      <c r="R455" s="12">
        <v>0.92400000000000004</v>
      </c>
      <c r="S455" s="12">
        <v>0.26900000000000002</v>
      </c>
      <c r="U455" s="12" t="s">
        <v>22</v>
      </c>
      <c r="V455" s="12" t="s">
        <v>30</v>
      </c>
      <c r="W455" s="12">
        <v>4</v>
      </c>
      <c r="Y455" s="12">
        <f t="shared" si="19"/>
        <v>0.40699999999999997</v>
      </c>
      <c r="Z455" s="12">
        <f t="shared" si="18"/>
        <v>-6.5999999999999989E-2</v>
      </c>
    </row>
    <row r="456" spans="1:26" x14ac:dyDescent="0.2">
      <c r="A456" s="12" t="s">
        <v>44</v>
      </c>
      <c r="B456" s="12">
        <v>3891.625</v>
      </c>
      <c r="C456" s="12">
        <v>30.126999999999999</v>
      </c>
      <c r="D456" s="12">
        <v>21.76</v>
      </c>
      <c r="E456" s="12">
        <v>0.999</v>
      </c>
      <c r="F456" s="12">
        <v>162.524</v>
      </c>
      <c r="G456" s="12">
        <v>2.7189999999999999</v>
      </c>
      <c r="H456" s="12">
        <v>6.3129999999999997</v>
      </c>
      <c r="I456" s="12">
        <v>3.63</v>
      </c>
      <c r="J456" s="12">
        <v>1041.72</v>
      </c>
      <c r="K456" s="12">
        <v>1128.2650000000001</v>
      </c>
      <c r="L456" s="12">
        <v>8.6999999999999994E-2</v>
      </c>
      <c r="M456" s="12">
        <v>1E-3</v>
      </c>
      <c r="N456" s="12">
        <v>100</v>
      </c>
      <c r="O456" s="12">
        <v>0.114</v>
      </c>
      <c r="P456" s="12">
        <v>0.28799999999999998</v>
      </c>
      <c r="Q456" s="12">
        <v>0.3</v>
      </c>
      <c r="R456" s="12">
        <v>0.78700000000000003</v>
      </c>
      <c r="S456" s="12">
        <v>0.29599999999999999</v>
      </c>
      <c r="U456" s="12" t="s">
        <v>22</v>
      </c>
      <c r="V456" s="12" t="s">
        <v>30</v>
      </c>
      <c r="W456" s="12">
        <v>4</v>
      </c>
      <c r="Y456" s="12">
        <f t="shared" si="19"/>
        <v>0.41399999999999998</v>
      </c>
      <c r="Z456" s="12">
        <f t="shared" si="18"/>
        <v>-0.17399999999999999</v>
      </c>
    </row>
    <row r="457" spans="1:26" x14ac:dyDescent="0.2">
      <c r="A457" s="12" t="s">
        <v>44</v>
      </c>
      <c r="B457" s="12">
        <v>3891.75</v>
      </c>
      <c r="C457" s="12">
        <v>32.573</v>
      </c>
      <c r="D457" s="12">
        <v>21.808</v>
      </c>
      <c r="E457" s="12">
        <v>1.149</v>
      </c>
      <c r="F457" s="12">
        <v>164.30199999999999</v>
      </c>
      <c r="G457" s="12">
        <v>2.657</v>
      </c>
      <c r="H457" s="12">
        <v>6.6760000000000002</v>
      </c>
      <c r="I457" s="12">
        <v>3.7320000000000002</v>
      </c>
      <c r="J457" s="12">
        <v>1008.001</v>
      </c>
      <c r="K457" s="12">
        <v>1091.7460000000001</v>
      </c>
      <c r="L457" s="12">
        <v>8.5000000000000006E-2</v>
      </c>
      <c r="M457" s="12">
        <v>1E-3</v>
      </c>
      <c r="N457" s="12">
        <v>100</v>
      </c>
      <c r="O457" s="12">
        <v>0.128</v>
      </c>
      <c r="P457" s="12">
        <v>0.36</v>
      </c>
      <c r="Q457" s="12">
        <v>0.33100000000000002</v>
      </c>
      <c r="R457" s="12">
        <v>0.57099999999999995</v>
      </c>
      <c r="S457" s="12">
        <v>0.318</v>
      </c>
      <c r="U457" s="12" t="s">
        <v>22</v>
      </c>
      <c r="V457" s="12" t="s">
        <v>30</v>
      </c>
      <c r="W457" s="12">
        <v>4</v>
      </c>
      <c r="Y457" s="12">
        <f t="shared" si="19"/>
        <v>0.45900000000000002</v>
      </c>
      <c r="Z457" s="12">
        <f t="shared" si="18"/>
        <v>-0.23199999999999998</v>
      </c>
    </row>
    <row r="458" spans="1:26" x14ac:dyDescent="0.2">
      <c r="A458" s="12" t="s">
        <v>44</v>
      </c>
      <c r="B458" s="12">
        <v>3891.875</v>
      </c>
      <c r="C458" s="12">
        <v>39.332000000000001</v>
      </c>
      <c r="D458" s="12">
        <v>21.806000000000001</v>
      </c>
      <c r="E458" s="12">
        <v>1.8180000000000001</v>
      </c>
      <c r="F458" s="12">
        <v>167.155</v>
      </c>
      <c r="G458" s="12">
        <v>2.6080000000000001</v>
      </c>
      <c r="H458" s="12">
        <v>7.1479999999999997</v>
      </c>
      <c r="I458" s="12">
        <v>3.6040000000000001</v>
      </c>
      <c r="J458" s="12">
        <v>902.12900000000002</v>
      </c>
      <c r="K458" s="12">
        <v>977.07799999999997</v>
      </c>
      <c r="L458" s="12">
        <v>8.1000000000000003E-2</v>
      </c>
      <c r="M458" s="12">
        <v>1E-3</v>
      </c>
      <c r="N458" s="12">
        <v>100</v>
      </c>
      <c r="O458" s="12">
        <v>0.17100000000000001</v>
      </c>
      <c r="P458" s="12">
        <v>0.34599999999999997</v>
      </c>
      <c r="Q458" s="12">
        <v>0.38700000000000001</v>
      </c>
      <c r="R458" s="12">
        <v>0.36099999999999999</v>
      </c>
      <c r="S458" s="12">
        <v>0.34100000000000003</v>
      </c>
      <c r="U458" s="12" t="s">
        <v>22</v>
      </c>
      <c r="V458" s="12" t="s">
        <v>30</v>
      </c>
      <c r="W458" s="12">
        <v>4</v>
      </c>
      <c r="Y458" s="12">
        <f t="shared" si="19"/>
        <v>0.55800000000000005</v>
      </c>
      <c r="Z458" s="12">
        <f t="shared" si="18"/>
        <v>-0.17499999999999996</v>
      </c>
    </row>
    <row r="459" spans="1:26" x14ac:dyDescent="0.2">
      <c r="A459" s="12" t="s">
        <v>44</v>
      </c>
      <c r="B459" s="12">
        <v>3892.75</v>
      </c>
      <c r="C459" s="12">
        <v>80.3</v>
      </c>
      <c r="D459" s="12">
        <v>22.67</v>
      </c>
      <c r="E459" s="12">
        <v>2.863</v>
      </c>
      <c r="F459" s="12">
        <v>177.828</v>
      </c>
      <c r="G459" s="12">
        <v>2.56</v>
      </c>
      <c r="H459" s="12">
        <v>10.875999999999999</v>
      </c>
      <c r="I459" s="12">
        <v>3.4340000000000002</v>
      </c>
      <c r="J459" s="12">
        <v>361.42500000000001</v>
      </c>
      <c r="K459" s="12">
        <v>391.45299999999997</v>
      </c>
      <c r="L459" s="12">
        <v>6.0999999999999999E-2</v>
      </c>
      <c r="M459" s="12">
        <v>1E-3</v>
      </c>
      <c r="N459" s="12">
        <v>100</v>
      </c>
      <c r="O459" s="12">
        <v>0.59599999999999997</v>
      </c>
      <c r="P459" s="12">
        <v>0.26200000000000001</v>
      </c>
      <c r="Q459" s="12">
        <v>0.70799999999999996</v>
      </c>
      <c r="R459" s="12">
        <v>6.5000000000000002E-2</v>
      </c>
      <c r="S459" s="12">
        <v>0.61</v>
      </c>
      <c r="U459" s="12" t="s">
        <v>33</v>
      </c>
      <c r="V459" s="12" t="s">
        <v>30</v>
      </c>
      <c r="W459" s="12">
        <v>6</v>
      </c>
      <c r="Y459" s="12">
        <f t="shared" si="19"/>
        <v>1.3039999999999998</v>
      </c>
      <c r="Z459" s="12">
        <f t="shared" ref="Z459:Z473" si="20">O459-P459</f>
        <v>0.33399999999999996</v>
      </c>
    </row>
    <row r="460" spans="1:26" x14ac:dyDescent="0.2">
      <c r="A460" s="12" t="s">
        <v>44</v>
      </c>
      <c r="B460" s="12">
        <v>3892.875</v>
      </c>
      <c r="C460" s="12">
        <v>62.110999999999997</v>
      </c>
      <c r="D460" s="12">
        <v>22.649000000000001</v>
      </c>
      <c r="E460" s="12">
        <v>2.7759999999999998</v>
      </c>
      <c r="F460" s="12">
        <v>171.37299999999999</v>
      </c>
      <c r="G460" s="12">
        <v>2.6040000000000001</v>
      </c>
      <c r="H460" s="12">
        <v>7.8460000000000001</v>
      </c>
      <c r="I460" s="12">
        <v>3.4350000000000001</v>
      </c>
      <c r="J460" s="12">
        <v>510.452</v>
      </c>
      <c r="K460" s="12">
        <v>552.86</v>
      </c>
      <c r="L460" s="12">
        <v>7.3999999999999996E-2</v>
      </c>
      <c r="M460" s="12">
        <v>1E-3</v>
      </c>
      <c r="N460" s="12">
        <v>100</v>
      </c>
      <c r="O460" s="12">
        <v>0.45400000000000001</v>
      </c>
      <c r="P460" s="12">
        <v>0.26300000000000001</v>
      </c>
      <c r="Q460" s="12">
        <v>0.56999999999999995</v>
      </c>
      <c r="R460" s="12">
        <v>0.20200000000000001</v>
      </c>
      <c r="S460" s="12">
        <v>0.45500000000000002</v>
      </c>
      <c r="U460" s="12" t="s">
        <v>33</v>
      </c>
      <c r="V460" s="12" t="s">
        <v>30</v>
      </c>
      <c r="W460" s="12">
        <v>6</v>
      </c>
      <c r="Y460" s="12">
        <f t="shared" si="19"/>
        <v>1.024</v>
      </c>
      <c r="Z460" s="12">
        <f t="shared" si="20"/>
        <v>0.191</v>
      </c>
    </row>
    <row r="461" spans="1:26" x14ac:dyDescent="0.2">
      <c r="A461" s="12" t="s">
        <v>44</v>
      </c>
      <c r="B461" s="12">
        <v>3893</v>
      </c>
      <c r="C461" s="12">
        <v>45.585000000000001</v>
      </c>
      <c r="D461" s="12">
        <v>22.67</v>
      </c>
      <c r="E461" s="12">
        <v>2.726</v>
      </c>
      <c r="F461" s="12">
        <v>166.024</v>
      </c>
      <c r="G461" s="12">
        <v>2.6629999999999998</v>
      </c>
      <c r="H461" s="12">
        <v>5.6550000000000002</v>
      </c>
      <c r="I461" s="12">
        <v>3.4409999999999998</v>
      </c>
      <c r="J461" s="12">
        <v>704.56899999999996</v>
      </c>
      <c r="K461" s="12">
        <v>763.10400000000004</v>
      </c>
      <c r="L461" s="12">
        <v>8.5000000000000006E-2</v>
      </c>
      <c r="M461" s="12">
        <v>1E-3</v>
      </c>
      <c r="N461" s="12">
        <v>100</v>
      </c>
      <c r="O461" s="12">
        <v>0.30599999999999999</v>
      </c>
      <c r="P461" s="12">
        <v>0.26400000000000001</v>
      </c>
      <c r="Q461" s="12">
        <v>0.437</v>
      </c>
      <c r="R461" s="12">
        <v>0.40699999999999997</v>
      </c>
      <c r="S461" s="12">
        <v>0.318</v>
      </c>
      <c r="U461" s="12" t="s">
        <v>33</v>
      </c>
      <c r="V461" s="12" t="s">
        <v>30</v>
      </c>
      <c r="W461" s="12">
        <v>6</v>
      </c>
      <c r="Y461" s="12">
        <f t="shared" si="19"/>
        <v>0.74299999999999999</v>
      </c>
      <c r="Z461" s="12">
        <f t="shared" si="20"/>
        <v>4.1999999999999982E-2</v>
      </c>
    </row>
    <row r="462" spans="1:26" x14ac:dyDescent="0.2">
      <c r="A462" s="12" t="s">
        <v>44</v>
      </c>
      <c r="B462" s="12">
        <v>3893.125</v>
      </c>
      <c r="C462" s="12">
        <v>34.081000000000003</v>
      </c>
      <c r="D462" s="12">
        <v>22.684999999999999</v>
      </c>
      <c r="E462" s="12">
        <v>2.7010000000000001</v>
      </c>
      <c r="F462" s="12">
        <v>163.482</v>
      </c>
      <c r="G462" s="12">
        <v>2.7240000000000002</v>
      </c>
      <c r="H462" s="12">
        <v>4.742</v>
      </c>
      <c r="I462" s="12">
        <v>3.3889999999999998</v>
      </c>
      <c r="J462" s="12">
        <v>876.14499999999998</v>
      </c>
      <c r="K462" s="12">
        <v>948.93399999999997</v>
      </c>
      <c r="L462" s="12">
        <v>9.0999999999999998E-2</v>
      </c>
      <c r="M462" s="12">
        <v>1E-3</v>
      </c>
      <c r="N462" s="12">
        <v>100</v>
      </c>
      <c r="O462" s="12">
        <v>0.189</v>
      </c>
      <c r="P462" s="12">
        <v>0.253</v>
      </c>
      <c r="Q462" s="12">
        <v>0.35199999999999998</v>
      </c>
      <c r="R462" s="12">
        <v>0.63900000000000001</v>
      </c>
      <c r="S462" s="12">
        <v>0.24099999999999999</v>
      </c>
      <c r="U462" s="12" t="s">
        <v>33</v>
      </c>
      <c r="V462" s="12" t="s">
        <v>30</v>
      </c>
      <c r="W462" s="12">
        <v>6</v>
      </c>
      <c r="Y462" s="12">
        <f t="shared" si="19"/>
        <v>0.54099999999999993</v>
      </c>
      <c r="Z462" s="12">
        <f t="shared" si="20"/>
        <v>-6.4000000000000001E-2</v>
      </c>
    </row>
    <row r="463" spans="1:26" x14ac:dyDescent="0.2">
      <c r="A463" s="12" t="s">
        <v>44</v>
      </c>
      <c r="B463" s="12">
        <v>3893.25</v>
      </c>
      <c r="C463" s="12">
        <v>28.414000000000001</v>
      </c>
      <c r="D463" s="12">
        <v>22.646999999999998</v>
      </c>
      <c r="E463" s="12">
        <v>2.7120000000000002</v>
      </c>
      <c r="F463" s="12">
        <v>163.68799999999999</v>
      </c>
      <c r="G463" s="12">
        <v>2.7679999999999998</v>
      </c>
      <c r="H463" s="12">
        <v>4.6609999999999996</v>
      </c>
      <c r="I463" s="12">
        <v>3.2639999999999998</v>
      </c>
      <c r="J463" s="12">
        <v>976.23900000000003</v>
      </c>
      <c r="K463" s="12">
        <v>1057.345</v>
      </c>
      <c r="L463" s="12">
        <v>9.4E-2</v>
      </c>
      <c r="M463" s="12">
        <v>1E-3</v>
      </c>
      <c r="N463" s="12">
        <v>100</v>
      </c>
      <c r="O463" s="12">
        <v>0.12</v>
      </c>
      <c r="P463" s="12">
        <v>0.217</v>
      </c>
      <c r="Q463" s="12">
        <v>0.33200000000000002</v>
      </c>
      <c r="R463" s="12">
        <v>0.83499999999999996</v>
      </c>
      <c r="S463" s="12">
        <v>0.218</v>
      </c>
      <c r="U463" s="12" t="s">
        <v>33</v>
      </c>
      <c r="V463" s="12" t="s">
        <v>30</v>
      </c>
      <c r="W463" s="12">
        <v>6</v>
      </c>
      <c r="Y463" s="12">
        <f t="shared" si="19"/>
        <v>0.45200000000000001</v>
      </c>
      <c r="Z463" s="12">
        <f t="shared" si="20"/>
        <v>-9.7000000000000003E-2</v>
      </c>
    </row>
    <row r="464" spans="1:26" x14ac:dyDescent="0.2">
      <c r="A464" s="12" t="s">
        <v>44</v>
      </c>
      <c r="B464" s="12">
        <v>3893.375</v>
      </c>
      <c r="C464" s="12">
        <v>27.853999999999999</v>
      </c>
      <c r="D464" s="12">
        <v>22.597999999999999</v>
      </c>
      <c r="E464" s="12">
        <v>2.8559999999999999</v>
      </c>
      <c r="F464" s="12">
        <v>165.80699999999999</v>
      </c>
      <c r="G464" s="12">
        <v>2.7890000000000001</v>
      </c>
      <c r="H464" s="12">
        <v>5.0229999999999997</v>
      </c>
      <c r="I464" s="12">
        <v>3.2109999999999999</v>
      </c>
      <c r="J464" s="12">
        <v>984.76300000000003</v>
      </c>
      <c r="K464" s="12">
        <v>1066.576</v>
      </c>
      <c r="L464" s="12">
        <v>9.4E-2</v>
      </c>
      <c r="M464" s="12">
        <v>1E-3</v>
      </c>
      <c r="N464" s="12">
        <v>100</v>
      </c>
      <c r="O464" s="12">
        <v>9.8000000000000004E-2</v>
      </c>
      <c r="P464" s="12">
        <v>0.186</v>
      </c>
      <c r="Q464" s="12">
        <v>0.36299999999999999</v>
      </c>
      <c r="R464" s="12">
        <v>0.95199999999999996</v>
      </c>
      <c r="S464" s="12">
        <v>0.22800000000000001</v>
      </c>
      <c r="U464" s="12" t="s">
        <v>33</v>
      </c>
      <c r="V464" s="12" t="s">
        <v>30</v>
      </c>
      <c r="W464" s="12">
        <v>6</v>
      </c>
      <c r="Y464" s="12">
        <f t="shared" si="19"/>
        <v>0.46099999999999997</v>
      </c>
      <c r="Z464" s="12">
        <f t="shared" si="20"/>
        <v>-8.7999999999999995E-2</v>
      </c>
    </row>
    <row r="465" spans="1:26" x14ac:dyDescent="0.2">
      <c r="A465" s="12" t="s">
        <v>44</v>
      </c>
      <c r="B465" s="12">
        <v>3893.5</v>
      </c>
      <c r="C465" s="12">
        <v>32.210999999999999</v>
      </c>
      <c r="D465" s="12">
        <v>22.542000000000002</v>
      </c>
      <c r="E465" s="12">
        <v>3.081</v>
      </c>
      <c r="F465" s="12">
        <v>167.87700000000001</v>
      </c>
      <c r="G465" s="12">
        <v>2.7890000000000001</v>
      </c>
      <c r="H465" s="12">
        <v>5.5129999999999999</v>
      </c>
      <c r="I465" s="12">
        <v>3.2109999999999999</v>
      </c>
      <c r="J465" s="12">
        <v>929.43499999999995</v>
      </c>
      <c r="K465" s="12">
        <v>1006.653</v>
      </c>
      <c r="L465" s="12">
        <v>9.2999999999999999E-2</v>
      </c>
      <c r="M465" s="12">
        <v>1E-3</v>
      </c>
      <c r="N465" s="12">
        <v>100</v>
      </c>
      <c r="O465" s="12">
        <v>0.11799999999999999</v>
      </c>
      <c r="P465" s="12">
        <v>0.17799999999999999</v>
      </c>
      <c r="Q465" s="12">
        <v>0.41099999999999998</v>
      </c>
      <c r="R465" s="12">
        <v>0.98499999999999999</v>
      </c>
      <c r="S465" s="12">
        <v>0.252</v>
      </c>
      <c r="U465" s="12" t="s">
        <v>33</v>
      </c>
      <c r="V465" s="12" t="s">
        <v>30</v>
      </c>
      <c r="W465" s="12">
        <v>6</v>
      </c>
      <c r="Y465" s="12">
        <f t="shared" si="19"/>
        <v>0.52899999999999991</v>
      </c>
      <c r="Z465" s="12">
        <f t="shared" si="20"/>
        <v>-0.06</v>
      </c>
    </row>
    <row r="466" spans="1:26" x14ac:dyDescent="0.2">
      <c r="A466" s="12" t="s">
        <v>44</v>
      </c>
      <c r="B466" s="12">
        <v>3893.625</v>
      </c>
      <c r="C466" s="12">
        <v>39.161000000000001</v>
      </c>
      <c r="D466" s="12">
        <v>22.436</v>
      </c>
      <c r="E466" s="12">
        <v>3.169</v>
      </c>
      <c r="F466" s="12">
        <v>168.733</v>
      </c>
      <c r="G466" s="12">
        <v>2.7890000000000001</v>
      </c>
      <c r="H466" s="12">
        <v>6.0880000000000001</v>
      </c>
      <c r="I466" s="12">
        <v>3.2109999999999999</v>
      </c>
      <c r="J466" s="12">
        <v>839.33900000000006</v>
      </c>
      <c r="K466" s="12">
        <v>909.07</v>
      </c>
      <c r="L466" s="12">
        <v>9.0999999999999998E-2</v>
      </c>
      <c r="M466" s="12">
        <v>1E-3</v>
      </c>
      <c r="N466" s="12">
        <v>100</v>
      </c>
      <c r="O466" s="12">
        <v>0.16900000000000001</v>
      </c>
      <c r="P466" s="12">
        <v>0.17799999999999999</v>
      </c>
      <c r="Q466" s="12">
        <v>0.442</v>
      </c>
      <c r="R466" s="12">
        <v>0.98499999999999999</v>
      </c>
      <c r="S466" s="12">
        <v>0.28100000000000003</v>
      </c>
      <c r="U466" s="12" t="s">
        <v>33</v>
      </c>
      <c r="V466" s="12" t="s">
        <v>30</v>
      </c>
      <c r="W466" s="12">
        <v>6</v>
      </c>
      <c r="Y466" s="12">
        <f t="shared" si="19"/>
        <v>0.61099999999999999</v>
      </c>
      <c r="Z466" s="12">
        <f t="shared" si="20"/>
        <v>-8.9999999999999802E-3</v>
      </c>
    </row>
    <row r="467" spans="1:26" x14ac:dyDescent="0.2">
      <c r="A467" s="12" t="s">
        <v>44</v>
      </c>
      <c r="B467" s="12">
        <v>3893.75</v>
      </c>
      <c r="C467" s="12">
        <v>45.822000000000003</v>
      </c>
      <c r="D467" s="12">
        <v>22.283000000000001</v>
      </c>
      <c r="E467" s="12">
        <v>2.9569999999999999</v>
      </c>
      <c r="F467" s="12">
        <v>167.97200000000001</v>
      </c>
      <c r="G467" s="12">
        <v>2.7890000000000001</v>
      </c>
      <c r="H467" s="12">
        <v>6.8289999999999997</v>
      </c>
      <c r="I467" s="12">
        <v>3.2109999999999999</v>
      </c>
      <c r="J467" s="12">
        <v>740.70100000000002</v>
      </c>
      <c r="K467" s="12">
        <v>802.23800000000006</v>
      </c>
      <c r="L467" s="12">
        <v>8.6999999999999994E-2</v>
      </c>
      <c r="M467" s="12">
        <v>1E-3</v>
      </c>
      <c r="N467" s="12">
        <v>100</v>
      </c>
      <c r="O467" s="12">
        <v>0.22800000000000001</v>
      </c>
      <c r="P467" s="12">
        <v>0.17799999999999999</v>
      </c>
      <c r="Q467" s="12">
        <v>0.439</v>
      </c>
      <c r="R467" s="12">
        <v>0.98499999999999999</v>
      </c>
      <c r="S467" s="12">
        <v>0.318</v>
      </c>
      <c r="U467" s="12" t="s">
        <v>33</v>
      </c>
      <c r="V467" s="12" t="s">
        <v>30</v>
      </c>
      <c r="W467" s="12">
        <v>6</v>
      </c>
      <c r="Y467" s="12">
        <f t="shared" si="19"/>
        <v>0.66700000000000004</v>
      </c>
      <c r="Z467" s="12">
        <f t="shared" si="20"/>
        <v>5.0000000000000017E-2</v>
      </c>
    </row>
    <row r="468" spans="1:26" x14ac:dyDescent="0.2">
      <c r="A468" s="12" t="s">
        <v>44</v>
      </c>
      <c r="B468" s="12">
        <v>3893.875</v>
      </c>
      <c r="C468" s="12">
        <v>49.939</v>
      </c>
      <c r="D468" s="12">
        <v>22.167000000000002</v>
      </c>
      <c r="E468" s="12">
        <v>2.6970000000000001</v>
      </c>
      <c r="F468" s="12">
        <v>166.21700000000001</v>
      </c>
      <c r="G468" s="12">
        <v>2.7930000000000001</v>
      </c>
      <c r="H468" s="12">
        <v>7.681</v>
      </c>
      <c r="I468" s="12">
        <v>3.194</v>
      </c>
      <c r="J468" s="12">
        <v>654.24300000000005</v>
      </c>
      <c r="K468" s="12">
        <v>708.59699999999998</v>
      </c>
      <c r="L468" s="12">
        <v>8.4000000000000005E-2</v>
      </c>
      <c r="M468" s="12">
        <v>1E-3</v>
      </c>
      <c r="N468" s="12">
        <v>100</v>
      </c>
      <c r="O468" s="12">
        <v>0.27200000000000002</v>
      </c>
      <c r="P468" s="12">
        <v>0.17399999999999999</v>
      </c>
      <c r="Q468" s="12">
        <v>0.40799999999999997</v>
      </c>
      <c r="R468" s="12">
        <v>0.99399999999999999</v>
      </c>
      <c r="S468" s="12">
        <v>0.36199999999999999</v>
      </c>
      <c r="U468" s="12" t="s">
        <v>33</v>
      </c>
      <c r="V468" s="12" t="s">
        <v>30</v>
      </c>
      <c r="W468" s="12">
        <v>6</v>
      </c>
      <c r="Y468" s="12">
        <f t="shared" si="19"/>
        <v>0.67999999999999994</v>
      </c>
      <c r="Z468" s="12">
        <f t="shared" si="20"/>
        <v>9.8000000000000032E-2</v>
      </c>
    </row>
    <row r="469" spans="1:26" x14ac:dyDescent="0.2">
      <c r="A469" s="12" t="s">
        <v>44</v>
      </c>
      <c r="B469" s="12">
        <v>3894.625</v>
      </c>
      <c r="C469" s="12">
        <v>44.412999999999997</v>
      </c>
      <c r="D469" s="12">
        <v>22.626000000000001</v>
      </c>
      <c r="E469" s="12">
        <v>1.8440000000000001</v>
      </c>
      <c r="F469" s="12">
        <v>162.488</v>
      </c>
      <c r="G469" s="12">
        <v>2.7589999999999999</v>
      </c>
      <c r="H469" s="12">
        <v>5.2030000000000003</v>
      </c>
      <c r="I469" s="12">
        <v>3.3860000000000001</v>
      </c>
      <c r="J469" s="12">
        <v>628.06799999999998</v>
      </c>
      <c r="K469" s="12">
        <v>680.24800000000005</v>
      </c>
      <c r="L469" s="12">
        <v>0.08</v>
      </c>
      <c r="M469" s="12">
        <v>1E-3</v>
      </c>
      <c r="N469" s="12">
        <v>100</v>
      </c>
      <c r="O469" s="12">
        <v>0.245</v>
      </c>
      <c r="P469" s="12">
        <v>0.28299999999999997</v>
      </c>
      <c r="Q469" s="12">
        <v>0.29299999999999998</v>
      </c>
      <c r="R469" s="12">
        <v>0.878</v>
      </c>
      <c r="S469" s="12">
        <v>0.26700000000000002</v>
      </c>
      <c r="U469" s="12" t="s">
        <v>33</v>
      </c>
      <c r="V469" s="12" t="s">
        <v>30</v>
      </c>
      <c r="W469" s="12">
        <v>6</v>
      </c>
      <c r="Y469" s="12">
        <f t="shared" si="19"/>
        <v>0.53800000000000003</v>
      </c>
      <c r="Z469" s="12">
        <f t="shared" si="20"/>
        <v>-3.7999999999999978E-2</v>
      </c>
    </row>
    <row r="470" spans="1:26" x14ac:dyDescent="0.2">
      <c r="A470" s="12" t="s">
        <v>44</v>
      </c>
      <c r="B470" s="12">
        <v>3894.75</v>
      </c>
      <c r="C470" s="12">
        <v>47.051000000000002</v>
      </c>
      <c r="D470" s="12">
        <v>22.69</v>
      </c>
      <c r="E470" s="12">
        <v>2.1469999999999998</v>
      </c>
      <c r="F470" s="12">
        <v>164.29499999999999</v>
      </c>
      <c r="G470" s="12">
        <v>2.758</v>
      </c>
      <c r="H470" s="12">
        <v>4.9409999999999998</v>
      </c>
      <c r="I470" s="12">
        <v>3.0779999999999998</v>
      </c>
      <c r="J470" s="12">
        <v>580.779</v>
      </c>
      <c r="K470" s="12">
        <v>629.03</v>
      </c>
      <c r="L470" s="12">
        <v>7.9000000000000001E-2</v>
      </c>
      <c r="M470" s="12">
        <v>1E-3</v>
      </c>
      <c r="N470" s="12">
        <v>100</v>
      </c>
      <c r="O470" s="12">
        <v>0.252</v>
      </c>
      <c r="P470" s="12">
        <v>0.17499999999999999</v>
      </c>
      <c r="Q470" s="12">
        <v>0.33100000000000002</v>
      </c>
      <c r="R470" s="12">
        <v>0.86599999999999999</v>
      </c>
      <c r="S470" s="12">
        <v>0.23699999999999999</v>
      </c>
      <c r="U470" s="12" t="s">
        <v>33</v>
      </c>
      <c r="V470" s="12" t="s">
        <v>30</v>
      </c>
      <c r="W470" s="12">
        <v>6</v>
      </c>
      <c r="Y470" s="12">
        <f t="shared" si="19"/>
        <v>0.58299999999999996</v>
      </c>
      <c r="Z470" s="12">
        <f t="shared" si="20"/>
        <v>7.7000000000000013E-2</v>
      </c>
    </row>
    <row r="471" spans="1:26" x14ac:dyDescent="0.2">
      <c r="A471" s="12" t="s">
        <v>44</v>
      </c>
      <c r="B471" s="12">
        <v>3894.875</v>
      </c>
      <c r="C471" s="12">
        <v>54.783999999999999</v>
      </c>
      <c r="D471" s="12">
        <v>22.672000000000001</v>
      </c>
      <c r="E471" s="12">
        <v>2.4180000000000001</v>
      </c>
      <c r="F471" s="12">
        <v>165.35499999999999</v>
      </c>
      <c r="G471" s="12">
        <v>2.7639999999999998</v>
      </c>
      <c r="H471" s="12">
        <v>5.6980000000000004</v>
      </c>
      <c r="I471" s="12">
        <v>2.97</v>
      </c>
      <c r="J471" s="12">
        <v>496.18799999999999</v>
      </c>
      <c r="K471" s="12">
        <v>537.41099999999994</v>
      </c>
      <c r="L471" s="12">
        <v>7.5999999999999998E-2</v>
      </c>
      <c r="M471" s="12">
        <v>1E-3</v>
      </c>
      <c r="N471" s="12">
        <v>100</v>
      </c>
      <c r="O471" s="12">
        <v>0.30099999999999999</v>
      </c>
      <c r="P471" s="12">
        <v>0.10299999999999999</v>
      </c>
      <c r="Q471" s="12">
        <v>0.36199999999999999</v>
      </c>
      <c r="R471" s="12">
        <v>0.879</v>
      </c>
      <c r="S471" s="12">
        <v>0.25600000000000001</v>
      </c>
      <c r="U471" s="12" t="s">
        <v>33</v>
      </c>
      <c r="V471" s="12" t="s">
        <v>30</v>
      </c>
      <c r="W471" s="12">
        <v>6</v>
      </c>
      <c r="Y471" s="12">
        <f t="shared" si="19"/>
        <v>0.66300000000000003</v>
      </c>
      <c r="Z471" s="12">
        <f t="shared" si="20"/>
        <v>0.19800000000000001</v>
      </c>
    </row>
    <row r="472" spans="1:26" x14ac:dyDescent="0.2">
      <c r="A472" s="12" t="s">
        <v>44</v>
      </c>
      <c r="B472" s="12">
        <v>3895</v>
      </c>
      <c r="C472" s="12">
        <v>61.98</v>
      </c>
      <c r="D472" s="12">
        <v>22.568000000000001</v>
      </c>
      <c r="E472" s="12">
        <v>2.4689999999999999</v>
      </c>
      <c r="F472" s="12">
        <v>165.20699999999999</v>
      </c>
      <c r="G472" s="12">
        <v>2.7730000000000001</v>
      </c>
      <c r="H472" s="12">
        <v>7.0439999999999996</v>
      </c>
      <c r="I472" s="12">
        <v>3.0859999999999999</v>
      </c>
      <c r="J472" s="12">
        <v>425.911</v>
      </c>
      <c r="K472" s="12">
        <v>461.29599999999999</v>
      </c>
      <c r="L472" s="12">
        <v>7.1999999999999995E-2</v>
      </c>
      <c r="M472" s="12">
        <v>1E-3</v>
      </c>
      <c r="N472" s="12">
        <v>100</v>
      </c>
      <c r="O472" s="12">
        <v>0.36499999999999999</v>
      </c>
      <c r="P472" s="12">
        <v>0.113</v>
      </c>
      <c r="Q472" s="12">
        <v>0.37</v>
      </c>
      <c r="R472" s="12">
        <v>0.90900000000000003</v>
      </c>
      <c r="S472" s="12">
        <v>0.316</v>
      </c>
      <c r="U472" s="12" t="s">
        <v>33</v>
      </c>
      <c r="V472" s="12" t="s">
        <v>30</v>
      </c>
      <c r="W472" s="12">
        <v>6</v>
      </c>
      <c r="Y472" s="12">
        <f t="shared" si="19"/>
        <v>0.73499999999999999</v>
      </c>
      <c r="Z472" s="12">
        <f t="shared" si="20"/>
        <v>0.252</v>
      </c>
    </row>
    <row r="473" spans="1:26" x14ac:dyDescent="0.2">
      <c r="A473" s="12" t="s">
        <v>44</v>
      </c>
      <c r="B473" s="12">
        <v>3895.125</v>
      </c>
      <c r="C473" s="12">
        <v>62.704000000000001</v>
      </c>
      <c r="D473" s="12">
        <v>22.504000000000001</v>
      </c>
      <c r="E473" s="12">
        <v>2.1850000000000001</v>
      </c>
      <c r="F473" s="12">
        <v>163.95099999999999</v>
      </c>
      <c r="G473" s="12">
        <v>2.782</v>
      </c>
      <c r="H473" s="12">
        <v>8.0079999999999991</v>
      </c>
      <c r="I473" s="12">
        <v>3.1219999999999999</v>
      </c>
      <c r="J473" s="12">
        <v>421.678</v>
      </c>
      <c r="K473" s="12">
        <v>456.71100000000001</v>
      </c>
      <c r="L473" s="12">
        <v>7.1999999999999995E-2</v>
      </c>
      <c r="M473" s="12">
        <v>1E-3</v>
      </c>
      <c r="N473" s="12">
        <v>100</v>
      </c>
      <c r="O473" s="12">
        <v>0.39400000000000002</v>
      </c>
      <c r="P473" s="12">
        <v>0.13900000000000001</v>
      </c>
      <c r="Q473" s="12">
        <v>0.35099999999999998</v>
      </c>
      <c r="R473" s="12">
        <v>0.94399999999999995</v>
      </c>
      <c r="S473" s="12">
        <v>0.377</v>
      </c>
      <c r="U473" s="12" t="s">
        <v>33</v>
      </c>
      <c r="V473" s="12" t="s">
        <v>30</v>
      </c>
      <c r="W473" s="12">
        <v>6</v>
      </c>
      <c r="Y473" s="12">
        <f t="shared" si="19"/>
        <v>0.745</v>
      </c>
      <c r="Z473" s="12">
        <f t="shared" si="20"/>
        <v>0.255</v>
      </c>
    </row>
    <row r="474" spans="1:26" x14ac:dyDescent="0.2">
      <c r="A474" s="12" t="s">
        <v>44</v>
      </c>
      <c r="B474" s="12">
        <v>3897.375</v>
      </c>
      <c r="C474" s="12">
        <v>59.866999999999997</v>
      </c>
      <c r="D474" s="12">
        <v>21.811</v>
      </c>
      <c r="E474" s="12">
        <v>1.929</v>
      </c>
      <c r="F474" s="12">
        <v>162.98599999999999</v>
      </c>
      <c r="G474" s="12">
        <v>2.7650000000000001</v>
      </c>
      <c r="H474" s="12">
        <v>5.077</v>
      </c>
      <c r="I474" s="12">
        <v>2.9889999999999999</v>
      </c>
      <c r="J474" s="12">
        <v>348.01</v>
      </c>
      <c r="K474" s="12">
        <v>376.92200000000003</v>
      </c>
      <c r="L474" s="12">
        <v>7.0000000000000007E-2</v>
      </c>
      <c r="M474" s="12">
        <v>1E-3</v>
      </c>
      <c r="N474" s="12">
        <v>100</v>
      </c>
      <c r="O474" s="12">
        <v>0.437</v>
      </c>
      <c r="P474" s="12">
        <v>0.124</v>
      </c>
      <c r="Q474" s="12">
        <v>0.36399999999999999</v>
      </c>
      <c r="R474" s="12">
        <v>0.86699999999999999</v>
      </c>
      <c r="S474" s="12">
        <v>0.28299999999999997</v>
      </c>
      <c r="U474" s="12" t="s">
        <v>33</v>
      </c>
      <c r="V474" s="12" t="s">
        <v>30</v>
      </c>
      <c r="W474" s="12">
        <v>8</v>
      </c>
      <c r="Y474" s="12">
        <f t="shared" si="19"/>
        <v>0.80099999999999993</v>
      </c>
      <c r="Z474" s="12">
        <f t="shared" ref="Z474:Z475" si="21">O474-P474</f>
        <v>0.313</v>
      </c>
    </row>
    <row r="475" spans="1:26" x14ac:dyDescent="0.2">
      <c r="A475" s="12" t="s">
        <v>44</v>
      </c>
      <c r="B475" s="12">
        <v>3898.25</v>
      </c>
      <c r="C475" s="12">
        <v>68.254999999999995</v>
      </c>
      <c r="D475" s="12">
        <v>21.504000000000001</v>
      </c>
      <c r="E475" s="12">
        <v>3.1829999999999998</v>
      </c>
      <c r="F475" s="12">
        <v>165.96299999999999</v>
      </c>
      <c r="G475" s="12">
        <v>2.758</v>
      </c>
      <c r="H475" s="12">
        <v>9.0139999999999993</v>
      </c>
      <c r="I475" s="12">
        <v>2.9049999999999998</v>
      </c>
      <c r="J475" s="12">
        <v>336.54</v>
      </c>
      <c r="K475" s="12">
        <v>364.5</v>
      </c>
      <c r="L475" s="12">
        <v>6.6000000000000003E-2</v>
      </c>
      <c r="M475" s="12">
        <v>1E-3</v>
      </c>
      <c r="N475" s="12">
        <v>100</v>
      </c>
      <c r="O475" s="12">
        <v>0.42399999999999999</v>
      </c>
      <c r="P475" s="12">
        <v>5.7000000000000002E-2</v>
      </c>
      <c r="Q475" s="12">
        <v>0.35599999999999998</v>
      </c>
      <c r="R475" s="12">
        <v>0.874</v>
      </c>
      <c r="S475" s="12">
        <v>0.432</v>
      </c>
      <c r="U475" s="12" t="s">
        <v>33</v>
      </c>
      <c r="V475" s="12" t="s">
        <v>30</v>
      </c>
      <c r="W475" s="12">
        <v>8</v>
      </c>
      <c r="Y475" s="12">
        <f t="shared" si="19"/>
        <v>0.78</v>
      </c>
      <c r="Z475" s="12">
        <f t="shared" si="21"/>
        <v>0.36699999999999999</v>
      </c>
    </row>
    <row r="476" spans="1:26" x14ac:dyDescent="0.2">
      <c r="A476" s="15" t="s">
        <v>74</v>
      </c>
      <c r="B476" s="15">
        <v>3806.625</v>
      </c>
      <c r="C476" s="15">
        <v>30.901</v>
      </c>
      <c r="D476" s="15">
        <v>24.207000000000001</v>
      </c>
      <c r="E476" s="15">
        <v>2.1930000000000001</v>
      </c>
      <c r="F476" s="15">
        <v>192.29</v>
      </c>
      <c r="G476" s="15">
        <v>2.597</v>
      </c>
      <c r="H476" s="15">
        <v>9.1219999999999999</v>
      </c>
      <c r="I476" s="15">
        <v>2.9910000000000001</v>
      </c>
      <c r="J476" s="15">
        <v>310.73099999999999</v>
      </c>
      <c r="K476" s="15">
        <v>299.58600000000001</v>
      </c>
      <c r="L476" s="15">
        <v>0.01</v>
      </c>
      <c r="M476" s="15">
        <v>1E-3</v>
      </c>
      <c r="N476" s="15">
        <v>100</v>
      </c>
      <c r="O476" s="15">
        <v>0.11700000000000001</v>
      </c>
      <c r="P476" s="15">
        <v>0.23799999999999999</v>
      </c>
      <c r="Q476" s="15">
        <v>0.32600000000000001</v>
      </c>
      <c r="R476" s="15">
        <v>0.24099999999999999</v>
      </c>
      <c r="S476" s="15">
        <v>0.36299999999999999</v>
      </c>
      <c r="T476" s="15"/>
      <c r="U476" s="15" t="s">
        <v>33</v>
      </c>
      <c r="V476" s="15" t="s">
        <v>30</v>
      </c>
      <c r="W476" s="15">
        <v>10</v>
      </c>
      <c r="X476" s="15" t="s">
        <v>85</v>
      </c>
      <c r="Y476" s="12">
        <f t="shared" si="19"/>
        <v>0.443</v>
      </c>
      <c r="Z476" s="15">
        <v>-0.12099999999999998</v>
      </c>
    </row>
    <row r="477" spans="1:26" x14ac:dyDescent="0.2">
      <c r="A477" s="15" t="s">
        <v>74</v>
      </c>
      <c r="B477" s="15">
        <v>3806.75</v>
      </c>
      <c r="C477" s="15">
        <v>34.793999999999997</v>
      </c>
      <c r="D477" s="15">
        <v>24.271999999999998</v>
      </c>
      <c r="E477" s="15">
        <v>2.5579999999999998</v>
      </c>
      <c r="F477" s="15">
        <v>183.06100000000001</v>
      </c>
      <c r="G477" s="15">
        <v>2.6309999999999998</v>
      </c>
      <c r="H477" s="15">
        <v>9.1069999999999993</v>
      </c>
      <c r="I477" s="15">
        <v>3.2229999999999999</v>
      </c>
      <c r="J477" s="15">
        <v>293.17599999999999</v>
      </c>
      <c r="K477" s="15">
        <v>281.54199999999997</v>
      </c>
      <c r="L477" s="15">
        <v>0.01</v>
      </c>
      <c r="M477" s="15">
        <v>1E-3</v>
      </c>
      <c r="N477" s="15">
        <v>100</v>
      </c>
      <c r="O477" s="15">
        <v>0.151</v>
      </c>
      <c r="P477" s="15">
        <v>0.32200000000000001</v>
      </c>
      <c r="Q477" s="15">
        <v>0.23499999999999999</v>
      </c>
      <c r="R477" s="15">
        <v>0.33600000000000002</v>
      </c>
      <c r="S477" s="15">
        <v>0.36</v>
      </c>
      <c r="T477" s="15"/>
      <c r="U477" s="15" t="s">
        <v>33</v>
      </c>
      <c r="V477" s="15" t="s">
        <v>30</v>
      </c>
      <c r="W477" s="15">
        <v>10</v>
      </c>
      <c r="X477" s="15" t="s">
        <v>85</v>
      </c>
      <c r="Y477" s="12">
        <f t="shared" si="19"/>
        <v>0.38600000000000001</v>
      </c>
      <c r="Z477" s="15">
        <v>-0.17100000000000001</v>
      </c>
    </row>
    <row r="478" spans="1:26" x14ac:dyDescent="0.2">
      <c r="A478" s="15" t="s">
        <v>74</v>
      </c>
      <c r="B478" s="15">
        <v>3806.875</v>
      </c>
      <c r="C478" s="15">
        <v>42.869</v>
      </c>
      <c r="D478" s="15">
        <v>24.248999999999999</v>
      </c>
      <c r="E478" s="15">
        <v>3.08</v>
      </c>
      <c r="F478" s="15">
        <v>174.416</v>
      </c>
      <c r="G478" s="15">
        <v>2.7149999999999999</v>
      </c>
      <c r="H478" s="15">
        <v>8.9710000000000001</v>
      </c>
      <c r="I478" s="15">
        <v>3.3580000000000001</v>
      </c>
      <c r="J478" s="15">
        <v>299.19</v>
      </c>
      <c r="K478" s="15">
        <v>282.37299999999999</v>
      </c>
      <c r="L478" s="15">
        <v>0.01</v>
      </c>
      <c r="M478" s="15">
        <v>1E-3</v>
      </c>
      <c r="N478" s="15">
        <v>100</v>
      </c>
      <c r="O478" s="15">
        <v>0.20799999999999999</v>
      </c>
      <c r="P478" s="15">
        <v>0.36399999999999999</v>
      </c>
      <c r="Q478" s="15">
        <v>0.153</v>
      </c>
      <c r="R478" s="15">
        <v>0.52200000000000002</v>
      </c>
      <c r="S478" s="15">
        <v>0.35199999999999998</v>
      </c>
      <c r="T478" s="15"/>
      <c r="U478" s="15" t="s">
        <v>33</v>
      </c>
      <c r="V478" s="15" t="s">
        <v>30</v>
      </c>
      <c r="W478" s="15">
        <v>10</v>
      </c>
      <c r="X478" s="15" t="s">
        <v>85</v>
      </c>
      <c r="Y478" s="12">
        <f t="shared" si="19"/>
        <v>0.36099999999999999</v>
      </c>
      <c r="Z478" s="15">
        <v>-0.156</v>
      </c>
    </row>
    <row r="479" spans="1:26" x14ac:dyDescent="0.2">
      <c r="A479" s="15" t="s">
        <v>74</v>
      </c>
      <c r="B479" s="15">
        <v>3807</v>
      </c>
      <c r="C479" s="15">
        <v>48.585999999999999</v>
      </c>
      <c r="D479" s="15">
        <v>24.132999999999999</v>
      </c>
      <c r="E479" s="15">
        <v>3.4020000000000001</v>
      </c>
      <c r="F479" s="15">
        <v>167.93700000000001</v>
      </c>
      <c r="G479" s="15">
        <v>2.802</v>
      </c>
      <c r="H479" s="15">
        <v>8.9149999999999991</v>
      </c>
      <c r="I479" s="15">
        <v>3.3460000000000001</v>
      </c>
      <c r="J479" s="15">
        <v>333.73700000000002</v>
      </c>
      <c r="K479" s="15">
        <v>305.99</v>
      </c>
      <c r="L479" s="15">
        <v>0.01</v>
      </c>
      <c r="M479" s="15">
        <v>1E-3</v>
      </c>
      <c r="N479" s="15">
        <v>100</v>
      </c>
      <c r="O479" s="15">
        <v>0.24199999999999999</v>
      </c>
      <c r="P479" s="15">
        <v>0.35599999999999998</v>
      </c>
      <c r="Q479" s="15">
        <v>0.09</v>
      </c>
      <c r="R479" s="15">
        <v>0.7</v>
      </c>
      <c r="S479" s="15">
        <v>0.35199999999999998</v>
      </c>
      <c r="T479" s="15"/>
      <c r="U479" s="15" t="s">
        <v>33</v>
      </c>
      <c r="V479" s="15" t="s">
        <v>30</v>
      </c>
      <c r="W479" s="15">
        <v>10</v>
      </c>
      <c r="X479" s="15" t="s">
        <v>85</v>
      </c>
      <c r="Y479" s="12">
        <f t="shared" si="19"/>
        <v>0.33199999999999996</v>
      </c>
      <c r="Z479" s="15">
        <v>-0.11399999999999999</v>
      </c>
    </row>
    <row r="480" spans="1:26" x14ac:dyDescent="0.2">
      <c r="A480" s="15" t="s">
        <v>74</v>
      </c>
      <c r="B480" s="15">
        <v>3807.125</v>
      </c>
      <c r="C480" s="15">
        <v>48.280999999999999</v>
      </c>
      <c r="D480" s="15">
        <v>23.981999999999999</v>
      </c>
      <c r="E480" s="15">
        <v>3.3439999999999999</v>
      </c>
      <c r="F480" s="15">
        <v>162.39400000000001</v>
      </c>
      <c r="G480" s="15">
        <v>2.855</v>
      </c>
      <c r="H480" s="15">
        <v>9.173</v>
      </c>
      <c r="I480" s="15">
        <v>3.2770000000000001</v>
      </c>
      <c r="J480" s="15">
        <v>391.56099999999998</v>
      </c>
      <c r="K480" s="15">
        <v>347.65600000000001</v>
      </c>
      <c r="L480" s="15">
        <v>0.01</v>
      </c>
      <c r="M480" s="15">
        <v>1E-3</v>
      </c>
      <c r="N480" s="15">
        <v>100</v>
      </c>
      <c r="O480" s="15">
        <v>0.23200000000000001</v>
      </c>
      <c r="P480" s="15">
        <v>0.33</v>
      </c>
      <c r="Q480" s="15">
        <v>3.9E-2</v>
      </c>
      <c r="R480" s="15">
        <v>0.80200000000000005</v>
      </c>
      <c r="S480" s="15">
        <v>0.37</v>
      </c>
      <c r="T480" s="15"/>
      <c r="U480" s="15" t="s">
        <v>33</v>
      </c>
      <c r="V480" s="15" t="s">
        <v>30</v>
      </c>
      <c r="W480" s="15">
        <v>10</v>
      </c>
      <c r="X480" s="15" t="s">
        <v>85</v>
      </c>
      <c r="Y480" s="12">
        <f t="shared" si="19"/>
        <v>0.27100000000000002</v>
      </c>
      <c r="Z480" s="15">
        <v>-9.8000000000000004E-2</v>
      </c>
    </row>
    <row r="481" spans="1:26" x14ac:dyDescent="0.2">
      <c r="A481" s="15" t="s">
        <v>74</v>
      </c>
      <c r="B481" s="15">
        <v>3807.25</v>
      </c>
      <c r="C481" s="15">
        <v>42.308999999999997</v>
      </c>
      <c r="D481" s="15">
        <v>23.91</v>
      </c>
      <c r="E481" s="15">
        <v>2.8820000000000001</v>
      </c>
      <c r="F481" s="15">
        <v>159.06899999999999</v>
      </c>
      <c r="G481" s="15">
        <v>2.8730000000000002</v>
      </c>
      <c r="H481" s="15">
        <v>9.452</v>
      </c>
      <c r="I481" s="15">
        <v>3.2280000000000002</v>
      </c>
      <c r="J481" s="15">
        <v>460.81</v>
      </c>
      <c r="K481" s="15">
        <v>397.01100000000002</v>
      </c>
      <c r="L481" s="15">
        <v>0.01</v>
      </c>
      <c r="M481" s="15">
        <v>1E-3</v>
      </c>
      <c r="N481" s="15">
        <v>100</v>
      </c>
      <c r="O481" s="15">
        <v>0.188</v>
      </c>
      <c r="P481" s="15">
        <v>0.312</v>
      </c>
      <c r="Q481" s="15">
        <v>1.2E-2</v>
      </c>
      <c r="R481" s="15">
        <v>0.83499999999999996</v>
      </c>
      <c r="S481" s="15">
        <v>0.38100000000000001</v>
      </c>
      <c r="T481" s="15"/>
      <c r="U481" s="15" t="s">
        <v>33</v>
      </c>
      <c r="V481" s="15" t="s">
        <v>30</v>
      </c>
      <c r="W481" s="15">
        <v>10</v>
      </c>
      <c r="X481" s="15" t="s">
        <v>85</v>
      </c>
      <c r="Y481" s="12">
        <f t="shared" si="19"/>
        <v>0.2</v>
      </c>
      <c r="Z481" s="15">
        <v>-0.124</v>
      </c>
    </row>
    <row r="482" spans="1:26" x14ac:dyDescent="0.2">
      <c r="A482" s="15" t="s">
        <v>75</v>
      </c>
      <c r="B482" s="15">
        <v>3873.25</v>
      </c>
      <c r="C482" s="15">
        <v>25.443000000000001</v>
      </c>
      <c r="D482" s="15">
        <v>21.295000000000002</v>
      </c>
      <c r="E482" s="15">
        <v>2.8010000000000002</v>
      </c>
      <c r="F482" s="15">
        <v>157.84700000000001</v>
      </c>
      <c r="G482" s="15">
        <v>2.823</v>
      </c>
      <c r="H482" s="15">
        <v>6.6989999999999998</v>
      </c>
      <c r="I482" s="15">
        <v>3.1949999999999998</v>
      </c>
      <c r="J482" s="15">
        <v>527.75099999999998</v>
      </c>
      <c r="K482" s="15">
        <v>586.38900000000001</v>
      </c>
      <c r="L482" s="15">
        <v>0</v>
      </c>
      <c r="M482" s="15">
        <v>0</v>
      </c>
      <c r="N482" s="15">
        <v>100</v>
      </c>
      <c r="O482" s="15">
        <v>0.10199999999999999</v>
      </c>
      <c r="P482" s="15">
        <v>0.23300000000000001</v>
      </c>
      <c r="Q482" s="15">
        <v>0.06</v>
      </c>
      <c r="R482" s="15">
        <v>0.96899999999999997</v>
      </c>
      <c r="S482" s="15">
        <v>0.129</v>
      </c>
      <c r="T482" s="15"/>
      <c r="U482" s="15" t="s">
        <v>22</v>
      </c>
      <c r="V482" s="15" t="s">
        <v>29</v>
      </c>
      <c r="W482" s="15">
        <v>2</v>
      </c>
      <c r="X482" s="15" t="s">
        <v>85</v>
      </c>
      <c r="Y482" s="12">
        <f t="shared" si="19"/>
        <v>0.16199999999999998</v>
      </c>
      <c r="Z482" s="15">
        <v>-0.13100000000000001</v>
      </c>
    </row>
    <row r="483" spans="1:26" x14ac:dyDescent="0.2">
      <c r="A483" s="15" t="s">
        <v>75</v>
      </c>
      <c r="B483" s="15">
        <v>3873.375</v>
      </c>
      <c r="C483" s="15">
        <v>26.221</v>
      </c>
      <c r="D483" s="15">
        <v>21.216999999999999</v>
      </c>
      <c r="E483" s="15">
        <v>2.72</v>
      </c>
      <c r="F483" s="15">
        <v>160.048</v>
      </c>
      <c r="G483" s="15">
        <v>2.8149999999999999</v>
      </c>
      <c r="H483" s="15">
        <v>6.6150000000000002</v>
      </c>
      <c r="I483" s="15">
        <v>3.1720000000000002</v>
      </c>
      <c r="J483" s="15">
        <v>624.84500000000003</v>
      </c>
      <c r="K483" s="15">
        <v>694.27200000000005</v>
      </c>
      <c r="L483" s="15">
        <v>0</v>
      </c>
      <c r="M483" s="15">
        <v>0</v>
      </c>
      <c r="N483" s="15">
        <v>100</v>
      </c>
      <c r="O483" s="15">
        <v>0.11600000000000001</v>
      </c>
      <c r="P483" s="15">
        <v>0.22500000000000001</v>
      </c>
      <c r="Q483" s="15">
        <v>0.1</v>
      </c>
      <c r="R483" s="15">
        <v>0.91300000000000003</v>
      </c>
      <c r="S483" s="15">
        <v>0.13</v>
      </c>
      <c r="T483" s="15"/>
      <c r="U483" s="15" t="s">
        <v>22</v>
      </c>
      <c r="V483" s="15" t="s">
        <v>29</v>
      </c>
      <c r="W483" s="15">
        <v>2</v>
      </c>
      <c r="X483" s="15" t="s">
        <v>85</v>
      </c>
      <c r="Y483" s="12">
        <f t="shared" si="19"/>
        <v>0.21600000000000003</v>
      </c>
      <c r="Z483" s="15">
        <v>-0.109</v>
      </c>
    </row>
    <row r="484" spans="1:26" x14ac:dyDescent="0.2">
      <c r="A484" s="15" t="s">
        <v>75</v>
      </c>
      <c r="B484" s="15">
        <v>3873.5</v>
      </c>
      <c r="C484" s="15">
        <v>29.041</v>
      </c>
      <c r="D484" s="15">
        <v>21.177</v>
      </c>
      <c r="E484" s="15">
        <v>2.5110000000000001</v>
      </c>
      <c r="F484" s="15">
        <v>163.303</v>
      </c>
      <c r="G484" s="15">
        <v>2.8010000000000002</v>
      </c>
      <c r="H484" s="15">
        <v>6.8760000000000003</v>
      </c>
      <c r="I484" s="15">
        <v>3.1789999999999998</v>
      </c>
      <c r="J484" s="15">
        <v>673.82600000000002</v>
      </c>
      <c r="K484" s="15">
        <v>748.69600000000003</v>
      </c>
      <c r="L484" s="15">
        <v>0</v>
      </c>
      <c r="M484" s="15">
        <v>0</v>
      </c>
      <c r="N484" s="15">
        <v>100</v>
      </c>
      <c r="O484" s="15">
        <v>0.156</v>
      </c>
      <c r="P484" s="15">
        <v>0.23499999999999999</v>
      </c>
      <c r="Q484" s="15">
        <v>0.16</v>
      </c>
      <c r="R484" s="15">
        <v>0.81200000000000006</v>
      </c>
      <c r="S484" s="15">
        <v>0.17199999999999999</v>
      </c>
      <c r="T484" s="15"/>
      <c r="U484" s="15" t="s">
        <v>22</v>
      </c>
      <c r="V484" s="15" t="s">
        <v>29</v>
      </c>
      <c r="W484" s="15">
        <v>2</v>
      </c>
      <c r="X484" s="15" t="s">
        <v>85</v>
      </c>
      <c r="Y484" s="12">
        <f t="shared" si="19"/>
        <v>0.316</v>
      </c>
      <c r="Z484" s="15">
        <v>-7.8999999999999987E-2</v>
      </c>
    </row>
    <row r="485" spans="1:26" x14ac:dyDescent="0.2">
      <c r="A485" s="15" t="s">
        <v>75</v>
      </c>
      <c r="B485" s="15">
        <v>3873.625</v>
      </c>
      <c r="C485" s="15">
        <v>36.57</v>
      </c>
      <c r="D485" s="15">
        <v>21.254000000000001</v>
      </c>
      <c r="E485" s="15">
        <v>2.3610000000000002</v>
      </c>
      <c r="F485" s="15">
        <v>167.96899999999999</v>
      </c>
      <c r="G485" s="15">
        <v>2.7749999999999999</v>
      </c>
      <c r="H485" s="15">
        <v>7.6779999999999999</v>
      </c>
      <c r="I485" s="15">
        <v>3.226</v>
      </c>
      <c r="J485" s="15">
        <v>632.61599999999999</v>
      </c>
      <c r="K485" s="15">
        <v>702.90700000000004</v>
      </c>
      <c r="L485" s="15">
        <v>0</v>
      </c>
      <c r="M485" s="15">
        <v>0</v>
      </c>
      <c r="N485" s="15">
        <v>100</v>
      </c>
      <c r="O485" s="15">
        <v>0.249</v>
      </c>
      <c r="P485" s="15">
        <v>0.253</v>
      </c>
      <c r="Q485" s="15">
        <v>0.246</v>
      </c>
      <c r="R485" s="15">
        <v>0.64</v>
      </c>
      <c r="S485" s="15">
        <v>0.27500000000000002</v>
      </c>
      <c r="T485" s="15"/>
      <c r="U485" s="15" t="s">
        <v>22</v>
      </c>
      <c r="V485" s="15" t="s">
        <v>29</v>
      </c>
      <c r="W485" s="15">
        <v>2</v>
      </c>
      <c r="X485" s="15" t="s">
        <v>85</v>
      </c>
      <c r="Y485" s="12">
        <f t="shared" si="19"/>
        <v>0.495</v>
      </c>
      <c r="Z485" s="15">
        <v>-4.0000000000000036E-3</v>
      </c>
    </row>
    <row r="486" spans="1:26" x14ac:dyDescent="0.2">
      <c r="A486" s="15" t="s">
        <v>75</v>
      </c>
      <c r="B486" s="15">
        <v>3873.75</v>
      </c>
      <c r="C486" s="15">
        <v>50.917999999999999</v>
      </c>
      <c r="D486" s="15">
        <v>21.568000000000001</v>
      </c>
      <c r="E486" s="15">
        <v>2.7890000000000001</v>
      </c>
      <c r="F486" s="15">
        <v>174.87299999999999</v>
      </c>
      <c r="G486" s="15">
        <v>2.7360000000000002</v>
      </c>
      <c r="H486" s="15">
        <v>9.2240000000000002</v>
      </c>
      <c r="I486" s="15">
        <v>3.2240000000000002</v>
      </c>
      <c r="J486" s="15">
        <v>500.55599999999998</v>
      </c>
      <c r="K486" s="15">
        <v>556.17399999999998</v>
      </c>
      <c r="L486" s="15">
        <v>0</v>
      </c>
      <c r="M486" s="15">
        <v>0</v>
      </c>
      <c r="N486" s="15">
        <v>100</v>
      </c>
      <c r="O486" s="15">
        <v>0.40100000000000002</v>
      </c>
      <c r="P486" s="15">
        <v>0.24399999999999999</v>
      </c>
      <c r="Q486" s="15">
        <v>0.34200000000000003</v>
      </c>
      <c r="R486" s="15">
        <v>0.433</v>
      </c>
      <c r="S486" s="15">
        <v>0.42299999999999999</v>
      </c>
      <c r="T486" s="15"/>
      <c r="U486" s="15" t="s">
        <v>22</v>
      </c>
      <c r="V486" s="15" t="s">
        <v>29</v>
      </c>
      <c r="W486" s="15">
        <v>2</v>
      </c>
      <c r="X486" s="15" t="s">
        <v>85</v>
      </c>
      <c r="Y486" s="12">
        <f t="shared" si="19"/>
        <v>0.7430000000000001</v>
      </c>
      <c r="Z486" s="15">
        <v>0.15700000000000003</v>
      </c>
    </row>
    <row r="487" spans="1:26" x14ac:dyDescent="0.2">
      <c r="A487" s="15" t="s">
        <v>75</v>
      </c>
      <c r="B487" s="15">
        <v>3873.875</v>
      </c>
      <c r="C487" s="15">
        <v>69.271000000000001</v>
      </c>
      <c r="D487" s="15">
        <v>22.084</v>
      </c>
      <c r="E487" s="15">
        <v>3.7450000000000001</v>
      </c>
      <c r="F487" s="15">
        <v>178.19</v>
      </c>
      <c r="G487" s="15">
        <v>2.7080000000000002</v>
      </c>
      <c r="H487" s="15">
        <v>10.462999999999999</v>
      </c>
      <c r="I487" s="15">
        <v>3.1720000000000002</v>
      </c>
      <c r="J487" s="15">
        <v>351.29300000000001</v>
      </c>
      <c r="K487" s="15">
        <v>390.32499999999999</v>
      </c>
      <c r="L487" s="15">
        <v>0</v>
      </c>
      <c r="M487" s="15">
        <v>0</v>
      </c>
      <c r="N487" s="15">
        <v>100</v>
      </c>
      <c r="O487" s="15">
        <v>0.57599999999999996</v>
      </c>
      <c r="P487" s="15">
        <v>0.216</v>
      </c>
      <c r="Q487" s="15">
        <v>0.39100000000000001</v>
      </c>
      <c r="R487" s="15">
        <v>0.27500000000000002</v>
      </c>
      <c r="S487" s="15">
        <v>0.54500000000000004</v>
      </c>
      <c r="T487" s="15"/>
      <c r="U487" s="15" t="s">
        <v>33</v>
      </c>
      <c r="V487" s="15" t="s">
        <v>29</v>
      </c>
      <c r="W487" s="15">
        <v>2</v>
      </c>
      <c r="X487" s="15" t="s">
        <v>85</v>
      </c>
      <c r="Y487" s="12">
        <f t="shared" si="19"/>
        <v>0.96699999999999997</v>
      </c>
      <c r="Z487" s="15">
        <v>0.36</v>
      </c>
    </row>
    <row r="488" spans="1:26" x14ac:dyDescent="0.2">
      <c r="A488" s="15" t="s">
        <v>75</v>
      </c>
      <c r="B488" s="15">
        <v>3874.625</v>
      </c>
      <c r="C488" s="15">
        <v>68.275000000000006</v>
      </c>
      <c r="D488" s="15">
        <v>22.734000000000002</v>
      </c>
      <c r="E488" s="15">
        <v>2.6669999999999998</v>
      </c>
      <c r="F488" s="15">
        <v>185.68600000000001</v>
      </c>
      <c r="G488" s="15">
        <v>2.7269999999999999</v>
      </c>
      <c r="H488" s="15">
        <v>12.252000000000001</v>
      </c>
      <c r="I488" s="15">
        <v>3.3570000000000002</v>
      </c>
      <c r="J488" s="15">
        <v>244.851</v>
      </c>
      <c r="K488" s="15">
        <v>272.05599999999998</v>
      </c>
      <c r="L488" s="15">
        <v>0</v>
      </c>
      <c r="M488" s="15">
        <v>0</v>
      </c>
      <c r="N488" s="15">
        <v>100</v>
      </c>
      <c r="O488" s="15">
        <v>0.47</v>
      </c>
      <c r="P488" s="15">
        <v>0.28999999999999998</v>
      </c>
      <c r="Q488" s="15">
        <v>0.48799999999999999</v>
      </c>
      <c r="R488" s="15">
        <v>0.46600000000000003</v>
      </c>
      <c r="S488" s="15">
        <v>0.65600000000000003</v>
      </c>
      <c r="T488" s="15"/>
      <c r="U488" s="15" t="s">
        <v>33</v>
      </c>
      <c r="V488" s="15" t="s">
        <v>29</v>
      </c>
      <c r="W488" s="15">
        <v>4</v>
      </c>
      <c r="X488" s="15" t="s">
        <v>85</v>
      </c>
      <c r="Y488" s="12">
        <f t="shared" si="19"/>
        <v>0.95799999999999996</v>
      </c>
      <c r="Z488" s="15">
        <v>0.18</v>
      </c>
    </row>
    <row r="489" spans="1:26" x14ac:dyDescent="0.2">
      <c r="A489" s="15" t="s">
        <v>75</v>
      </c>
      <c r="B489" s="15">
        <v>3874.75</v>
      </c>
      <c r="C489" s="15">
        <v>50.677</v>
      </c>
      <c r="D489" s="15">
        <v>22.334</v>
      </c>
      <c r="E489" s="15">
        <v>2.0699999999999998</v>
      </c>
      <c r="F489" s="15">
        <v>182.67</v>
      </c>
      <c r="G489" s="15">
        <v>2.75</v>
      </c>
      <c r="H489" s="15">
        <v>10.951000000000001</v>
      </c>
      <c r="I489" s="15">
        <v>3.125</v>
      </c>
      <c r="J489" s="15">
        <v>328.81200000000001</v>
      </c>
      <c r="K489" s="15">
        <v>365.346</v>
      </c>
      <c r="L489" s="15">
        <v>0</v>
      </c>
      <c r="M489" s="15">
        <v>0</v>
      </c>
      <c r="N489" s="15">
        <v>100</v>
      </c>
      <c r="O489" s="15">
        <v>0.307</v>
      </c>
      <c r="P489" s="15">
        <v>0.193</v>
      </c>
      <c r="Q489" s="15">
        <v>0.42899999999999999</v>
      </c>
      <c r="R489" s="15">
        <v>0.59099999999999997</v>
      </c>
      <c r="S489" s="15">
        <v>0.51400000000000001</v>
      </c>
      <c r="T489" s="15"/>
      <c r="U489" s="15" t="s">
        <v>33</v>
      </c>
      <c r="V489" s="15" t="s">
        <v>29</v>
      </c>
      <c r="W489" s="15">
        <v>4</v>
      </c>
      <c r="X489" s="15" t="s">
        <v>85</v>
      </c>
      <c r="Y489" s="12">
        <f t="shared" si="19"/>
        <v>0.73599999999999999</v>
      </c>
      <c r="Z489" s="15">
        <v>0.11399999999999999</v>
      </c>
    </row>
    <row r="490" spans="1:26" x14ac:dyDescent="0.2">
      <c r="A490" s="15" t="s">
        <v>75</v>
      </c>
      <c r="B490" s="15">
        <v>3874.875</v>
      </c>
      <c r="C490" s="15">
        <v>36.345999999999997</v>
      </c>
      <c r="D490" s="15">
        <v>21.95</v>
      </c>
      <c r="E490" s="15">
        <v>1.9039999999999999</v>
      </c>
      <c r="F490" s="15">
        <v>177.61500000000001</v>
      </c>
      <c r="G490" s="15">
        <v>2.7679999999999998</v>
      </c>
      <c r="H490" s="15">
        <v>9.32</v>
      </c>
      <c r="I490" s="15">
        <v>3.0950000000000002</v>
      </c>
      <c r="J490" s="15">
        <v>429.40899999999999</v>
      </c>
      <c r="K490" s="15">
        <v>477.12200000000001</v>
      </c>
      <c r="L490" s="15">
        <v>0</v>
      </c>
      <c r="M490" s="15">
        <v>0</v>
      </c>
      <c r="N490" s="15">
        <v>100</v>
      </c>
      <c r="O490" s="15">
        <v>0.182</v>
      </c>
      <c r="P490" s="15">
        <v>0.187</v>
      </c>
      <c r="Q490" s="15">
        <v>0.34899999999999998</v>
      </c>
      <c r="R490" s="15">
        <v>0.69099999999999995</v>
      </c>
      <c r="S490" s="15">
        <v>0.34200000000000003</v>
      </c>
      <c r="T490" s="15"/>
      <c r="U490" s="15" t="s">
        <v>33</v>
      </c>
      <c r="V490" s="15" t="s">
        <v>29</v>
      </c>
      <c r="W490" s="15">
        <v>4</v>
      </c>
      <c r="X490" s="15" t="s">
        <v>85</v>
      </c>
      <c r="Y490" s="12">
        <f t="shared" si="19"/>
        <v>0.53099999999999992</v>
      </c>
      <c r="Z490" s="15">
        <v>-5.0000000000000044E-3</v>
      </c>
    </row>
    <row r="491" spans="1:26" x14ac:dyDescent="0.2">
      <c r="A491" s="15" t="s">
        <v>75</v>
      </c>
      <c r="B491" s="15">
        <v>3875</v>
      </c>
      <c r="C491" s="15">
        <v>27.471</v>
      </c>
      <c r="D491" s="15">
        <v>21.626000000000001</v>
      </c>
      <c r="E491" s="15">
        <v>1.8180000000000001</v>
      </c>
      <c r="F491" s="15">
        <v>172.852</v>
      </c>
      <c r="G491" s="15">
        <v>2.7839999999999998</v>
      </c>
      <c r="H491" s="15">
        <v>7.4560000000000004</v>
      </c>
      <c r="I491" s="15">
        <v>3.137</v>
      </c>
      <c r="J491" s="15">
        <v>504.96100000000001</v>
      </c>
      <c r="K491" s="15">
        <v>561.06700000000001</v>
      </c>
      <c r="L491" s="15">
        <v>0</v>
      </c>
      <c r="M491" s="15">
        <v>0</v>
      </c>
      <c r="N491" s="15">
        <v>100</v>
      </c>
      <c r="O491" s="15">
        <v>0.111</v>
      </c>
      <c r="P491" s="15">
        <v>0.20899999999999999</v>
      </c>
      <c r="Q491" s="15">
        <v>0.27800000000000002</v>
      </c>
      <c r="R491" s="15">
        <v>0.77700000000000002</v>
      </c>
      <c r="S491" s="15">
        <v>0.16800000000000001</v>
      </c>
      <c r="T491" s="15"/>
      <c r="U491" s="15" t="s">
        <v>33</v>
      </c>
      <c r="V491" s="15" t="s">
        <v>29</v>
      </c>
      <c r="W491" s="15">
        <v>4</v>
      </c>
      <c r="X491" s="15" t="s">
        <v>85</v>
      </c>
      <c r="Y491" s="12">
        <f t="shared" si="19"/>
        <v>0.38900000000000001</v>
      </c>
      <c r="Z491" s="15">
        <v>-9.799999999999999E-2</v>
      </c>
    </row>
    <row r="492" spans="1:26" x14ac:dyDescent="0.2">
      <c r="A492" s="15" t="s">
        <v>75</v>
      </c>
      <c r="B492" s="15">
        <v>3875.125</v>
      </c>
      <c r="C492" s="15">
        <v>24.25</v>
      </c>
      <c r="D492" s="15">
        <v>21.387</v>
      </c>
      <c r="E492" s="15">
        <v>1.7809999999999999</v>
      </c>
      <c r="F492" s="15">
        <v>169.48</v>
      </c>
      <c r="G492" s="15">
        <v>2.7959999999999998</v>
      </c>
      <c r="H492" s="15">
        <v>6.0709999999999997</v>
      </c>
      <c r="I492" s="15">
        <v>3.1669999999999998</v>
      </c>
      <c r="J492" s="15">
        <v>526.97299999999996</v>
      </c>
      <c r="K492" s="15">
        <v>585.52599999999995</v>
      </c>
      <c r="L492" s="15">
        <v>0</v>
      </c>
      <c r="M492" s="15">
        <v>0</v>
      </c>
      <c r="N492" s="15">
        <v>100</v>
      </c>
      <c r="O492" s="15">
        <v>9.2999999999999999E-2</v>
      </c>
      <c r="P492" s="15">
        <v>0.23200000000000001</v>
      </c>
      <c r="Q492" s="15">
        <v>0.224</v>
      </c>
      <c r="R492" s="15">
        <v>0.83699999999999997</v>
      </c>
      <c r="S492" s="15">
        <v>5.0999999999999997E-2</v>
      </c>
      <c r="T492" s="15"/>
      <c r="U492" s="15" t="s">
        <v>33</v>
      </c>
      <c r="V492" s="15" t="s">
        <v>29</v>
      </c>
      <c r="W492" s="15">
        <v>4</v>
      </c>
      <c r="X492" s="15" t="s">
        <v>85</v>
      </c>
      <c r="Y492" s="12">
        <f t="shared" si="19"/>
        <v>0.317</v>
      </c>
      <c r="Z492" s="15">
        <v>-0.13900000000000001</v>
      </c>
    </row>
    <row r="493" spans="1:26" x14ac:dyDescent="0.2">
      <c r="A493" s="15" t="s">
        <v>75</v>
      </c>
      <c r="B493" s="15">
        <v>3875.25</v>
      </c>
      <c r="C493" s="15">
        <v>25.797000000000001</v>
      </c>
      <c r="D493" s="15">
        <v>21.23</v>
      </c>
      <c r="E493" s="15">
        <v>1.804</v>
      </c>
      <c r="F493" s="15">
        <v>166.375</v>
      </c>
      <c r="G493" s="15">
        <v>2.802</v>
      </c>
      <c r="H493" s="15">
        <v>5.4980000000000002</v>
      </c>
      <c r="I493" s="15">
        <v>3.2349999999999999</v>
      </c>
      <c r="J493" s="15">
        <v>511.86500000000001</v>
      </c>
      <c r="K493" s="15">
        <v>568.73900000000003</v>
      </c>
      <c r="L493" s="15">
        <v>0</v>
      </c>
      <c r="M493" s="15">
        <v>0</v>
      </c>
      <c r="N493" s="15">
        <v>100</v>
      </c>
      <c r="O493" s="15">
        <v>0.11799999999999999</v>
      </c>
      <c r="P493" s="15">
        <v>0.27400000000000002</v>
      </c>
      <c r="Q493" s="15">
        <v>0.17299999999999999</v>
      </c>
      <c r="R493" s="15">
        <v>0.86099999999999999</v>
      </c>
      <c r="S493" s="15">
        <v>7.0000000000000001E-3</v>
      </c>
      <c r="T493" s="15"/>
      <c r="U493" s="15" t="s">
        <v>33</v>
      </c>
      <c r="V493" s="15" t="s">
        <v>29</v>
      </c>
      <c r="W493" s="15">
        <v>4</v>
      </c>
      <c r="X493" s="15" t="s">
        <v>85</v>
      </c>
      <c r="Y493" s="12">
        <f t="shared" si="19"/>
        <v>0.29099999999999998</v>
      </c>
      <c r="Z493" s="15">
        <v>-0.15600000000000003</v>
      </c>
    </row>
    <row r="494" spans="1:26" x14ac:dyDescent="0.2">
      <c r="A494" s="15" t="s">
        <v>75</v>
      </c>
      <c r="B494" s="15">
        <v>3875.375</v>
      </c>
      <c r="C494" s="15">
        <v>31.132000000000001</v>
      </c>
      <c r="D494" s="15">
        <v>21.178000000000001</v>
      </c>
      <c r="E494" s="15">
        <v>1.9430000000000001</v>
      </c>
      <c r="F494" s="15">
        <v>163.18100000000001</v>
      </c>
      <c r="G494" s="15">
        <v>2.802</v>
      </c>
      <c r="H494" s="15">
        <v>5.4029999999999996</v>
      </c>
      <c r="I494" s="15">
        <v>3.331</v>
      </c>
      <c r="J494" s="15">
        <v>488.72300000000001</v>
      </c>
      <c r="K494" s="15">
        <v>543.02499999999998</v>
      </c>
      <c r="L494" s="15">
        <v>0</v>
      </c>
      <c r="M494" s="15">
        <v>0</v>
      </c>
      <c r="N494" s="15">
        <v>100</v>
      </c>
      <c r="O494" s="15">
        <v>0.17599999999999999</v>
      </c>
      <c r="P494" s="15">
        <v>0.317</v>
      </c>
      <c r="Q494" s="15">
        <v>0.13100000000000001</v>
      </c>
      <c r="R494" s="15">
        <v>0.86599999999999999</v>
      </c>
      <c r="S494" s="15">
        <v>1.6E-2</v>
      </c>
      <c r="T494" s="15"/>
      <c r="U494" s="15" t="s">
        <v>33</v>
      </c>
      <c r="V494" s="15" t="s">
        <v>29</v>
      </c>
      <c r="W494" s="15">
        <v>4</v>
      </c>
      <c r="X494" s="15" t="s">
        <v>85</v>
      </c>
      <c r="Y494" s="12">
        <f t="shared" si="19"/>
        <v>0.307</v>
      </c>
      <c r="Z494" s="15">
        <v>-0.14100000000000001</v>
      </c>
    </row>
    <row r="495" spans="1:26" x14ac:dyDescent="0.2">
      <c r="A495" s="15" t="s">
        <v>75</v>
      </c>
      <c r="B495" s="15">
        <v>3875.75</v>
      </c>
      <c r="C495" s="15">
        <v>48.680999999999997</v>
      </c>
      <c r="D495" s="15">
        <v>21.984999999999999</v>
      </c>
      <c r="E495" s="15">
        <v>3.34</v>
      </c>
      <c r="F495" s="15">
        <v>168.18</v>
      </c>
      <c r="G495" s="15">
        <v>2.8170000000000002</v>
      </c>
      <c r="H495" s="15">
        <v>7.4589999999999996</v>
      </c>
      <c r="I495" s="15">
        <v>3.3210000000000002</v>
      </c>
      <c r="J495" s="15">
        <v>401.72199999999998</v>
      </c>
      <c r="K495" s="15">
        <v>446.358</v>
      </c>
      <c r="L495" s="15">
        <v>0</v>
      </c>
      <c r="M495" s="15">
        <v>0</v>
      </c>
      <c r="N495" s="15">
        <v>100</v>
      </c>
      <c r="O495" s="15">
        <v>0.32800000000000001</v>
      </c>
      <c r="P495" s="15">
        <v>0.30399999999999999</v>
      </c>
      <c r="Q495" s="15">
        <v>0.23</v>
      </c>
      <c r="R495" s="15">
        <v>0.94299999999999995</v>
      </c>
      <c r="S495" s="15">
        <v>0.22900000000000001</v>
      </c>
      <c r="T495" s="15"/>
      <c r="U495" s="15" t="s">
        <v>33</v>
      </c>
      <c r="V495" s="15" t="s">
        <v>29</v>
      </c>
      <c r="W495" s="15">
        <v>6</v>
      </c>
      <c r="X495" s="15" t="s">
        <v>85</v>
      </c>
      <c r="Y495" s="12">
        <f t="shared" si="19"/>
        <v>0.55800000000000005</v>
      </c>
      <c r="Z495" s="15">
        <v>2.4000000000000021E-2</v>
      </c>
    </row>
    <row r="496" spans="1:26" x14ac:dyDescent="0.2">
      <c r="A496" s="15" t="s">
        <v>75</v>
      </c>
      <c r="B496" s="15">
        <v>3875.875</v>
      </c>
      <c r="C496" s="15">
        <v>48.753999999999998</v>
      </c>
      <c r="D496" s="15">
        <v>22.382999999999999</v>
      </c>
      <c r="E496" s="15">
        <v>3.5569999999999999</v>
      </c>
      <c r="F496" s="15">
        <v>170.94800000000001</v>
      </c>
      <c r="G496" s="15">
        <v>2.8140000000000001</v>
      </c>
      <c r="H496" s="15">
        <v>8.16</v>
      </c>
      <c r="I496" s="15">
        <v>3.306</v>
      </c>
      <c r="J496" s="15">
        <v>360.37</v>
      </c>
      <c r="K496" s="15">
        <v>400.411</v>
      </c>
      <c r="L496" s="15">
        <v>0</v>
      </c>
      <c r="M496" s="15">
        <v>0</v>
      </c>
      <c r="N496" s="15">
        <v>100</v>
      </c>
      <c r="O496" s="15">
        <v>0.31900000000000001</v>
      </c>
      <c r="P496" s="15">
        <v>0.29699999999999999</v>
      </c>
      <c r="Q496" s="15">
        <v>0.27400000000000002</v>
      </c>
      <c r="R496" s="15">
        <v>0.91700000000000004</v>
      </c>
      <c r="S496" s="15">
        <v>0.28999999999999998</v>
      </c>
      <c r="T496" s="15"/>
      <c r="U496" s="15" t="s">
        <v>33</v>
      </c>
      <c r="V496" s="15" t="s">
        <v>29</v>
      </c>
      <c r="W496" s="15">
        <v>6</v>
      </c>
      <c r="X496" s="15" t="s">
        <v>85</v>
      </c>
      <c r="Y496" s="12">
        <f t="shared" si="19"/>
        <v>0.59299999999999997</v>
      </c>
      <c r="Z496" s="15">
        <v>2.200000000000002E-2</v>
      </c>
    </row>
    <row r="497" spans="1:26" x14ac:dyDescent="0.2">
      <c r="A497" s="15" t="s">
        <v>75</v>
      </c>
      <c r="B497" s="15">
        <v>3876</v>
      </c>
      <c r="C497" s="15">
        <v>45.521000000000001</v>
      </c>
      <c r="D497" s="15">
        <v>22.716999999999999</v>
      </c>
      <c r="E497" s="15">
        <v>3.8410000000000002</v>
      </c>
      <c r="F497" s="15">
        <v>173.52799999999999</v>
      </c>
      <c r="G497" s="15">
        <v>2.806</v>
      </c>
      <c r="H497" s="15">
        <v>8.5380000000000003</v>
      </c>
      <c r="I497" s="15">
        <v>3.3010000000000002</v>
      </c>
      <c r="J497" s="15">
        <v>326.34899999999999</v>
      </c>
      <c r="K497" s="15">
        <v>362.61099999999999</v>
      </c>
      <c r="L497" s="15">
        <v>0</v>
      </c>
      <c r="M497" s="15">
        <v>0</v>
      </c>
      <c r="N497" s="15">
        <v>100</v>
      </c>
      <c r="O497" s="15">
        <v>0.28299999999999997</v>
      </c>
      <c r="P497" s="15">
        <v>0.29499999999999998</v>
      </c>
      <c r="Q497" s="15">
        <v>0.32200000000000001</v>
      </c>
      <c r="R497" s="15">
        <v>0.86399999999999999</v>
      </c>
      <c r="S497" s="15">
        <v>0.316</v>
      </c>
      <c r="T497" s="15"/>
      <c r="U497" s="15" t="s">
        <v>33</v>
      </c>
      <c r="V497" s="15" t="s">
        <v>29</v>
      </c>
      <c r="W497" s="15">
        <v>6</v>
      </c>
      <c r="X497" s="15" t="s">
        <v>85</v>
      </c>
      <c r="Y497" s="12">
        <f t="shared" si="19"/>
        <v>0.60499999999999998</v>
      </c>
      <c r="Z497" s="15">
        <v>-1.2000000000000011E-2</v>
      </c>
    </row>
    <row r="498" spans="1:26" x14ac:dyDescent="0.2">
      <c r="A498" s="15" t="s">
        <v>75</v>
      </c>
      <c r="B498" s="15">
        <v>3876.125</v>
      </c>
      <c r="C498" s="15">
        <v>40.700000000000003</v>
      </c>
      <c r="D498" s="15">
        <v>22.946999999999999</v>
      </c>
      <c r="E498" s="15">
        <v>4.1740000000000004</v>
      </c>
      <c r="F498" s="15">
        <v>177.31899999999999</v>
      </c>
      <c r="G498" s="15">
        <v>2.794</v>
      </c>
      <c r="H498" s="15">
        <v>8.4819999999999993</v>
      </c>
      <c r="I498" s="15">
        <v>3.3</v>
      </c>
      <c r="J498" s="15">
        <v>303.75700000000001</v>
      </c>
      <c r="K498" s="15">
        <v>337.50700000000001</v>
      </c>
      <c r="L498" s="15">
        <v>0</v>
      </c>
      <c r="M498" s="15">
        <v>0</v>
      </c>
      <c r="N498" s="15">
        <v>100</v>
      </c>
      <c r="O498" s="15">
        <v>0.245</v>
      </c>
      <c r="P498" s="15">
        <v>0.29599999999999999</v>
      </c>
      <c r="Q498" s="15">
        <v>0.38300000000000001</v>
      </c>
      <c r="R498" s="15">
        <v>0.79800000000000004</v>
      </c>
      <c r="S498" s="15">
        <v>0.311</v>
      </c>
      <c r="T498" s="15"/>
      <c r="U498" s="15" t="s">
        <v>33</v>
      </c>
      <c r="V498" s="15" t="s">
        <v>29</v>
      </c>
      <c r="W498" s="15">
        <v>6</v>
      </c>
      <c r="X498" s="15" t="s">
        <v>85</v>
      </c>
      <c r="Y498" s="12">
        <f t="shared" si="19"/>
        <v>0.628</v>
      </c>
      <c r="Z498" s="15">
        <v>-5.099999999999999E-2</v>
      </c>
    </row>
    <row r="499" spans="1:26" x14ac:dyDescent="0.2">
      <c r="A499" s="15" t="s">
        <v>75</v>
      </c>
      <c r="B499" s="15">
        <v>3876.5</v>
      </c>
      <c r="C499" s="15">
        <v>57.707999999999998</v>
      </c>
      <c r="D499" s="15">
        <v>22.716000000000001</v>
      </c>
      <c r="E499" s="15">
        <v>2.347</v>
      </c>
      <c r="F499" s="15">
        <v>178.24</v>
      </c>
      <c r="G499" s="15">
        <v>2.78</v>
      </c>
      <c r="H499" s="15">
        <v>9.6940000000000008</v>
      </c>
      <c r="I499" s="15">
        <v>3.3260000000000001</v>
      </c>
      <c r="J499" s="15">
        <v>240.208</v>
      </c>
      <c r="K499" s="15">
        <v>266.89800000000002</v>
      </c>
      <c r="L499" s="15">
        <v>0</v>
      </c>
      <c r="M499" s="15">
        <v>0</v>
      </c>
      <c r="N499" s="15">
        <v>100</v>
      </c>
      <c r="O499" s="15">
        <v>0.44400000000000001</v>
      </c>
      <c r="P499" s="15">
        <v>0.31</v>
      </c>
      <c r="Q499" s="15">
        <v>0.36499999999999999</v>
      </c>
      <c r="R499" s="15">
        <v>0.73899999999999999</v>
      </c>
      <c r="S499" s="15">
        <v>0.45400000000000001</v>
      </c>
      <c r="T499" s="15"/>
      <c r="U499" s="15" t="s">
        <v>33</v>
      </c>
      <c r="V499" s="15" t="s">
        <v>88</v>
      </c>
      <c r="W499" s="15">
        <v>9</v>
      </c>
      <c r="X499" s="15" t="s">
        <v>85</v>
      </c>
      <c r="Y499" s="12">
        <f t="shared" si="19"/>
        <v>0.80899999999999994</v>
      </c>
      <c r="Z499" s="15">
        <v>0.13400000000000001</v>
      </c>
    </row>
    <row r="500" spans="1:26" x14ac:dyDescent="0.2">
      <c r="A500" s="15" t="s">
        <v>75</v>
      </c>
      <c r="B500" s="15">
        <v>3876.625</v>
      </c>
      <c r="C500" s="15">
        <v>67.498999999999995</v>
      </c>
      <c r="D500" s="15">
        <v>22.218</v>
      </c>
      <c r="E500" s="15">
        <v>1.605</v>
      </c>
      <c r="F500" s="15">
        <v>174.85400000000001</v>
      </c>
      <c r="G500" s="15">
        <v>2.7829999999999999</v>
      </c>
      <c r="H500" s="15">
        <v>10.379</v>
      </c>
      <c r="I500" s="15">
        <v>3.3290000000000002</v>
      </c>
      <c r="J500" s="15">
        <v>215.91200000000001</v>
      </c>
      <c r="K500" s="15">
        <v>239.90299999999999</v>
      </c>
      <c r="L500" s="15">
        <v>0</v>
      </c>
      <c r="M500" s="15">
        <v>0</v>
      </c>
      <c r="N500" s="15">
        <v>100</v>
      </c>
      <c r="O500" s="15">
        <v>0.50900000000000001</v>
      </c>
      <c r="P500" s="15">
        <v>0.311</v>
      </c>
      <c r="Q500" s="15">
        <v>0.308</v>
      </c>
      <c r="R500" s="15">
        <v>0.76</v>
      </c>
      <c r="S500" s="15">
        <v>0.497</v>
      </c>
      <c r="T500" s="15"/>
      <c r="U500" s="15" t="s">
        <v>33</v>
      </c>
      <c r="V500" s="15" t="s">
        <v>88</v>
      </c>
      <c r="W500" s="15">
        <v>9</v>
      </c>
      <c r="X500" s="15" t="s">
        <v>85</v>
      </c>
      <c r="Y500" s="12">
        <f t="shared" si="19"/>
        <v>0.81699999999999995</v>
      </c>
      <c r="Z500" s="15">
        <v>0.19800000000000001</v>
      </c>
    </row>
    <row r="501" spans="1:26" x14ac:dyDescent="0.2">
      <c r="A501" s="15" t="s">
        <v>75</v>
      </c>
      <c r="B501" s="15">
        <v>3876.75</v>
      </c>
      <c r="C501" s="15">
        <v>66.540999999999997</v>
      </c>
      <c r="D501" s="15">
        <v>21.754000000000001</v>
      </c>
      <c r="E501" s="15">
        <v>1.488</v>
      </c>
      <c r="F501" s="15">
        <v>170.929</v>
      </c>
      <c r="G501" s="15">
        <v>2.7879999999999998</v>
      </c>
      <c r="H501" s="15">
        <v>10.130000000000001</v>
      </c>
      <c r="I501" s="15">
        <v>3.3290000000000002</v>
      </c>
      <c r="J501" s="15">
        <v>204.61699999999999</v>
      </c>
      <c r="K501" s="15">
        <v>227.352</v>
      </c>
      <c r="L501" s="15">
        <v>0</v>
      </c>
      <c r="M501" s="15">
        <v>0</v>
      </c>
      <c r="N501" s="15">
        <v>100</v>
      </c>
      <c r="O501" s="15">
        <v>0.46899999999999997</v>
      </c>
      <c r="P501" s="15">
        <v>0.312</v>
      </c>
      <c r="Q501" s="15">
        <v>0.23599999999999999</v>
      </c>
      <c r="R501" s="15">
        <v>0.78900000000000003</v>
      </c>
      <c r="S501" s="15">
        <v>0.43099999999999999</v>
      </c>
      <c r="T501" s="15"/>
      <c r="U501" s="15" t="s">
        <v>33</v>
      </c>
      <c r="V501" s="15" t="s">
        <v>88</v>
      </c>
      <c r="W501" s="15">
        <v>9</v>
      </c>
      <c r="X501" s="15" t="s">
        <v>85</v>
      </c>
      <c r="Y501" s="12">
        <f t="shared" si="19"/>
        <v>0.70499999999999996</v>
      </c>
      <c r="Z501" s="15">
        <v>0.15699999999999997</v>
      </c>
    </row>
    <row r="502" spans="1:26" x14ac:dyDescent="0.2">
      <c r="A502" s="15" t="s">
        <v>75</v>
      </c>
      <c r="B502" s="15">
        <v>3877.625</v>
      </c>
      <c r="C502" s="15">
        <v>68.524000000000001</v>
      </c>
      <c r="D502" s="15">
        <v>21.536000000000001</v>
      </c>
      <c r="E502" s="15">
        <v>4.3689999999999998</v>
      </c>
      <c r="F502" s="15">
        <v>178.15899999999999</v>
      </c>
      <c r="G502" s="15">
        <v>2.7770000000000001</v>
      </c>
      <c r="H502" s="15">
        <v>9.077</v>
      </c>
      <c r="I502" s="15">
        <v>3.5070000000000001</v>
      </c>
      <c r="J502" s="15">
        <v>223.386</v>
      </c>
      <c r="K502" s="15">
        <v>248.20699999999999</v>
      </c>
      <c r="L502" s="15">
        <v>0</v>
      </c>
      <c r="M502" s="15">
        <v>0</v>
      </c>
      <c r="N502" s="15">
        <v>100</v>
      </c>
      <c r="O502" s="15">
        <v>0.55900000000000005</v>
      </c>
      <c r="P502" s="15">
        <v>0.42199999999999999</v>
      </c>
      <c r="Q502" s="15">
        <v>0.40400000000000003</v>
      </c>
      <c r="R502" s="15">
        <v>0.69499999999999995</v>
      </c>
      <c r="S502" s="15">
        <v>0.41299999999999998</v>
      </c>
      <c r="T502" s="15"/>
      <c r="U502" s="15" t="s">
        <v>33</v>
      </c>
      <c r="V502" s="15" t="s">
        <v>29</v>
      </c>
      <c r="W502" s="15">
        <v>13</v>
      </c>
      <c r="X502" s="15" t="s">
        <v>85</v>
      </c>
      <c r="Y502" s="12">
        <f t="shared" si="19"/>
        <v>0.96300000000000008</v>
      </c>
      <c r="Z502" s="15">
        <v>0.13700000000000007</v>
      </c>
    </row>
    <row r="503" spans="1:26" x14ac:dyDescent="0.2">
      <c r="A503" s="15" t="s">
        <v>75</v>
      </c>
      <c r="B503" s="15">
        <v>3877.75</v>
      </c>
      <c r="C503" s="15">
        <v>81.86</v>
      </c>
      <c r="D503" s="15">
        <v>21.611999999999998</v>
      </c>
      <c r="E503" s="15">
        <v>4.7169999999999996</v>
      </c>
      <c r="F503" s="15">
        <v>183.33</v>
      </c>
      <c r="G503" s="15">
        <v>2.7639999999999998</v>
      </c>
      <c r="H503" s="15">
        <v>10.49</v>
      </c>
      <c r="I503" s="15">
        <v>3.58</v>
      </c>
      <c r="J503" s="15">
        <v>162.25</v>
      </c>
      <c r="K503" s="15">
        <v>180.27799999999999</v>
      </c>
      <c r="L503" s="15">
        <v>0</v>
      </c>
      <c r="M503" s="15">
        <v>0</v>
      </c>
      <c r="N503" s="15">
        <v>100</v>
      </c>
      <c r="O503" s="15">
        <v>0.65900000000000003</v>
      </c>
      <c r="P503" s="15">
        <v>0.46500000000000002</v>
      </c>
      <c r="Q503" s="15">
        <v>0.47199999999999998</v>
      </c>
      <c r="R503" s="15">
        <v>0.63300000000000001</v>
      </c>
      <c r="S503" s="15">
        <v>0.50900000000000001</v>
      </c>
      <c r="T503" s="15"/>
      <c r="U503" s="15" t="s">
        <v>33</v>
      </c>
      <c r="V503" s="15" t="s">
        <v>29</v>
      </c>
      <c r="W503" s="15">
        <v>13</v>
      </c>
      <c r="X503" s="15" t="s">
        <v>85</v>
      </c>
      <c r="Y503" s="12">
        <f t="shared" si="19"/>
        <v>1.131</v>
      </c>
      <c r="Z503" s="15">
        <v>0.19400000000000001</v>
      </c>
    </row>
    <row r="504" spans="1:26" x14ac:dyDescent="0.2">
      <c r="A504" s="15" t="s">
        <v>75</v>
      </c>
      <c r="B504" s="15">
        <v>3878.125</v>
      </c>
      <c r="C504" s="15">
        <v>67.927999999999997</v>
      </c>
      <c r="D504" s="15">
        <v>21.664000000000001</v>
      </c>
      <c r="E504" s="15">
        <v>4.4340000000000002</v>
      </c>
      <c r="F504" s="15">
        <v>175.50200000000001</v>
      </c>
      <c r="G504" s="15">
        <v>2.7679999999999998</v>
      </c>
      <c r="H504" s="15">
        <v>9.3970000000000002</v>
      </c>
      <c r="I504" s="15">
        <v>3.8690000000000002</v>
      </c>
      <c r="J504" s="15">
        <v>139.643</v>
      </c>
      <c r="K504" s="15">
        <v>155.15899999999999</v>
      </c>
      <c r="L504" s="15">
        <v>0</v>
      </c>
      <c r="M504" s="15">
        <v>0</v>
      </c>
      <c r="N504" s="15">
        <v>100</v>
      </c>
      <c r="O504" s="15">
        <v>0.504</v>
      </c>
      <c r="P504" s="15">
        <v>0.61699999999999999</v>
      </c>
      <c r="Q504" s="15">
        <v>0.316</v>
      </c>
      <c r="R504" s="15">
        <v>0.66800000000000004</v>
      </c>
      <c r="S504" s="15">
        <v>0.40799999999999997</v>
      </c>
      <c r="T504" s="15"/>
      <c r="U504" s="15" t="s">
        <v>33</v>
      </c>
      <c r="V504" s="15" t="s">
        <v>88</v>
      </c>
      <c r="W504" s="15">
        <v>15</v>
      </c>
      <c r="X504" s="15" t="s">
        <v>85</v>
      </c>
      <c r="Y504" s="12">
        <f t="shared" si="19"/>
        <v>0.82000000000000006</v>
      </c>
      <c r="Z504" s="15">
        <v>-0.11299999999999999</v>
      </c>
    </row>
    <row r="505" spans="1:26" x14ac:dyDescent="0.2">
      <c r="A505" s="15" t="s">
        <v>75</v>
      </c>
      <c r="B505" s="15">
        <v>3878.25</v>
      </c>
      <c r="C505" s="15">
        <v>63.67</v>
      </c>
      <c r="D505" s="15">
        <v>21.626999999999999</v>
      </c>
      <c r="E505" s="15">
        <v>4.4080000000000004</v>
      </c>
      <c r="F505" s="15">
        <v>171.066</v>
      </c>
      <c r="G505" s="15">
        <v>2.77</v>
      </c>
      <c r="H505" s="15">
        <v>9.5030000000000001</v>
      </c>
      <c r="I505" s="15">
        <v>3.9</v>
      </c>
      <c r="J505" s="15">
        <v>161.99600000000001</v>
      </c>
      <c r="K505" s="15">
        <v>179.99600000000001</v>
      </c>
      <c r="L505" s="15">
        <v>0</v>
      </c>
      <c r="M505" s="15">
        <v>0</v>
      </c>
      <c r="N505" s="15">
        <v>100</v>
      </c>
      <c r="O505" s="15">
        <v>0.47599999999999998</v>
      </c>
      <c r="P505" s="15">
        <v>0.63300000000000001</v>
      </c>
      <c r="Q505" s="15">
        <v>0.25800000000000001</v>
      </c>
      <c r="R505" s="15">
        <v>0.67500000000000004</v>
      </c>
      <c r="S505" s="15">
        <v>0.42</v>
      </c>
      <c r="T505" s="15"/>
      <c r="U505" s="15" t="s">
        <v>33</v>
      </c>
      <c r="V505" s="15" t="s">
        <v>88</v>
      </c>
      <c r="W505" s="15">
        <v>15</v>
      </c>
      <c r="X505" s="15" t="s">
        <v>85</v>
      </c>
      <c r="Y505" s="12">
        <f t="shared" si="19"/>
        <v>0.73399999999999999</v>
      </c>
      <c r="Z505" s="15">
        <v>-0.15700000000000003</v>
      </c>
    </row>
    <row r="506" spans="1:26" x14ac:dyDescent="0.2">
      <c r="A506" s="15" t="s">
        <v>75</v>
      </c>
      <c r="B506" s="15">
        <v>3878.375</v>
      </c>
      <c r="C506" s="15">
        <v>64.314999999999998</v>
      </c>
      <c r="D506" s="15">
        <v>21.585999999999999</v>
      </c>
      <c r="E506" s="15">
        <v>4.58</v>
      </c>
      <c r="F506" s="15">
        <v>169.62899999999999</v>
      </c>
      <c r="G506" s="15">
        <v>2.7690000000000001</v>
      </c>
      <c r="H506" s="15">
        <v>9.6750000000000007</v>
      </c>
      <c r="I506" s="15">
        <v>3.9220000000000002</v>
      </c>
      <c r="J506" s="15">
        <v>180.393</v>
      </c>
      <c r="K506" s="15">
        <v>200.43700000000001</v>
      </c>
      <c r="L506" s="15">
        <v>0</v>
      </c>
      <c r="M506" s="15">
        <v>0</v>
      </c>
      <c r="N506" s="15">
        <v>100</v>
      </c>
      <c r="O506" s="15">
        <v>0.48899999999999999</v>
      </c>
      <c r="P506" s="15">
        <v>0.66100000000000003</v>
      </c>
      <c r="Q506" s="15">
        <v>0.245</v>
      </c>
      <c r="R506" s="15">
        <v>0.66400000000000003</v>
      </c>
      <c r="S506" s="15">
        <v>0.44</v>
      </c>
      <c r="T506" s="15"/>
      <c r="U506" s="15" t="s">
        <v>33</v>
      </c>
      <c r="V506" s="15" t="s">
        <v>88</v>
      </c>
      <c r="W506" s="15">
        <v>15</v>
      </c>
      <c r="X506" s="15" t="s">
        <v>85</v>
      </c>
      <c r="Y506" s="12">
        <f t="shared" si="19"/>
        <v>0.73399999999999999</v>
      </c>
      <c r="Z506" s="15">
        <v>-0.17200000000000004</v>
      </c>
    </row>
    <row r="507" spans="1:26" x14ac:dyDescent="0.2">
      <c r="A507" s="15" t="s">
        <v>75</v>
      </c>
      <c r="B507" s="15">
        <v>3878.5</v>
      </c>
      <c r="C507" s="15">
        <v>67.367000000000004</v>
      </c>
      <c r="D507" s="15">
        <v>21.562000000000001</v>
      </c>
      <c r="E507" s="15">
        <v>4.915</v>
      </c>
      <c r="F507" s="15">
        <v>170.42699999999999</v>
      </c>
      <c r="G507" s="15">
        <v>2.7650000000000001</v>
      </c>
      <c r="H507" s="15">
        <v>9.9350000000000005</v>
      </c>
      <c r="I507" s="15">
        <v>4.0449999999999999</v>
      </c>
      <c r="J507" s="15">
        <v>185.02799999999999</v>
      </c>
      <c r="K507" s="15">
        <v>205.58699999999999</v>
      </c>
      <c r="L507" s="15">
        <v>0</v>
      </c>
      <c r="M507" s="15">
        <v>0</v>
      </c>
      <c r="N507" s="15">
        <v>100</v>
      </c>
      <c r="O507" s="15">
        <v>0.52200000000000002</v>
      </c>
      <c r="P507" s="15">
        <v>0.75900000000000001</v>
      </c>
      <c r="Q507" s="15">
        <v>0.27100000000000002</v>
      </c>
      <c r="R507" s="15">
        <v>0.626</v>
      </c>
      <c r="S507" s="15">
        <v>0.46700000000000003</v>
      </c>
      <c r="T507" s="15"/>
      <c r="U507" s="15" t="s">
        <v>33</v>
      </c>
      <c r="V507" s="15" t="s">
        <v>88</v>
      </c>
      <c r="W507" s="15">
        <v>15</v>
      </c>
      <c r="X507" s="15" t="s">
        <v>85</v>
      </c>
      <c r="Y507" s="12">
        <f t="shared" si="19"/>
        <v>0.79300000000000004</v>
      </c>
      <c r="Z507" s="15">
        <v>-0.23699999999999999</v>
      </c>
    </row>
    <row r="508" spans="1:26" x14ac:dyDescent="0.2">
      <c r="A508" s="15" t="s">
        <v>75</v>
      </c>
      <c r="B508" s="15">
        <v>3879</v>
      </c>
      <c r="C508" s="15">
        <v>65.484999999999999</v>
      </c>
      <c r="D508" s="15">
        <v>21.850999999999999</v>
      </c>
      <c r="E508" s="15">
        <v>4.9349999999999996</v>
      </c>
      <c r="F508" s="15">
        <v>175.20599999999999</v>
      </c>
      <c r="G508" s="15">
        <v>2.7320000000000002</v>
      </c>
      <c r="H508" s="15">
        <v>7.92</v>
      </c>
      <c r="I508" s="15">
        <v>4.1849999999999996</v>
      </c>
      <c r="J508" s="15">
        <v>184.25800000000001</v>
      </c>
      <c r="K508" s="15">
        <v>204.73099999999999</v>
      </c>
      <c r="L508" s="15">
        <v>0</v>
      </c>
      <c r="M508" s="15">
        <v>0</v>
      </c>
      <c r="N508" s="15">
        <v>100</v>
      </c>
      <c r="O508" s="15">
        <v>0.45800000000000002</v>
      </c>
      <c r="P508" s="15">
        <v>0.74299999999999999</v>
      </c>
      <c r="Q508" s="15">
        <v>0.315</v>
      </c>
      <c r="R508" s="15">
        <v>0.48299999999999998</v>
      </c>
      <c r="S508" s="15">
        <v>0.27100000000000002</v>
      </c>
      <c r="T508" s="15"/>
      <c r="U508" s="15" t="s">
        <v>33</v>
      </c>
      <c r="V508" s="15" t="s">
        <v>29</v>
      </c>
      <c r="W508" s="15">
        <v>17</v>
      </c>
      <c r="X508" s="15" t="s">
        <v>85</v>
      </c>
      <c r="Y508" s="12">
        <f t="shared" si="19"/>
        <v>0.77300000000000002</v>
      </c>
      <c r="Z508" s="15">
        <v>-0.28499999999999998</v>
      </c>
    </row>
    <row r="509" spans="1:26" x14ac:dyDescent="0.2">
      <c r="A509" s="15" t="s">
        <v>75</v>
      </c>
      <c r="B509" s="15">
        <v>3879.125</v>
      </c>
      <c r="C509" s="15">
        <v>53.177999999999997</v>
      </c>
      <c r="D509" s="15">
        <v>21.905999999999999</v>
      </c>
      <c r="E509" s="15">
        <v>3.7250000000000001</v>
      </c>
      <c r="F509" s="15">
        <v>171.56899999999999</v>
      </c>
      <c r="G509" s="15">
        <v>2.7480000000000002</v>
      </c>
      <c r="H509" s="15">
        <v>8.4909999999999997</v>
      </c>
      <c r="I509" s="15">
        <v>3.9039999999999999</v>
      </c>
      <c r="J509" s="15">
        <v>200.99799999999999</v>
      </c>
      <c r="K509" s="15">
        <v>223.33099999999999</v>
      </c>
      <c r="L509" s="15">
        <v>0</v>
      </c>
      <c r="M509" s="15">
        <v>0</v>
      </c>
      <c r="N509" s="15">
        <v>100</v>
      </c>
      <c r="O509" s="15">
        <v>0.33800000000000002</v>
      </c>
      <c r="P509" s="15">
        <v>0.59599999999999997</v>
      </c>
      <c r="Q509" s="15">
        <v>0.252</v>
      </c>
      <c r="R509" s="15">
        <v>0.58199999999999996</v>
      </c>
      <c r="S509" s="15">
        <v>0.35799999999999998</v>
      </c>
      <c r="T509" s="15"/>
      <c r="U509" s="15" t="s">
        <v>33</v>
      </c>
      <c r="V509" s="15" t="s">
        <v>29</v>
      </c>
      <c r="W509" s="15">
        <v>17</v>
      </c>
      <c r="X509" s="15" t="s">
        <v>85</v>
      </c>
      <c r="Y509" s="12">
        <f t="shared" si="19"/>
        <v>0.59000000000000008</v>
      </c>
      <c r="Z509" s="15">
        <v>-0.25799999999999995</v>
      </c>
    </row>
    <row r="510" spans="1:26" x14ac:dyDescent="0.2">
      <c r="A510" s="15" t="s">
        <v>75</v>
      </c>
      <c r="B510" s="15">
        <v>3880.125</v>
      </c>
      <c r="C510" s="15">
        <v>85.088999999999999</v>
      </c>
      <c r="D510" s="15">
        <v>21.905999999999999</v>
      </c>
      <c r="E510" s="15">
        <v>4.6479999999999997</v>
      </c>
      <c r="F510" s="15">
        <v>214.61799999999999</v>
      </c>
      <c r="G510" s="15">
        <v>2.7349999999999999</v>
      </c>
      <c r="H510" s="15">
        <v>14.442</v>
      </c>
      <c r="I510" s="15">
        <v>2.9809999999999999</v>
      </c>
      <c r="J510" s="15">
        <v>91.156999999999996</v>
      </c>
      <c r="K510" s="15">
        <v>101.285</v>
      </c>
      <c r="L510" s="15">
        <v>0</v>
      </c>
      <c r="M510" s="15">
        <v>0</v>
      </c>
      <c r="N510" s="15">
        <v>100</v>
      </c>
      <c r="O510" s="15">
        <v>0.71099999999999997</v>
      </c>
      <c r="P510" s="15">
        <v>0.123</v>
      </c>
      <c r="Q510" s="15">
        <v>0.98</v>
      </c>
      <c r="R510" s="15">
        <v>0.47199999999999998</v>
      </c>
      <c r="S510" s="15">
        <v>0.92700000000000005</v>
      </c>
      <c r="T510" s="15"/>
      <c r="U510" s="15" t="s">
        <v>33</v>
      </c>
      <c r="V510" s="15" t="s">
        <v>88</v>
      </c>
      <c r="W510" s="15">
        <v>20</v>
      </c>
      <c r="X510" s="15" t="s">
        <v>85</v>
      </c>
      <c r="Y510" s="12">
        <f t="shared" si="19"/>
        <v>1.6909999999999998</v>
      </c>
      <c r="Z510" s="15">
        <v>0.58799999999999997</v>
      </c>
    </row>
    <row r="511" spans="1:26" x14ac:dyDescent="0.2">
      <c r="A511" s="15" t="s">
        <v>75</v>
      </c>
      <c r="B511" s="15">
        <v>3880.25</v>
      </c>
      <c r="C511" s="15">
        <v>94.483000000000004</v>
      </c>
      <c r="D511" s="15">
        <v>22.06</v>
      </c>
      <c r="E511" s="15">
        <v>5.3319999999999999</v>
      </c>
      <c r="F511" s="15">
        <v>216.31200000000001</v>
      </c>
      <c r="G511" s="15">
        <v>2.734</v>
      </c>
      <c r="H511" s="15">
        <v>14.832000000000001</v>
      </c>
      <c r="I511" s="15">
        <v>3.0179999999999998</v>
      </c>
      <c r="J511" s="15">
        <v>80.308999999999997</v>
      </c>
      <c r="K511" s="15">
        <v>89.233000000000004</v>
      </c>
      <c r="L511" s="15">
        <v>0</v>
      </c>
      <c r="M511" s="15">
        <v>0</v>
      </c>
      <c r="N511" s="15">
        <v>100</v>
      </c>
      <c r="O511" s="15">
        <v>0.80500000000000005</v>
      </c>
      <c r="P511" s="15">
        <v>0.14599999999999999</v>
      </c>
      <c r="Q511" s="15">
        <v>0.995</v>
      </c>
      <c r="R511" s="15">
        <v>0.48099999999999998</v>
      </c>
      <c r="S511" s="15">
        <v>0.95099999999999996</v>
      </c>
      <c r="T511" s="15"/>
      <c r="U511" s="15" t="s">
        <v>33</v>
      </c>
      <c r="V511" s="15" t="s">
        <v>88</v>
      </c>
      <c r="W511" s="15">
        <v>20</v>
      </c>
      <c r="X511" s="15" t="s">
        <v>85</v>
      </c>
      <c r="Y511" s="12">
        <f t="shared" si="19"/>
        <v>1.8</v>
      </c>
      <c r="Z511" s="15">
        <v>0.65900000000000003</v>
      </c>
    </row>
    <row r="512" spans="1:26" x14ac:dyDescent="0.2">
      <c r="A512" s="15" t="s">
        <v>76</v>
      </c>
      <c r="B512" s="15">
        <v>3818.125</v>
      </c>
      <c r="C512" s="15">
        <v>18.513000000000002</v>
      </c>
      <c r="D512" s="15">
        <v>21.396000000000001</v>
      </c>
      <c r="E512" s="15">
        <v>1.5269999999999999</v>
      </c>
      <c r="F512" s="15">
        <v>162.797</v>
      </c>
      <c r="G512" s="15">
        <v>2.7360000000000002</v>
      </c>
      <c r="H512" s="15">
        <v>6.7290000000000001</v>
      </c>
      <c r="I512" s="15">
        <v>3.0459999999999998</v>
      </c>
      <c r="J512" s="15">
        <v>89.700999999999993</v>
      </c>
      <c r="K512" s="15">
        <v>86.679000000000002</v>
      </c>
      <c r="L512" s="15">
        <v>2.7919999999999998</v>
      </c>
      <c r="M512" s="15">
        <v>0.1</v>
      </c>
      <c r="N512" s="15">
        <v>100</v>
      </c>
      <c r="O512" s="15">
        <v>1.7999999999999999E-2</v>
      </c>
      <c r="P512" s="15">
        <v>0.44400000000000001</v>
      </c>
      <c r="Q512" s="15">
        <v>0.24099999999999999</v>
      </c>
      <c r="R512" s="15">
        <v>0.75600000000000001</v>
      </c>
      <c r="S512" s="15">
        <v>0.13300000000000001</v>
      </c>
      <c r="T512" s="15"/>
      <c r="U512" s="15" t="s">
        <v>22</v>
      </c>
      <c r="V512" s="15" t="s">
        <v>30</v>
      </c>
      <c r="W512" s="15">
        <v>2</v>
      </c>
      <c r="X512" s="15" t="s">
        <v>31</v>
      </c>
      <c r="Y512" s="12">
        <f t="shared" si="19"/>
        <v>0.25900000000000001</v>
      </c>
      <c r="Z512" s="15">
        <v>-0.42599999999999999</v>
      </c>
    </row>
    <row r="513" spans="1:26" x14ac:dyDescent="0.2">
      <c r="A513" s="15" t="s">
        <v>76</v>
      </c>
      <c r="B513" s="15">
        <v>3818.25</v>
      </c>
      <c r="C513" s="15">
        <v>20.199000000000002</v>
      </c>
      <c r="D513" s="15">
        <v>21.393999999999998</v>
      </c>
      <c r="E513" s="15">
        <v>1.496</v>
      </c>
      <c r="F513" s="15">
        <v>161.90700000000001</v>
      </c>
      <c r="G513" s="15">
        <v>2.74</v>
      </c>
      <c r="H513" s="15">
        <v>6.548</v>
      </c>
      <c r="I513" s="15">
        <v>3.093</v>
      </c>
      <c r="J513" s="15">
        <v>93.028000000000006</v>
      </c>
      <c r="K513" s="15">
        <v>90.590999999999994</v>
      </c>
      <c r="L513" s="15">
        <v>2.5339999999999998</v>
      </c>
      <c r="M513" s="15">
        <v>0.1</v>
      </c>
      <c r="N513" s="15">
        <v>100</v>
      </c>
      <c r="O513" s="15">
        <v>2.7E-2</v>
      </c>
      <c r="P513" s="15">
        <v>0.47099999999999997</v>
      </c>
      <c r="Q513" s="15">
        <v>0.22500000000000001</v>
      </c>
      <c r="R513" s="15">
        <v>0.76100000000000001</v>
      </c>
      <c r="S513" s="15">
        <v>0.107</v>
      </c>
      <c r="T513" s="15"/>
      <c r="U513" s="15" t="s">
        <v>22</v>
      </c>
      <c r="V513" s="15" t="s">
        <v>30</v>
      </c>
      <c r="W513" s="15">
        <v>2</v>
      </c>
      <c r="X513" s="15" t="s">
        <v>31</v>
      </c>
      <c r="Y513" s="12">
        <f t="shared" si="19"/>
        <v>0.252</v>
      </c>
      <c r="Z513" s="15">
        <v>-0.44399999999999995</v>
      </c>
    </row>
    <row r="514" spans="1:26" x14ac:dyDescent="0.2">
      <c r="A514" s="15" t="s">
        <v>76</v>
      </c>
      <c r="B514" s="15">
        <v>3818.375</v>
      </c>
      <c r="C514" s="15">
        <v>20.388000000000002</v>
      </c>
      <c r="D514" s="15">
        <v>21.402000000000001</v>
      </c>
      <c r="E514" s="15">
        <v>1.377</v>
      </c>
      <c r="F514" s="15">
        <v>161.03899999999999</v>
      </c>
      <c r="G514" s="15">
        <v>2.734</v>
      </c>
      <c r="H514" s="15">
        <v>6.3760000000000003</v>
      </c>
      <c r="I514" s="15">
        <v>3.1459999999999999</v>
      </c>
      <c r="J514" s="15">
        <v>95.72</v>
      </c>
      <c r="K514" s="15">
        <v>93.63</v>
      </c>
      <c r="L514" s="15">
        <v>2.5630000000000002</v>
      </c>
      <c r="M514" s="15">
        <v>0.1</v>
      </c>
      <c r="N514" s="15">
        <v>100</v>
      </c>
      <c r="O514" s="15">
        <v>2.5999999999999999E-2</v>
      </c>
      <c r="P514" s="15">
        <v>0.499</v>
      </c>
      <c r="Q514" s="15">
        <v>0.20899999999999999</v>
      </c>
      <c r="R514" s="15">
        <v>0.73299999999999998</v>
      </c>
      <c r="S514" s="15">
        <v>8.5000000000000006E-2</v>
      </c>
      <c r="T514" s="15"/>
      <c r="U514" s="15" t="s">
        <v>22</v>
      </c>
      <c r="V514" s="15" t="s">
        <v>30</v>
      </c>
      <c r="W514" s="15">
        <v>2</v>
      </c>
      <c r="X514" s="15" t="s">
        <v>31</v>
      </c>
      <c r="Y514" s="12">
        <f t="shared" si="19"/>
        <v>0.23499999999999999</v>
      </c>
      <c r="Z514" s="15">
        <v>-0.47299999999999998</v>
      </c>
    </row>
    <row r="515" spans="1:26" x14ac:dyDescent="0.2">
      <c r="A515" s="15" t="s">
        <v>76</v>
      </c>
      <c r="B515" s="15">
        <v>3818.5</v>
      </c>
      <c r="C515" s="15">
        <v>19.468</v>
      </c>
      <c r="D515" s="15">
        <v>21.401</v>
      </c>
      <c r="E515" s="15">
        <v>1.401</v>
      </c>
      <c r="F515" s="15">
        <v>160.238</v>
      </c>
      <c r="G515" s="15">
        <v>2.7229999999999999</v>
      </c>
      <c r="H515" s="15">
        <v>6.2469999999999999</v>
      </c>
      <c r="I515" s="15">
        <v>3.1949999999999998</v>
      </c>
      <c r="J515" s="15">
        <v>97.632999999999996</v>
      </c>
      <c r="K515" s="15">
        <v>95.715999999999994</v>
      </c>
      <c r="L515" s="15">
        <v>2.7669999999999999</v>
      </c>
      <c r="M515" s="15">
        <v>0.1</v>
      </c>
      <c r="N515" s="15">
        <v>100</v>
      </c>
      <c r="O515" s="15">
        <v>2.1000000000000001E-2</v>
      </c>
      <c r="P515" s="15">
        <v>0.52400000000000002</v>
      </c>
      <c r="Q515" s="15">
        <v>0.19500000000000001</v>
      </c>
      <c r="R515" s="15">
        <v>0.69399999999999995</v>
      </c>
      <c r="S515" s="15">
        <v>6.9000000000000006E-2</v>
      </c>
      <c r="T515" s="15"/>
      <c r="U515" s="15" t="s">
        <v>22</v>
      </c>
      <c r="V515" s="15" t="s">
        <v>30</v>
      </c>
      <c r="W515" s="15">
        <v>2</v>
      </c>
      <c r="X515" s="15" t="s">
        <v>31</v>
      </c>
      <c r="Y515" s="12">
        <f t="shared" ref="Y515:Y578" si="22">O515+Q515</f>
        <v>0.216</v>
      </c>
      <c r="Z515" s="15">
        <v>-0.503</v>
      </c>
    </row>
    <row r="516" spans="1:26" x14ac:dyDescent="0.2">
      <c r="A516" s="15" t="s">
        <v>76</v>
      </c>
      <c r="B516" s="15">
        <v>3818.625</v>
      </c>
      <c r="C516" s="15">
        <v>19.065999999999999</v>
      </c>
      <c r="D516" s="15">
        <v>21.407</v>
      </c>
      <c r="E516" s="15">
        <v>1.4970000000000001</v>
      </c>
      <c r="F516" s="15">
        <v>159.489</v>
      </c>
      <c r="G516" s="15">
        <v>2.7160000000000002</v>
      </c>
      <c r="H516" s="15">
        <v>6.1950000000000003</v>
      </c>
      <c r="I516" s="15">
        <v>3.2320000000000002</v>
      </c>
      <c r="J516" s="15">
        <v>98.486000000000004</v>
      </c>
      <c r="K516" s="15">
        <v>97.325999999999993</v>
      </c>
      <c r="L516" s="15">
        <v>2.9060000000000001</v>
      </c>
      <c r="M516" s="15">
        <v>0.1</v>
      </c>
      <c r="N516" s="15">
        <v>100</v>
      </c>
      <c r="O516" s="15">
        <v>0.02</v>
      </c>
      <c r="P516" s="15">
        <v>0.54300000000000004</v>
      </c>
      <c r="Q516" s="15">
        <v>0.18099999999999999</v>
      </c>
      <c r="R516" s="15">
        <v>0.67700000000000005</v>
      </c>
      <c r="S516" s="15">
        <v>6.4000000000000001E-2</v>
      </c>
      <c r="T516" s="15"/>
      <c r="U516" s="15" t="s">
        <v>22</v>
      </c>
      <c r="V516" s="15" t="s">
        <v>30</v>
      </c>
      <c r="W516" s="15">
        <v>2</v>
      </c>
      <c r="X516" s="15" t="s">
        <v>31</v>
      </c>
      <c r="Y516" s="12">
        <f t="shared" si="22"/>
        <v>0.20099999999999998</v>
      </c>
      <c r="Z516" s="15">
        <v>-0.52300000000000002</v>
      </c>
    </row>
    <row r="517" spans="1:26" x14ac:dyDescent="0.2">
      <c r="A517" s="15" t="s">
        <v>76</v>
      </c>
      <c r="B517" s="15">
        <v>3818.75</v>
      </c>
      <c r="C517" s="15">
        <v>19.623000000000001</v>
      </c>
      <c r="D517" s="15">
        <v>21.42</v>
      </c>
      <c r="E517" s="15">
        <v>1.5189999999999999</v>
      </c>
      <c r="F517" s="15">
        <v>158.73599999999999</v>
      </c>
      <c r="G517" s="15">
        <v>2.718</v>
      </c>
      <c r="H517" s="15">
        <v>6.1870000000000003</v>
      </c>
      <c r="I517" s="15">
        <v>3.2570000000000001</v>
      </c>
      <c r="J517" s="15">
        <v>101.806</v>
      </c>
      <c r="K517" s="15">
        <v>101.711</v>
      </c>
      <c r="L517" s="15">
        <v>2.8410000000000002</v>
      </c>
      <c r="M517" s="15">
        <v>0.1</v>
      </c>
      <c r="N517" s="15">
        <v>100</v>
      </c>
      <c r="O517" s="15">
        <v>2.4E-2</v>
      </c>
      <c r="P517" s="15">
        <v>0.55500000000000005</v>
      </c>
      <c r="Q517" s="15">
        <v>0.16700000000000001</v>
      </c>
      <c r="R517" s="15">
        <v>0.69299999999999995</v>
      </c>
      <c r="S517" s="15">
        <v>6.4000000000000001E-2</v>
      </c>
      <c r="T517" s="15"/>
      <c r="U517" s="15" t="s">
        <v>22</v>
      </c>
      <c r="V517" s="15" t="s">
        <v>30</v>
      </c>
      <c r="W517" s="15">
        <v>2</v>
      </c>
      <c r="X517" s="15" t="s">
        <v>31</v>
      </c>
      <c r="Y517" s="12">
        <f t="shared" si="22"/>
        <v>0.191</v>
      </c>
      <c r="Z517" s="15">
        <v>-0.53100000000000003</v>
      </c>
    </row>
    <row r="518" spans="1:26" x14ac:dyDescent="0.2">
      <c r="A518" s="15" t="s">
        <v>76</v>
      </c>
      <c r="B518" s="15">
        <v>3818.875</v>
      </c>
      <c r="C518" s="15">
        <v>20.295000000000002</v>
      </c>
      <c r="D518" s="15">
        <v>21.434000000000001</v>
      </c>
      <c r="E518" s="15">
        <v>1.4370000000000001</v>
      </c>
      <c r="F518" s="15">
        <v>157.94900000000001</v>
      </c>
      <c r="G518" s="15">
        <v>2.7280000000000002</v>
      </c>
      <c r="H518" s="15">
        <v>6.2069999999999999</v>
      </c>
      <c r="I518" s="15">
        <v>3.2749999999999999</v>
      </c>
      <c r="J518" s="15">
        <v>107.291</v>
      </c>
      <c r="K518" s="15">
        <v>108.53700000000001</v>
      </c>
      <c r="L518" s="15">
        <v>2.613</v>
      </c>
      <c r="M518" s="15">
        <v>0.1</v>
      </c>
      <c r="N518" s="15">
        <v>100</v>
      </c>
      <c r="O518" s="15">
        <v>2.8000000000000001E-2</v>
      </c>
      <c r="P518" s="15">
        <v>0.56599999999999995</v>
      </c>
      <c r="Q518" s="15">
        <v>0.152</v>
      </c>
      <c r="R518" s="15">
        <v>0.73499999999999999</v>
      </c>
      <c r="S518" s="15">
        <v>6.7000000000000004E-2</v>
      </c>
      <c r="T518" s="15"/>
      <c r="U518" s="15" t="s">
        <v>22</v>
      </c>
      <c r="V518" s="15" t="s">
        <v>30</v>
      </c>
      <c r="W518" s="15">
        <v>2</v>
      </c>
      <c r="X518" s="15" t="s">
        <v>31</v>
      </c>
      <c r="Y518" s="12">
        <f t="shared" si="22"/>
        <v>0.18</v>
      </c>
      <c r="Z518" s="15">
        <v>-0.53799999999999992</v>
      </c>
    </row>
    <row r="519" spans="1:26" x14ac:dyDescent="0.2">
      <c r="A519" s="15" t="s">
        <v>76</v>
      </c>
      <c r="B519" s="15">
        <v>3819</v>
      </c>
      <c r="C519" s="15">
        <v>21.077000000000002</v>
      </c>
      <c r="D519" s="15">
        <v>21.454999999999998</v>
      </c>
      <c r="E519" s="15">
        <v>1.25</v>
      </c>
      <c r="F519" s="15">
        <v>157.137</v>
      </c>
      <c r="G519" s="15">
        <v>2.7410000000000001</v>
      </c>
      <c r="H519" s="15">
        <v>6.2530000000000001</v>
      </c>
      <c r="I519" s="15">
        <v>3.2959999999999998</v>
      </c>
      <c r="J519" s="15">
        <v>112.407</v>
      </c>
      <c r="K519" s="15">
        <v>114.825</v>
      </c>
      <c r="L519" s="15">
        <v>2.331</v>
      </c>
      <c r="M519" s="15">
        <v>0.1</v>
      </c>
      <c r="N519" s="15">
        <v>100</v>
      </c>
      <c r="O519" s="15">
        <v>3.2000000000000001E-2</v>
      </c>
      <c r="P519" s="15">
        <v>0.57899999999999996</v>
      </c>
      <c r="Q519" s="15">
        <v>0.13700000000000001</v>
      </c>
      <c r="R519" s="15">
        <v>0.77800000000000002</v>
      </c>
      <c r="S519" s="15">
        <v>7.3999999999999996E-2</v>
      </c>
      <c r="T519" s="15"/>
      <c r="U519" s="15" t="s">
        <v>22</v>
      </c>
      <c r="V519" s="15" t="s">
        <v>30</v>
      </c>
      <c r="W519" s="15">
        <v>2</v>
      </c>
      <c r="X519" s="15" t="s">
        <v>31</v>
      </c>
      <c r="Y519" s="12">
        <f t="shared" si="22"/>
        <v>0.16900000000000001</v>
      </c>
      <c r="Z519" s="15">
        <v>-0.54699999999999993</v>
      </c>
    </row>
    <row r="520" spans="1:26" x14ac:dyDescent="0.2">
      <c r="A520" s="15" t="s">
        <v>76</v>
      </c>
      <c r="B520" s="15">
        <v>3819.125</v>
      </c>
      <c r="C520" s="15">
        <v>20.914000000000001</v>
      </c>
      <c r="D520" s="15">
        <v>21.462</v>
      </c>
      <c r="E520" s="15">
        <v>1.0269999999999999</v>
      </c>
      <c r="F520" s="15">
        <v>156.34100000000001</v>
      </c>
      <c r="G520" s="15">
        <v>2.7469999999999999</v>
      </c>
      <c r="H520" s="15">
        <v>6.2969999999999997</v>
      </c>
      <c r="I520" s="15">
        <v>3.3319999999999999</v>
      </c>
      <c r="J520" s="15">
        <v>117.5</v>
      </c>
      <c r="K520" s="15">
        <v>121.322</v>
      </c>
      <c r="L520" s="15">
        <v>2.246</v>
      </c>
      <c r="M520" s="15">
        <v>0.1</v>
      </c>
      <c r="N520" s="15">
        <v>100</v>
      </c>
      <c r="O520" s="15">
        <v>0.03</v>
      </c>
      <c r="P520" s="15">
        <v>0.60099999999999998</v>
      </c>
      <c r="Q520" s="15">
        <v>0.123</v>
      </c>
      <c r="R520" s="15">
        <v>0.78800000000000003</v>
      </c>
      <c r="S520" s="15">
        <v>7.8E-2</v>
      </c>
      <c r="T520" s="15"/>
      <c r="U520" s="15" t="s">
        <v>22</v>
      </c>
      <c r="V520" s="15" t="s">
        <v>30</v>
      </c>
      <c r="W520" s="15">
        <v>2</v>
      </c>
      <c r="X520" s="15" t="s">
        <v>31</v>
      </c>
      <c r="Y520" s="12">
        <f t="shared" si="22"/>
        <v>0.153</v>
      </c>
      <c r="Z520" s="15">
        <v>-0.57099999999999995</v>
      </c>
    </row>
    <row r="521" spans="1:26" x14ac:dyDescent="0.2">
      <c r="A521" s="15" t="s">
        <v>76</v>
      </c>
      <c r="B521" s="15">
        <v>3819.25</v>
      </c>
      <c r="C521" s="15">
        <v>20.321999999999999</v>
      </c>
      <c r="D521" s="15">
        <v>21.469000000000001</v>
      </c>
      <c r="E521" s="15">
        <v>0.86699999999999999</v>
      </c>
      <c r="F521" s="15">
        <v>155.602</v>
      </c>
      <c r="G521" s="15">
        <v>2.7410000000000001</v>
      </c>
      <c r="H521" s="15">
        <v>6.2830000000000004</v>
      </c>
      <c r="I521" s="15">
        <v>3.3820000000000001</v>
      </c>
      <c r="J521" s="15">
        <v>124.108</v>
      </c>
      <c r="K521" s="15">
        <v>129.63</v>
      </c>
      <c r="L521" s="15">
        <v>2.3769999999999998</v>
      </c>
      <c r="M521" s="15">
        <v>0.1</v>
      </c>
      <c r="N521" s="15">
        <v>100</v>
      </c>
      <c r="O521" s="15">
        <v>2.7E-2</v>
      </c>
      <c r="P521" s="15">
        <v>0.629</v>
      </c>
      <c r="Q521" s="15">
        <v>0.109</v>
      </c>
      <c r="R521" s="15">
        <v>0.75900000000000001</v>
      </c>
      <c r="S521" s="15">
        <v>7.4999999999999997E-2</v>
      </c>
      <c r="T521" s="15"/>
      <c r="U521" s="15" t="s">
        <v>22</v>
      </c>
      <c r="V521" s="15" t="s">
        <v>30</v>
      </c>
      <c r="W521" s="15">
        <v>2</v>
      </c>
      <c r="X521" s="15" t="s">
        <v>31</v>
      </c>
      <c r="Y521" s="12">
        <f t="shared" si="22"/>
        <v>0.13600000000000001</v>
      </c>
      <c r="Z521" s="15">
        <v>-0.60199999999999998</v>
      </c>
    </row>
    <row r="522" spans="1:26" x14ac:dyDescent="0.2">
      <c r="A522" s="15" t="s">
        <v>76</v>
      </c>
      <c r="B522" s="15">
        <v>3819.375</v>
      </c>
      <c r="C522" s="15">
        <v>20.242999999999999</v>
      </c>
      <c r="D522" s="15">
        <v>21.471</v>
      </c>
      <c r="E522" s="15">
        <v>0.81799999999999995</v>
      </c>
      <c r="F522" s="15">
        <v>154.94300000000001</v>
      </c>
      <c r="G522" s="15">
        <v>2.7290000000000001</v>
      </c>
      <c r="H522" s="15">
        <v>6.2409999999999997</v>
      </c>
      <c r="I522" s="15">
        <v>3.44</v>
      </c>
      <c r="J522" s="15">
        <v>130.19200000000001</v>
      </c>
      <c r="K522" s="15">
        <v>137.982</v>
      </c>
      <c r="L522" s="15">
        <v>2.605</v>
      </c>
      <c r="M522" s="15">
        <v>0.1</v>
      </c>
      <c r="N522" s="15">
        <v>100</v>
      </c>
      <c r="O522" s="15">
        <v>2.8000000000000001E-2</v>
      </c>
      <c r="P522" s="15">
        <v>0.66</v>
      </c>
      <c r="Q522" s="15">
        <v>9.8000000000000004E-2</v>
      </c>
      <c r="R522" s="15">
        <v>0.71399999999999997</v>
      </c>
      <c r="S522" s="15">
        <v>6.9000000000000006E-2</v>
      </c>
      <c r="T522" s="15"/>
      <c r="U522" s="15" t="s">
        <v>22</v>
      </c>
      <c r="V522" s="15" t="s">
        <v>30</v>
      </c>
      <c r="W522" s="15">
        <v>2</v>
      </c>
      <c r="X522" s="15" t="s">
        <v>31</v>
      </c>
      <c r="Y522" s="12">
        <f t="shared" si="22"/>
        <v>0.126</v>
      </c>
      <c r="Z522" s="15">
        <v>-0.63200000000000001</v>
      </c>
    </row>
    <row r="523" spans="1:26" x14ac:dyDescent="0.2">
      <c r="A523" s="15" t="s">
        <v>76</v>
      </c>
      <c r="B523" s="15">
        <v>3819.5</v>
      </c>
      <c r="C523" s="15">
        <v>21.134</v>
      </c>
      <c r="D523" s="15">
        <v>21.423999999999999</v>
      </c>
      <c r="E523" s="15">
        <v>0.81200000000000006</v>
      </c>
      <c r="F523" s="15">
        <v>154.375</v>
      </c>
      <c r="G523" s="15">
        <v>2.7189999999999999</v>
      </c>
      <c r="H523" s="15">
        <v>6.2089999999999996</v>
      </c>
      <c r="I523" s="15">
        <v>3.4940000000000002</v>
      </c>
      <c r="J523" s="15">
        <v>135.33199999999999</v>
      </c>
      <c r="K523" s="15">
        <v>144.684</v>
      </c>
      <c r="L523" s="15">
        <v>2.7549999999999999</v>
      </c>
      <c r="M523" s="15">
        <v>0.1</v>
      </c>
      <c r="N523" s="15">
        <v>100</v>
      </c>
      <c r="O523" s="15">
        <v>3.3000000000000002E-2</v>
      </c>
      <c r="P523" s="15">
        <v>0.68700000000000006</v>
      </c>
      <c r="Q523" s="15">
        <v>8.7999999999999995E-2</v>
      </c>
      <c r="R523" s="15">
        <v>0.68600000000000005</v>
      </c>
      <c r="S523" s="15">
        <v>6.3E-2</v>
      </c>
      <c r="T523" s="15"/>
      <c r="U523" s="15" t="s">
        <v>22</v>
      </c>
      <c r="V523" s="15" t="s">
        <v>30</v>
      </c>
      <c r="W523" s="15">
        <v>2</v>
      </c>
      <c r="X523" s="15" t="s">
        <v>31</v>
      </c>
      <c r="Y523" s="12">
        <f t="shared" si="22"/>
        <v>0.121</v>
      </c>
      <c r="Z523" s="15">
        <v>-0.65400000000000003</v>
      </c>
    </row>
    <row r="524" spans="1:26" x14ac:dyDescent="0.2">
      <c r="A524" s="15" t="s">
        <v>76</v>
      </c>
      <c r="B524" s="15">
        <v>3822.25</v>
      </c>
      <c r="C524" s="15">
        <v>104.426</v>
      </c>
      <c r="D524" s="15">
        <v>21.533999999999999</v>
      </c>
      <c r="E524" s="15">
        <v>4.4130000000000003</v>
      </c>
      <c r="F524" s="15">
        <v>179.375</v>
      </c>
      <c r="G524" s="15">
        <v>2.7290000000000001</v>
      </c>
      <c r="H524" s="15">
        <v>9.7349999999999994</v>
      </c>
      <c r="I524" s="15">
        <v>3.5939999999999999</v>
      </c>
      <c r="J524" s="15">
        <v>97.914000000000001</v>
      </c>
      <c r="K524" s="15">
        <v>103.504</v>
      </c>
      <c r="L524" s="15">
        <v>0</v>
      </c>
      <c r="M524" s="15">
        <v>0</v>
      </c>
      <c r="N524" s="15">
        <v>100</v>
      </c>
      <c r="O524" s="15">
        <v>0.53</v>
      </c>
      <c r="P524" s="15">
        <v>0.72199999999999998</v>
      </c>
      <c r="Q524" s="15">
        <v>0.55300000000000005</v>
      </c>
      <c r="R524" s="15">
        <v>0.74399999999999999</v>
      </c>
      <c r="S524" s="15">
        <v>0.55200000000000005</v>
      </c>
      <c r="T524" s="15"/>
      <c r="U524" s="15" t="s">
        <v>33</v>
      </c>
      <c r="V524" s="15" t="s">
        <v>30</v>
      </c>
      <c r="W524" s="15">
        <v>4</v>
      </c>
      <c r="X524" s="15" t="s">
        <v>85</v>
      </c>
      <c r="Y524" s="12">
        <f t="shared" si="22"/>
        <v>1.0830000000000002</v>
      </c>
      <c r="Z524" s="15">
        <v>-0.19199999999999995</v>
      </c>
    </row>
    <row r="525" spans="1:26" x14ac:dyDescent="0.2">
      <c r="A525" s="15" t="s">
        <v>76</v>
      </c>
      <c r="B525" s="15">
        <v>3822.375</v>
      </c>
      <c r="C525" s="15">
        <v>75.424999999999997</v>
      </c>
      <c r="D525" s="15">
        <v>21.634</v>
      </c>
      <c r="E525" s="15">
        <v>4.0860000000000003</v>
      </c>
      <c r="F525" s="15">
        <v>179.602</v>
      </c>
      <c r="G525" s="15">
        <v>2.7469999999999999</v>
      </c>
      <c r="H525" s="15">
        <v>9.3539999999999992</v>
      </c>
      <c r="I525" s="15">
        <v>3.4929999999999999</v>
      </c>
      <c r="J525" s="15">
        <v>106.956</v>
      </c>
      <c r="K525" s="15">
        <v>113.211</v>
      </c>
      <c r="L525" s="15">
        <v>0</v>
      </c>
      <c r="M525" s="15">
        <v>0</v>
      </c>
      <c r="N525" s="15">
        <v>100</v>
      </c>
      <c r="O525" s="15">
        <v>0.33900000000000002</v>
      </c>
      <c r="P525" s="15">
        <v>0.66700000000000004</v>
      </c>
      <c r="Q525" s="15">
        <v>0.54900000000000004</v>
      </c>
      <c r="R525" s="15">
        <v>0.81399999999999995</v>
      </c>
      <c r="S525" s="15">
        <v>0.496</v>
      </c>
      <c r="T525" s="15"/>
      <c r="U525" s="15" t="s">
        <v>33</v>
      </c>
      <c r="V525" s="15" t="s">
        <v>30</v>
      </c>
      <c r="W525" s="15">
        <v>4</v>
      </c>
      <c r="X525" s="15" t="s">
        <v>85</v>
      </c>
      <c r="Y525" s="12">
        <f t="shared" si="22"/>
        <v>0.88800000000000012</v>
      </c>
      <c r="Z525" s="15">
        <v>-0.32800000000000001</v>
      </c>
    </row>
    <row r="526" spans="1:26" x14ac:dyDescent="0.2">
      <c r="A526" s="15" t="s">
        <v>76</v>
      </c>
      <c r="B526" s="15">
        <v>3822.5</v>
      </c>
      <c r="C526" s="15">
        <v>46.999000000000002</v>
      </c>
      <c r="D526" s="15">
        <v>21.896000000000001</v>
      </c>
      <c r="E526" s="15">
        <v>3.923</v>
      </c>
      <c r="F526" s="15">
        <v>178.28700000000001</v>
      </c>
      <c r="G526" s="15">
        <v>2.7650000000000001</v>
      </c>
      <c r="H526" s="15">
        <v>8.9149999999999991</v>
      </c>
      <c r="I526" s="15">
        <v>3.399</v>
      </c>
      <c r="J526" s="15">
        <v>128.88900000000001</v>
      </c>
      <c r="K526" s="15">
        <v>139.12799999999999</v>
      </c>
      <c r="L526" s="15">
        <v>0</v>
      </c>
      <c r="M526" s="15">
        <v>0</v>
      </c>
      <c r="N526" s="15">
        <v>100</v>
      </c>
      <c r="O526" s="15">
        <v>0.17100000000000001</v>
      </c>
      <c r="P526" s="15">
        <v>0.62</v>
      </c>
      <c r="Q526" s="15">
        <v>0.51800000000000002</v>
      </c>
      <c r="R526" s="15">
        <v>0.872</v>
      </c>
      <c r="S526" s="15">
        <v>0.42799999999999999</v>
      </c>
      <c r="T526" s="15"/>
      <c r="U526" s="15" t="s">
        <v>33</v>
      </c>
      <c r="V526" s="15" t="s">
        <v>30</v>
      </c>
      <c r="W526" s="15">
        <v>4</v>
      </c>
      <c r="X526" s="15" t="s">
        <v>85</v>
      </c>
      <c r="Y526" s="12">
        <f t="shared" si="22"/>
        <v>0.68900000000000006</v>
      </c>
      <c r="Z526" s="15">
        <v>-0.44899999999999995</v>
      </c>
    </row>
    <row r="527" spans="1:26" x14ac:dyDescent="0.2">
      <c r="A527" s="15" t="s">
        <v>76</v>
      </c>
      <c r="B527" s="15">
        <v>3822.625</v>
      </c>
      <c r="C527" s="15">
        <v>29.36</v>
      </c>
      <c r="D527" s="15">
        <v>21.646000000000001</v>
      </c>
      <c r="E527" s="15">
        <v>3.2080000000000002</v>
      </c>
      <c r="F527" s="15">
        <v>175.58099999999999</v>
      </c>
      <c r="G527" s="15">
        <v>2.7719999999999998</v>
      </c>
      <c r="H527" s="15">
        <v>8.3480000000000008</v>
      </c>
      <c r="I527" s="15">
        <v>3.3279999999999998</v>
      </c>
      <c r="J527" s="15">
        <v>188.75399999999999</v>
      </c>
      <c r="K527" s="15">
        <v>206.286</v>
      </c>
      <c r="L527" s="15">
        <v>0</v>
      </c>
      <c r="M527" s="15">
        <v>0</v>
      </c>
      <c r="N527" s="15">
        <v>100</v>
      </c>
      <c r="O527" s="15">
        <v>7.1999999999999995E-2</v>
      </c>
      <c r="P527" s="15">
        <v>0.58599999999999997</v>
      </c>
      <c r="Q527" s="15">
        <v>0.46500000000000002</v>
      </c>
      <c r="R527" s="15">
        <v>0.88500000000000001</v>
      </c>
      <c r="S527" s="15">
        <v>0.34899999999999998</v>
      </c>
      <c r="T527" s="15"/>
      <c r="U527" s="15" t="s">
        <v>33</v>
      </c>
      <c r="V527" s="15" t="s">
        <v>30</v>
      </c>
      <c r="W527" s="15">
        <v>4</v>
      </c>
      <c r="X527" s="15" t="s">
        <v>85</v>
      </c>
      <c r="Y527" s="12">
        <f t="shared" si="22"/>
        <v>0.53700000000000003</v>
      </c>
      <c r="Z527" s="15">
        <v>-0.51400000000000001</v>
      </c>
    </row>
    <row r="528" spans="1:26" x14ac:dyDescent="0.2">
      <c r="A528" s="15" t="s">
        <v>76</v>
      </c>
      <c r="B528" s="15">
        <v>3822.75</v>
      </c>
      <c r="C528" s="15">
        <v>21.102</v>
      </c>
      <c r="D528" s="15">
        <v>21.474</v>
      </c>
      <c r="E528" s="15">
        <v>2.375</v>
      </c>
      <c r="F528" s="15">
        <v>172.15100000000001</v>
      </c>
      <c r="G528" s="15">
        <v>2.766</v>
      </c>
      <c r="H528" s="15">
        <v>7.8209999999999997</v>
      </c>
      <c r="I528" s="15">
        <v>3.29</v>
      </c>
      <c r="J528" s="15">
        <v>250.62700000000001</v>
      </c>
      <c r="K528" s="15">
        <v>270.82600000000002</v>
      </c>
      <c r="L528" s="15">
        <v>0</v>
      </c>
      <c r="M528" s="15">
        <v>0</v>
      </c>
      <c r="N528" s="15">
        <v>100</v>
      </c>
      <c r="O528" s="15">
        <v>2.9000000000000001E-2</v>
      </c>
      <c r="P528" s="15">
        <v>0.57099999999999995</v>
      </c>
      <c r="Q528" s="15">
        <v>0.4</v>
      </c>
      <c r="R528" s="15">
        <v>0.85699999999999998</v>
      </c>
      <c r="S528" s="15">
        <v>0.28000000000000003</v>
      </c>
      <c r="T528" s="15"/>
      <c r="U528" s="15" t="s">
        <v>33</v>
      </c>
      <c r="V528" s="15" t="s">
        <v>30</v>
      </c>
      <c r="W528" s="15">
        <v>4</v>
      </c>
      <c r="X528" s="15" t="s">
        <v>85</v>
      </c>
      <c r="Y528" s="12">
        <f t="shared" si="22"/>
        <v>0.42900000000000005</v>
      </c>
      <c r="Z528" s="15">
        <v>-0.54199999999999993</v>
      </c>
    </row>
    <row r="529" spans="1:26" x14ac:dyDescent="0.2">
      <c r="A529" s="15" t="s">
        <v>76</v>
      </c>
      <c r="B529" s="15">
        <v>3822.875</v>
      </c>
      <c r="C529" s="15">
        <v>19.338999999999999</v>
      </c>
      <c r="D529" s="15">
        <v>21.425000000000001</v>
      </c>
      <c r="E529" s="15">
        <v>1.774</v>
      </c>
      <c r="F529" s="15">
        <v>168.404</v>
      </c>
      <c r="G529" s="15">
        <v>2.7549999999999999</v>
      </c>
      <c r="H529" s="15">
        <v>7.4459999999999997</v>
      </c>
      <c r="I529" s="15">
        <v>3.2919999999999998</v>
      </c>
      <c r="J529" s="15">
        <v>278.48500000000001</v>
      </c>
      <c r="K529" s="15">
        <v>297.32</v>
      </c>
      <c r="L529" s="15">
        <v>0</v>
      </c>
      <c r="M529" s="15">
        <v>0</v>
      </c>
      <c r="N529" s="15">
        <v>100</v>
      </c>
      <c r="O529" s="15">
        <v>0.02</v>
      </c>
      <c r="P529" s="15">
        <v>0.57699999999999996</v>
      </c>
      <c r="Q529" s="15">
        <v>0.33100000000000002</v>
      </c>
      <c r="R529" s="15">
        <v>0.81499999999999995</v>
      </c>
      <c r="S529" s="15">
        <v>0.23400000000000001</v>
      </c>
      <c r="T529" s="15"/>
      <c r="U529" s="15" t="s">
        <v>33</v>
      </c>
      <c r="V529" s="15" t="s">
        <v>30</v>
      </c>
      <c r="W529" s="15">
        <v>4</v>
      </c>
      <c r="X529" s="15" t="s">
        <v>85</v>
      </c>
      <c r="Y529" s="12">
        <f t="shared" si="22"/>
        <v>0.35100000000000003</v>
      </c>
      <c r="Z529" s="15">
        <v>-0.55699999999999994</v>
      </c>
    </row>
    <row r="530" spans="1:26" x14ac:dyDescent="0.2">
      <c r="A530" s="15" t="s">
        <v>76</v>
      </c>
      <c r="B530" s="15">
        <v>3823</v>
      </c>
      <c r="C530" s="15">
        <v>18.792000000000002</v>
      </c>
      <c r="D530" s="15">
        <v>21.4</v>
      </c>
      <c r="E530" s="15">
        <v>1.337</v>
      </c>
      <c r="F530" s="15">
        <v>164.75200000000001</v>
      </c>
      <c r="G530" s="15">
        <v>2.7450000000000001</v>
      </c>
      <c r="H530" s="15">
        <v>7.242</v>
      </c>
      <c r="I530" s="15">
        <v>3.3290000000000002</v>
      </c>
      <c r="J530" s="15">
        <v>280.71199999999999</v>
      </c>
      <c r="K530" s="15">
        <v>298.86500000000001</v>
      </c>
      <c r="L530" s="15">
        <v>0</v>
      </c>
      <c r="M530" s="15">
        <v>0</v>
      </c>
      <c r="N530" s="15">
        <v>100</v>
      </c>
      <c r="O530" s="15">
        <v>1.7000000000000001E-2</v>
      </c>
      <c r="P530" s="15">
        <v>0.60099999999999998</v>
      </c>
      <c r="Q530" s="15">
        <v>0.26600000000000001</v>
      </c>
      <c r="R530" s="15">
        <v>0.77800000000000002</v>
      </c>
      <c r="S530" s="15">
        <v>0.21099999999999999</v>
      </c>
      <c r="T530" s="15"/>
      <c r="U530" s="15" t="s">
        <v>33</v>
      </c>
      <c r="V530" s="15" t="s">
        <v>30</v>
      </c>
      <c r="W530" s="15">
        <v>4</v>
      </c>
      <c r="X530" s="15" t="s">
        <v>85</v>
      </c>
      <c r="Y530" s="12">
        <f t="shared" si="22"/>
        <v>0.28300000000000003</v>
      </c>
      <c r="Z530" s="15">
        <v>-0.58399999999999996</v>
      </c>
    </row>
    <row r="531" spans="1:26" x14ac:dyDescent="0.2">
      <c r="A531" s="15" t="s">
        <v>76</v>
      </c>
      <c r="B531" s="15">
        <v>3823.125</v>
      </c>
      <c r="C531" s="15">
        <v>19.128</v>
      </c>
      <c r="D531" s="15">
        <v>21.433</v>
      </c>
      <c r="E531" s="15">
        <v>1.4079999999999999</v>
      </c>
      <c r="F531" s="15">
        <v>161.68</v>
      </c>
      <c r="G531" s="15">
        <v>2.7370000000000001</v>
      </c>
      <c r="H531" s="15">
        <v>7.194</v>
      </c>
      <c r="I531" s="15">
        <v>3.387</v>
      </c>
      <c r="J531" s="15">
        <v>273.85199999999998</v>
      </c>
      <c r="K531" s="15">
        <v>291.42500000000001</v>
      </c>
      <c r="L531" s="15">
        <v>0</v>
      </c>
      <c r="M531" s="15">
        <v>0</v>
      </c>
      <c r="N531" s="15">
        <v>100</v>
      </c>
      <c r="O531" s="15">
        <v>2.3E-2</v>
      </c>
      <c r="P531" s="15">
        <v>0.63100000000000001</v>
      </c>
      <c r="Q531" s="15">
        <v>0.214</v>
      </c>
      <c r="R531" s="15">
        <v>0.748</v>
      </c>
      <c r="S531" s="15">
        <v>0.20799999999999999</v>
      </c>
      <c r="T531" s="15"/>
      <c r="U531" s="15" t="s">
        <v>33</v>
      </c>
      <c r="V531" s="15" t="s">
        <v>30</v>
      </c>
      <c r="W531" s="15">
        <v>4</v>
      </c>
      <c r="X531" s="15" t="s">
        <v>85</v>
      </c>
      <c r="Y531" s="12">
        <f t="shared" si="22"/>
        <v>0.23699999999999999</v>
      </c>
      <c r="Z531" s="15">
        <v>-0.60799999999999998</v>
      </c>
    </row>
    <row r="532" spans="1:26" x14ac:dyDescent="0.2">
      <c r="A532" s="15" t="s">
        <v>76</v>
      </c>
      <c r="B532" s="15">
        <v>3823.25</v>
      </c>
      <c r="C532" s="15">
        <v>21.254000000000001</v>
      </c>
      <c r="D532" s="15">
        <v>21.43</v>
      </c>
      <c r="E532" s="15">
        <v>1.744</v>
      </c>
      <c r="F532" s="15">
        <v>159.453</v>
      </c>
      <c r="G532" s="15">
        <v>2.73</v>
      </c>
      <c r="H532" s="15">
        <v>7.2590000000000003</v>
      </c>
      <c r="I532" s="15">
        <v>3.4369999999999998</v>
      </c>
      <c r="J532" s="15">
        <v>258.17899999999997</v>
      </c>
      <c r="K532" s="15">
        <v>277.17399999999998</v>
      </c>
      <c r="L532" s="15">
        <v>0</v>
      </c>
      <c r="M532" s="15">
        <v>0</v>
      </c>
      <c r="N532" s="15">
        <v>100</v>
      </c>
      <c r="O532" s="15">
        <v>4.1000000000000002E-2</v>
      </c>
      <c r="P532" s="15">
        <v>0.65400000000000003</v>
      </c>
      <c r="Q532" s="15">
        <v>0.17799999999999999</v>
      </c>
      <c r="R532" s="15">
        <v>0.72099999999999997</v>
      </c>
      <c r="S532" s="15">
        <v>0.22</v>
      </c>
      <c r="T532" s="15"/>
      <c r="U532" s="15" t="s">
        <v>33</v>
      </c>
      <c r="V532" s="15" t="s">
        <v>30</v>
      </c>
      <c r="W532" s="15">
        <v>4</v>
      </c>
      <c r="X532" s="15" t="s">
        <v>85</v>
      </c>
      <c r="Y532" s="12">
        <f t="shared" si="22"/>
        <v>0.219</v>
      </c>
      <c r="Z532" s="15">
        <v>-0.61299999999999999</v>
      </c>
    </row>
    <row r="533" spans="1:26" x14ac:dyDescent="0.2">
      <c r="A533" s="15" t="s">
        <v>76</v>
      </c>
      <c r="B533" s="15">
        <v>3823.375</v>
      </c>
      <c r="C533" s="15">
        <v>25.513999999999999</v>
      </c>
      <c r="D533" s="15">
        <v>21.449000000000002</v>
      </c>
      <c r="E533" s="15">
        <v>1.927</v>
      </c>
      <c r="F533" s="15">
        <v>158.249</v>
      </c>
      <c r="G533" s="15">
        <v>2.7229999999999999</v>
      </c>
      <c r="H533" s="15">
        <v>7.3789999999999996</v>
      </c>
      <c r="I533" s="15">
        <v>3.46</v>
      </c>
      <c r="J533" s="15">
        <v>234.60599999999999</v>
      </c>
      <c r="K533" s="15">
        <v>259.05200000000002</v>
      </c>
      <c r="L533" s="15">
        <v>0</v>
      </c>
      <c r="M533" s="15">
        <v>0</v>
      </c>
      <c r="N533" s="15">
        <v>100</v>
      </c>
      <c r="O533" s="15">
        <v>7.4999999999999997E-2</v>
      </c>
      <c r="P533" s="15">
        <v>0.66200000000000003</v>
      </c>
      <c r="Q533" s="15">
        <v>0.161</v>
      </c>
      <c r="R533" s="15">
        <v>0.69699999999999995</v>
      </c>
      <c r="S533" s="15">
        <v>0.23599999999999999</v>
      </c>
      <c r="T533" s="15"/>
      <c r="U533" s="15" t="s">
        <v>33</v>
      </c>
      <c r="V533" s="15" t="s">
        <v>30</v>
      </c>
      <c r="W533" s="15">
        <v>4</v>
      </c>
      <c r="X533" s="15" t="s">
        <v>85</v>
      </c>
      <c r="Y533" s="12">
        <f t="shared" si="22"/>
        <v>0.23599999999999999</v>
      </c>
      <c r="Z533" s="15">
        <v>-0.58700000000000008</v>
      </c>
    </row>
    <row r="534" spans="1:26" x14ac:dyDescent="0.2">
      <c r="A534" s="15" t="s">
        <v>76</v>
      </c>
      <c r="B534" s="15">
        <v>3823.5</v>
      </c>
      <c r="C534" s="15">
        <v>32.982999999999997</v>
      </c>
      <c r="D534" s="15">
        <v>21.42</v>
      </c>
      <c r="E534" s="15">
        <v>2.1549999999999998</v>
      </c>
      <c r="F534" s="15">
        <v>158.08000000000001</v>
      </c>
      <c r="G534" s="15">
        <v>2.7189999999999999</v>
      </c>
      <c r="H534" s="15">
        <v>7.4850000000000003</v>
      </c>
      <c r="I534" s="15">
        <v>3.4529999999999998</v>
      </c>
      <c r="J534" s="15">
        <v>224.52099999999999</v>
      </c>
      <c r="K534" s="15">
        <v>256.887</v>
      </c>
      <c r="L534" s="15">
        <v>0</v>
      </c>
      <c r="M534" s="15">
        <v>0</v>
      </c>
      <c r="N534" s="15">
        <v>100</v>
      </c>
      <c r="O534" s="15">
        <v>0.128</v>
      </c>
      <c r="P534" s="15">
        <v>0.65500000000000003</v>
      </c>
      <c r="Q534" s="15">
        <v>0.16200000000000001</v>
      </c>
      <c r="R534" s="15">
        <v>0.68799999999999994</v>
      </c>
      <c r="S534" s="15">
        <v>0.253</v>
      </c>
      <c r="T534" s="15"/>
      <c r="U534" s="15" t="s">
        <v>33</v>
      </c>
      <c r="V534" s="15" t="s">
        <v>30</v>
      </c>
      <c r="W534" s="15">
        <v>4</v>
      </c>
      <c r="X534" s="15" t="s">
        <v>85</v>
      </c>
      <c r="Y534" s="12">
        <f t="shared" si="22"/>
        <v>0.29000000000000004</v>
      </c>
      <c r="Z534" s="15">
        <v>-0.52700000000000002</v>
      </c>
    </row>
    <row r="535" spans="1:26" x14ac:dyDescent="0.2">
      <c r="A535" s="15" t="s">
        <v>76</v>
      </c>
      <c r="B535" s="15">
        <v>3823.625</v>
      </c>
      <c r="C535" s="15">
        <v>42.529000000000003</v>
      </c>
      <c r="D535" s="15">
        <v>21.425999999999998</v>
      </c>
      <c r="E535" s="15">
        <v>2.1819999999999999</v>
      </c>
      <c r="F535" s="15">
        <v>158.791</v>
      </c>
      <c r="G535" s="15">
        <v>2.7210000000000001</v>
      </c>
      <c r="H535" s="15">
        <v>7.6319999999999997</v>
      </c>
      <c r="I535" s="15">
        <v>3.423</v>
      </c>
      <c r="J535" s="15">
        <v>204.666</v>
      </c>
      <c r="K535" s="15">
        <v>245.91800000000001</v>
      </c>
      <c r="L535" s="15">
        <v>0</v>
      </c>
      <c r="M535" s="15">
        <v>0</v>
      </c>
      <c r="N535" s="15">
        <v>100</v>
      </c>
      <c r="O535" s="15">
        <v>0.19500000000000001</v>
      </c>
      <c r="P535" s="15">
        <v>0.63900000000000001</v>
      </c>
      <c r="Q535" s="15">
        <v>0.17699999999999999</v>
      </c>
      <c r="R535" s="15">
        <v>0.70499999999999996</v>
      </c>
      <c r="S535" s="15">
        <v>0.27300000000000002</v>
      </c>
      <c r="T535" s="15"/>
      <c r="U535" s="15" t="s">
        <v>33</v>
      </c>
      <c r="V535" s="15" t="s">
        <v>30</v>
      </c>
      <c r="W535" s="15">
        <v>4</v>
      </c>
      <c r="X535" s="15" t="s">
        <v>85</v>
      </c>
      <c r="Y535" s="12">
        <f t="shared" si="22"/>
        <v>0.372</v>
      </c>
      <c r="Z535" s="15">
        <v>-0.44400000000000001</v>
      </c>
    </row>
    <row r="536" spans="1:26" x14ac:dyDescent="0.2">
      <c r="A536" s="15" t="s">
        <v>76</v>
      </c>
      <c r="B536" s="15">
        <v>3823.75</v>
      </c>
      <c r="C536" s="15">
        <v>54.662999999999997</v>
      </c>
      <c r="D536" s="15">
        <v>21.442</v>
      </c>
      <c r="E536" s="15">
        <v>2.2679999999999998</v>
      </c>
      <c r="F536" s="15">
        <v>159.78899999999999</v>
      </c>
      <c r="G536" s="15">
        <v>2.7320000000000002</v>
      </c>
      <c r="H536" s="15">
        <v>7.758</v>
      </c>
      <c r="I536" s="15">
        <v>3.395</v>
      </c>
      <c r="J536" s="15">
        <v>186.01300000000001</v>
      </c>
      <c r="K536" s="15">
        <v>233.95</v>
      </c>
      <c r="L536" s="15">
        <v>0</v>
      </c>
      <c r="M536" s="15">
        <v>0</v>
      </c>
      <c r="N536" s="15">
        <v>100</v>
      </c>
      <c r="O536" s="15">
        <v>0.26600000000000001</v>
      </c>
      <c r="P536" s="15">
        <v>0.627</v>
      </c>
      <c r="Q536" s="15">
        <v>0.19400000000000001</v>
      </c>
      <c r="R536" s="15">
        <v>0.752</v>
      </c>
      <c r="S536" s="15">
        <v>0.28499999999999998</v>
      </c>
      <c r="T536" s="15"/>
      <c r="U536" s="15" t="s">
        <v>33</v>
      </c>
      <c r="V536" s="15" t="s">
        <v>30</v>
      </c>
      <c r="W536" s="15">
        <v>4</v>
      </c>
      <c r="X536" s="15" t="s">
        <v>85</v>
      </c>
      <c r="Y536" s="12">
        <f t="shared" si="22"/>
        <v>0.46</v>
      </c>
      <c r="Z536" s="15">
        <v>-0.36099999999999999</v>
      </c>
    </row>
    <row r="537" spans="1:26" x14ac:dyDescent="0.2">
      <c r="A537" s="15" t="s">
        <v>76</v>
      </c>
      <c r="B537" s="15">
        <v>3823.875</v>
      </c>
      <c r="C537" s="15">
        <v>61.759</v>
      </c>
      <c r="D537" s="15">
        <v>21.462</v>
      </c>
      <c r="E537" s="15">
        <v>2.4900000000000002</v>
      </c>
      <c r="F537" s="15">
        <v>160.67400000000001</v>
      </c>
      <c r="G537" s="15">
        <v>2.7469999999999999</v>
      </c>
      <c r="H537" s="15">
        <v>7.7469999999999999</v>
      </c>
      <c r="I537" s="15">
        <v>3.3860000000000001</v>
      </c>
      <c r="J537" s="15">
        <v>171.29499999999999</v>
      </c>
      <c r="K537" s="15">
        <v>227.01</v>
      </c>
      <c r="L537" s="15">
        <v>0</v>
      </c>
      <c r="M537" s="15">
        <v>0</v>
      </c>
      <c r="N537" s="15">
        <v>100</v>
      </c>
      <c r="O537" s="15">
        <v>0.29599999999999999</v>
      </c>
      <c r="P537" s="15">
        <v>0.626</v>
      </c>
      <c r="Q537" s="15">
        <v>0.20899999999999999</v>
      </c>
      <c r="R537" s="15">
        <v>0.80300000000000005</v>
      </c>
      <c r="S537" s="15">
        <v>0.27800000000000002</v>
      </c>
      <c r="T537" s="15"/>
      <c r="U537" s="15" t="s">
        <v>33</v>
      </c>
      <c r="V537" s="15" t="s">
        <v>30</v>
      </c>
      <c r="W537" s="15">
        <v>4</v>
      </c>
      <c r="X537" s="15" t="s">
        <v>85</v>
      </c>
      <c r="Y537" s="12">
        <f t="shared" si="22"/>
        <v>0.505</v>
      </c>
      <c r="Z537" s="15">
        <v>-0.33</v>
      </c>
    </row>
    <row r="538" spans="1:26" x14ac:dyDescent="0.2">
      <c r="A538" s="15" t="s">
        <v>76</v>
      </c>
      <c r="B538" s="15">
        <v>3824</v>
      </c>
      <c r="C538" s="15">
        <v>59.287999999999997</v>
      </c>
      <c r="D538" s="15">
        <v>21.507000000000001</v>
      </c>
      <c r="E538" s="15">
        <v>2.77</v>
      </c>
      <c r="F538" s="15">
        <v>161.20699999999999</v>
      </c>
      <c r="G538" s="15">
        <v>2.7549999999999999</v>
      </c>
      <c r="H538" s="15">
        <v>7.5810000000000004</v>
      </c>
      <c r="I538" s="15">
        <v>3.407</v>
      </c>
      <c r="J538" s="15">
        <v>174.05699999999999</v>
      </c>
      <c r="K538" s="15">
        <v>239.42500000000001</v>
      </c>
      <c r="L538" s="15">
        <v>0</v>
      </c>
      <c r="M538" s="15">
        <v>0</v>
      </c>
      <c r="N538" s="15">
        <v>100</v>
      </c>
      <c r="O538" s="15">
        <v>0.26600000000000001</v>
      </c>
      <c r="P538" s="15">
        <v>0.64300000000000002</v>
      </c>
      <c r="Q538" s="15">
        <v>0.217</v>
      </c>
      <c r="R538" s="15">
        <v>0.82599999999999996</v>
      </c>
      <c r="S538" s="15">
        <v>0.251</v>
      </c>
      <c r="T538" s="15"/>
      <c r="U538" s="15" t="s">
        <v>33</v>
      </c>
      <c r="V538" s="15" t="s">
        <v>30</v>
      </c>
      <c r="W538" s="15">
        <v>4</v>
      </c>
      <c r="X538" s="15" t="s">
        <v>85</v>
      </c>
      <c r="Y538" s="12">
        <f t="shared" si="22"/>
        <v>0.48299999999999998</v>
      </c>
      <c r="Z538" s="15">
        <v>-0.377</v>
      </c>
    </row>
    <row r="539" spans="1:26" x14ac:dyDescent="0.2">
      <c r="A539" s="15" t="s">
        <v>76</v>
      </c>
      <c r="B539" s="15">
        <v>3824.125</v>
      </c>
      <c r="C539" s="15">
        <v>49.094000000000001</v>
      </c>
      <c r="D539" s="15">
        <v>21.63</v>
      </c>
      <c r="E539" s="15">
        <v>2.71</v>
      </c>
      <c r="F539" s="15">
        <v>161.376</v>
      </c>
      <c r="G539" s="15">
        <v>2.7549999999999999</v>
      </c>
      <c r="H539" s="15">
        <v>7.3230000000000004</v>
      </c>
      <c r="I539" s="15">
        <v>3.4649999999999999</v>
      </c>
      <c r="J539" s="15">
        <v>192.94</v>
      </c>
      <c r="K539" s="15">
        <v>271.03699999999998</v>
      </c>
      <c r="L539" s="15">
        <v>0</v>
      </c>
      <c r="M539" s="15">
        <v>0</v>
      </c>
      <c r="N539" s="15">
        <v>100</v>
      </c>
      <c r="O539" s="15">
        <v>0.20100000000000001</v>
      </c>
      <c r="P539" s="15">
        <v>0.67800000000000005</v>
      </c>
      <c r="Q539" s="15">
        <v>0.22</v>
      </c>
      <c r="R539" s="15">
        <v>0.82199999999999995</v>
      </c>
      <c r="S539" s="15">
        <v>0.216</v>
      </c>
      <c r="T539" s="15"/>
      <c r="U539" s="15" t="s">
        <v>33</v>
      </c>
      <c r="V539" s="15" t="s">
        <v>30</v>
      </c>
      <c r="W539" s="15">
        <v>4</v>
      </c>
      <c r="X539" s="15" t="s">
        <v>85</v>
      </c>
      <c r="Y539" s="12">
        <f t="shared" si="22"/>
        <v>0.42100000000000004</v>
      </c>
      <c r="Z539" s="15">
        <v>-0.47700000000000004</v>
      </c>
    </row>
    <row r="540" spans="1:26" x14ac:dyDescent="0.2">
      <c r="A540" s="15" t="s">
        <v>76</v>
      </c>
      <c r="B540" s="15">
        <v>3824.25</v>
      </c>
      <c r="C540" s="15">
        <v>40.314</v>
      </c>
      <c r="D540" s="15">
        <v>21.663</v>
      </c>
      <c r="E540" s="15">
        <v>2.54</v>
      </c>
      <c r="F540" s="15">
        <v>161.47399999999999</v>
      </c>
      <c r="G540" s="15">
        <v>2.7519999999999998</v>
      </c>
      <c r="H540" s="15">
        <v>7.1139999999999999</v>
      </c>
      <c r="I540" s="15">
        <v>3.548</v>
      </c>
      <c r="J540" s="15">
        <v>224.779</v>
      </c>
      <c r="K540" s="15">
        <v>323.64100000000002</v>
      </c>
      <c r="L540" s="15">
        <v>0</v>
      </c>
      <c r="M540" s="15">
        <v>0</v>
      </c>
      <c r="N540" s="15">
        <v>100</v>
      </c>
      <c r="O540" s="15">
        <v>0.14699999999999999</v>
      </c>
      <c r="P540" s="15">
        <v>0.72599999999999998</v>
      </c>
      <c r="Q540" s="15">
        <v>0.222</v>
      </c>
      <c r="R540" s="15">
        <v>0.80900000000000005</v>
      </c>
      <c r="S540" s="15">
        <v>0.193</v>
      </c>
      <c r="T540" s="15"/>
      <c r="U540" s="15" t="s">
        <v>33</v>
      </c>
      <c r="V540" s="15" t="s">
        <v>30</v>
      </c>
      <c r="W540" s="15">
        <v>4</v>
      </c>
      <c r="X540" s="15" t="s">
        <v>85</v>
      </c>
      <c r="Y540" s="12">
        <f t="shared" si="22"/>
        <v>0.36899999999999999</v>
      </c>
      <c r="Z540" s="15">
        <v>-0.57899999999999996</v>
      </c>
    </row>
    <row r="541" spans="1:26" x14ac:dyDescent="0.2">
      <c r="A541" s="15" t="s">
        <v>76</v>
      </c>
      <c r="B541" s="15">
        <v>3824.375</v>
      </c>
      <c r="C541" s="15">
        <v>33.863999999999997</v>
      </c>
      <c r="D541" s="15">
        <v>21.475000000000001</v>
      </c>
      <c r="E541" s="15">
        <v>2.4510000000000001</v>
      </c>
      <c r="F541" s="15">
        <v>161.69900000000001</v>
      </c>
      <c r="G541" s="15">
        <v>2.7469999999999999</v>
      </c>
      <c r="H541" s="15">
        <v>7.0810000000000004</v>
      </c>
      <c r="I541" s="15">
        <v>3.6440000000000001</v>
      </c>
      <c r="J541" s="15">
        <v>254.40700000000001</v>
      </c>
      <c r="K541" s="15">
        <v>371.452</v>
      </c>
      <c r="L541" s="15">
        <v>0</v>
      </c>
      <c r="M541" s="15">
        <v>0</v>
      </c>
      <c r="N541" s="15">
        <v>100</v>
      </c>
      <c r="O541" s="15">
        <v>0.121</v>
      </c>
      <c r="P541" s="15">
        <v>0.77700000000000002</v>
      </c>
      <c r="Q541" s="15">
        <v>0.22700000000000001</v>
      </c>
      <c r="R541" s="15">
        <v>0.78300000000000003</v>
      </c>
      <c r="S541" s="15">
        <v>0.191</v>
      </c>
      <c r="T541" s="15"/>
      <c r="U541" s="15" t="s">
        <v>33</v>
      </c>
      <c r="V541" s="15" t="s">
        <v>30</v>
      </c>
      <c r="W541" s="15">
        <v>4</v>
      </c>
      <c r="X541" s="15" t="s">
        <v>85</v>
      </c>
      <c r="Y541" s="12">
        <f t="shared" si="22"/>
        <v>0.34799999999999998</v>
      </c>
      <c r="Z541" s="15">
        <v>-0.65600000000000003</v>
      </c>
    </row>
    <row r="542" spans="1:26" x14ac:dyDescent="0.2">
      <c r="A542" s="15" t="s">
        <v>76</v>
      </c>
      <c r="B542" s="15">
        <v>3824.5</v>
      </c>
      <c r="C542" s="15">
        <v>36.613</v>
      </c>
      <c r="D542" s="15">
        <v>21.425000000000001</v>
      </c>
      <c r="E542" s="15">
        <v>2.2839999999999998</v>
      </c>
      <c r="F542" s="15">
        <v>162.078</v>
      </c>
      <c r="G542" s="15">
        <v>2.7360000000000002</v>
      </c>
      <c r="H542" s="15">
        <v>7.12</v>
      </c>
      <c r="I542" s="15">
        <v>3.7320000000000002</v>
      </c>
      <c r="J542" s="15">
        <v>258.81200000000001</v>
      </c>
      <c r="K542" s="15">
        <v>383.29399999999998</v>
      </c>
      <c r="L542" s="15">
        <v>0</v>
      </c>
      <c r="M542" s="15">
        <v>0</v>
      </c>
      <c r="N542" s="15">
        <v>100</v>
      </c>
      <c r="O542" s="15">
        <v>0.154</v>
      </c>
      <c r="P542" s="15">
        <v>0.82</v>
      </c>
      <c r="Q542" s="15">
        <v>0.23400000000000001</v>
      </c>
      <c r="R542" s="15">
        <v>0.74399999999999999</v>
      </c>
      <c r="S542" s="15">
        <v>0.19400000000000001</v>
      </c>
      <c r="T542" s="15"/>
      <c r="U542" s="15" t="s">
        <v>33</v>
      </c>
      <c r="V542" s="15" t="s">
        <v>30</v>
      </c>
      <c r="W542" s="15">
        <v>4</v>
      </c>
      <c r="X542" s="15" t="s">
        <v>85</v>
      </c>
      <c r="Y542" s="12">
        <f t="shared" si="22"/>
        <v>0.38800000000000001</v>
      </c>
      <c r="Z542" s="15">
        <v>-0.66599999999999993</v>
      </c>
    </row>
    <row r="543" spans="1:26" x14ac:dyDescent="0.2">
      <c r="A543" s="15" t="s">
        <v>76</v>
      </c>
      <c r="B543" s="15">
        <v>3824.625</v>
      </c>
      <c r="C543" s="15">
        <v>47.290999999999997</v>
      </c>
      <c r="D543" s="15">
        <v>21.423999999999999</v>
      </c>
      <c r="E543" s="15">
        <v>2.3759999999999999</v>
      </c>
      <c r="F543" s="15">
        <v>162.39599999999999</v>
      </c>
      <c r="G543" s="15">
        <v>2.7280000000000002</v>
      </c>
      <c r="H543" s="15">
        <v>7.0990000000000002</v>
      </c>
      <c r="I543" s="15">
        <v>3.7869999999999999</v>
      </c>
      <c r="J543" s="15">
        <v>220.13200000000001</v>
      </c>
      <c r="K543" s="15">
        <v>331.66899999999998</v>
      </c>
      <c r="L543" s="15">
        <v>0</v>
      </c>
      <c r="M543" s="15">
        <v>0</v>
      </c>
      <c r="N543" s="15">
        <v>100</v>
      </c>
      <c r="O543" s="15">
        <v>0.224</v>
      </c>
      <c r="P543" s="15">
        <v>0.84299999999999997</v>
      </c>
      <c r="Q543" s="15">
        <v>0.23799999999999999</v>
      </c>
      <c r="R543" s="15">
        <v>0.71899999999999997</v>
      </c>
      <c r="S543" s="15">
        <v>0.192</v>
      </c>
      <c r="T543" s="15"/>
      <c r="U543" s="15" t="s">
        <v>33</v>
      </c>
      <c r="V543" s="15" t="s">
        <v>30</v>
      </c>
      <c r="W543" s="15">
        <v>4</v>
      </c>
      <c r="X543" s="15" t="s">
        <v>85</v>
      </c>
      <c r="Y543" s="12">
        <f t="shared" si="22"/>
        <v>0.46199999999999997</v>
      </c>
      <c r="Z543" s="15">
        <v>-0.61899999999999999</v>
      </c>
    </row>
    <row r="544" spans="1:26" x14ac:dyDescent="0.2">
      <c r="A544" s="15" t="s">
        <v>76</v>
      </c>
      <c r="B544" s="15">
        <v>3824.75</v>
      </c>
      <c r="C544" s="15">
        <v>57.82</v>
      </c>
      <c r="D544" s="15">
        <v>21.431999999999999</v>
      </c>
      <c r="E544" s="15">
        <v>2.4390000000000001</v>
      </c>
      <c r="F544" s="15">
        <v>162.375</v>
      </c>
      <c r="G544" s="15">
        <v>2.726</v>
      </c>
      <c r="H544" s="15">
        <v>7.0819999999999999</v>
      </c>
      <c r="I544" s="15">
        <v>3.7959999999999998</v>
      </c>
      <c r="J544" s="15">
        <v>186.21100000000001</v>
      </c>
      <c r="K544" s="15">
        <v>280.654</v>
      </c>
      <c r="L544" s="15">
        <v>0</v>
      </c>
      <c r="M544" s="15">
        <v>0</v>
      </c>
      <c r="N544" s="15">
        <v>100</v>
      </c>
      <c r="O544" s="15">
        <v>0.27800000000000002</v>
      </c>
      <c r="P544" s="15">
        <v>0.83299999999999996</v>
      </c>
      <c r="Q544" s="15">
        <v>0.23499999999999999</v>
      </c>
      <c r="R544" s="15">
        <v>0.71899999999999997</v>
      </c>
      <c r="S544" s="15">
        <v>0.192</v>
      </c>
      <c r="T544" s="15"/>
      <c r="U544" s="15" t="s">
        <v>33</v>
      </c>
      <c r="V544" s="15" t="s">
        <v>30</v>
      </c>
      <c r="W544" s="15">
        <v>4</v>
      </c>
      <c r="X544" s="15" t="s">
        <v>85</v>
      </c>
      <c r="Y544" s="12">
        <f t="shared" si="22"/>
        <v>0.51300000000000001</v>
      </c>
      <c r="Z544" s="15">
        <v>-0.55499999999999994</v>
      </c>
    </row>
    <row r="545" spans="1:26" x14ac:dyDescent="0.2">
      <c r="A545" s="15" t="s">
        <v>76</v>
      </c>
      <c r="B545" s="15">
        <v>3824.875</v>
      </c>
      <c r="C545" s="15">
        <v>59.774999999999999</v>
      </c>
      <c r="D545" s="15">
        <v>21.443000000000001</v>
      </c>
      <c r="E545" s="15">
        <v>2.4129999999999998</v>
      </c>
      <c r="F545" s="15">
        <v>161.88499999999999</v>
      </c>
      <c r="G545" s="15">
        <v>2.7320000000000002</v>
      </c>
      <c r="H545" s="15">
        <v>7.141</v>
      </c>
      <c r="I545" s="15">
        <v>3.702</v>
      </c>
      <c r="J545" s="15">
        <v>174.63900000000001</v>
      </c>
      <c r="K545" s="15">
        <v>259.81200000000001</v>
      </c>
      <c r="L545" s="15">
        <v>0</v>
      </c>
      <c r="M545" s="15">
        <v>0</v>
      </c>
      <c r="N545" s="15">
        <v>100</v>
      </c>
      <c r="O545" s="15">
        <v>0.28000000000000003</v>
      </c>
      <c r="P545" s="15">
        <v>0.79100000000000004</v>
      </c>
      <c r="Q545" s="15">
        <v>0.224</v>
      </c>
      <c r="R545" s="15">
        <v>0.746</v>
      </c>
      <c r="S545" s="15">
        <v>0.20499999999999999</v>
      </c>
      <c r="T545" s="15"/>
      <c r="U545" s="15" t="s">
        <v>33</v>
      </c>
      <c r="V545" s="15" t="s">
        <v>30</v>
      </c>
      <c r="W545" s="15">
        <v>4</v>
      </c>
      <c r="X545" s="15" t="s">
        <v>85</v>
      </c>
      <c r="Y545" s="12">
        <f t="shared" si="22"/>
        <v>0.504</v>
      </c>
      <c r="Z545" s="15">
        <v>-0.51100000000000001</v>
      </c>
    </row>
    <row r="546" spans="1:26" x14ac:dyDescent="0.2">
      <c r="A546" s="15" t="s">
        <v>76</v>
      </c>
      <c r="B546" s="15">
        <v>3825</v>
      </c>
      <c r="C546" s="15">
        <v>55.820999999999998</v>
      </c>
      <c r="D546" s="15">
        <v>21.433</v>
      </c>
      <c r="E546" s="15">
        <v>2.4129999999999998</v>
      </c>
      <c r="F546" s="15">
        <v>161.03100000000001</v>
      </c>
      <c r="G546" s="15">
        <v>2.7410000000000001</v>
      </c>
      <c r="H546" s="15">
        <v>7.3220000000000001</v>
      </c>
      <c r="I546" s="15">
        <v>3.673</v>
      </c>
      <c r="J546" s="15">
        <v>169.46899999999999</v>
      </c>
      <c r="K546" s="15">
        <v>249.22</v>
      </c>
      <c r="L546" s="15">
        <v>0</v>
      </c>
      <c r="M546" s="15">
        <v>0</v>
      </c>
      <c r="N546" s="15">
        <v>100</v>
      </c>
      <c r="O546" s="15">
        <v>0.252</v>
      </c>
      <c r="P546" s="15">
        <v>0.76200000000000001</v>
      </c>
      <c r="Q546" s="15">
        <v>0.20899999999999999</v>
      </c>
      <c r="R546" s="15">
        <v>0.78200000000000003</v>
      </c>
      <c r="S546" s="15">
        <v>0.23</v>
      </c>
      <c r="T546" s="15"/>
      <c r="U546" s="15" t="s">
        <v>33</v>
      </c>
      <c r="V546" s="15" t="s">
        <v>30</v>
      </c>
      <c r="W546" s="15">
        <v>4</v>
      </c>
      <c r="X546" s="15" t="s">
        <v>85</v>
      </c>
      <c r="Y546" s="12">
        <f t="shared" si="22"/>
        <v>0.46099999999999997</v>
      </c>
      <c r="Z546" s="15">
        <v>-0.51</v>
      </c>
    </row>
    <row r="547" spans="1:26" x14ac:dyDescent="0.2">
      <c r="A547" s="15" t="s">
        <v>76</v>
      </c>
      <c r="B547" s="15">
        <v>3825.125</v>
      </c>
      <c r="C547" s="15">
        <v>50.703000000000003</v>
      </c>
      <c r="D547" s="15">
        <v>21.428000000000001</v>
      </c>
      <c r="E547" s="15">
        <v>2.5619999999999998</v>
      </c>
      <c r="F547" s="15">
        <v>160.17599999999999</v>
      </c>
      <c r="G547" s="15">
        <v>2.7509999999999999</v>
      </c>
      <c r="H547" s="15">
        <v>7.4770000000000003</v>
      </c>
      <c r="I547" s="15">
        <v>3.5539999999999998</v>
      </c>
      <c r="J547" s="15">
        <v>177.01400000000001</v>
      </c>
      <c r="K547" s="15">
        <v>259.62099999999998</v>
      </c>
      <c r="L547" s="15">
        <v>0</v>
      </c>
      <c r="M547" s="15">
        <v>0</v>
      </c>
      <c r="N547" s="15">
        <v>100</v>
      </c>
      <c r="O547" s="15">
        <v>0.22</v>
      </c>
      <c r="P547" s="15">
        <v>0.69499999999999995</v>
      </c>
      <c r="Q547" s="15">
        <v>0.19500000000000001</v>
      </c>
      <c r="R547" s="15">
        <v>0.82099999999999995</v>
      </c>
      <c r="S547" s="15">
        <v>0.245</v>
      </c>
      <c r="T547" s="15"/>
      <c r="U547" s="15" t="s">
        <v>33</v>
      </c>
      <c r="V547" s="15" t="s">
        <v>30</v>
      </c>
      <c r="W547" s="15">
        <v>4</v>
      </c>
      <c r="X547" s="15" t="s">
        <v>85</v>
      </c>
      <c r="Y547" s="12">
        <f t="shared" si="22"/>
        <v>0.41500000000000004</v>
      </c>
      <c r="Z547" s="15">
        <v>-0.47499999999999998</v>
      </c>
    </row>
    <row r="548" spans="1:26" x14ac:dyDescent="0.2">
      <c r="A548" s="15" t="s">
        <v>76</v>
      </c>
      <c r="B548" s="15">
        <v>3825.25</v>
      </c>
      <c r="C548" s="15">
        <v>46.856999999999999</v>
      </c>
      <c r="D548" s="15">
        <v>21.428999999999998</v>
      </c>
      <c r="E548" s="15">
        <v>2.746</v>
      </c>
      <c r="F548" s="15">
        <v>159.74100000000001</v>
      </c>
      <c r="G548" s="15">
        <v>2.7610000000000001</v>
      </c>
      <c r="H548" s="15">
        <v>7.4640000000000004</v>
      </c>
      <c r="I548" s="15">
        <v>3.419</v>
      </c>
      <c r="J548" s="15">
        <v>196.39400000000001</v>
      </c>
      <c r="K548" s="15">
        <v>285.17</v>
      </c>
      <c r="L548" s="15">
        <v>0</v>
      </c>
      <c r="M548" s="15">
        <v>0</v>
      </c>
      <c r="N548" s="15">
        <v>100</v>
      </c>
      <c r="O548" s="15">
        <v>0.19600000000000001</v>
      </c>
      <c r="P548" s="15">
        <v>0.622</v>
      </c>
      <c r="Q548" s="15">
        <v>0.19</v>
      </c>
      <c r="R548" s="15">
        <v>0.85299999999999998</v>
      </c>
      <c r="S548" s="15">
        <v>0.24299999999999999</v>
      </c>
      <c r="T548" s="15"/>
      <c r="U548" s="15" t="s">
        <v>33</v>
      </c>
      <c r="V548" s="15" t="s">
        <v>30</v>
      </c>
      <c r="W548" s="15">
        <v>4</v>
      </c>
      <c r="X548" s="15" t="s">
        <v>85</v>
      </c>
      <c r="Y548" s="12">
        <f t="shared" si="22"/>
        <v>0.38600000000000001</v>
      </c>
      <c r="Z548" s="15">
        <v>-0.42599999999999999</v>
      </c>
    </row>
    <row r="549" spans="1:26" x14ac:dyDescent="0.2">
      <c r="A549" s="15" t="s">
        <v>77</v>
      </c>
      <c r="B549" s="15">
        <v>3376</v>
      </c>
      <c r="C549" s="15">
        <v>36.517000000000003</v>
      </c>
      <c r="D549" s="15">
        <v>22.218</v>
      </c>
      <c r="E549" s="15">
        <v>3.5529999999999999</v>
      </c>
      <c r="F549" s="15">
        <v>161.26300000000001</v>
      </c>
      <c r="G549" s="15">
        <v>2.79</v>
      </c>
      <c r="H549" s="15">
        <v>5.3689999999999998</v>
      </c>
      <c r="I549" s="15">
        <v>3.38</v>
      </c>
      <c r="J549" s="15">
        <v>109.63800000000001</v>
      </c>
      <c r="K549" s="15">
        <v>119.172</v>
      </c>
      <c r="L549" s="15">
        <v>0</v>
      </c>
      <c r="M549" s="15">
        <v>0</v>
      </c>
      <c r="N549" s="15">
        <v>100</v>
      </c>
      <c r="O549" s="15">
        <v>0.158</v>
      </c>
      <c r="P549" s="15">
        <v>0.26700000000000002</v>
      </c>
      <c r="Q549" s="15">
        <v>6.8000000000000005E-2</v>
      </c>
      <c r="R549" s="15">
        <v>0.84</v>
      </c>
      <c r="S549" s="15">
        <v>0.63500000000000001</v>
      </c>
      <c r="T549" s="15"/>
      <c r="U549" s="15" t="s">
        <v>22</v>
      </c>
      <c r="V549" s="15" t="s">
        <v>30</v>
      </c>
      <c r="W549" s="15">
        <v>3</v>
      </c>
      <c r="X549" s="15" t="s">
        <v>85</v>
      </c>
      <c r="Y549" s="12">
        <f t="shared" si="22"/>
        <v>0.22600000000000001</v>
      </c>
      <c r="Z549" s="15">
        <v>-0.10900000000000001</v>
      </c>
    </row>
    <row r="550" spans="1:26" x14ac:dyDescent="0.2">
      <c r="A550" s="15" t="s">
        <v>77</v>
      </c>
      <c r="B550" s="15">
        <v>3376.125</v>
      </c>
      <c r="C550" s="15">
        <v>23.776</v>
      </c>
      <c r="D550" s="15">
        <v>22.271999999999998</v>
      </c>
      <c r="E550" s="15">
        <v>2.8460000000000001</v>
      </c>
      <c r="F550" s="15">
        <v>162.35</v>
      </c>
      <c r="G550" s="15">
        <v>2.79</v>
      </c>
      <c r="H550" s="15">
        <v>5.2910000000000004</v>
      </c>
      <c r="I550" s="15">
        <v>3.2970000000000002</v>
      </c>
      <c r="J550" s="15">
        <v>95.495000000000005</v>
      </c>
      <c r="K550" s="15">
        <v>103.79900000000001</v>
      </c>
      <c r="L550" s="15">
        <v>0</v>
      </c>
      <c r="M550" s="15">
        <v>0</v>
      </c>
      <c r="N550" s="15">
        <v>100</v>
      </c>
      <c r="O550" s="15">
        <v>6.9000000000000006E-2</v>
      </c>
      <c r="P550" s="15">
        <v>0.24199999999999999</v>
      </c>
      <c r="Q550" s="15">
        <v>9.0999999999999998E-2</v>
      </c>
      <c r="R550" s="15">
        <v>0.84</v>
      </c>
      <c r="S550" s="15">
        <v>0.61499999999999999</v>
      </c>
      <c r="T550" s="15"/>
      <c r="U550" s="15" t="s">
        <v>22</v>
      </c>
      <c r="V550" s="15" t="s">
        <v>30</v>
      </c>
      <c r="W550" s="15">
        <v>3</v>
      </c>
      <c r="X550" s="15" t="s">
        <v>85</v>
      </c>
      <c r="Y550" s="12">
        <f t="shared" si="22"/>
        <v>0.16</v>
      </c>
      <c r="Z550" s="15">
        <v>-0.17299999999999999</v>
      </c>
    </row>
    <row r="551" spans="1:26" x14ac:dyDescent="0.2">
      <c r="A551" s="15" t="s">
        <v>77</v>
      </c>
      <c r="B551" s="15">
        <v>3376.25</v>
      </c>
      <c r="C551" s="15">
        <v>17.247</v>
      </c>
      <c r="D551" s="15">
        <v>22.312000000000001</v>
      </c>
      <c r="E551" s="15">
        <v>1.966</v>
      </c>
      <c r="F551" s="15">
        <v>164.358</v>
      </c>
      <c r="G551" s="15">
        <v>2.79</v>
      </c>
      <c r="H551" s="15">
        <v>4.7610000000000001</v>
      </c>
      <c r="I551" s="15">
        <v>3.2160000000000002</v>
      </c>
      <c r="J551" s="15">
        <v>82.427000000000007</v>
      </c>
      <c r="K551" s="15">
        <v>89.593999999999994</v>
      </c>
      <c r="L551" s="15">
        <v>0</v>
      </c>
      <c r="M551" s="15">
        <v>0</v>
      </c>
      <c r="N551" s="15">
        <v>100</v>
      </c>
      <c r="O551" s="15">
        <v>2.4E-2</v>
      </c>
      <c r="P551" s="15">
        <v>0.214</v>
      </c>
      <c r="Q551" s="15">
        <v>0.13300000000000001</v>
      </c>
      <c r="R551" s="15">
        <v>0.84</v>
      </c>
      <c r="S551" s="15">
        <v>0.502</v>
      </c>
      <c r="T551" s="15"/>
      <c r="U551" s="15" t="s">
        <v>22</v>
      </c>
      <c r="V551" s="15" t="s">
        <v>30</v>
      </c>
      <c r="W551" s="15">
        <v>3</v>
      </c>
      <c r="X551" s="15" t="s">
        <v>85</v>
      </c>
      <c r="Y551" s="12">
        <f t="shared" si="22"/>
        <v>0.157</v>
      </c>
      <c r="Z551" s="15">
        <v>-0.19</v>
      </c>
    </row>
    <row r="552" spans="1:26" x14ac:dyDescent="0.2">
      <c r="A552" s="15" t="s">
        <v>77</v>
      </c>
      <c r="B552" s="15">
        <v>3376.375</v>
      </c>
      <c r="C552" s="15">
        <v>15.388999999999999</v>
      </c>
      <c r="D552" s="15">
        <v>22.314</v>
      </c>
      <c r="E552" s="15">
        <v>1.2649999999999999</v>
      </c>
      <c r="F552" s="15">
        <v>166.01599999999999</v>
      </c>
      <c r="G552" s="15">
        <v>2.7909999999999999</v>
      </c>
      <c r="H552" s="15">
        <v>4.05</v>
      </c>
      <c r="I552" s="15">
        <v>3.1419999999999999</v>
      </c>
      <c r="J552" s="15">
        <v>69.200999999999993</v>
      </c>
      <c r="K552" s="15">
        <v>75.218000000000004</v>
      </c>
      <c r="L552" s="15">
        <v>0</v>
      </c>
      <c r="M552" s="15">
        <v>0</v>
      </c>
      <c r="N552" s="15">
        <v>100</v>
      </c>
      <c r="O552" s="15">
        <v>1.0999999999999999E-2</v>
      </c>
      <c r="P552" s="15">
        <v>0.183</v>
      </c>
      <c r="Q552" s="15">
        <v>0.16800000000000001</v>
      </c>
      <c r="R552" s="15">
        <v>0.84299999999999997</v>
      </c>
      <c r="S552" s="15">
        <v>0.35399999999999998</v>
      </c>
      <c r="T552" s="15"/>
      <c r="U552" s="15" t="s">
        <v>22</v>
      </c>
      <c r="V552" s="15" t="s">
        <v>30</v>
      </c>
      <c r="W552" s="15">
        <v>3</v>
      </c>
      <c r="X552" s="15" t="s">
        <v>85</v>
      </c>
      <c r="Y552" s="12">
        <f t="shared" si="22"/>
        <v>0.17900000000000002</v>
      </c>
      <c r="Z552" s="15">
        <v>-0.17199999999999999</v>
      </c>
    </row>
    <row r="553" spans="1:26" x14ac:dyDescent="0.2">
      <c r="A553" s="15" t="s">
        <v>77</v>
      </c>
      <c r="B553" s="15">
        <v>3376.5</v>
      </c>
      <c r="C553" s="15">
        <v>14.808</v>
      </c>
      <c r="D553" s="15">
        <v>22.263999999999999</v>
      </c>
      <c r="E553" s="15">
        <v>0.879</v>
      </c>
      <c r="F553" s="15">
        <v>167.018</v>
      </c>
      <c r="G553" s="15">
        <v>2.794</v>
      </c>
      <c r="H553" s="15">
        <v>3.5720000000000001</v>
      </c>
      <c r="I553" s="15">
        <v>3.0790000000000002</v>
      </c>
      <c r="J553" s="15">
        <v>61.887</v>
      </c>
      <c r="K553" s="15">
        <v>67.268000000000001</v>
      </c>
      <c r="L553" s="15">
        <v>0</v>
      </c>
      <c r="M553" s="15">
        <v>0</v>
      </c>
      <c r="N553" s="15">
        <v>100</v>
      </c>
      <c r="O553" s="15">
        <v>7.0000000000000001E-3</v>
      </c>
      <c r="P553" s="15">
        <v>0.16200000000000001</v>
      </c>
      <c r="Q553" s="15">
        <v>0.188</v>
      </c>
      <c r="R553" s="15">
        <v>0.85399999999999998</v>
      </c>
      <c r="S553" s="15">
        <v>0.25600000000000001</v>
      </c>
      <c r="T553" s="15"/>
      <c r="U553" s="15" t="s">
        <v>22</v>
      </c>
      <c r="V553" s="15" t="s">
        <v>30</v>
      </c>
      <c r="W553" s="15">
        <v>3</v>
      </c>
      <c r="X553" s="15" t="s">
        <v>85</v>
      </c>
      <c r="Y553" s="12">
        <f t="shared" si="22"/>
        <v>0.19500000000000001</v>
      </c>
      <c r="Z553" s="15">
        <v>-0.155</v>
      </c>
    </row>
    <row r="554" spans="1:26" x14ac:dyDescent="0.2">
      <c r="A554" s="15" t="s">
        <v>77</v>
      </c>
      <c r="B554" s="15">
        <v>3376.625</v>
      </c>
      <c r="C554" s="15">
        <v>14.081</v>
      </c>
      <c r="D554" s="15">
        <v>22.207000000000001</v>
      </c>
      <c r="E554" s="15">
        <v>0.75900000000000001</v>
      </c>
      <c r="F554" s="15">
        <v>167.71600000000001</v>
      </c>
      <c r="G554" s="15">
        <v>2.7970000000000002</v>
      </c>
      <c r="H554" s="15">
        <v>3.5459999999999998</v>
      </c>
      <c r="I554" s="15">
        <v>3.032</v>
      </c>
      <c r="J554" s="15">
        <v>55.204999999999998</v>
      </c>
      <c r="K554" s="15">
        <v>60.005000000000003</v>
      </c>
      <c r="L554" s="15">
        <v>0</v>
      </c>
      <c r="M554" s="15">
        <v>0</v>
      </c>
      <c r="N554" s="15">
        <v>100</v>
      </c>
      <c r="O554" s="15">
        <v>2E-3</v>
      </c>
      <c r="P554" s="15">
        <v>0.14099999999999999</v>
      </c>
      <c r="Q554" s="15">
        <v>0.20300000000000001</v>
      </c>
      <c r="R554" s="15">
        <v>0.86399999999999999</v>
      </c>
      <c r="S554" s="15">
        <v>0.252</v>
      </c>
      <c r="T554" s="15"/>
      <c r="U554" s="15" t="s">
        <v>22</v>
      </c>
      <c r="V554" s="15" t="s">
        <v>30</v>
      </c>
      <c r="W554" s="15">
        <v>3</v>
      </c>
      <c r="X554" s="15" t="s">
        <v>85</v>
      </c>
      <c r="Y554" s="12">
        <f t="shared" si="22"/>
        <v>0.20500000000000002</v>
      </c>
      <c r="Z554" s="15">
        <v>-0.13899999999999998</v>
      </c>
    </row>
    <row r="555" spans="1:26" x14ac:dyDescent="0.2">
      <c r="A555" s="15" t="s">
        <v>77</v>
      </c>
      <c r="B555" s="15">
        <v>3376.75</v>
      </c>
      <c r="C555" s="15">
        <v>13.773999999999999</v>
      </c>
      <c r="D555" s="15">
        <v>22.196000000000002</v>
      </c>
      <c r="E555" s="15">
        <v>0.8</v>
      </c>
      <c r="F555" s="15">
        <v>168.14500000000001</v>
      </c>
      <c r="G555" s="15">
        <v>2.8</v>
      </c>
      <c r="H555" s="15">
        <v>3.7629999999999999</v>
      </c>
      <c r="I555" s="15">
        <v>2.9969999999999999</v>
      </c>
      <c r="J555" s="15">
        <v>47.576999999999998</v>
      </c>
      <c r="K555" s="15">
        <v>51.715000000000003</v>
      </c>
      <c r="L555" s="15">
        <v>0</v>
      </c>
      <c r="M555" s="15">
        <v>0</v>
      </c>
      <c r="N555" s="15">
        <v>100</v>
      </c>
      <c r="O555" s="15">
        <v>0</v>
      </c>
      <c r="P555" s="15">
        <v>0.114</v>
      </c>
      <c r="Q555" s="15">
        <v>0.21199999999999999</v>
      </c>
      <c r="R555" s="15">
        <v>0.874</v>
      </c>
      <c r="S555" s="15">
        <v>0.29799999999999999</v>
      </c>
      <c r="T555" s="15"/>
      <c r="U555" s="15" t="s">
        <v>22</v>
      </c>
      <c r="V555" s="15" t="s">
        <v>30</v>
      </c>
      <c r="W555" s="15">
        <v>3</v>
      </c>
      <c r="X555" s="15" t="s">
        <v>85</v>
      </c>
      <c r="Y555" s="12">
        <f t="shared" si="22"/>
        <v>0.21199999999999999</v>
      </c>
      <c r="Z555" s="15">
        <v>-0.114</v>
      </c>
    </row>
    <row r="556" spans="1:26" x14ac:dyDescent="0.2">
      <c r="A556" s="15" t="s">
        <v>77</v>
      </c>
      <c r="B556" s="15">
        <v>3376.875</v>
      </c>
      <c r="C556" s="15">
        <v>14.205</v>
      </c>
      <c r="D556" s="15">
        <v>22.183</v>
      </c>
      <c r="E556" s="15">
        <v>0.86799999999999999</v>
      </c>
      <c r="F556" s="15">
        <v>168.27500000000001</v>
      </c>
      <c r="G556" s="15">
        <v>2.8010000000000002</v>
      </c>
      <c r="H556" s="15">
        <v>4.016</v>
      </c>
      <c r="I556" s="15">
        <v>2.976</v>
      </c>
      <c r="J556" s="15">
        <v>44.396999999999998</v>
      </c>
      <c r="K556" s="15">
        <v>48.256999999999998</v>
      </c>
      <c r="L556" s="15">
        <v>0</v>
      </c>
      <c r="M556" s="15">
        <v>0</v>
      </c>
      <c r="N556" s="15">
        <v>100</v>
      </c>
      <c r="O556" s="15">
        <v>3.0000000000000001E-3</v>
      </c>
      <c r="P556" s="15">
        <v>0.10199999999999999</v>
      </c>
      <c r="Q556" s="15">
        <v>0.214</v>
      </c>
      <c r="R556" s="15">
        <v>0.877</v>
      </c>
      <c r="S556" s="15">
        <v>0.35099999999999998</v>
      </c>
      <c r="T556" s="15"/>
      <c r="U556" s="15" t="s">
        <v>22</v>
      </c>
      <c r="V556" s="15" t="s">
        <v>30</v>
      </c>
      <c r="W556" s="15">
        <v>3</v>
      </c>
      <c r="X556" s="15" t="s">
        <v>85</v>
      </c>
      <c r="Y556" s="12">
        <f t="shared" si="22"/>
        <v>0.217</v>
      </c>
      <c r="Z556" s="15">
        <v>-9.8999999999999991E-2</v>
      </c>
    </row>
    <row r="557" spans="1:26" x14ac:dyDescent="0.2">
      <c r="A557" s="15" t="s">
        <v>77</v>
      </c>
      <c r="B557" s="15">
        <v>3377</v>
      </c>
      <c r="C557" s="15">
        <v>14.926</v>
      </c>
      <c r="D557" s="15">
        <v>22.151</v>
      </c>
      <c r="E557" s="15">
        <v>0.84799999999999998</v>
      </c>
      <c r="F557" s="15">
        <v>168.15600000000001</v>
      </c>
      <c r="G557" s="15">
        <v>2.8010000000000002</v>
      </c>
      <c r="H557" s="15">
        <v>4.2119999999999997</v>
      </c>
      <c r="I557" s="15">
        <v>2.9649999999999999</v>
      </c>
      <c r="J557" s="15">
        <v>43.054000000000002</v>
      </c>
      <c r="K557" s="15">
        <v>46.798000000000002</v>
      </c>
      <c r="L557" s="15">
        <v>0</v>
      </c>
      <c r="M557" s="15">
        <v>0</v>
      </c>
      <c r="N557" s="15">
        <v>100</v>
      </c>
      <c r="O557" s="15">
        <v>8.0000000000000002E-3</v>
      </c>
      <c r="P557" s="15">
        <v>9.6000000000000002E-2</v>
      </c>
      <c r="Q557" s="15">
        <v>0.21199999999999999</v>
      </c>
      <c r="R557" s="15">
        <v>0.877</v>
      </c>
      <c r="S557" s="15">
        <v>0.39200000000000002</v>
      </c>
      <c r="T557" s="15"/>
      <c r="U557" s="15" t="s">
        <v>22</v>
      </c>
      <c r="V557" s="15" t="s">
        <v>30</v>
      </c>
      <c r="W557" s="15">
        <v>3</v>
      </c>
      <c r="X557" s="15" t="s">
        <v>85</v>
      </c>
      <c r="Y557" s="12">
        <f t="shared" si="22"/>
        <v>0.22</v>
      </c>
      <c r="Z557" s="15">
        <v>-8.7999999999999995E-2</v>
      </c>
    </row>
    <row r="558" spans="1:26" x14ac:dyDescent="0.2">
      <c r="A558" s="15" t="s">
        <v>77</v>
      </c>
      <c r="B558" s="15">
        <v>3377.125</v>
      </c>
      <c r="C558" s="15">
        <v>15.571</v>
      </c>
      <c r="D558" s="15">
        <v>22.114000000000001</v>
      </c>
      <c r="E558" s="15">
        <v>0.78200000000000003</v>
      </c>
      <c r="F558" s="15">
        <v>167.85499999999999</v>
      </c>
      <c r="G558" s="15">
        <v>2.8010000000000002</v>
      </c>
      <c r="H558" s="15">
        <v>4.2960000000000003</v>
      </c>
      <c r="I558" s="15">
        <v>2.9649999999999999</v>
      </c>
      <c r="J558" s="15">
        <v>43.201999999999998</v>
      </c>
      <c r="K558" s="15">
        <v>46.959000000000003</v>
      </c>
      <c r="L558" s="15">
        <v>0</v>
      </c>
      <c r="M558" s="15">
        <v>0</v>
      </c>
      <c r="N558" s="15">
        <v>100</v>
      </c>
      <c r="O558" s="15">
        <v>1.2999999999999999E-2</v>
      </c>
      <c r="P558" s="15">
        <v>9.7000000000000003E-2</v>
      </c>
      <c r="Q558" s="15">
        <v>0.20499999999999999</v>
      </c>
      <c r="R558" s="15">
        <v>0.877</v>
      </c>
      <c r="S558" s="15">
        <v>0.40899999999999997</v>
      </c>
      <c r="T558" s="15"/>
      <c r="U558" s="15" t="s">
        <v>22</v>
      </c>
      <c r="V558" s="15" t="s">
        <v>30</v>
      </c>
      <c r="W558" s="15">
        <v>3</v>
      </c>
      <c r="X558" s="15" t="s">
        <v>85</v>
      </c>
      <c r="Y558" s="12">
        <f t="shared" si="22"/>
        <v>0.218</v>
      </c>
      <c r="Z558" s="15">
        <v>-8.4000000000000005E-2</v>
      </c>
    </row>
    <row r="559" spans="1:26" x14ac:dyDescent="0.2">
      <c r="A559" s="15" t="s">
        <v>77</v>
      </c>
      <c r="B559" s="15">
        <v>3377.25</v>
      </c>
      <c r="C559" s="15">
        <v>15.518000000000001</v>
      </c>
      <c r="D559" s="15">
        <v>22.103000000000002</v>
      </c>
      <c r="E559" s="15">
        <v>0.76100000000000001</v>
      </c>
      <c r="F559" s="15">
        <v>167.47900000000001</v>
      </c>
      <c r="G559" s="15">
        <v>2.802</v>
      </c>
      <c r="H559" s="15">
        <v>4.3</v>
      </c>
      <c r="I559" s="15">
        <v>2.972</v>
      </c>
      <c r="J559" s="15">
        <v>43.198999999999998</v>
      </c>
      <c r="K559" s="15">
        <v>46.954999999999998</v>
      </c>
      <c r="L559" s="15">
        <v>0</v>
      </c>
      <c r="M559" s="15">
        <v>0</v>
      </c>
      <c r="N559" s="15">
        <v>100</v>
      </c>
      <c r="O559" s="15">
        <v>1.2E-2</v>
      </c>
      <c r="P559" s="15">
        <v>9.7000000000000003E-2</v>
      </c>
      <c r="Q559" s="15">
        <v>0.19700000000000001</v>
      </c>
      <c r="R559" s="15">
        <v>0.88100000000000001</v>
      </c>
      <c r="S559" s="15">
        <v>0.41</v>
      </c>
      <c r="T559" s="15"/>
      <c r="U559" s="15" t="s">
        <v>22</v>
      </c>
      <c r="V559" s="15" t="s">
        <v>30</v>
      </c>
      <c r="W559" s="15">
        <v>3</v>
      </c>
      <c r="X559" s="15" t="s">
        <v>85</v>
      </c>
      <c r="Y559" s="12">
        <f t="shared" si="22"/>
        <v>0.20900000000000002</v>
      </c>
      <c r="Z559" s="15">
        <v>-8.5000000000000006E-2</v>
      </c>
    </row>
    <row r="560" spans="1:26" x14ac:dyDescent="0.2">
      <c r="A560" s="15" t="s">
        <v>77</v>
      </c>
      <c r="B560" s="15">
        <v>3377.375</v>
      </c>
      <c r="C560" s="15">
        <v>15.331</v>
      </c>
      <c r="D560" s="15">
        <v>22.131</v>
      </c>
      <c r="E560" s="15">
        <v>0.76900000000000002</v>
      </c>
      <c r="F560" s="15">
        <v>167.065</v>
      </c>
      <c r="G560" s="15">
        <v>2.8050000000000002</v>
      </c>
      <c r="H560" s="15">
        <v>4.2380000000000004</v>
      </c>
      <c r="I560" s="15">
        <v>2.9830000000000001</v>
      </c>
      <c r="J560" s="15">
        <v>42.274999999999999</v>
      </c>
      <c r="K560" s="15">
        <v>45.951000000000001</v>
      </c>
      <c r="L560" s="15">
        <v>0</v>
      </c>
      <c r="M560" s="15">
        <v>0</v>
      </c>
      <c r="N560" s="15">
        <v>100</v>
      </c>
      <c r="O560" s="15">
        <v>1.0999999999999999E-2</v>
      </c>
      <c r="P560" s="15">
        <v>9.2999999999999999E-2</v>
      </c>
      <c r="Q560" s="15">
        <v>0.189</v>
      </c>
      <c r="R560" s="15">
        <v>0.89100000000000001</v>
      </c>
      <c r="S560" s="15">
        <v>0.39600000000000002</v>
      </c>
      <c r="T560" s="15"/>
      <c r="U560" s="15" t="s">
        <v>22</v>
      </c>
      <c r="V560" s="15" t="s">
        <v>30</v>
      </c>
      <c r="W560" s="15">
        <v>3</v>
      </c>
      <c r="X560" s="15" t="s">
        <v>85</v>
      </c>
      <c r="Y560" s="12">
        <f t="shared" si="22"/>
        <v>0.2</v>
      </c>
      <c r="Z560" s="15">
        <v>-8.2000000000000003E-2</v>
      </c>
    </row>
    <row r="561" spans="1:26" x14ac:dyDescent="0.2">
      <c r="A561" s="15" t="s">
        <v>77</v>
      </c>
      <c r="B561" s="15">
        <v>3377.5</v>
      </c>
      <c r="C561" s="15">
        <v>14.827999999999999</v>
      </c>
      <c r="D561" s="15">
        <v>22.213999999999999</v>
      </c>
      <c r="E561" s="15">
        <v>0.76900000000000002</v>
      </c>
      <c r="F561" s="15">
        <v>166.63</v>
      </c>
      <c r="G561" s="15">
        <v>2.8090000000000002</v>
      </c>
      <c r="H561" s="15">
        <v>4.1139999999999999</v>
      </c>
      <c r="I561" s="15">
        <v>2.9980000000000002</v>
      </c>
      <c r="J561" s="15">
        <v>41.304000000000002</v>
      </c>
      <c r="K561" s="15">
        <v>44.896000000000001</v>
      </c>
      <c r="L561" s="15">
        <v>0</v>
      </c>
      <c r="M561" s="15">
        <v>0</v>
      </c>
      <c r="N561" s="15">
        <v>100</v>
      </c>
      <c r="O561" s="15">
        <v>7.0000000000000001E-3</v>
      </c>
      <c r="P561" s="15">
        <v>8.7999999999999995E-2</v>
      </c>
      <c r="Q561" s="15">
        <v>0.18</v>
      </c>
      <c r="R561" s="15">
        <v>0.90500000000000003</v>
      </c>
      <c r="S561" s="15">
        <v>0.37</v>
      </c>
      <c r="T561" s="15"/>
      <c r="U561" s="15" t="s">
        <v>22</v>
      </c>
      <c r="V561" s="15" t="s">
        <v>30</v>
      </c>
      <c r="W561" s="15">
        <v>3</v>
      </c>
      <c r="X561" s="15" t="s">
        <v>85</v>
      </c>
      <c r="Y561" s="12">
        <f t="shared" si="22"/>
        <v>0.187</v>
      </c>
      <c r="Z561" s="15">
        <v>-8.0999999999999989E-2</v>
      </c>
    </row>
    <row r="562" spans="1:26" x14ac:dyDescent="0.2">
      <c r="A562" s="15" t="s">
        <v>77</v>
      </c>
      <c r="B562" s="15">
        <v>3377.625</v>
      </c>
      <c r="C562" s="15">
        <v>13.87</v>
      </c>
      <c r="D562" s="15">
        <v>22.36</v>
      </c>
      <c r="E562" s="15">
        <v>0.77100000000000002</v>
      </c>
      <c r="F562" s="15">
        <v>166.27</v>
      </c>
      <c r="G562" s="15">
        <v>2.8130000000000002</v>
      </c>
      <c r="H562" s="15">
        <v>3.9289999999999998</v>
      </c>
      <c r="I562" s="15">
        <v>3.0169999999999999</v>
      </c>
      <c r="J562" s="15">
        <v>41.128</v>
      </c>
      <c r="K562" s="15">
        <v>44.704999999999998</v>
      </c>
      <c r="L562" s="15">
        <v>0</v>
      </c>
      <c r="M562" s="15">
        <v>0</v>
      </c>
      <c r="N562" s="15">
        <v>100</v>
      </c>
      <c r="O562" s="15">
        <v>1E-3</v>
      </c>
      <c r="P562" s="15">
        <v>8.7999999999999995E-2</v>
      </c>
      <c r="Q562" s="15">
        <v>0.17199999999999999</v>
      </c>
      <c r="R562" s="15">
        <v>0.91900000000000004</v>
      </c>
      <c r="S562" s="15">
        <v>0.33</v>
      </c>
      <c r="T562" s="15"/>
      <c r="U562" s="15" t="s">
        <v>22</v>
      </c>
      <c r="V562" s="15" t="s">
        <v>30</v>
      </c>
      <c r="W562" s="15">
        <v>3</v>
      </c>
      <c r="X562" s="15" t="s">
        <v>85</v>
      </c>
      <c r="Y562" s="12">
        <f t="shared" si="22"/>
        <v>0.17299999999999999</v>
      </c>
      <c r="Z562" s="15">
        <v>-8.6999999999999994E-2</v>
      </c>
    </row>
    <row r="563" spans="1:26" x14ac:dyDescent="0.2">
      <c r="A563" s="15" t="s">
        <v>77</v>
      </c>
      <c r="B563" s="15">
        <v>3377.75</v>
      </c>
      <c r="C563" s="15">
        <v>14.032</v>
      </c>
      <c r="D563" s="15">
        <v>22.408000000000001</v>
      </c>
      <c r="E563" s="15">
        <v>0.73099999999999998</v>
      </c>
      <c r="F563" s="15">
        <v>166.077</v>
      </c>
      <c r="G563" s="15">
        <v>2.8170000000000002</v>
      </c>
      <c r="H563" s="15">
        <v>3.726</v>
      </c>
      <c r="I563" s="15">
        <v>3.0379999999999998</v>
      </c>
      <c r="J563" s="15">
        <v>41.652999999999999</v>
      </c>
      <c r="K563" s="15">
        <v>45.274999999999999</v>
      </c>
      <c r="L563" s="15">
        <v>0</v>
      </c>
      <c r="M563" s="15">
        <v>0</v>
      </c>
      <c r="N563" s="15">
        <v>100</v>
      </c>
      <c r="O563" s="15">
        <v>2E-3</v>
      </c>
      <c r="P563" s="15">
        <v>0.09</v>
      </c>
      <c r="Q563" s="15">
        <v>0.16800000000000001</v>
      </c>
      <c r="R563" s="15">
        <v>0.93200000000000005</v>
      </c>
      <c r="S563" s="15">
        <v>0.28799999999999998</v>
      </c>
      <c r="T563" s="15"/>
      <c r="U563" s="15" t="s">
        <v>22</v>
      </c>
      <c r="V563" s="15" t="s">
        <v>30</v>
      </c>
      <c r="W563" s="15">
        <v>3</v>
      </c>
      <c r="X563" s="15" t="s">
        <v>85</v>
      </c>
      <c r="Y563" s="12">
        <f t="shared" si="22"/>
        <v>0.17</v>
      </c>
      <c r="Z563" s="15">
        <v>-8.7999999999999995E-2</v>
      </c>
    </row>
    <row r="564" spans="1:26" x14ac:dyDescent="0.2">
      <c r="A564" s="15" t="s">
        <v>77</v>
      </c>
      <c r="B564" s="15">
        <v>3377.875</v>
      </c>
      <c r="C564" s="15">
        <v>16.242999999999999</v>
      </c>
      <c r="D564" s="15">
        <v>22.318999999999999</v>
      </c>
      <c r="E564" s="15">
        <v>0.65</v>
      </c>
      <c r="F564" s="15">
        <v>165.577</v>
      </c>
      <c r="G564" s="15">
        <v>2.8210000000000002</v>
      </c>
      <c r="H564" s="15">
        <v>3.5710000000000002</v>
      </c>
      <c r="I564" s="15">
        <v>3.06</v>
      </c>
      <c r="J564" s="15">
        <v>42.908000000000001</v>
      </c>
      <c r="K564" s="15">
        <v>46.639000000000003</v>
      </c>
      <c r="L564" s="15">
        <v>0</v>
      </c>
      <c r="M564" s="15">
        <v>0</v>
      </c>
      <c r="N564" s="15">
        <v>100</v>
      </c>
      <c r="O564" s="15">
        <v>1.7999999999999999E-2</v>
      </c>
      <c r="P564" s="15">
        <v>9.6000000000000002E-2</v>
      </c>
      <c r="Q564" s="15">
        <v>0.157</v>
      </c>
      <c r="R564" s="15">
        <v>0.94599999999999995</v>
      </c>
      <c r="S564" s="15">
        <v>0.25600000000000001</v>
      </c>
      <c r="T564" s="15"/>
      <c r="U564" s="15" t="s">
        <v>22</v>
      </c>
      <c r="V564" s="15" t="s">
        <v>30</v>
      </c>
      <c r="W564" s="15">
        <v>3</v>
      </c>
      <c r="X564" s="15" t="s">
        <v>85</v>
      </c>
      <c r="Y564" s="12">
        <f t="shared" si="22"/>
        <v>0.17499999999999999</v>
      </c>
      <c r="Z564" s="15">
        <v>-7.8E-2</v>
      </c>
    </row>
    <row r="565" spans="1:26" x14ac:dyDescent="0.2">
      <c r="A565" s="15" t="s">
        <v>77</v>
      </c>
      <c r="B565" s="15">
        <v>3378</v>
      </c>
      <c r="C565" s="15">
        <v>17.545000000000002</v>
      </c>
      <c r="D565" s="15">
        <v>22.213999999999999</v>
      </c>
      <c r="E565" s="15">
        <v>0.63100000000000001</v>
      </c>
      <c r="F565" s="15">
        <v>165.036</v>
      </c>
      <c r="G565" s="15">
        <v>2.8250000000000002</v>
      </c>
      <c r="H565" s="15">
        <v>3.4569999999999999</v>
      </c>
      <c r="I565" s="15">
        <v>3.0830000000000002</v>
      </c>
      <c r="J565" s="15">
        <v>45.024000000000001</v>
      </c>
      <c r="K565" s="15">
        <v>48.939</v>
      </c>
      <c r="L565" s="15">
        <v>0</v>
      </c>
      <c r="M565" s="15">
        <v>0</v>
      </c>
      <c r="N565" s="15">
        <v>100</v>
      </c>
      <c r="O565" s="15">
        <v>2.5999999999999999E-2</v>
      </c>
      <c r="P565" s="15">
        <v>0.105</v>
      </c>
      <c r="Q565" s="15">
        <v>0.14599999999999999</v>
      </c>
      <c r="R565" s="15">
        <v>0.95899999999999996</v>
      </c>
      <c r="S565" s="15">
        <v>0.23100000000000001</v>
      </c>
      <c r="T565" s="15"/>
      <c r="U565" s="15" t="s">
        <v>22</v>
      </c>
      <c r="V565" s="15" t="s">
        <v>30</v>
      </c>
      <c r="W565" s="15">
        <v>3</v>
      </c>
      <c r="X565" s="15" t="s">
        <v>85</v>
      </c>
      <c r="Y565" s="12">
        <f t="shared" si="22"/>
        <v>0.17199999999999999</v>
      </c>
      <c r="Z565" s="15">
        <v>-7.9000000000000001E-2</v>
      </c>
    </row>
    <row r="566" spans="1:26" x14ac:dyDescent="0.2">
      <c r="A566" s="15" t="s">
        <v>77</v>
      </c>
      <c r="B566" s="15">
        <v>3378.125</v>
      </c>
      <c r="C566" s="15">
        <v>16.047000000000001</v>
      </c>
      <c r="D566" s="15">
        <v>22.187999999999999</v>
      </c>
      <c r="E566" s="15">
        <v>0.73</v>
      </c>
      <c r="F566" s="15">
        <v>164.43100000000001</v>
      </c>
      <c r="G566" s="15">
        <v>2.8279999999999998</v>
      </c>
      <c r="H566" s="15">
        <v>3.2989999999999999</v>
      </c>
      <c r="I566" s="15">
        <v>3.1080000000000001</v>
      </c>
      <c r="J566" s="15">
        <v>50.99</v>
      </c>
      <c r="K566" s="15">
        <v>55.423999999999999</v>
      </c>
      <c r="L566" s="15">
        <v>0</v>
      </c>
      <c r="M566" s="15">
        <v>0</v>
      </c>
      <c r="N566" s="15">
        <v>100</v>
      </c>
      <c r="O566" s="15">
        <v>1.6E-2</v>
      </c>
      <c r="P566" s="15">
        <v>0.128</v>
      </c>
      <c r="Q566" s="15">
        <v>0.13300000000000001</v>
      </c>
      <c r="R566" s="15">
        <v>0.97</v>
      </c>
      <c r="S566" s="15">
        <v>0.19800000000000001</v>
      </c>
      <c r="T566" s="15"/>
      <c r="U566" s="15" t="s">
        <v>22</v>
      </c>
      <c r="V566" s="15" t="s">
        <v>30</v>
      </c>
      <c r="W566" s="15">
        <v>3</v>
      </c>
      <c r="X566" s="15" t="s">
        <v>85</v>
      </c>
      <c r="Y566" s="12">
        <f t="shared" si="22"/>
        <v>0.14900000000000002</v>
      </c>
      <c r="Z566" s="15">
        <v>-0.112</v>
      </c>
    </row>
    <row r="567" spans="1:26" x14ac:dyDescent="0.2">
      <c r="A567" s="15" t="s">
        <v>77</v>
      </c>
      <c r="B567" s="15">
        <v>3378.25</v>
      </c>
      <c r="C567" s="15">
        <v>14.478</v>
      </c>
      <c r="D567" s="15">
        <v>22.181000000000001</v>
      </c>
      <c r="E567" s="15">
        <v>0.80100000000000005</v>
      </c>
      <c r="F567" s="15">
        <v>163.76400000000001</v>
      </c>
      <c r="G567" s="15">
        <v>2.831</v>
      </c>
      <c r="H567" s="15">
        <v>3.129</v>
      </c>
      <c r="I567" s="15">
        <v>3.1320000000000001</v>
      </c>
      <c r="J567" s="15">
        <v>54.698999999999998</v>
      </c>
      <c r="K567" s="15">
        <v>59.454999999999998</v>
      </c>
      <c r="L567" s="15">
        <v>0</v>
      </c>
      <c r="M567" s="15">
        <v>0</v>
      </c>
      <c r="N567" s="15">
        <v>100</v>
      </c>
      <c r="O567" s="15">
        <v>5.0000000000000001E-3</v>
      </c>
      <c r="P567" s="15">
        <v>0.14000000000000001</v>
      </c>
      <c r="Q567" s="15">
        <v>0.11899999999999999</v>
      </c>
      <c r="R567" s="15">
        <v>0.98</v>
      </c>
      <c r="S567" s="15">
        <v>0.16200000000000001</v>
      </c>
      <c r="T567" s="15"/>
      <c r="U567" s="15" t="s">
        <v>22</v>
      </c>
      <c r="V567" s="15" t="s">
        <v>30</v>
      </c>
      <c r="W567" s="15">
        <v>3</v>
      </c>
      <c r="X567" s="15" t="s">
        <v>85</v>
      </c>
      <c r="Y567" s="12">
        <f t="shared" si="22"/>
        <v>0.124</v>
      </c>
      <c r="Z567" s="15">
        <v>-0.13500000000000001</v>
      </c>
    </row>
    <row r="568" spans="1:26" x14ac:dyDescent="0.2">
      <c r="A568" s="15" t="s">
        <v>77</v>
      </c>
      <c r="B568" s="15">
        <v>3378.375</v>
      </c>
      <c r="C568" s="15">
        <v>14.832000000000001</v>
      </c>
      <c r="D568" s="15">
        <v>22.146999999999998</v>
      </c>
      <c r="E568" s="15">
        <v>0.879</v>
      </c>
      <c r="F568" s="15">
        <v>163.05199999999999</v>
      </c>
      <c r="G568" s="15">
        <v>2.8330000000000002</v>
      </c>
      <c r="H568" s="15">
        <v>3.0169999999999999</v>
      </c>
      <c r="I568" s="15">
        <v>3.157</v>
      </c>
      <c r="J568" s="15">
        <v>58.838999999999999</v>
      </c>
      <c r="K568" s="15">
        <v>63.956000000000003</v>
      </c>
      <c r="L568" s="15">
        <v>0</v>
      </c>
      <c r="M568" s="15">
        <v>0</v>
      </c>
      <c r="N568" s="15">
        <v>100</v>
      </c>
      <c r="O568" s="15">
        <v>8.0000000000000002E-3</v>
      </c>
      <c r="P568" s="15">
        <v>0.154</v>
      </c>
      <c r="Q568" s="15">
        <v>0.104</v>
      </c>
      <c r="R568" s="15">
        <v>0.98699999999999999</v>
      </c>
      <c r="S568" s="15">
        <v>0.13900000000000001</v>
      </c>
      <c r="T568" s="15"/>
      <c r="U568" s="15" t="s">
        <v>22</v>
      </c>
      <c r="V568" s="15" t="s">
        <v>30</v>
      </c>
      <c r="W568" s="15">
        <v>3</v>
      </c>
      <c r="X568" s="15" t="s">
        <v>85</v>
      </c>
      <c r="Y568" s="12">
        <f t="shared" si="22"/>
        <v>0.11199999999999999</v>
      </c>
      <c r="Z568" s="15">
        <v>-0.14599999999999999</v>
      </c>
    </row>
    <row r="569" spans="1:26" x14ac:dyDescent="0.2">
      <c r="A569" s="15" t="s">
        <v>77</v>
      </c>
      <c r="B569" s="15">
        <v>3378.5</v>
      </c>
      <c r="C569" s="15">
        <v>16.238</v>
      </c>
      <c r="D569" s="15">
        <v>22.100999999999999</v>
      </c>
      <c r="E569" s="15">
        <v>0.97399999999999998</v>
      </c>
      <c r="F569" s="15">
        <v>162.352</v>
      </c>
      <c r="G569" s="15">
        <v>2.835</v>
      </c>
      <c r="H569" s="15">
        <v>2.8879999999999999</v>
      </c>
      <c r="I569" s="15">
        <v>3.1819999999999999</v>
      </c>
      <c r="J569" s="15">
        <v>61.9</v>
      </c>
      <c r="K569" s="15">
        <v>67.283000000000001</v>
      </c>
      <c r="L569" s="15">
        <v>0</v>
      </c>
      <c r="M569" s="15">
        <v>0</v>
      </c>
      <c r="N569" s="15">
        <v>100</v>
      </c>
      <c r="O569" s="15">
        <v>1.7999999999999999E-2</v>
      </c>
      <c r="P569" s="15">
        <v>0.16300000000000001</v>
      </c>
      <c r="Q569" s="15">
        <v>8.8999999999999996E-2</v>
      </c>
      <c r="R569" s="15">
        <v>0.99299999999999999</v>
      </c>
      <c r="S569" s="15">
        <v>0.112</v>
      </c>
      <c r="T569" s="15"/>
      <c r="U569" s="15" t="s">
        <v>22</v>
      </c>
      <c r="V569" s="15" t="s">
        <v>30</v>
      </c>
      <c r="W569" s="15">
        <v>3</v>
      </c>
      <c r="X569" s="15" t="s">
        <v>85</v>
      </c>
      <c r="Y569" s="12">
        <f t="shared" si="22"/>
        <v>0.107</v>
      </c>
      <c r="Z569" s="15">
        <v>-0.14500000000000002</v>
      </c>
    </row>
    <row r="570" spans="1:26" x14ac:dyDescent="0.2">
      <c r="A570" s="15" t="s">
        <v>77</v>
      </c>
      <c r="B570" s="15">
        <v>3378.625</v>
      </c>
      <c r="C570" s="15">
        <v>17.483000000000001</v>
      </c>
      <c r="D570" s="15">
        <v>22.082000000000001</v>
      </c>
      <c r="E570" s="15">
        <v>1.042</v>
      </c>
      <c r="F570" s="15">
        <v>161.767</v>
      </c>
      <c r="G570" s="15">
        <v>2.8359999999999999</v>
      </c>
      <c r="H570" s="15">
        <v>2.8759999999999999</v>
      </c>
      <c r="I570" s="15">
        <v>3.2080000000000002</v>
      </c>
      <c r="J570" s="15">
        <v>63.036999999999999</v>
      </c>
      <c r="K570" s="15">
        <v>68.519000000000005</v>
      </c>
      <c r="L570" s="15">
        <v>0</v>
      </c>
      <c r="M570" s="15">
        <v>0</v>
      </c>
      <c r="N570" s="15">
        <v>100</v>
      </c>
      <c r="O570" s="15">
        <v>2.5999999999999999E-2</v>
      </c>
      <c r="P570" s="15">
        <v>0.16600000000000001</v>
      </c>
      <c r="Q570" s="15">
        <v>7.6999999999999999E-2</v>
      </c>
      <c r="R570" s="15">
        <v>0.997</v>
      </c>
      <c r="S570" s="15">
        <v>0.11</v>
      </c>
      <c r="T570" s="15"/>
      <c r="U570" s="15" t="s">
        <v>22</v>
      </c>
      <c r="V570" s="15" t="s">
        <v>30</v>
      </c>
      <c r="W570" s="15">
        <v>3</v>
      </c>
      <c r="X570" s="15" t="s">
        <v>85</v>
      </c>
      <c r="Y570" s="12">
        <f t="shared" si="22"/>
        <v>0.10299999999999999</v>
      </c>
      <c r="Z570" s="15">
        <v>-0.14000000000000001</v>
      </c>
    </row>
    <row r="571" spans="1:26" x14ac:dyDescent="0.2">
      <c r="A571" s="15" t="s">
        <v>77</v>
      </c>
      <c r="B571" s="15">
        <v>3378.75</v>
      </c>
      <c r="C571" s="15">
        <v>17.975000000000001</v>
      </c>
      <c r="D571" s="15">
        <v>22.085999999999999</v>
      </c>
      <c r="E571" s="15">
        <v>1.105</v>
      </c>
      <c r="F571" s="15">
        <v>161.34200000000001</v>
      </c>
      <c r="G571" s="15">
        <v>2.8370000000000002</v>
      </c>
      <c r="H571" s="15">
        <v>2.83</v>
      </c>
      <c r="I571" s="15">
        <v>3.2349999999999999</v>
      </c>
      <c r="J571" s="15">
        <v>64.298000000000002</v>
      </c>
      <c r="K571" s="15">
        <v>69.888999999999996</v>
      </c>
      <c r="L571" s="15">
        <v>0</v>
      </c>
      <c r="M571" s="15">
        <v>0</v>
      </c>
      <c r="N571" s="15">
        <v>100</v>
      </c>
      <c r="O571" s="15">
        <v>0.03</v>
      </c>
      <c r="P571" s="15">
        <v>0.17</v>
      </c>
      <c r="Q571" s="15">
        <v>6.8000000000000005E-2</v>
      </c>
      <c r="R571" s="15">
        <v>1</v>
      </c>
      <c r="S571" s="15">
        <v>0.1</v>
      </c>
      <c r="T571" s="15"/>
      <c r="U571" s="15" t="s">
        <v>22</v>
      </c>
      <c r="V571" s="15" t="s">
        <v>30</v>
      </c>
      <c r="W571" s="15">
        <v>3</v>
      </c>
      <c r="X571" s="15" t="s">
        <v>85</v>
      </c>
      <c r="Y571" s="12">
        <f t="shared" si="22"/>
        <v>9.8000000000000004E-2</v>
      </c>
      <c r="Z571" s="15">
        <v>-0.14000000000000001</v>
      </c>
    </row>
    <row r="572" spans="1:26" x14ac:dyDescent="0.2">
      <c r="A572" s="15" t="s">
        <v>77</v>
      </c>
      <c r="B572" s="15">
        <v>3378.875</v>
      </c>
      <c r="C572" s="15">
        <v>18.472000000000001</v>
      </c>
      <c r="D572" s="15">
        <v>22.114999999999998</v>
      </c>
      <c r="E572" s="15">
        <v>1.115</v>
      </c>
      <c r="F572" s="15">
        <v>161.07300000000001</v>
      </c>
      <c r="G572" s="15">
        <v>2.8370000000000002</v>
      </c>
      <c r="H572" s="15">
        <v>2.798</v>
      </c>
      <c r="I572" s="15">
        <v>3.262</v>
      </c>
      <c r="J572" s="15">
        <v>65.567999999999998</v>
      </c>
      <c r="K572" s="15">
        <v>71.269000000000005</v>
      </c>
      <c r="L572" s="15">
        <v>0</v>
      </c>
      <c r="M572" s="15">
        <v>0</v>
      </c>
      <c r="N572" s="15">
        <v>100</v>
      </c>
      <c r="O572" s="15">
        <v>3.3000000000000002E-2</v>
      </c>
      <c r="P572" s="15">
        <v>0.17299999999999999</v>
      </c>
      <c r="Q572" s="15">
        <v>6.3E-2</v>
      </c>
      <c r="R572" s="15">
        <v>1</v>
      </c>
      <c r="S572" s="15">
        <v>9.2999999999999999E-2</v>
      </c>
      <c r="T572" s="15"/>
      <c r="U572" s="15" t="s">
        <v>22</v>
      </c>
      <c r="V572" s="15" t="s">
        <v>30</v>
      </c>
      <c r="W572" s="15">
        <v>3</v>
      </c>
      <c r="X572" s="15" t="s">
        <v>85</v>
      </c>
      <c r="Y572" s="12">
        <f t="shared" si="22"/>
        <v>9.6000000000000002E-2</v>
      </c>
      <c r="Z572" s="15">
        <v>-0.13999999999999999</v>
      </c>
    </row>
    <row r="573" spans="1:26" x14ac:dyDescent="0.2">
      <c r="A573" s="15" t="s">
        <v>77</v>
      </c>
      <c r="B573" s="15">
        <v>3379</v>
      </c>
      <c r="C573" s="15">
        <v>19.314</v>
      </c>
      <c r="D573" s="15">
        <v>22.137</v>
      </c>
      <c r="E573" s="15">
        <v>1.089</v>
      </c>
      <c r="F573" s="15">
        <v>160.88499999999999</v>
      </c>
      <c r="G573" s="15">
        <v>2.835</v>
      </c>
      <c r="H573" s="15">
        <v>2.76</v>
      </c>
      <c r="I573" s="15">
        <v>3.29</v>
      </c>
      <c r="J573" s="15">
        <v>66.641999999999996</v>
      </c>
      <c r="K573" s="15">
        <v>72.436999999999998</v>
      </c>
      <c r="L573" s="15">
        <v>0</v>
      </c>
      <c r="M573" s="15">
        <v>0</v>
      </c>
      <c r="N573" s="15">
        <v>100</v>
      </c>
      <c r="O573" s="15">
        <v>3.9E-2</v>
      </c>
      <c r="P573" s="15">
        <v>0.17599999999999999</v>
      </c>
      <c r="Q573" s="15">
        <v>5.8999999999999997E-2</v>
      </c>
      <c r="R573" s="15">
        <v>0.99299999999999999</v>
      </c>
      <c r="S573" s="15">
        <v>8.5000000000000006E-2</v>
      </c>
      <c r="T573" s="15"/>
      <c r="U573" s="15" t="s">
        <v>22</v>
      </c>
      <c r="V573" s="15" t="s">
        <v>30</v>
      </c>
      <c r="W573" s="15">
        <v>3</v>
      </c>
      <c r="X573" s="15" t="s">
        <v>85</v>
      </c>
      <c r="Y573" s="12">
        <f t="shared" si="22"/>
        <v>9.8000000000000004E-2</v>
      </c>
      <c r="Z573" s="15">
        <v>-0.13699999999999998</v>
      </c>
    </row>
    <row r="574" spans="1:26" x14ac:dyDescent="0.2">
      <c r="A574" s="15" t="s">
        <v>77</v>
      </c>
      <c r="B574" s="15">
        <v>3379.125</v>
      </c>
      <c r="C574" s="15">
        <v>18.713999999999999</v>
      </c>
      <c r="D574" s="15">
        <v>22.152999999999999</v>
      </c>
      <c r="E574" s="15">
        <v>1.153</v>
      </c>
      <c r="F574" s="15">
        <v>160.63999999999999</v>
      </c>
      <c r="G574" s="15">
        <v>2.8340000000000001</v>
      </c>
      <c r="H574" s="15">
        <v>2.6930000000000001</v>
      </c>
      <c r="I574" s="15">
        <v>3.3220000000000001</v>
      </c>
      <c r="J574" s="15">
        <v>68.786000000000001</v>
      </c>
      <c r="K574" s="15">
        <v>74.766999999999996</v>
      </c>
      <c r="L574" s="15">
        <v>0</v>
      </c>
      <c r="M574" s="15">
        <v>0</v>
      </c>
      <c r="N574" s="15">
        <v>100</v>
      </c>
      <c r="O574" s="15">
        <v>3.5000000000000003E-2</v>
      </c>
      <c r="P574" s="15">
        <v>0.182</v>
      </c>
      <c r="Q574" s="15">
        <v>5.3999999999999999E-2</v>
      </c>
      <c r="R574" s="15">
        <v>0.98899999999999999</v>
      </c>
      <c r="S574" s="15">
        <v>7.0999999999999994E-2</v>
      </c>
      <c r="T574" s="15"/>
      <c r="U574" s="15" t="s">
        <v>22</v>
      </c>
      <c r="V574" s="15" t="s">
        <v>30</v>
      </c>
      <c r="W574" s="15">
        <v>3</v>
      </c>
      <c r="X574" s="15" t="s">
        <v>85</v>
      </c>
      <c r="Y574" s="12">
        <f t="shared" si="22"/>
        <v>8.8999999999999996E-2</v>
      </c>
      <c r="Z574" s="15">
        <v>-0.14699999999999999</v>
      </c>
    </row>
    <row r="575" spans="1:26" x14ac:dyDescent="0.2">
      <c r="A575" s="15" t="s">
        <v>77</v>
      </c>
      <c r="B575" s="15">
        <v>3379.25</v>
      </c>
      <c r="C575" s="15">
        <v>17.981999999999999</v>
      </c>
      <c r="D575" s="15">
        <v>22.161999999999999</v>
      </c>
      <c r="E575" s="15">
        <v>1.256</v>
      </c>
      <c r="F575" s="15">
        <v>160.27699999999999</v>
      </c>
      <c r="G575" s="15">
        <v>2.831</v>
      </c>
      <c r="H575" s="15">
        <v>2.6040000000000001</v>
      </c>
      <c r="I575" s="15">
        <v>3.347</v>
      </c>
      <c r="J575" s="15">
        <v>71.391000000000005</v>
      </c>
      <c r="K575" s="15">
        <v>77.599000000000004</v>
      </c>
      <c r="L575" s="15">
        <v>0</v>
      </c>
      <c r="M575" s="15">
        <v>0</v>
      </c>
      <c r="N575" s="15">
        <v>100</v>
      </c>
      <c r="O575" s="15">
        <v>0.03</v>
      </c>
      <c r="P575" s="15">
        <v>0.189</v>
      </c>
      <c r="Q575" s="15">
        <v>4.5999999999999999E-2</v>
      </c>
      <c r="R575" s="15">
        <v>0.97899999999999998</v>
      </c>
      <c r="S575" s="15">
        <v>5.1999999999999998E-2</v>
      </c>
      <c r="T575" s="15"/>
      <c r="U575" s="15" t="s">
        <v>22</v>
      </c>
      <c r="V575" s="15" t="s">
        <v>30</v>
      </c>
      <c r="W575" s="15">
        <v>3</v>
      </c>
      <c r="X575" s="15" t="s">
        <v>85</v>
      </c>
      <c r="Y575" s="12">
        <f t="shared" si="22"/>
        <v>7.5999999999999998E-2</v>
      </c>
      <c r="Z575" s="15">
        <v>-0.159</v>
      </c>
    </row>
    <row r="576" spans="1:26" x14ac:dyDescent="0.2">
      <c r="A576" s="15" t="s">
        <v>77</v>
      </c>
      <c r="B576" s="15">
        <v>3379.375</v>
      </c>
      <c r="C576" s="15">
        <v>17.882000000000001</v>
      </c>
      <c r="D576" s="15">
        <v>22.161999999999999</v>
      </c>
      <c r="E576" s="15">
        <v>1.3</v>
      </c>
      <c r="F576" s="15">
        <v>159.84700000000001</v>
      </c>
      <c r="G576" s="15">
        <v>2.8279999999999998</v>
      </c>
      <c r="H576" s="15">
        <v>2.4969999999999999</v>
      </c>
      <c r="I576" s="15">
        <v>3.3620000000000001</v>
      </c>
      <c r="J576" s="15">
        <v>77.724999999999994</v>
      </c>
      <c r="K576" s="15">
        <v>84.483000000000004</v>
      </c>
      <c r="L576" s="15">
        <v>0</v>
      </c>
      <c r="M576" s="15">
        <v>0</v>
      </c>
      <c r="N576" s="15">
        <v>100</v>
      </c>
      <c r="O576" s="15">
        <v>2.9000000000000001E-2</v>
      </c>
      <c r="P576" s="15">
        <v>0.20599999999999999</v>
      </c>
      <c r="Q576" s="15">
        <v>3.6999999999999998E-2</v>
      </c>
      <c r="R576" s="15">
        <v>0.96899999999999997</v>
      </c>
      <c r="S576" s="15">
        <v>2.9000000000000001E-2</v>
      </c>
      <c r="T576" s="15"/>
      <c r="U576" s="15" t="s">
        <v>22</v>
      </c>
      <c r="V576" s="15" t="s">
        <v>30</v>
      </c>
      <c r="W576" s="15">
        <v>3</v>
      </c>
      <c r="X576" s="15" t="s">
        <v>85</v>
      </c>
      <c r="Y576" s="12">
        <f t="shared" si="22"/>
        <v>6.6000000000000003E-2</v>
      </c>
      <c r="Z576" s="15">
        <v>-0.17699999999999999</v>
      </c>
    </row>
    <row r="577" spans="1:26" x14ac:dyDescent="0.2">
      <c r="A577" s="15" t="s">
        <v>77</v>
      </c>
      <c r="B577" s="15">
        <v>3379.5</v>
      </c>
      <c r="C577" s="15">
        <v>18.614999999999998</v>
      </c>
      <c r="D577" s="15">
        <v>22.152999999999999</v>
      </c>
      <c r="E577" s="15">
        <v>1.296</v>
      </c>
      <c r="F577" s="15">
        <v>159.53800000000001</v>
      </c>
      <c r="G577" s="15">
        <v>2.8250000000000002</v>
      </c>
      <c r="H577" s="15">
        <v>2.3919999999999999</v>
      </c>
      <c r="I577" s="15">
        <v>3.3769999999999998</v>
      </c>
      <c r="J577" s="15">
        <v>92.709000000000003</v>
      </c>
      <c r="K577" s="15">
        <v>100.77</v>
      </c>
      <c r="L577" s="15">
        <v>0</v>
      </c>
      <c r="M577" s="15">
        <v>0</v>
      </c>
      <c r="N577" s="15">
        <v>100</v>
      </c>
      <c r="O577" s="15">
        <v>3.5000000000000003E-2</v>
      </c>
      <c r="P577" s="15">
        <v>0.23799999999999999</v>
      </c>
      <c r="Q577" s="15">
        <v>3.1E-2</v>
      </c>
      <c r="R577" s="15">
        <v>0.95899999999999996</v>
      </c>
      <c r="S577" s="15">
        <v>8.0000000000000002E-3</v>
      </c>
      <c r="T577" s="15"/>
      <c r="U577" s="15" t="s">
        <v>22</v>
      </c>
      <c r="V577" s="15" t="s">
        <v>30</v>
      </c>
      <c r="W577" s="15">
        <v>3</v>
      </c>
      <c r="X577" s="15" t="s">
        <v>85</v>
      </c>
      <c r="Y577" s="12">
        <f t="shared" si="22"/>
        <v>6.6000000000000003E-2</v>
      </c>
      <c r="Z577" s="15">
        <v>-0.20299999999999999</v>
      </c>
    </row>
    <row r="578" spans="1:26" x14ac:dyDescent="0.2">
      <c r="A578" s="15" t="s">
        <v>77</v>
      </c>
      <c r="B578" s="15">
        <v>3379.625</v>
      </c>
      <c r="C578" s="15">
        <v>19.73</v>
      </c>
      <c r="D578" s="15">
        <v>22.137</v>
      </c>
      <c r="E578" s="15">
        <v>1.2829999999999999</v>
      </c>
      <c r="F578" s="15">
        <v>159.71299999999999</v>
      </c>
      <c r="G578" s="15">
        <v>2.82</v>
      </c>
      <c r="H578" s="15">
        <v>2.355</v>
      </c>
      <c r="I578" s="15">
        <v>3.3879999999999999</v>
      </c>
      <c r="J578" s="15">
        <v>106.599</v>
      </c>
      <c r="K578" s="15">
        <v>115.86799999999999</v>
      </c>
      <c r="L578" s="15">
        <v>0</v>
      </c>
      <c r="M578" s="15">
        <v>0</v>
      </c>
      <c r="N578" s="15">
        <v>100</v>
      </c>
      <c r="O578" s="15">
        <v>4.2000000000000003E-2</v>
      </c>
      <c r="P578" s="15">
        <v>0.26400000000000001</v>
      </c>
      <c r="Q578" s="15">
        <v>3.5000000000000003E-2</v>
      </c>
      <c r="R578" s="15">
        <v>0.94099999999999995</v>
      </c>
      <c r="S578" s="15">
        <v>0</v>
      </c>
      <c r="T578" s="15"/>
      <c r="U578" s="15" t="s">
        <v>22</v>
      </c>
      <c r="V578" s="15" t="s">
        <v>30</v>
      </c>
      <c r="W578" s="15">
        <v>3</v>
      </c>
      <c r="X578" s="15" t="s">
        <v>85</v>
      </c>
      <c r="Y578" s="12">
        <f t="shared" si="22"/>
        <v>7.7000000000000013E-2</v>
      </c>
      <c r="Z578" s="15">
        <v>-0.222</v>
      </c>
    </row>
    <row r="579" spans="1:26" x14ac:dyDescent="0.2">
      <c r="A579" s="15" t="s">
        <v>77</v>
      </c>
      <c r="B579" s="15">
        <v>3379.75</v>
      </c>
      <c r="C579" s="15">
        <v>20.239000000000001</v>
      </c>
      <c r="D579" s="15">
        <v>22.12</v>
      </c>
      <c r="E579" s="15">
        <v>1.294</v>
      </c>
      <c r="F579" s="15">
        <v>160.46600000000001</v>
      </c>
      <c r="G579" s="15">
        <v>2.8149999999999999</v>
      </c>
      <c r="H579" s="15">
        <v>2.407</v>
      </c>
      <c r="I579" s="15">
        <v>3.3940000000000001</v>
      </c>
      <c r="J579" s="15">
        <v>125.833</v>
      </c>
      <c r="K579" s="15">
        <v>136.77500000000001</v>
      </c>
      <c r="L579" s="15">
        <v>0</v>
      </c>
      <c r="M579" s="15">
        <v>0</v>
      </c>
      <c r="N579" s="15">
        <v>100</v>
      </c>
      <c r="O579" s="15">
        <v>4.5999999999999999E-2</v>
      </c>
      <c r="P579" s="15">
        <v>0.29399999999999998</v>
      </c>
      <c r="Q579" s="15">
        <v>5.0999999999999997E-2</v>
      </c>
      <c r="R579" s="15">
        <v>0.92400000000000004</v>
      </c>
      <c r="S579" s="15">
        <v>1.2E-2</v>
      </c>
      <c r="T579" s="15"/>
      <c r="U579" s="15" t="s">
        <v>22</v>
      </c>
      <c r="V579" s="15" t="s">
        <v>30</v>
      </c>
      <c r="W579" s="15">
        <v>3</v>
      </c>
      <c r="X579" s="15" t="s">
        <v>85</v>
      </c>
      <c r="Y579" s="12">
        <f t="shared" ref="Y579:Y642" si="23">O579+Q579</f>
        <v>9.7000000000000003E-2</v>
      </c>
      <c r="Z579" s="15">
        <v>-0.248</v>
      </c>
    </row>
    <row r="580" spans="1:26" x14ac:dyDescent="0.2">
      <c r="A580" s="15" t="s">
        <v>77</v>
      </c>
      <c r="B580" s="15">
        <v>3379.875</v>
      </c>
      <c r="C580" s="15">
        <v>19.899999999999999</v>
      </c>
      <c r="D580" s="15">
        <v>22.126000000000001</v>
      </c>
      <c r="E580" s="15">
        <v>1.42</v>
      </c>
      <c r="F580" s="15">
        <v>161.732</v>
      </c>
      <c r="G580" s="15">
        <v>2.81</v>
      </c>
      <c r="H580" s="15">
        <v>2.5529999999999999</v>
      </c>
      <c r="I580" s="15">
        <v>3.3940000000000001</v>
      </c>
      <c r="J580" s="15">
        <v>154.398</v>
      </c>
      <c r="K580" s="15">
        <v>167.82400000000001</v>
      </c>
      <c r="L580" s="15">
        <v>0</v>
      </c>
      <c r="M580" s="15">
        <v>0</v>
      </c>
      <c r="N580" s="15">
        <v>100</v>
      </c>
      <c r="O580" s="15">
        <v>4.2999999999999997E-2</v>
      </c>
      <c r="P580" s="15">
        <v>0.33100000000000002</v>
      </c>
      <c r="Q580" s="15">
        <v>7.8E-2</v>
      </c>
      <c r="R580" s="15">
        <v>0.90700000000000003</v>
      </c>
      <c r="S580" s="15">
        <v>4.3999999999999997E-2</v>
      </c>
      <c r="T580" s="15"/>
      <c r="U580" s="15" t="s">
        <v>22</v>
      </c>
      <c r="V580" s="15" t="s">
        <v>30</v>
      </c>
      <c r="W580" s="15">
        <v>3</v>
      </c>
      <c r="X580" s="15" t="s">
        <v>85</v>
      </c>
      <c r="Y580" s="12">
        <f t="shared" si="23"/>
        <v>0.121</v>
      </c>
      <c r="Z580" s="15">
        <v>-0.28800000000000003</v>
      </c>
    </row>
    <row r="581" spans="1:26" x14ac:dyDescent="0.2">
      <c r="A581" s="15" t="s">
        <v>77</v>
      </c>
      <c r="B581" s="15">
        <v>3380</v>
      </c>
      <c r="C581" s="15">
        <v>19.254999999999999</v>
      </c>
      <c r="D581" s="15">
        <v>22.14</v>
      </c>
      <c r="E581" s="15">
        <v>1.575</v>
      </c>
      <c r="F581" s="15">
        <v>163.227</v>
      </c>
      <c r="G581" s="15">
        <v>2.8050000000000002</v>
      </c>
      <c r="H581" s="15">
        <v>2.8250000000000002</v>
      </c>
      <c r="I581" s="15">
        <v>3.3889999999999998</v>
      </c>
      <c r="J581" s="15">
        <v>175.59399999999999</v>
      </c>
      <c r="K581" s="15">
        <v>190.863</v>
      </c>
      <c r="L581" s="15">
        <v>0</v>
      </c>
      <c r="M581" s="15">
        <v>0</v>
      </c>
      <c r="N581" s="15">
        <v>100</v>
      </c>
      <c r="O581" s="15">
        <v>3.9E-2</v>
      </c>
      <c r="P581" s="15">
        <v>0.35499999999999998</v>
      </c>
      <c r="Q581" s="15">
        <v>0.109</v>
      </c>
      <c r="R581" s="15">
        <v>0.89</v>
      </c>
      <c r="S581" s="15">
        <v>0.10299999999999999</v>
      </c>
      <c r="T581" s="15"/>
      <c r="U581" s="15" t="s">
        <v>22</v>
      </c>
      <c r="V581" s="15" t="s">
        <v>30</v>
      </c>
      <c r="W581" s="15">
        <v>3</v>
      </c>
      <c r="X581" s="15" t="s">
        <v>85</v>
      </c>
      <c r="Y581" s="12">
        <f t="shared" si="23"/>
        <v>0.14799999999999999</v>
      </c>
      <c r="Z581" s="15">
        <v>-0.316</v>
      </c>
    </row>
    <row r="582" spans="1:26" x14ac:dyDescent="0.2">
      <c r="A582" s="15" t="s">
        <v>77</v>
      </c>
      <c r="B582" s="15">
        <v>3380.125</v>
      </c>
      <c r="C582" s="15">
        <v>19.533999999999999</v>
      </c>
      <c r="D582" s="15">
        <v>22.193000000000001</v>
      </c>
      <c r="E582" s="15">
        <v>1.51</v>
      </c>
      <c r="F582" s="15">
        <v>164.45699999999999</v>
      </c>
      <c r="G582" s="15">
        <v>2.7989999999999999</v>
      </c>
      <c r="H582" s="15">
        <v>3.3559999999999999</v>
      </c>
      <c r="I582" s="15">
        <v>3.3780000000000001</v>
      </c>
      <c r="J582" s="15">
        <v>203.53</v>
      </c>
      <c r="K582" s="15">
        <v>221.22900000000001</v>
      </c>
      <c r="L582" s="15">
        <v>0</v>
      </c>
      <c r="M582" s="15">
        <v>0</v>
      </c>
      <c r="N582" s="15">
        <v>100</v>
      </c>
      <c r="O582" s="15">
        <v>4.1000000000000002E-2</v>
      </c>
      <c r="P582" s="15">
        <v>0.38200000000000001</v>
      </c>
      <c r="Q582" s="15">
        <v>0.13500000000000001</v>
      </c>
      <c r="R582" s="15">
        <v>0.87</v>
      </c>
      <c r="S582" s="15">
        <v>0.216</v>
      </c>
      <c r="T582" s="15"/>
      <c r="U582" s="15" t="s">
        <v>22</v>
      </c>
      <c r="V582" s="15" t="s">
        <v>30</v>
      </c>
      <c r="W582" s="15">
        <v>3</v>
      </c>
      <c r="X582" s="15" t="s">
        <v>85</v>
      </c>
      <c r="Y582" s="12">
        <f t="shared" si="23"/>
        <v>0.17600000000000002</v>
      </c>
      <c r="Z582" s="15">
        <v>-0.34100000000000003</v>
      </c>
    </row>
    <row r="583" spans="1:26" x14ac:dyDescent="0.2">
      <c r="A583" s="15" t="s">
        <v>77</v>
      </c>
      <c r="B583" s="15">
        <v>3380.25</v>
      </c>
      <c r="C583" s="15">
        <v>20.373000000000001</v>
      </c>
      <c r="D583" s="15">
        <v>22.274000000000001</v>
      </c>
      <c r="E583" s="15">
        <v>1.3819999999999999</v>
      </c>
      <c r="F583" s="15">
        <v>165.136</v>
      </c>
      <c r="G583" s="15">
        <v>2.794</v>
      </c>
      <c r="H583" s="15">
        <v>4.1749999999999998</v>
      </c>
      <c r="I583" s="15">
        <v>3.3639999999999999</v>
      </c>
      <c r="J583" s="15">
        <v>229.601</v>
      </c>
      <c r="K583" s="15">
        <v>249.566</v>
      </c>
      <c r="L583" s="15">
        <v>0</v>
      </c>
      <c r="M583" s="15">
        <v>0</v>
      </c>
      <c r="N583" s="15">
        <v>100</v>
      </c>
      <c r="O583" s="15">
        <v>4.7E-2</v>
      </c>
      <c r="P583" s="15">
        <v>0.40400000000000003</v>
      </c>
      <c r="Q583" s="15">
        <v>0.14799999999999999</v>
      </c>
      <c r="R583" s="15">
        <v>0.85299999999999998</v>
      </c>
      <c r="S583" s="15">
        <v>0.39</v>
      </c>
      <c r="T583" s="15"/>
      <c r="U583" s="15" t="s">
        <v>22</v>
      </c>
      <c r="V583" s="15" t="s">
        <v>30</v>
      </c>
      <c r="W583" s="15">
        <v>3</v>
      </c>
      <c r="X583" s="15" t="s">
        <v>85</v>
      </c>
      <c r="Y583" s="12">
        <f t="shared" si="23"/>
        <v>0.19500000000000001</v>
      </c>
      <c r="Z583" s="15">
        <v>-0.35700000000000004</v>
      </c>
    </row>
    <row r="584" spans="1:26" x14ac:dyDescent="0.2">
      <c r="A584" s="15" t="s">
        <v>77</v>
      </c>
      <c r="B584" s="15">
        <v>3380.375</v>
      </c>
      <c r="C584" s="15">
        <v>22.146999999999998</v>
      </c>
      <c r="D584" s="15">
        <v>22.349</v>
      </c>
      <c r="E584" s="15">
        <v>1.29</v>
      </c>
      <c r="F584" s="15">
        <v>165.202</v>
      </c>
      <c r="G584" s="15">
        <v>2.79</v>
      </c>
      <c r="H584" s="15">
        <v>5.1890000000000001</v>
      </c>
      <c r="I584" s="15">
        <v>3.347</v>
      </c>
      <c r="J584" s="15">
        <v>235.22499999999999</v>
      </c>
      <c r="K584" s="15">
        <v>255.68</v>
      </c>
      <c r="L584" s="15">
        <v>0</v>
      </c>
      <c r="M584" s="15">
        <v>0</v>
      </c>
      <c r="N584" s="15">
        <v>100</v>
      </c>
      <c r="O584" s="15">
        <v>0.06</v>
      </c>
      <c r="P584" s="15">
        <v>0.40799999999999997</v>
      </c>
      <c r="Q584" s="15">
        <v>0.15</v>
      </c>
      <c r="R584" s="15">
        <v>0.83899999999999997</v>
      </c>
      <c r="S584" s="15">
        <v>0.60399999999999998</v>
      </c>
      <c r="T584" s="15"/>
      <c r="U584" s="15" t="s">
        <v>22</v>
      </c>
      <c r="V584" s="15" t="s">
        <v>30</v>
      </c>
      <c r="W584" s="15">
        <v>3</v>
      </c>
      <c r="X584" s="15" t="s">
        <v>85</v>
      </c>
      <c r="Y584" s="12">
        <f t="shared" si="23"/>
        <v>0.21</v>
      </c>
      <c r="Z584" s="15">
        <v>-0.34799999999999998</v>
      </c>
    </row>
    <row r="585" spans="1:26" x14ac:dyDescent="0.2">
      <c r="A585" s="15" t="s">
        <v>77</v>
      </c>
      <c r="B585" s="15">
        <v>3380.5</v>
      </c>
      <c r="C585" s="15">
        <v>23.491</v>
      </c>
      <c r="D585" s="15">
        <v>22.382000000000001</v>
      </c>
      <c r="E585" s="15">
        <v>1.272</v>
      </c>
      <c r="F585" s="15">
        <v>164.78899999999999</v>
      </c>
      <c r="G585" s="15">
        <v>2.7850000000000001</v>
      </c>
      <c r="H585" s="15">
        <v>6.1449999999999996</v>
      </c>
      <c r="I585" s="15">
        <v>3.327</v>
      </c>
      <c r="J585" s="15">
        <v>221.489</v>
      </c>
      <c r="K585" s="15">
        <v>240.749</v>
      </c>
      <c r="L585" s="15">
        <v>0</v>
      </c>
      <c r="M585" s="15">
        <v>0</v>
      </c>
      <c r="N585" s="15">
        <v>100</v>
      </c>
      <c r="O585" s="15">
        <v>6.9000000000000006E-2</v>
      </c>
      <c r="P585" s="15">
        <v>0.39700000000000002</v>
      </c>
      <c r="Q585" s="15">
        <v>0.14099999999999999</v>
      </c>
      <c r="R585" s="15">
        <v>0.82099999999999995</v>
      </c>
      <c r="S585" s="15">
        <v>0.80300000000000005</v>
      </c>
      <c r="T585" s="15"/>
      <c r="U585" s="15" t="s">
        <v>22</v>
      </c>
      <c r="V585" s="15" t="s">
        <v>30</v>
      </c>
      <c r="W585" s="15">
        <v>3</v>
      </c>
      <c r="X585" s="15" t="s">
        <v>85</v>
      </c>
      <c r="Y585" s="12">
        <f t="shared" si="23"/>
        <v>0.21</v>
      </c>
      <c r="Z585" s="15">
        <v>-0.32800000000000001</v>
      </c>
    </row>
    <row r="586" spans="1:26" x14ac:dyDescent="0.2">
      <c r="A586" s="15" t="s">
        <v>77</v>
      </c>
      <c r="B586" s="15">
        <v>3380.625</v>
      </c>
      <c r="C586" s="15">
        <v>23.173999999999999</v>
      </c>
      <c r="D586" s="15">
        <v>22.382000000000001</v>
      </c>
      <c r="E586" s="15">
        <v>1.4870000000000001</v>
      </c>
      <c r="F586" s="15">
        <v>164.166</v>
      </c>
      <c r="G586" s="15">
        <v>2.7749999999999999</v>
      </c>
      <c r="H586" s="15">
        <v>6.7060000000000004</v>
      </c>
      <c r="I586" s="15">
        <v>3.3050000000000002</v>
      </c>
      <c r="J586" s="15">
        <v>223.24700000000001</v>
      </c>
      <c r="K586" s="15">
        <v>242.66</v>
      </c>
      <c r="L586" s="15">
        <v>0</v>
      </c>
      <c r="M586" s="15">
        <v>0</v>
      </c>
      <c r="N586" s="15">
        <v>100</v>
      </c>
      <c r="O586" s="15">
        <v>6.7000000000000004E-2</v>
      </c>
      <c r="P586" s="15">
        <v>0.39800000000000002</v>
      </c>
      <c r="Q586" s="15">
        <v>0.128</v>
      </c>
      <c r="R586" s="15">
        <v>0.78700000000000003</v>
      </c>
      <c r="S586" s="15">
        <v>0.91800000000000004</v>
      </c>
      <c r="T586" s="15"/>
      <c r="U586" s="15" t="s">
        <v>22</v>
      </c>
      <c r="V586" s="15" t="s">
        <v>30</v>
      </c>
      <c r="W586" s="15">
        <v>3</v>
      </c>
      <c r="X586" s="15" t="s">
        <v>85</v>
      </c>
      <c r="Y586" s="12">
        <f t="shared" si="23"/>
        <v>0.19500000000000001</v>
      </c>
      <c r="Z586" s="15">
        <v>-0.33100000000000002</v>
      </c>
    </row>
    <row r="587" spans="1:26" x14ac:dyDescent="0.2">
      <c r="A587" s="15" t="s">
        <v>77</v>
      </c>
      <c r="B587" s="15">
        <v>3380.75</v>
      </c>
      <c r="C587" s="15">
        <v>23.012</v>
      </c>
      <c r="D587" s="15">
        <v>22.382000000000001</v>
      </c>
      <c r="E587" s="15">
        <v>1.839</v>
      </c>
      <c r="F587" s="15">
        <v>163.66200000000001</v>
      </c>
      <c r="G587" s="15">
        <v>2.7639999999999998</v>
      </c>
      <c r="H587" s="15">
        <v>6.8620000000000001</v>
      </c>
      <c r="I587" s="15">
        <v>3.282</v>
      </c>
      <c r="J587" s="15">
        <v>230.69900000000001</v>
      </c>
      <c r="K587" s="15">
        <v>250.75899999999999</v>
      </c>
      <c r="L587" s="15">
        <v>0</v>
      </c>
      <c r="M587" s="15">
        <v>0</v>
      </c>
      <c r="N587" s="15">
        <v>100</v>
      </c>
      <c r="O587" s="15">
        <v>6.6000000000000003E-2</v>
      </c>
      <c r="P587" s="15">
        <v>0.40500000000000003</v>
      </c>
      <c r="Q587" s="15">
        <v>0.11700000000000001</v>
      </c>
      <c r="R587" s="15">
        <v>0.75</v>
      </c>
      <c r="S587" s="15">
        <v>0.94899999999999995</v>
      </c>
      <c r="T587" s="15"/>
      <c r="U587" s="15" t="s">
        <v>22</v>
      </c>
      <c r="V587" s="15" t="s">
        <v>30</v>
      </c>
      <c r="W587" s="15">
        <v>3</v>
      </c>
      <c r="X587" s="15" t="s">
        <v>85</v>
      </c>
      <c r="Y587" s="12">
        <f t="shared" si="23"/>
        <v>0.183</v>
      </c>
      <c r="Z587" s="15">
        <v>-0.33900000000000002</v>
      </c>
    </row>
    <row r="588" spans="1:26" x14ac:dyDescent="0.2">
      <c r="A588" s="15" t="s">
        <v>77</v>
      </c>
      <c r="B588" s="15">
        <v>3380.875</v>
      </c>
      <c r="C588" s="15">
        <v>24.358000000000001</v>
      </c>
      <c r="D588" s="15">
        <v>22.382000000000001</v>
      </c>
      <c r="E588" s="15">
        <v>2.3130000000000002</v>
      </c>
      <c r="F588" s="15">
        <v>163.51400000000001</v>
      </c>
      <c r="G588" s="15">
        <v>2.7559999999999998</v>
      </c>
      <c r="H588" s="15">
        <v>6.7460000000000004</v>
      </c>
      <c r="I588" s="15">
        <v>3.258</v>
      </c>
      <c r="J588" s="15">
        <v>247.74700000000001</v>
      </c>
      <c r="K588" s="15">
        <v>269.29000000000002</v>
      </c>
      <c r="L588" s="15">
        <v>0</v>
      </c>
      <c r="M588" s="15">
        <v>0</v>
      </c>
      <c r="N588" s="15">
        <v>100</v>
      </c>
      <c r="O588" s="15">
        <v>7.5999999999999998E-2</v>
      </c>
      <c r="P588" s="15">
        <v>0.41799999999999998</v>
      </c>
      <c r="Q588" s="15">
        <v>0.115</v>
      </c>
      <c r="R588" s="15">
        <v>0.72299999999999998</v>
      </c>
      <c r="S588" s="15">
        <v>0.92400000000000004</v>
      </c>
      <c r="T588" s="15"/>
      <c r="U588" s="15" t="s">
        <v>22</v>
      </c>
      <c r="V588" s="15" t="s">
        <v>30</v>
      </c>
      <c r="W588" s="15">
        <v>3</v>
      </c>
      <c r="X588" s="15" t="s">
        <v>85</v>
      </c>
      <c r="Y588" s="12">
        <f t="shared" si="23"/>
        <v>0.191</v>
      </c>
      <c r="Z588" s="15">
        <v>-0.34199999999999997</v>
      </c>
    </row>
    <row r="589" spans="1:26" x14ac:dyDescent="0.2">
      <c r="A589" s="15" t="s">
        <v>77</v>
      </c>
      <c r="B589" s="15">
        <v>3381</v>
      </c>
      <c r="C589" s="15">
        <v>27.655000000000001</v>
      </c>
      <c r="D589" s="15">
        <v>22.382000000000001</v>
      </c>
      <c r="E589" s="15">
        <v>2.702</v>
      </c>
      <c r="F589" s="15">
        <v>163.958</v>
      </c>
      <c r="G589" s="15">
        <v>2.7519999999999998</v>
      </c>
      <c r="H589" s="15">
        <v>6.5</v>
      </c>
      <c r="I589" s="15">
        <v>3.2320000000000002</v>
      </c>
      <c r="J589" s="15">
        <v>271.709</v>
      </c>
      <c r="K589" s="15">
        <v>295.33600000000001</v>
      </c>
      <c r="L589" s="15">
        <v>0</v>
      </c>
      <c r="M589" s="15">
        <v>0</v>
      </c>
      <c r="N589" s="15">
        <v>100</v>
      </c>
      <c r="O589" s="15">
        <v>0.1</v>
      </c>
      <c r="P589" s="15">
        <v>0.435</v>
      </c>
      <c r="Q589" s="15">
        <v>0.125</v>
      </c>
      <c r="R589" s="15">
        <v>0.71</v>
      </c>
      <c r="S589" s="15">
        <v>0.872</v>
      </c>
      <c r="T589" s="15"/>
      <c r="U589" s="15" t="s">
        <v>22</v>
      </c>
      <c r="V589" s="15" t="s">
        <v>30</v>
      </c>
      <c r="W589" s="15">
        <v>3</v>
      </c>
      <c r="X589" s="15" t="s">
        <v>85</v>
      </c>
      <c r="Y589" s="12">
        <f t="shared" si="23"/>
        <v>0.22500000000000001</v>
      </c>
      <c r="Z589" s="15">
        <v>-0.33499999999999996</v>
      </c>
    </row>
    <row r="590" spans="1:26" x14ac:dyDescent="0.2">
      <c r="A590" s="15" t="s">
        <v>77</v>
      </c>
      <c r="B590" s="15">
        <v>3382.125</v>
      </c>
      <c r="C590" s="15">
        <v>63.762999999999998</v>
      </c>
      <c r="D590" s="15">
        <v>22.745000000000001</v>
      </c>
      <c r="E590" s="15">
        <v>3.218</v>
      </c>
      <c r="F590" s="15">
        <v>171.55500000000001</v>
      </c>
      <c r="G590" s="15">
        <v>2.7</v>
      </c>
      <c r="H590" s="15">
        <v>5.4</v>
      </c>
      <c r="I590" s="15">
        <v>3.0659999999999998</v>
      </c>
      <c r="J590" s="15">
        <v>111.812</v>
      </c>
      <c r="K590" s="15">
        <v>121.535</v>
      </c>
      <c r="L590" s="15">
        <v>0</v>
      </c>
      <c r="M590" s="15">
        <v>0</v>
      </c>
      <c r="N590" s="15">
        <v>100</v>
      </c>
      <c r="O590" s="15">
        <v>0.35</v>
      </c>
      <c r="P590" s="15">
        <v>0.27200000000000002</v>
      </c>
      <c r="Q590" s="15">
        <v>0.28100000000000003</v>
      </c>
      <c r="R590" s="15">
        <v>0.53300000000000003</v>
      </c>
      <c r="S590" s="15">
        <v>0.63600000000000001</v>
      </c>
      <c r="T590" s="15"/>
      <c r="U590" s="15" t="s">
        <v>33</v>
      </c>
      <c r="V590" s="15" t="s">
        <v>30</v>
      </c>
      <c r="W590" s="15">
        <v>5</v>
      </c>
      <c r="X590" s="15" t="s">
        <v>85</v>
      </c>
      <c r="Y590" s="12">
        <f t="shared" si="23"/>
        <v>0.63100000000000001</v>
      </c>
      <c r="Z590" s="15">
        <v>7.7999999999999958E-2</v>
      </c>
    </row>
    <row r="591" spans="1:26" x14ac:dyDescent="0.2">
      <c r="A591" s="15" t="s">
        <v>77</v>
      </c>
      <c r="B591" s="15">
        <v>3382.25</v>
      </c>
      <c r="C591" s="15">
        <v>45.716999999999999</v>
      </c>
      <c r="D591" s="15">
        <v>22.667999999999999</v>
      </c>
      <c r="E591" s="15">
        <v>2.694</v>
      </c>
      <c r="F591" s="15">
        <v>167.42500000000001</v>
      </c>
      <c r="G591" s="15">
        <v>2.702</v>
      </c>
      <c r="H591" s="15">
        <v>4.5599999999999996</v>
      </c>
      <c r="I591" s="15">
        <v>3.0830000000000002</v>
      </c>
      <c r="J591" s="15">
        <v>131.03800000000001</v>
      </c>
      <c r="K591" s="15">
        <v>142.43299999999999</v>
      </c>
      <c r="L591" s="15">
        <v>0</v>
      </c>
      <c r="M591" s="15">
        <v>0</v>
      </c>
      <c r="N591" s="15">
        <v>100</v>
      </c>
      <c r="O591" s="15">
        <v>0.223</v>
      </c>
      <c r="P591" s="15">
        <v>0.30199999999999999</v>
      </c>
      <c r="Q591" s="15">
        <v>0.19400000000000001</v>
      </c>
      <c r="R591" s="15">
        <v>0.54</v>
      </c>
      <c r="S591" s="15">
        <v>0.46</v>
      </c>
      <c r="T591" s="15"/>
      <c r="U591" s="15" t="s">
        <v>33</v>
      </c>
      <c r="V591" s="15" t="s">
        <v>30</v>
      </c>
      <c r="W591" s="15">
        <v>5</v>
      </c>
      <c r="X591" s="15" t="s">
        <v>85</v>
      </c>
      <c r="Y591" s="12">
        <f t="shared" si="23"/>
        <v>0.41700000000000004</v>
      </c>
      <c r="Z591" s="15">
        <v>-7.8999999999999987E-2</v>
      </c>
    </row>
    <row r="592" spans="1:26" x14ac:dyDescent="0.2">
      <c r="A592" s="15" t="s">
        <v>77</v>
      </c>
      <c r="B592" s="15">
        <v>3382.375</v>
      </c>
      <c r="C592" s="15">
        <v>30.132999999999999</v>
      </c>
      <c r="D592" s="15">
        <v>22.513000000000002</v>
      </c>
      <c r="E592" s="15">
        <v>2.17</v>
      </c>
      <c r="F592" s="15">
        <v>164.095</v>
      </c>
      <c r="G592" s="15">
        <v>2.7080000000000002</v>
      </c>
      <c r="H592" s="15">
        <v>3.8010000000000002</v>
      </c>
      <c r="I592" s="15">
        <v>3.11</v>
      </c>
      <c r="J592" s="15">
        <v>182.482</v>
      </c>
      <c r="K592" s="15">
        <v>198.35</v>
      </c>
      <c r="L592" s="15">
        <v>0</v>
      </c>
      <c r="M592" s="15">
        <v>0</v>
      </c>
      <c r="N592" s="15">
        <v>100</v>
      </c>
      <c r="O592" s="15">
        <v>0.115</v>
      </c>
      <c r="P592" s="15">
        <v>0.36599999999999999</v>
      </c>
      <c r="Q592" s="15">
        <v>0.125</v>
      </c>
      <c r="R592" s="15">
        <v>0.56100000000000005</v>
      </c>
      <c r="S592" s="15">
        <v>0.30099999999999999</v>
      </c>
      <c r="T592" s="15"/>
      <c r="U592" s="15" t="s">
        <v>33</v>
      </c>
      <c r="V592" s="15" t="s">
        <v>30</v>
      </c>
      <c r="W592" s="15">
        <v>5</v>
      </c>
      <c r="X592" s="15" t="s">
        <v>85</v>
      </c>
      <c r="Y592" s="12">
        <f t="shared" si="23"/>
        <v>0.24</v>
      </c>
      <c r="Z592" s="15">
        <v>-0.251</v>
      </c>
    </row>
    <row r="593" spans="1:26" x14ac:dyDescent="0.2">
      <c r="A593" s="15" t="s">
        <v>77</v>
      </c>
      <c r="B593" s="15">
        <v>3382.5</v>
      </c>
      <c r="C593" s="15">
        <v>25.452999999999999</v>
      </c>
      <c r="D593" s="15">
        <v>22.36</v>
      </c>
      <c r="E593" s="15">
        <v>1.988</v>
      </c>
      <c r="F593" s="15">
        <v>162.089</v>
      </c>
      <c r="G593" s="15">
        <v>2.7170000000000001</v>
      </c>
      <c r="H593" s="15">
        <v>3.2730000000000001</v>
      </c>
      <c r="I593" s="15">
        <v>3.145</v>
      </c>
      <c r="J593" s="15">
        <v>425.68099999999998</v>
      </c>
      <c r="K593" s="15">
        <v>462.69600000000003</v>
      </c>
      <c r="L593" s="15">
        <v>0</v>
      </c>
      <c r="M593" s="15">
        <v>0</v>
      </c>
      <c r="N593" s="15">
        <v>100</v>
      </c>
      <c r="O593" s="15">
        <v>8.4000000000000005E-2</v>
      </c>
      <c r="P593" s="15">
        <v>0.52</v>
      </c>
      <c r="Q593" s="15">
        <v>8.4000000000000005E-2</v>
      </c>
      <c r="R593" s="15">
        <v>0.59099999999999997</v>
      </c>
      <c r="S593" s="15">
        <v>0.192</v>
      </c>
      <c r="T593" s="15"/>
      <c r="U593" s="15" t="s">
        <v>33</v>
      </c>
      <c r="V593" s="15" t="s">
        <v>30</v>
      </c>
      <c r="W593" s="15">
        <v>5</v>
      </c>
      <c r="X593" s="15" t="s">
        <v>85</v>
      </c>
      <c r="Y593" s="12">
        <f t="shared" si="23"/>
        <v>0.16800000000000001</v>
      </c>
      <c r="Z593" s="15">
        <v>-0.436</v>
      </c>
    </row>
    <row r="594" spans="1:26" x14ac:dyDescent="0.2">
      <c r="A594" s="15" t="s">
        <v>77</v>
      </c>
      <c r="B594" s="15">
        <v>3382.625</v>
      </c>
      <c r="C594" s="15">
        <v>32.277000000000001</v>
      </c>
      <c r="D594" s="15">
        <v>22.45</v>
      </c>
      <c r="E594" s="15">
        <v>1.897</v>
      </c>
      <c r="F594" s="15">
        <v>161.62700000000001</v>
      </c>
      <c r="G594" s="15">
        <v>2.7250000000000001</v>
      </c>
      <c r="H594" s="15">
        <v>3.056</v>
      </c>
      <c r="I594" s="15">
        <v>3.1869999999999998</v>
      </c>
      <c r="J594" s="15">
        <v>701.59799999999996</v>
      </c>
      <c r="K594" s="15">
        <v>762.60699999999997</v>
      </c>
      <c r="L594" s="15">
        <v>0</v>
      </c>
      <c r="M594" s="15">
        <v>0</v>
      </c>
      <c r="N594" s="15">
        <v>100</v>
      </c>
      <c r="O594" s="15">
        <v>0.13300000000000001</v>
      </c>
      <c r="P594" s="15">
        <v>0.60799999999999998</v>
      </c>
      <c r="Q594" s="15">
        <v>7.4999999999999997E-2</v>
      </c>
      <c r="R594" s="15">
        <v>0.61899999999999999</v>
      </c>
      <c r="S594" s="15">
        <v>0.14799999999999999</v>
      </c>
      <c r="T594" s="15"/>
      <c r="U594" s="15" t="s">
        <v>33</v>
      </c>
      <c r="V594" s="15" t="s">
        <v>30</v>
      </c>
      <c r="W594" s="15">
        <v>5</v>
      </c>
      <c r="X594" s="15" t="s">
        <v>85</v>
      </c>
      <c r="Y594" s="12">
        <f t="shared" si="23"/>
        <v>0.20800000000000002</v>
      </c>
      <c r="Z594" s="15">
        <v>-0.47499999999999998</v>
      </c>
    </row>
    <row r="595" spans="1:26" x14ac:dyDescent="0.2">
      <c r="A595" s="15" t="s">
        <v>77</v>
      </c>
      <c r="B595" s="15">
        <v>3382.75</v>
      </c>
      <c r="C595" s="15">
        <v>41.326000000000001</v>
      </c>
      <c r="D595" s="15">
        <v>22.808</v>
      </c>
      <c r="E595" s="15">
        <v>1.794</v>
      </c>
      <c r="F595" s="15">
        <v>162.06200000000001</v>
      </c>
      <c r="G595" s="15">
        <v>2.7330000000000001</v>
      </c>
      <c r="H595" s="15">
        <v>3.0419999999999998</v>
      </c>
      <c r="I595" s="15">
        <v>3.2309999999999999</v>
      </c>
      <c r="J595" s="15">
        <v>657.79300000000001</v>
      </c>
      <c r="K595" s="15">
        <v>714.99300000000005</v>
      </c>
      <c r="L595" s="15">
        <v>0</v>
      </c>
      <c r="M595" s="15">
        <v>0</v>
      </c>
      <c r="N595" s="15">
        <v>100</v>
      </c>
      <c r="O595" s="15">
        <v>0.19600000000000001</v>
      </c>
      <c r="P595" s="15">
        <v>0.59499999999999997</v>
      </c>
      <c r="Q595" s="15">
        <v>8.4000000000000005E-2</v>
      </c>
      <c r="R595" s="15">
        <v>0.64600000000000002</v>
      </c>
      <c r="S595" s="15">
        <v>0.14599999999999999</v>
      </c>
      <c r="T595" s="15"/>
      <c r="U595" s="15" t="s">
        <v>33</v>
      </c>
      <c r="V595" s="15" t="s">
        <v>30</v>
      </c>
      <c r="W595" s="15">
        <v>5</v>
      </c>
      <c r="X595" s="15" t="s">
        <v>85</v>
      </c>
      <c r="Y595" s="12">
        <f t="shared" si="23"/>
        <v>0.28000000000000003</v>
      </c>
      <c r="Z595" s="15">
        <v>-0.39899999999999997</v>
      </c>
    </row>
    <row r="596" spans="1:26" x14ac:dyDescent="0.2">
      <c r="A596" s="15" t="s">
        <v>77</v>
      </c>
      <c r="B596" s="15">
        <v>3382.875</v>
      </c>
      <c r="C596" s="15">
        <v>42.981999999999999</v>
      </c>
      <c r="D596" s="15">
        <v>23.542999999999999</v>
      </c>
      <c r="E596" s="15">
        <v>1.744</v>
      </c>
      <c r="F596" s="15">
        <v>162.84899999999999</v>
      </c>
      <c r="G596" s="15">
        <v>2.74</v>
      </c>
      <c r="H596" s="15">
        <v>3.1480000000000001</v>
      </c>
      <c r="I596" s="15">
        <v>3.2719999999999998</v>
      </c>
      <c r="J596" s="15">
        <v>454.83300000000003</v>
      </c>
      <c r="K596" s="15">
        <v>494.38400000000001</v>
      </c>
      <c r="L596" s="15">
        <v>0</v>
      </c>
      <c r="M596" s="15">
        <v>0</v>
      </c>
      <c r="N596" s="15">
        <v>100</v>
      </c>
      <c r="O596" s="15">
        <v>0.20499999999999999</v>
      </c>
      <c r="P596" s="15">
        <v>0.52700000000000002</v>
      </c>
      <c r="Q596" s="15">
        <v>0.10100000000000001</v>
      </c>
      <c r="R596" s="15">
        <v>0.67</v>
      </c>
      <c r="S596" s="15">
        <v>0.16800000000000001</v>
      </c>
      <c r="T596" s="15"/>
      <c r="U596" s="15" t="s">
        <v>33</v>
      </c>
      <c r="V596" s="15" t="s">
        <v>30</v>
      </c>
      <c r="W596" s="15">
        <v>5</v>
      </c>
      <c r="X596" s="15" t="s">
        <v>85</v>
      </c>
      <c r="Y596" s="12">
        <f t="shared" si="23"/>
        <v>0.30599999999999999</v>
      </c>
      <c r="Z596" s="15">
        <v>-0.32200000000000006</v>
      </c>
    </row>
    <row r="597" spans="1:26" x14ac:dyDescent="0.2">
      <c r="A597" s="15" t="s">
        <v>77</v>
      </c>
      <c r="B597" s="15">
        <v>3383</v>
      </c>
      <c r="C597" s="15">
        <v>35.46</v>
      </c>
      <c r="D597" s="15">
        <v>24.263999999999999</v>
      </c>
      <c r="E597" s="15">
        <v>1.76</v>
      </c>
      <c r="F597" s="15">
        <v>163.57400000000001</v>
      </c>
      <c r="G597" s="15">
        <v>2.746</v>
      </c>
      <c r="H597" s="15">
        <v>3.2959999999999998</v>
      </c>
      <c r="I597" s="15">
        <v>3.3069999999999999</v>
      </c>
      <c r="J597" s="15">
        <v>348.08499999999998</v>
      </c>
      <c r="K597" s="15">
        <v>378.35399999999998</v>
      </c>
      <c r="L597" s="15">
        <v>0</v>
      </c>
      <c r="M597" s="15">
        <v>0</v>
      </c>
      <c r="N597" s="15">
        <v>100</v>
      </c>
      <c r="O597" s="15">
        <v>0.152</v>
      </c>
      <c r="P597" s="15">
        <v>0.47899999999999998</v>
      </c>
      <c r="Q597" s="15">
        <v>0.11600000000000001</v>
      </c>
      <c r="R597" s="15">
        <v>0.69</v>
      </c>
      <c r="S597" s="15">
        <v>0.19900000000000001</v>
      </c>
      <c r="T597" s="15"/>
      <c r="U597" s="15" t="s">
        <v>33</v>
      </c>
      <c r="V597" s="15" t="s">
        <v>30</v>
      </c>
      <c r="W597" s="15">
        <v>5</v>
      </c>
      <c r="X597" s="15" t="s">
        <v>85</v>
      </c>
      <c r="Y597" s="12">
        <f t="shared" si="23"/>
        <v>0.26800000000000002</v>
      </c>
      <c r="Z597" s="15">
        <v>-0.32699999999999996</v>
      </c>
    </row>
    <row r="598" spans="1:26" x14ac:dyDescent="0.2">
      <c r="A598" s="15" t="s">
        <v>77</v>
      </c>
      <c r="B598" s="15">
        <v>3383.125</v>
      </c>
      <c r="C598" s="15">
        <v>27.643999999999998</v>
      </c>
      <c r="D598" s="15">
        <v>24.414999999999999</v>
      </c>
      <c r="E598" s="15">
        <v>1.917</v>
      </c>
      <c r="F598" s="15">
        <v>163.91300000000001</v>
      </c>
      <c r="G598" s="15">
        <v>2.7530000000000001</v>
      </c>
      <c r="H598" s="15">
        <v>3.4329999999999998</v>
      </c>
      <c r="I598" s="15">
        <v>3.3290000000000002</v>
      </c>
      <c r="J598" s="15">
        <v>292.76100000000002</v>
      </c>
      <c r="K598" s="15">
        <v>318.21899999999999</v>
      </c>
      <c r="L598" s="15">
        <v>0</v>
      </c>
      <c r="M598" s="15">
        <v>0</v>
      </c>
      <c r="N598" s="15">
        <v>100</v>
      </c>
      <c r="O598" s="15">
        <v>9.8000000000000004E-2</v>
      </c>
      <c r="P598" s="15">
        <v>0.44700000000000001</v>
      </c>
      <c r="Q598" s="15">
        <v>0.123</v>
      </c>
      <c r="R598" s="15">
        <v>0.71399999999999997</v>
      </c>
      <c r="S598" s="15">
        <v>0.22800000000000001</v>
      </c>
      <c r="T598" s="15"/>
      <c r="U598" s="15" t="s">
        <v>33</v>
      </c>
      <c r="V598" s="15" t="s">
        <v>30</v>
      </c>
      <c r="W598" s="15">
        <v>5</v>
      </c>
      <c r="X598" s="15" t="s">
        <v>85</v>
      </c>
      <c r="Y598" s="12">
        <f t="shared" si="23"/>
        <v>0.221</v>
      </c>
      <c r="Z598" s="15">
        <v>-0.34899999999999998</v>
      </c>
    </row>
    <row r="599" spans="1:26" x14ac:dyDescent="0.2">
      <c r="A599" s="15" t="s">
        <v>77</v>
      </c>
      <c r="B599" s="15">
        <v>3383.25</v>
      </c>
      <c r="C599" s="15">
        <v>25.248000000000001</v>
      </c>
      <c r="D599" s="15">
        <v>23.762</v>
      </c>
      <c r="E599" s="15">
        <v>2.1110000000000002</v>
      </c>
      <c r="F599" s="15">
        <v>163.83600000000001</v>
      </c>
      <c r="G599" s="15">
        <v>2.76</v>
      </c>
      <c r="H599" s="15">
        <v>3.556</v>
      </c>
      <c r="I599" s="15">
        <v>3.3380000000000001</v>
      </c>
      <c r="J599" s="15">
        <v>233.89599999999999</v>
      </c>
      <c r="K599" s="15">
        <v>254.23400000000001</v>
      </c>
      <c r="L599" s="15">
        <v>0</v>
      </c>
      <c r="M599" s="15">
        <v>0</v>
      </c>
      <c r="N599" s="15">
        <v>100</v>
      </c>
      <c r="O599" s="15">
        <v>8.3000000000000004E-2</v>
      </c>
      <c r="P599" s="15">
        <v>0.40600000000000003</v>
      </c>
      <c r="Q599" s="15">
        <v>0.121</v>
      </c>
      <c r="R599" s="15">
        <v>0.73799999999999999</v>
      </c>
      <c r="S599" s="15">
        <v>0.254</v>
      </c>
      <c r="T599" s="15"/>
      <c r="U599" s="15" t="s">
        <v>33</v>
      </c>
      <c r="V599" s="15" t="s">
        <v>30</v>
      </c>
      <c r="W599" s="15">
        <v>5</v>
      </c>
      <c r="X599" s="15" t="s">
        <v>85</v>
      </c>
      <c r="Y599" s="12">
        <f t="shared" si="23"/>
        <v>0.20400000000000001</v>
      </c>
      <c r="Z599" s="15">
        <v>-0.32300000000000001</v>
      </c>
    </row>
    <row r="600" spans="1:26" x14ac:dyDescent="0.2">
      <c r="A600" s="15" t="s">
        <v>77</v>
      </c>
      <c r="B600" s="15">
        <v>3383.375</v>
      </c>
      <c r="C600" s="15">
        <v>32.578000000000003</v>
      </c>
      <c r="D600" s="15">
        <v>23.02</v>
      </c>
      <c r="E600" s="15">
        <v>2.2090000000000001</v>
      </c>
      <c r="F600" s="15">
        <v>163.40700000000001</v>
      </c>
      <c r="G600" s="15">
        <v>2.7679999999999998</v>
      </c>
      <c r="H600" s="15">
        <v>3.6829999999999998</v>
      </c>
      <c r="I600" s="15">
        <v>3.3319999999999999</v>
      </c>
      <c r="J600" s="15">
        <v>199.60499999999999</v>
      </c>
      <c r="K600" s="15">
        <v>216.96199999999999</v>
      </c>
      <c r="L600" s="15">
        <v>0</v>
      </c>
      <c r="M600" s="15">
        <v>0</v>
      </c>
      <c r="N600" s="15">
        <v>100</v>
      </c>
      <c r="O600" s="15">
        <v>0.13700000000000001</v>
      </c>
      <c r="P600" s="15">
        <v>0.378</v>
      </c>
      <c r="Q600" s="15">
        <v>0.112</v>
      </c>
      <c r="R600" s="15">
        <v>0.76500000000000001</v>
      </c>
      <c r="S600" s="15">
        <v>0.28100000000000003</v>
      </c>
      <c r="T600" s="15"/>
      <c r="U600" s="15" t="s">
        <v>33</v>
      </c>
      <c r="V600" s="15" t="s">
        <v>30</v>
      </c>
      <c r="W600" s="15">
        <v>5</v>
      </c>
      <c r="X600" s="15" t="s">
        <v>85</v>
      </c>
      <c r="Y600" s="12">
        <f t="shared" si="23"/>
        <v>0.249</v>
      </c>
      <c r="Z600" s="15">
        <v>-0.24099999999999999</v>
      </c>
    </row>
    <row r="601" spans="1:26" x14ac:dyDescent="0.2">
      <c r="A601" s="15" t="s">
        <v>77</v>
      </c>
      <c r="B601" s="15">
        <v>3383.5</v>
      </c>
      <c r="C601" s="15">
        <v>49.034999999999997</v>
      </c>
      <c r="D601" s="15">
        <v>22.617000000000001</v>
      </c>
      <c r="E601" s="15">
        <v>2.17</v>
      </c>
      <c r="F601" s="15">
        <v>162.751</v>
      </c>
      <c r="G601" s="15">
        <v>2.7749999999999999</v>
      </c>
      <c r="H601" s="15">
        <v>3.8239999999999998</v>
      </c>
      <c r="I601" s="15">
        <v>3.3130000000000002</v>
      </c>
      <c r="J601" s="15">
        <v>195.05799999999999</v>
      </c>
      <c r="K601" s="15">
        <v>212.02</v>
      </c>
      <c r="L601" s="15">
        <v>0</v>
      </c>
      <c r="M601" s="15">
        <v>0</v>
      </c>
      <c r="N601" s="15">
        <v>100</v>
      </c>
      <c r="O601" s="15">
        <v>0.252</v>
      </c>
      <c r="P601" s="15">
        <v>0.374</v>
      </c>
      <c r="Q601" s="15">
        <v>9.8000000000000004E-2</v>
      </c>
      <c r="R601" s="15">
        <v>0.78900000000000003</v>
      </c>
      <c r="S601" s="15">
        <v>0.311</v>
      </c>
      <c r="T601" s="15"/>
      <c r="U601" s="15" t="s">
        <v>33</v>
      </c>
      <c r="V601" s="15" t="s">
        <v>30</v>
      </c>
      <c r="W601" s="15">
        <v>5</v>
      </c>
      <c r="X601" s="15" t="s">
        <v>85</v>
      </c>
      <c r="Y601" s="12">
        <f t="shared" si="23"/>
        <v>0.35</v>
      </c>
      <c r="Z601" s="15">
        <v>-0.122</v>
      </c>
    </row>
    <row r="602" spans="1:26" x14ac:dyDescent="0.2">
      <c r="A602" s="15" t="s">
        <v>77</v>
      </c>
      <c r="B602" s="15">
        <v>3383.625</v>
      </c>
      <c r="C602" s="15">
        <v>58.771999999999998</v>
      </c>
      <c r="D602" s="15">
        <v>22.462</v>
      </c>
      <c r="E602" s="15">
        <v>2.141</v>
      </c>
      <c r="F602" s="15">
        <v>162.083</v>
      </c>
      <c r="G602" s="15">
        <v>2.782</v>
      </c>
      <c r="H602" s="15">
        <v>3.9980000000000002</v>
      </c>
      <c r="I602" s="15">
        <v>3.2810000000000001</v>
      </c>
      <c r="J602" s="15">
        <v>199.98099999999999</v>
      </c>
      <c r="K602" s="15">
        <v>217.37</v>
      </c>
      <c r="L602" s="15">
        <v>0</v>
      </c>
      <c r="M602" s="15">
        <v>0</v>
      </c>
      <c r="N602" s="15">
        <v>100</v>
      </c>
      <c r="O602" s="15">
        <v>0.318</v>
      </c>
      <c r="P602" s="15">
        <v>0.378</v>
      </c>
      <c r="Q602" s="15">
        <v>8.4000000000000005E-2</v>
      </c>
      <c r="R602" s="15">
        <v>0.81299999999999994</v>
      </c>
      <c r="S602" s="15">
        <v>0.34799999999999998</v>
      </c>
      <c r="T602" s="15"/>
      <c r="U602" s="15" t="s">
        <v>33</v>
      </c>
      <c r="V602" s="15" t="s">
        <v>30</v>
      </c>
      <c r="W602" s="15">
        <v>5</v>
      </c>
      <c r="X602" s="15" t="s">
        <v>85</v>
      </c>
      <c r="Y602" s="12">
        <f t="shared" si="23"/>
        <v>0.40200000000000002</v>
      </c>
      <c r="Z602" s="15">
        <v>-0.06</v>
      </c>
    </row>
    <row r="603" spans="1:26" x14ac:dyDescent="0.2">
      <c r="A603" s="15" t="s">
        <v>77</v>
      </c>
      <c r="B603" s="15">
        <v>3383.75</v>
      </c>
      <c r="C603" s="15">
        <v>54.792000000000002</v>
      </c>
      <c r="D603" s="15">
        <v>22.405999999999999</v>
      </c>
      <c r="E603" s="15">
        <v>2.206</v>
      </c>
      <c r="F603" s="15">
        <v>161.68299999999999</v>
      </c>
      <c r="G603" s="15">
        <v>2.7869999999999999</v>
      </c>
      <c r="H603" s="15">
        <v>4.1920000000000002</v>
      </c>
      <c r="I603" s="15">
        <v>3.24</v>
      </c>
      <c r="J603" s="15">
        <v>210.56399999999999</v>
      </c>
      <c r="K603" s="15">
        <v>228.874</v>
      </c>
      <c r="L603" s="15">
        <v>0</v>
      </c>
      <c r="M603" s="15">
        <v>0</v>
      </c>
      <c r="N603" s="15">
        <v>100</v>
      </c>
      <c r="O603" s="15">
        <v>0.28899999999999998</v>
      </c>
      <c r="P603" s="15">
        <v>0.38800000000000001</v>
      </c>
      <c r="Q603" s="15">
        <v>7.5999999999999998E-2</v>
      </c>
      <c r="R603" s="15">
        <v>0.83</v>
      </c>
      <c r="S603" s="15">
        <v>0.38800000000000001</v>
      </c>
      <c r="T603" s="15"/>
      <c r="U603" s="15" t="s">
        <v>33</v>
      </c>
      <c r="V603" s="15" t="s">
        <v>30</v>
      </c>
      <c r="W603" s="15">
        <v>5</v>
      </c>
      <c r="X603" s="15" t="s">
        <v>85</v>
      </c>
      <c r="Y603" s="12">
        <f t="shared" si="23"/>
        <v>0.36499999999999999</v>
      </c>
      <c r="Z603" s="15">
        <v>-9.9000000000000032E-2</v>
      </c>
    </row>
    <row r="604" spans="1:26" x14ac:dyDescent="0.2">
      <c r="A604" s="15" t="s">
        <v>77</v>
      </c>
      <c r="B604" s="15">
        <v>3383.875</v>
      </c>
      <c r="C604" s="15">
        <v>46.024000000000001</v>
      </c>
      <c r="D604" s="15">
        <v>22.434000000000001</v>
      </c>
      <c r="E604" s="15">
        <v>2.29</v>
      </c>
      <c r="F604" s="15">
        <v>161.78899999999999</v>
      </c>
      <c r="G604" s="15">
        <v>2.7909999999999999</v>
      </c>
      <c r="H604" s="15">
        <v>4.3840000000000003</v>
      </c>
      <c r="I604" s="15">
        <v>3.1960000000000002</v>
      </c>
      <c r="J604" s="15">
        <v>230.10599999999999</v>
      </c>
      <c r="K604" s="15">
        <v>250.11600000000001</v>
      </c>
      <c r="L604" s="15">
        <v>0</v>
      </c>
      <c r="M604" s="15">
        <v>0</v>
      </c>
      <c r="N604" s="15">
        <v>100</v>
      </c>
      <c r="O604" s="15">
        <v>0.22800000000000001</v>
      </c>
      <c r="P604" s="15">
        <v>0.40600000000000003</v>
      </c>
      <c r="Q604" s="15">
        <v>7.9000000000000001E-2</v>
      </c>
      <c r="R604" s="15">
        <v>0.84299999999999997</v>
      </c>
      <c r="S604" s="15">
        <v>0.42899999999999999</v>
      </c>
      <c r="T604" s="15"/>
      <c r="U604" s="15" t="s">
        <v>33</v>
      </c>
      <c r="V604" s="15" t="s">
        <v>30</v>
      </c>
      <c r="W604" s="15">
        <v>5</v>
      </c>
      <c r="X604" s="15" t="s">
        <v>85</v>
      </c>
      <c r="Y604" s="12">
        <f t="shared" si="23"/>
        <v>0.307</v>
      </c>
      <c r="Z604" s="15">
        <v>-0.17800000000000002</v>
      </c>
    </row>
    <row r="605" spans="1:26" x14ac:dyDescent="0.2">
      <c r="A605" s="15" t="s">
        <v>77</v>
      </c>
      <c r="B605" s="15">
        <v>3384</v>
      </c>
      <c r="C605" s="15">
        <v>41.64</v>
      </c>
      <c r="D605" s="15">
        <v>22.443000000000001</v>
      </c>
      <c r="E605" s="15">
        <v>2.36</v>
      </c>
      <c r="F605" s="15">
        <v>162.56299999999999</v>
      </c>
      <c r="G605" s="15">
        <v>2.7919999999999998</v>
      </c>
      <c r="H605" s="15">
        <v>4.5490000000000004</v>
      </c>
      <c r="I605" s="15">
        <v>3.153</v>
      </c>
      <c r="J605" s="15">
        <v>317.78100000000001</v>
      </c>
      <c r="K605" s="15">
        <v>345.41500000000002</v>
      </c>
      <c r="L605" s="15">
        <v>0</v>
      </c>
      <c r="M605" s="15">
        <v>0</v>
      </c>
      <c r="N605" s="15">
        <v>100</v>
      </c>
      <c r="O605" s="15">
        <v>0.19800000000000001</v>
      </c>
      <c r="P605" s="15">
        <v>0.46300000000000002</v>
      </c>
      <c r="Q605" s="15">
        <v>9.5000000000000001E-2</v>
      </c>
      <c r="R605" s="15">
        <v>0.84599999999999997</v>
      </c>
      <c r="S605" s="15">
        <v>0.46300000000000002</v>
      </c>
      <c r="T605" s="15"/>
      <c r="U605" s="15" t="s">
        <v>33</v>
      </c>
      <c r="V605" s="15" t="s">
        <v>30</v>
      </c>
      <c r="W605" s="15">
        <v>5</v>
      </c>
      <c r="X605" s="15" t="s">
        <v>85</v>
      </c>
      <c r="Y605" s="12">
        <f t="shared" si="23"/>
        <v>0.29300000000000004</v>
      </c>
      <c r="Z605" s="15">
        <v>-0.26500000000000001</v>
      </c>
    </row>
    <row r="606" spans="1:26" x14ac:dyDescent="0.2">
      <c r="A606" s="15" t="s">
        <v>77</v>
      </c>
      <c r="B606" s="15">
        <v>3384.125</v>
      </c>
      <c r="C606" s="15">
        <v>44.621000000000002</v>
      </c>
      <c r="D606" s="15">
        <v>22.41</v>
      </c>
      <c r="E606" s="15">
        <v>2.4820000000000002</v>
      </c>
      <c r="F606" s="15">
        <v>164.09700000000001</v>
      </c>
      <c r="G606" s="15">
        <v>2.79</v>
      </c>
      <c r="H606" s="15">
        <v>4.673</v>
      </c>
      <c r="I606" s="15">
        <v>3.1179999999999999</v>
      </c>
      <c r="J606" s="15">
        <v>316.54300000000001</v>
      </c>
      <c r="K606" s="15">
        <v>344.06799999999998</v>
      </c>
      <c r="L606" s="15">
        <v>0</v>
      </c>
      <c r="M606" s="15">
        <v>0</v>
      </c>
      <c r="N606" s="15">
        <v>100</v>
      </c>
      <c r="O606" s="15">
        <v>0.22</v>
      </c>
      <c r="P606" s="15">
        <v>0.46100000000000002</v>
      </c>
      <c r="Q606" s="15">
        <v>0.128</v>
      </c>
      <c r="R606" s="15">
        <v>0.83899999999999997</v>
      </c>
      <c r="S606" s="15">
        <v>0.48899999999999999</v>
      </c>
      <c r="T606" s="15"/>
      <c r="U606" s="15" t="s">
        <v>33</v>
      </c>
      <c r="V606" s="15" t="s">
        <v>30</v>
      </c>
      <c r="W606" s="15">
        <v>5</v>
      </c>
      <c r="X606" s="15" t="s">
        <v>85</v>
      </c>
      <c r="Y606" s="12">
        <f t="shared" si="23"/>
        <v>0.34799999999999998</v>
      </c>
      <c r="Z606" s="15">
        <v>-0.24100000000000002</v>
      </c>
    </row>
    <row r="607" spans="1:26" x14ac:dyDescent="0.2">
      <c r="A607" s="15" t="s">
        <v>78</v>
      </c>
      <c r="B607" s="15">
        <v>3721</v>
      </c>
      <c r="C607" s="15">
        <v>46.005000000000003</v>
      </c>
      <c r="D607" s="15">
        <v>22.154</v>
      </c>
      <c r="E607" s="15">
        <v>4.7619999999999996</v>
      </c>
      <c r="F607" s="15">
        <v>172.066</v>
      </c>
      <c r="G607" s="15">
        <v>2.7719999999999998</v>
      </c>
      <c r="H607" s="15">
        <v>9.2509999999999994</v>
      </c>
      <c r="I607" s="15">
        <v>3.1669999999999998</v>
      </c>
      <c r="J607" s="15">
        <v>158.80199999999999</v>
      </c>
      <c r="K607" s="15">
        <v>183.297</v>
      </c>
      <c r="L607" s="15">
        <v>0.01</v>
      </c>
      <c r="M607" s="15">
        <v>1E-3</v>
      </c>
      <c r="N607" s="15">
        <v>100</v>
      </c>
      <c r="O607" s="15">
        <v>0.433</v>
      </c>
      <c r="P607" s="15">
        <v>0.32</v>
      </c>
      <c r="Q607" s="15">
        <v>0.19800000000000001</v>
      </c>
      <c r="R607" s="15">
        <v>0.374</v>
      </c>
      <c r="S607" s="15">
        <v>0.67500000000000004</v>
      </c>
      <c r="T607" s="15"/>
      <c r="U607" s="15" t="s">
        <v>22</v>
      </c>
      <c r="V607" s="15" t="s">
        <v>30</v>
      </c>
      <c r="W607" s="15">
        <v>1</v>
      </c>
      <c r="X607" s="15" t="s">
        <v>32</v>
      </c>
      <c r="Y607" s="12">
        <f t="shared" si="23"/>
        <v>0.63100000000000001</v>
      </c>
      <c r="Z607" s="15">
        <v>0.11299999999999999</v>
      </c>
    </row>
    <row r="608" spans="1:26" x14ac:dyDescent="0.2">
      <c r="A608" s="15" t="s">
        <v>78</v>
      </c>
      <c r="B608" s="15">
        <v>3721.125</v>
      </c>
      <c r="C608" s="15">
        <v>29.053999999999998</v>
      </c>
      <c r="D608" s="15">
        <v>22.099</v>
      </c>
      <c r="E608" s="15">
        <v>3.4729999999999999</v>
      </c>
      <c r="F608" s="15">
        <v>170.215</v>
      </c>
      <c r="G608" s="15">
        <v>2.7759999999999998</v>
      </c>
      <c r="H608" s="15">
        <v>8.9380000000000006</v>
      </c>
      <c r="I608" s="15">
        <v>3.06</v>
      </c>
      <c r="J608" s="15">
        <v>149.58000000000001</v>
      </c>
      <c r="K608" s="15">
        <v>172.44800000000001</v>
      </c>
      <c r="L608" s="15">
        <v>2.157</v>
      </c>
      <c r="M608" s="15">
        <v>6.0000000000000001E-3</v>
      </c>
      <c r="N608" s="15">
        <v>71.262</v>
      </c>
      <c r="O608" s="15">
        <v>0.23499999999999999</v>
      </c>
      <c r="P608" s="15">
        <v>0.224</v>
      </c>
      <c r="Q608" s="15">
        <v>0.16300000000000001</v>
      </c>
      <c r="R608" s="15">
        <v>0.41099999999999998</v>
      </c>
      <c r="S608" s="15">
        <v>0.623</v>
      </c>
      <c r="T608" s="15" t="s">
        <v>23</v>
      </c>
      <c r="U608" s="15" t="s">
        <v>22</v>
      </c>
      <c r="V608" s="15" t="s">
        <v>30</v>
      </c>
      <c r="W608" s="15">
        <v>1</v>
      </c>
      <c r="X608" s="15" t="s">
        <v>32</v>
      </c>
      <c r="Y608" s="12">
        <f t="shared" si="23"/>
        <v>0.39800000000000002</v>
      </c>
      <c r="Z608" s="15">
        <v>1.0999999999999982E-2</v>
      </c>
    </row>
    <row r="609" spans="1:26" x14ac:dyDescent="0.2">
      <c r="A609" s="15" t="s">
        <v>78</v>
      </c>
      <c r="B609" s="15">
        <v>3721.25</v>
      </c>
      <c r="C609" s="15">
        <v>19.638000000000002</v>
      </c>
      <c r="D609" s="15">
        <v>22.027000000000001</v>
      </c>
      <c r="E609" s="15">
        <v>2.714</v>
      </c>
      <c r="F609" s="15">
        <v>170.08199999999999</v>
      </c>
      <c r="G609" s="15">
        <v>2.7789999999999999</v>
      </c>
      <c r="H609" s="15">
        <v>8.798</v>
      </c>
      <c r="I609" s="15">
        <v>3.03</v>
      </c>
      <c r="J609" s="15">
        <v>140.20400000000001</v>
      </c>
      <c r="K609" s="15">
        <v>161.416</v>
      </c>
      <c r="L609" s="15">
        <v>4.5209999999999999</v>
      </c>
      <c r="M609" s="15">
        <v>1.2999999999999999E-2</v>
      </c>
      <c r="N609" s="15">
        <v>40.32</v>
      </c>
      <c r="O609" s="15">
        <v>0.10199999999999999</v>
      </c>
      <c r="P609" s="15">
        <v>0.17799999999999999</v>
      </c>
      <c r="Q609" s="15">
        <v>0.152</v>
      </c>
      <c r="R609" s="15">
        <v>0.44</v>
      </c>
      <c r="S609" s="15">
        <v>0.59199999999999997</v>
      </c>
      <c r="T609" s="15" t="s">
        <v>23</v>
      </c>
      <c r="U609" s="15" t="s">
        <v>22</v>
      </c>
      <c r="V609" s="15" t="s">
        <v>30</v>
      </c>
      <c r="W609" s="15">
        <v>1</v>
      </c>
      <c r="X609" s="15" t="s">
        <v>32</v>
      </c>
      <c r="Y609" s="12">
        <f t="shared" si="23"/>
        <v>0.254</v>
      </c>
      <c r="Z609" s="15">
        <v>-7.5999999999999998E-2</v>
      </c>
    </row>
    <row r="610" spans="1:26" x14ac:dyDescent="0.2">
      <c r="A610" s="15" t="s">
        <v>78</v>
      </c>
      <c r="B610" s="15">
        <v>3721.375</v>
      </c>
      <c r="C610" s="15">
        <v>15.868</v>
      </c>
      <c r="D610" s="15">
        <v>21.960999999999999</v>
      </c>
      <c r="E610" s="15">
        <v>2.3079999999999998</v>
      </c>
      <c r="F610" s="15">
        <v>170.92099999999999</v>
      </c>
      <c r="G610" s="15">
        <v>2.78</v>
      </c>
      <c r="H610" s="15">
        <v>8.8109999999999999</v>
      </c>
      <c r="I610" s="15">
        <v>3.032</v>
      </c>
      <c r="J610" s="15">
        <v>128.77699999999999</v>
      </c>
      <c r="K610" s="15">
        <v>147.97200000000001</v>
      </c>
      <c r="L610" s="15">
        <v>4.63</v>
      </c>
      <c r="M610" s="15">
        <v>1.4E-2</v>
      </c>
      <c r="N610" s="15">
        <v>39.756999999999998</v>
      </c>
      <c r="O610" s="15">
        <v>3.6999999999999998E-2</v>
      </c>
      <c r="P610" s="15">
        <v>0.16900000000000001</v>
      </c>
      <c r="Q610" s="15">
        <v>0.158</v>
      </c>
      <c r="R610" s="15">
        <v>0.45500000000000002</v>
      </c>
      <c r="S610" s="15">
        <v>0.58399999999999996</v>
      </c>
      <c r="T610" s="15" t="s">
        <v>23</v>
      </c>
      <c r="U610" s="15" t="s">
        <v>22</v>
      </c>
      <c r="V610" s="15" t="s">
        <v>30</v>
      </c>
      <c r="W610" s="15">
        <v>1</v>
      </c>
      <c r="X610" s="15" t="s">
        <v>32</v>
      </c>
      <c r="Y610" s="12">
        <f t="shared" si="23"/>
        <v>0.19500000000000001</v>
      </c>
      <c r="Z610" s="15">
        <v>-0.13200000000000001</v>
      </c>
    </row>
    <row r="611" spans="1:26" x14ac:dyDescent="0.2">
      <c r="A611" s="15" t="s">
        <v>78</v>
      </c>
      <c r="B611" s="15">
        <v>3721.5</v>
      </c>
      <c r="C611" s="15">
        <v>14.964</v>
      </c>
      <c r="D611" s="15">
        <v>21.957999999999998</v>
      </c>
      <c r="E611" s="15">
        <v>2.1259999999999999</v>
      </c>
      <c r="F611" s="15">
        <v>172.03100000000001</v>
      </c>
      <c r="G611" s="15">
        <v>2.7810000000000001</v>
      </c>
      <c r="H611" s="15">
        <v>8.9009999999999998</v>
      </c>
      <c r="I611" s="15">
        <v>3.032</v>
      </c>
      <c r="J611" s="15">
        <v>115.93600000000001</v>
      </c>
      <c r="K611" s="15">
        <v>132.86600000000001</v>
      </c>
      <c r="L611" s="15">
        <v>4.6669999999999998</v>
      </c>
      <c r="M611" s="15">
        <v>1.4999999999999999E-2</v>
      </c>
      <c r="N611" s="15">
        <v>40.073999999999998</v>
      </c>
      <c r="O611" s="15">
        <v>1.4999999999999999E-2</v>
      </c>
      <c r="P611" s="15">
        <v>0.17</v>
      </c>
      <c r="Q611" s="15">
        <v>0.17199999999999999</v>
      </c>
      <c r="R611" s="15">
        <v>0.46300000000000002</v>
      </c>
      <c r="S611" s="15">
        <v>0.59299999999999997</v>
      </c>
      <c r="T611" s="15" t="s">
        <v>23</v>
      </c>
      <c r="U611" s="15" t="s">
        <v>22</v>
      </c>
      <c r="V611" s="15" t="s">
        <v>30</v>
      </c>
      <c r="W611" s="15">
        <v>1</v>
      </c>
      <c r="X611" s="15" t="s">
        <v>32</v>
      </c>
      <c r="Y611" s="12">
        <f t="shared" si="23"/>
        <v>0.187</v>
      </c>
      <c r="Z611" s="15">
        <v>-0.15500000000000003</v>
      </c>
    </row>
    <row r="612" spans="1:26" x14ac:dyDescent="0.2">
      <c r="A612" s="15" t="s">
        <v>78</v>
      </c>
      <c r="B612" s="15">
        <v>3721.625</v>
      </c>
      <c r="C612" s="15">
        <v>14.954000000000001</v>
      </c>
      <c r="D612" s="15">
        <v>22.088999999999999</v>
      </c>
      <c r="E612" s="15">
        <v>2.0049999999999999</v>
      </c>
      <c r="F612" s="15">
        <v>173.02</v>
      </c>
      <c r="G612" s="15">
        <v>2.78</v>
      </c>
      <c r="H612" s="15">
        <v>9.0220000000000002</v>
      </c>
      <c r="I612" s="15">
        <v>3.0289999999999999</v>
      </c>
      <c r="J612" s="15">
        <v>104.77200000000001</v>
      </c>
      <c r="K612" s="15">
        <v>119.732</v>
      </c>
      <c r="L612" s="15">
        <v>4.681</v>
      </c>
      <c r="M612" s="15">
        <v>1.4999999999999999E-2</v>
      </c>
      <c r="N612" s="15">
        <v>41.853000000000002</v>
      </c>
      <c r="O612" s="15">
        <v>1.0999999999999999E-2</v>
      </c>
      <c r="P612" s="15">
        <v>0.16800000000000001</v>
      </c>
      <c r="Q612" s="15">
        <v>0.186</v>
      </c>
      <c r="R612" s="15">
        <v>0.46200000000000002</v>
      </c>
      <c r="S612" s="15">
        <v>0.60899999999999999</v>
      </c>
      <c r="T612" s="15" t="s">
        <v>23</v>
      </c>
      <c r="U612" s="15" t="s">
        <v>22</v>
      </c>
      <c r="V612" s="15" t="s">
        <v>30</v>
      </c>
      <c r="W612" s="15">
        <v>1</v>
      </c>
      <c r="X612" s="15" t="s">
        <v>32</v>
      </c>
      <c r="Y612" s="12">
        <f t="shared" si="23"/>
        <v>0.19700000000000001</v>
      </c>
      <c r="Z612" s="15">
        <v>-0.157</v>
      </c>
    </row>
    <row r="613" spans="1:26" x14ac:dyDescent="0.2">
      <c r="A613" s="15" t="s">
        <v>78</v>
      </c>
      <c r="B613" s="15">
        <v>3721.75</v>
      </c>
      <c r="C613" s="15">
        <v>15.036</v>
      </c>
      <c r="D613" s="15">
        <v>22.324999999999999</v>
      </c>
      <c r="E613" s="15">
        <v>1.885</v>
      </c>
      <c r="F613" s="15">
        <v>173.63300000000001</v>
      </c>
      <c r="G613" s="15">
        <v>2.7770000000000001</v>
      </c>
      <c r="H613" s="15">
        <v>9.1649999999999991</v>
      </c>
      <c r="I613" s="15">
        <v>3.0249999999999999</v>
      </c>
      <c r="J613" s="15">
        <v>97.227000000000004</v>
      </c>
      <c r="K613" s="15">
        <v>110.85599999999999</v>
      </c>
      <c r="L613" s="15">
        <v>4.6980000000000004</v>
      </c>
      <c r="M613" s="15">
        <v>1.4999999999999999E-2</v>
      </c>
      <c r="N613" s="15">
        <v>45.045999999999999</v>
      </c>
      <c r="O613" s="15">
        <v>1.2E-2</v>
      </c>
      <c r="P613" s="15">
        <v>0.16600000000000001</v>
      </c>
      <c r="Q613" s="15">
        <v>0.19700000000000001</v>
      </c>
      <c r="R613" s="15">
        <v>0.44400000000000001</v>
      </c>
      <c r="S613" s="15">
        <v>0.628</v>
      </c>
      <c r="T613" s="15" t="s">
        <v>23</v>
      </c>
      <c r="U613" s="15" t="s">
        <v>22</v>
      </c>
      <c r="V613" s="15" t="s">
        <v>30</v>
      </c>
      <c r="W613" s="15">
        <v>1</v>
      </c>
      <c r="X613" s="15" t="s">
        <v>32</v>
      </c>
      <c r="Y613" s="12">
        <f t="shared" si="23"/>
        <v>0.20900000000000002</v>
      </c>
      <c r="Z613" s="15">
        <v>-0.154</v>
      </c>
    </row>
    <row r="614" spans="1:26" x14ac:dyDescent="0.2">
      <c r="A614" s="15" t="s">
        <v>78</v>
      </c>
      <c r="B614" s="15">
        <v>3721.875</v>
      </c>
      <c r="C614" s="15">
        <v>14.840999999999999</v>
      </c>
      <c r="D614" s="15">
        <v>22.497</v>
      </c>
      <c r="E614" s="15">
        <v>1.754</v>
      </c>
      <c r="F614" s="15">
        <v>173.81899999999999</v>
      </c>
      <c r="G614" s="15">
        <v>2.77</v>
      </c>
      <c r="H614" s="15">
        <v>9.2910000000000004</v>
      </c>
      <c r="I614" s="15">
        <v>3.02</v>
      </c>
      <c r="J614" s="15">
        <v>93.063000000000002</v>
      </c>
      <c r="K614" s="15">
        <v>105.95699999999999</v>
      </c>
      <c r="L614" s="15">
        <v>4.7290000000000001</v>
      </c>
      <c r="M614" s="15">
        <v>1.4999999999999999E-2</v>
      </c>
      <c r="N614" s="15">
        <v>48.942999999999998</v>
      </c>
      <c r="O614" s="15">
        <v>1.0999999999999999E-2</v>
      </c>
      <c r="P614" s="15">
        <v>0.16200000000000001</v>
      </c>
      <c r="Q614" s="15">
        <v>0.20200000000000001</v>
      </c>
      <c r="R614" s="15">
        <v>0.39900000000000002</v>
      </c>
      <c r="S614" s="15">
        <v>0.64700000000000002</v>
      </c>
      <c r="T614" s="15" t="s">
        <v>23</v>
      </c>
      <c r="U614" s="15" t="s">
        <v>22</v>
      </c>
      <c r="V614" s="15" t="s">
        <v>30</v>
      </c>
      <c r="W614" s="15">
        <v>1</v>
      </c>
      <c r="X614" s="15" t="s">
        <v>32</v>
      </c>
      <c r="Y614" s="12">
        <f t="shared" si="23"/>
        <v>0.21300000000000002</v>
      </c>
      <c r="Z614" s="15">
        <v>-0.151</v>
      </c>
    </row>
    <row r="615" spans="1:26" x14ac:dyDescent="0.2">
      <c r="A615" s="15" t="s">
        <v>78</v>
      </c>
      <c r="B615" s="15">
        <v>3722</v>
      </c>
      <c r="C615" s="15">
        <v>14.326000000000001</v>
      </c>
      <c r="D615" s="15">
        <v>22.465</v>
      </c>
      <c r="E615" s="15">
        <v>1.61</v>
      </c>
      <c r="F615" s="15">
        <v>173.63900000000001</v>
      </c>
      <c r="G615" s="15">
        <v>2.7629999999999999</v>
      </c>
      <c r="H615" s="15">
        <v>9.3230000000000004</v>
      </c>
      <c r="I615" s="15">
        <v>3.0179999999999998</v>
      </c>
      <c r="J615" s="15">
        <v>91.790999999999997</v>
      </c>
      <c r="K615" s="15">
        <v>104.46</v>
      </c>
      <c r="L615" s="15">
        <v>4.7919999999999998</v>
      </c>
      <c r="M615" s="15">
        <v>1.6E-2</v>
      </c>
      <c r="N615" s="15">
        <v>50.051000000000002</v>
      </c>
      <c r="O615" s="15">
        <v>7.0000000000000001E-3</v>
      </c>
      <c r="P615" s="15">
        <v>0.16</v>
      </c>
      <c r="Q615" s="15">
        <v>0.20200000000000001</v>
      </c>
      <c r="R615" s="15">
        <v>0.34100000000000003</v>
      </c>
      <c r="S615" s="15">
        <v>0.65800000000000003</v>
      </c>
      <c r="T615" s="15" t="s">
        <v>23</v>
      </c>
      <c r="U615" s="15" t="s">
        <v>22</v>
      </c>
      <c r="V615" s="15" t="s">
        <v>30</v>
      </c>
      <c r="W615" s="15">
        <v>1</v>
      </c>
      <c r="X615" s="15" t="s">
        <v>32</v>
      </c>
      <c r="Y615" s="12">
        <f t="shared" si="23"/>
        <v>0.20900000000000002</v>
      </c>
      <c r="Z615" s="15">
        <v>-0.153</v>
      </c>
    </row>
    <row r="616" spans="1:26" x14ac:dyDescent="0.2">
      <c r="A616" s="15" t="s">
        <v>78</v>
      </c>
      <c r="B616" s="15">
        <v>3722.125</v>
      </c>
      <c r="C616" s="15">
        <v>13.907999999999999</v>
      </c>
      <c r="D616" s="15">
        <v>22.277000000000001</v>
      </c>
      <c r="E616" s="15">
        <v>1.4990000000000001</v>
      </c>
      <c r="F616" s="15">
        <v>173.024</v>
      </c>
      <c r="G616" s="15">
        <v>2.7570000000000001</v>
      </c>
      <c r="H616" s="15">
        <v>9.2040000000000006</v>
      </c>
      <c r="I616" s="15">
        <v>3.02</v>
      </c>
      <c r="J616" s="15">
        <v>92.814999999999998</v>
      </c>
      <c r="K616" s="15">
        <v>105.664</v>
      </c>
      <c r="L616" s="15">
        <v>4.8470000000000004</v>
      </c>
      <c r="M616" s="15">
        <v>1.7000000000000001E-2</v>
      </c>
      <c r="N616" s="15">
        <v>47.427</v>
      </c>
      <c r="O616" s="15">
        <v>2E-3</v>
      </c>
      <c r="P616" s="15">
        <v>0.16</v>
      </c>
      <c r="Q616" s="15">
        <v>0.19600000000000001</v>
      </c>
      <c r="R616" s="15">
        <v>0.28699999999999998</v>
      </c>
      <c r="S616" s="15">
        <v>0.65</v>
      </c>
      <c r="T616" s="15" t="s">
        <v>23</v>
      </c>
      <c r="U616" s="15" t="s">
        <v>22</v>
      </c>
      <c r="V616" s="15" t="s">
        <v>30</v>
      </c>
      <c r="W616" s="15">
        <v>1</v>
      </c>
      <c r="X616" s="15" t="s">
        <v>32</v>
      </c>
      <c r="Y616" s="12">
        <f t="shared" si="23"/>
        <v>0.19800000000000001</v>
      </c>
      <c r="Z616" s="15">
        <v>-0.158</v>
      </c>
    </row>
    <row r="617" spans="1:26" x14ac:dyDescent="0.2">
      <c r="A617" s="15" t="s">
        <v>78</v>
      </c>
      <c r="B617" s="15">
        <v>3722.25</v>
      </c>
      <c r="C617" s="15">
        <v>14.185</v>
      </c>
      <c r="D617" s="15">
        <v>22.170999999999999</v>
      </c>
      <c r="E617" s="15">
        <v>1.504</v>
      </c>
      <c r="F617" s="15">
        <v>172.09200000000001</v>
      </c>
      <c r="G617" s="15">
        <v>2.7549999999999999</v>
      </c>
      <c r="H617" s="15">
        <v>8.9369999999999994</v>
      </c>
      <c r="I617" s="15">
        <v>3.0190000000000001</v>
      </c>
      <c r="J617" s="15">
        <v>95.251000000000005</v>
      </c>
      <c r="K617" s="15">
        <v>108.53100000000001</v>
      </c>
      <c r="L617" s="15">
        <v>4.8490000000000002</v>
      </c>
      <c r="M617" s="15">
        <v>1.7999999999999999E-2</v>
      </c>
      <c r="N617" s="15">
        <v>44.741999999999997</v>
      </c>
      <c r="O617" s="15">
        <v>2E-3</v>
      </c>
      <c r="P617" s="15">
        <v>0.16</v>
      </c>
      <c r="Q617" s="15">
        <v>0.184</v>
      </c>
      <c r="R617" s="15">
        <v>0.25700000000000001</v>
      </c>
      <c r="S617" s="15">
        <v>0.62</v>
      </c>
      <c r="T617" s="15" t="s">
        <v>23</v>
      </c>
      <c r="U617" s="15" t="s">
        <v>22</v>
      </c>
      <c r="V617" s="15" t="s">
        <v>30</v>
      </c>
      <c r="W617" s="15">
        <v>1</v>
      </c>
      <c r="X617" s="15" t="s">
        <v>32</v>
      </c>
      <c r="Y617" s="12">
        <f t="shared" si="23"/>
        <v>0.186</v>
      </c>
      <c r="Z617" s="15">
        <v>-0.158</v>
      </c>
    </row>
    <row r="618" spans="1:26" x14ac:dyDescent="0.2">
      <c r="A618" s="15" t="s">
        <v>78</v>
      </c>
      <c r="B618" s="15">
        <v>3722.375</v>
      </c>
      <c r="C618" s="15">
        <v>15.327</v>
      </c>
      <c r="D618" s="15">
        <v>22.288</v>
      </c>
      <c r="E618" s="15">
        <v>1.6919999999999999</v>
      </c>
      <c r="F618" s="15">
        <v>171.10599999999999</v>
      </c>
      <c r="G618" s="15">
        <v>2.7589999999999999</v>
      </c>
      <c r="H618" s="15">
        <v>8.6059999999999999</v>
      </c>
      <c r="I618" s="15">
        <v>3.0070000000000001</v>
      </c>
      <c r="J618" s="15">
        <v>98.331999999999994</v>
      </c>
      <c r="K618" s="15">
        <v>112.155</v>
      </c>
      <c r="L618" s="15">
        <v>4.8159999999999998</v>
      </c>
      <c r="M618" s="15">
        <v>1.7000000000000001E-2</v>
      </c>
      <c r="N618" s="15">
        <v>44.176000000000002</v>
      </c>
      <c r="O618" s="15">
        <v>0.01</v>
      </c>
      <c r="P618" s="15">
        <v>0.154</v>
      </c>
      <c r="Q618" s="15">
        <v>0.17100000000000001</v>
      </c>
      <c r="R618" s="15">
        <v>0.26900000000000002</v>
      </c>
      <c r="S618" s="15">
        <v>0.57499999999999996</v>
      </c>
      <c r="T618" s="15" t="s">
        <v>23</v>
      </c>
      <c r="U618" s="15" t="s">
        <v>22</v>
      </c>
      <c r="V618" s="15" t="s">
        <v>30</v>
      </c>
      <c r="W618" s="15">
        <v>1</v>
      </c>
      <c r="X618" s="15" t="s">
        <v>32</v>
      </c>
      <c r="Y618" s="12">
        <f t="shared" si="23"/>
        <v>0.18100000000000002</v>
      </c>
      <c r="Z618" s="15">
        <v>-0.14399999999999999</v>
      </c>
    </row>
    <row r="619" spans="1:26" x14ac:dyDescent="0.2">
      <c r="A619" s="15" t="s">
        <v>78</v>
      </c>
      <c r="B619" s="15">
        <v>3722.5</v>
      </c>
      <c r="C619" s="15">
        <v>16.905999999999999</v>
      </c>
      <c r="D619" s="15">
        <v>22.481999999999999</v>
      </c>
      <c r="E619" s="15">
        <v>2.0350000000000001</v>
      </c>
      <c r="F619" s="15">
        <v>170.05600000000001</v>
      </c>
      <c r="G619" s="15">
        <v>2.766</v>
      </c>
      <c r="H619" s="15">
        <v>8.3330000000000002</v>
      </c>
      <c r="I619" s="15">
        <v>2.9780000000000002</v>
      </c>
      <c r="J619" s="15">
        <v>101.673</v>
      </c>
      <c r="K619" s="15">
        <v>116.086</v>
      </c>
      <c r="L619" s="15">
        <v>4.2779999999999996</v>
      </c>
      <c r="M619" s="15">
        <v>1.4E-2</v>
      </c>
      <c r="N619" s="15">
        <v>53.911000000000001</v>
      </c>
      <c r="O619" s="15">
        <v>2.5000000000000001E-2</v>
      </c>
      <c r="P619" s="15">
        <v>0.13800000000000001</v>
      </c>
      <c r="Q619" s="15">
        <v>0.157</v>
      </c>
      <c r="R619" s="15">
        <v>0.317</v>
      </c>
      <c r="S619" s="15">
        <v>0.53200000000000003</v>
      </c>
      <c r="T619" s="15" t="s">
        <v>23</v>
      </c>
      <c r="U619" s="15" t="s">
        <v>22</v>
      </c>
      <c r="V619" s="15" t="s">
        <v>30</v>
      </c>
      <c r="W619" s="15">
        <v>1</v>
      </c>
      <c r="X619" s="15" t="s">
        <v>32</v>
      </c>
      <c r="Y619" s="12">
        <f t="shared" si="23"/>
        <v>0.182</v>
      </c>
      <c r="Z619" s="15">
        <v>-0.11300000000000002</v>
      </c>
    </row>
    <row r="620" spans="1:26" x14ac:dyDescent="0.2">
      <c r="A620" s="15" t="s">
        <v>78</v>
      </c>
      <c r="B620" s="15">
        <v>3722.625</v>
      </c>
      <c r="C620" s="15">
        <v>18.227</v>
      </c>
      <c r="D620" s="15">
        <v>22.524999999999999</v>
      </c>
      <c r="E620" s="15">
        <v>2.383</v>
      </c>
      <c r="F620" s="15">
        <v>168.98400000000001</v>
      </c>
      <c r="G620" s="15">
        <v>2.7730000000000001</v>
      </c>
      <c r="H620" s="15">
        <v>8.1839999999999993</v>
      </c>
      <c r="I620" s="15">
        <v>2.9340000000000002</v>
      </c>
      <c r="J620" s="15">
        <v>104.852</v>
      </c>
      <c r="K620" s="15">
        <v>119.82599999999999</v>
      </c>
      <c r="L620" s="15">
        <v>3.7040000000000002</v>
      </c>
      <c r="M620" s="15">
        <v>0.01</v>
      </c>
      <c r="N620" s="15">
        <v>64.691000000000003</v>
      </c>
      <c r="O620" s="15">
        <v>0.04</v>
      </c>
      <c r="P620" s="15">
        <v>0.109</v>
      </c>
      <c r="Q620" s="15">
        <v>0.14199999999999999</v>
      </c>
      <c r="R620" s="15">
        <v>0.376</v>
      </c>
      <c r="S620" s="15">
        <v>0.503</v>
      </c>
      <c r="T620" s="15" t="s">
        <v>23</v>
      </c>
      <c r="U620" s="15" t="s">
        <v>22</v>
      </c>
      <c r="V620" s="15" t="s">
        <v>30</v>
      </c>
      <c r="W620" s="15">
        <v>1</v>
      </c>
      <c r="X620" s="15" t="s">
        <v>32</v>
      </c>
      <c r="Y620" s="12">
        <f t="shared" si="23"/>
        <v>0.182</v>
      </c>
      <c r="Z620" s="15">
        <v>-6.9000000000000006E-2</v>
      </c>
    </row>
    <row r="621" spans="1:26" x14ac:dyDescent="0.2">
      <c r="A621" s="15" t="s">
        <v>78</v>
      </c>
      <c r="B621" s="15">
        <v>3722.75</v>
      </c>
      <c r="C621" s="15">
        <v>18.997</v>
      </c>
      <c r="D621" s="15">
        <v>22.391999999999999</v>
      </c>
      <c r="E621" s="15">
        <v>2.5979999999999999</v>
      </c>
      <c r="F621" s="15">
        <v>168.03899999999999</v>
      </c>
      <c r="G621" s="15">
        <v>2.78</v>
      </c>
      <c r="H621" s="15">
        <v>8.1379999999999999</v>
      </c>
      <c r="I621" s="15">
        <v>2.8839999999999999</v>
      </c>
      <c r="J621" s="15">
        <v>107.47799999999999</v>
      </c>
      <c r="K621" s="15">
        <v>122.91500000000001</v>
      </c>
      <c r="L621" s="15">
        <v>3.6549999999999998</v>
      </c>
      <c r="M621" s="15">
        <v>0.01</v>
      </c>
      <c r="N621" s="15">
        <v>64.323999999999998</v>
      </c>
      <c r="O621" s="15">
        <v>5.0999999999999997E-2</v>
      </c>
      <c r="P621" s="15">
        <v>7.2999999999999995E-2</v>
      </c>
      <c r="Q621" s="15">
        <v>0.128</v>
      </c>
      <c r="R621" s="15">
        <v>0.434</v>
      </c>
      <c r="S621" s="15">
        <v>0.49</v>
      </c>
      <c r="T621" s="15" t="s">
        <v>23</v>
      </c>
      <c r="U621" s="15" t="s">
        <v>22</v>
      </c>
      <c r="V621" s="15" t="s">
        <v>30</v>
      </c>
      <c r="W621" s="15">
        <v>1</v>
      </c>
      <c r="X621" s="15" t="s">
        <v>32</v>
      </c>
      <c r="Y621" s="12">
        <f t="shared" si="23"/>
        <v>0.17899999999999999</v>
      </c>
      <c r="Z621" s="15">
        <v>-2.1999999999999999E-2</v>
      </c>
    </row>
    <row r="622" spans="1:26" x14ac:dyDescent="0.2">
      <c r="A622" s="15" t="s">
        <v>78</v>
      </c>
      <c r="B622" s="15">
        <v>3722.875</v>
      </c>
      <c r="C622" s="15">
        <v>19.428000000000001</v>
      </c>
      <c r="D622" s="15">
        <v>22.251000000000001</v>
      </c>
      <c r="E622" s="15">
        <v>2.67</v>
      </c>
      <c r="F622" s="15">
        <v>167.215</v>
      </c>
      <c r="G622" s="15">
        <v>2.7850000000000001</v>
      </c>
      <c r="H622" s="15">
        <v>8.1270000000000007</v>
      </c>
      <c r="I622" s="15">
        <v>2.839</v>
      </c>
      <c r="J622" s="15">
        <v>109.51300000000001</v>
      </c>
      <c r="K622" s="15">
        <v>125.309</v>
      </c>
      <c r="L622" s="15">
        <v>3.6179999999999999</v>
      </c>
      <c r="M622" s="15">
        <v>0.01</v>
      </c>
      <c r="N622" s="15">
        <v>60.045999999999999</v>
      </c>
      <c r="O622" s="15">
        <v>5.7000000000000002E-2</v>
      </c>
      <c r="P622" s="15">
        <v>3.7999999999999999E-2</v>
      </c>
      <c r="Q622" s="15">
        <v>0.115</v>
      </c>
      <c r="R622" s="15">
        <v>0.48299999999999998</v>
      </c>
      <c r="S622" s="15">
        <v>0.48599999999999999</v>
      </c>
      <c r="T622" s="15" t="s">
        <v>23</v>
      </c>
      <c r="U622" s="15" t="s">
        <v>22</v>
      </c>
      <c r="V622" s="15" t="s">
        <v>30</v>
      </c>
      <c r="W622" s="15">
        <v>1</v>
      </c>
      <c r="X622" s="15" t="s">
        <v>32</v>
      </c>
      <c r="Y622" s="12">
        <f t="shared" si="23"/>
        <v>0.17200000000000001</v>
      </c>
      <c r="Z622" s="15">
        <v>1.9000000000000003E-2</v>
      </c>
    </row>
    <row r="623" spans="1:26" x14ac:dyDescent="0.2">
      <c r="A623" s="15" t="s">
        <v>78</v>
      </c>
      <c r="B623" s="15">
        <v>3723</v>
      </c>
      <c r="C623" s="15">
        <v>19.786999999999999</v>
      </c>
      <c r="D623" s="15">
        <v>22.218</v>
      </c>
      <c r="E623" s="15">
        <v>2.633</v>
      </c>
      <c r="F623" s="15">
        <v>166.46199999999999</v>
      </c>
      <c r="G623" s="15">
        <v>2.7890000000000001</v>
      </c>
      <c r="H623" s="15">
        <v>8.0969999999999995</v>
      </c>
      <c r="I623" s="15">
        <v>2.8140000000000001</v>
      </c>
      <c r="J623" s="15">
        <v>111.254</v>
      </c>
      <c r="K623" s="15">
        <v>127.358</v>
      </c>
      <c r="L623" s="15">
        <v>3.5830000000000002</v>
      </c>
      <c r="M623" s="15">
        <v>0.01</v>
      </c>
      <c r="N623" s="15">
        <v>53.466000000000001</v>
      </c>
      <c r="O623" s="15">
        <v>6.0999999999999999E-2</v>
      </c>
      <c r="P623" s="15">
        <v>1.2E-2</v>
      </c>
      <c r="Q623" s="15">
        <v>0.104</v>
      </c>
      <c r="R623" s="15">
        <v>0.51900000000000002</v>
      </c>
      <c r="S623" s="15">
        <v>0.48299999999999998</v>
      </c>
      <c r="T623" s="15" t="s">
        <v>23</v>
      </c>
      <c r="U623" s="15" t="s">
        <v>22</v>
      </c>
      <c r="V623" s="15" t="s">
        <v>30</v>
      </c>
      <c r="W623" s="15">
        <v>1</v>
      </c>
      <c r="X623" s="15" t="s">
        <v>32</v>
      </c>
      <c r="Y623" s="12">
        <f t="shared" si="23"/>
        <v>0.16499999999999998</v>
      </c>
      <c r="Z623" s="15">
        <v>4.9000000000000002E-2</v>
      </c>
    </row>
    <row r="624" spans="1:26" x14ac:dyDescent="0.2">
      <c r="A624" s="15" t="s">
        <v>78</v>
      </c>
      <c r="B624" s="15">
        <v>3723.125</v>
      </c>
      <c r="C624" s="15">
        <v>20.138999999999999</v>
      </c>
      <c r="D624" s="15">
        <v>22.273</v>
      </c>
      <c r="E624" s="15">
        <v>2.4969999999999999</v>
      </c>
      <c r="F624" s="15">
        <v>165.74100000000001</v>
      </c>
      <c r="G624" s="15">
        <v>2.79</v>
      </c>
      <c r="H624" s="15">
        <v>8.0449999999999999</v>
      </c>
      <c r="I624" s="15">
        <v>2.8079999999999998</v>
      </c>
      <c r="J624" s="15">
        <v>113.104</v>
      </c>
      <c r="K624" s="15">
        <v>129.53399999999999</v>
      </c>
      <c r="L624" s="15">
        <v>3.5609999999999999</v>
      </c>
      <c r="M624" s="15">
        <v>0.01</v>
      </c>
      <c r="N624" s="15">
        <v>49.756</v>
      </c>
      <c r="O624" s="15">
        <v>6.5000000000000002E-2</v>
      </c>
      <c r="P624" s="15">
        <v>2E-3</v>
      </c>
      <c r="Q624" s="15">
        <v>9.4E-2</v>
      </c>
      <c r="R624" s="15">
        <v>0.53800000000000003</v>
      </c>
      <c r="S624" s="15">
        <v>0.47699999999999998</v>
      </c>
      <c r="T624" s="15" t="s">
        <v>23</v>
      </c>
      <c r="U624" s="15" t="s">
        <v>22</v>
      </c>
      <c r="V624" s="15" t="s">
        <v>30</v>
      </c>
      <c r="W624" s="15">
        <v>1</v>
      </c>
      <c r="X624" s="15" t="s">
        <v>32</v>
      </c>
      <c r="Y624" s="12">
        <f t="shared" si="23"/>
        <v>0.159</v>
      </c>
      <c r="Z624" s="15">
        <v>6.3E-2</v>
      </c>
    </row>
    <row r="625" spans="1:26" x14ac:dyDescent="0.2">
      <c r="A625" s="15" t="s">
        <v>78</v>
      </c>
      <c r="B625" s="15">
        <v>3723.25</v>
      </c>
      <c r="C625" s="15">
        <v>20.359000000000002</v>
      </c>
      <c r="D625" s="15">
        <v>22.331</v>
      </c>
      <c r="E625" s="15">
        <v>2.2839999999999998</v>
      </c>
      <c r="F625" s="15">
        <v>164.935</v>
      </c>
      <c r="G625" s="15">
        <v>2.7879999999999998</v>
      </c>
      <c r="H625" s="15">
        <v>7.9930000000000003</v>
      </c>
      <c r="I625" s="15">
        <v>2.8119999999999998</v>
      </c>
      <c r="J625" s="15">
        <v>115.253</v>
      </c>
      <c r="K625" s="15">
        <v>132.06299999999999</v>
      </c>
      <c r="L625" s="15">
        <v>3.569</v>
      </c>
      <c r="M625" s="15">
        <v>0.01</v>
      </c>
      <c r="N625" s="15">
        <v>50.457999999999998</v>
      </c>
      <c r="O625" s="15">
        <v>6.7000000000000004E-2</v>
      </c>
      <c r="P625" s="15">
        <v>2E-3</v>
      </c>
      <c r="Q625" s="15">
        <v>8.3000000000000004E-2</v>
      </c>
      <c r="R625" s="15">
        <v>0.53200000000000003</v>
      </c>
      <c r="S625" s="15">
        <v>0.47</v>
      </c>
      <c r="T625" s="15" t="s">
        <v>23</v>
      </c>
      <c r="U625" s="15" t="s">
        <v>22</v>
      </c>
      <c r="V625" s="15" t="s">
        <v>30</v>
      </c>
      <c r="W625" s="15">
        <v>1</v>
      </c>
      <c r="X625" s="15" t="s">
        <v>32</v>
      </c>
      <c r="Y625" s="12">
        <f t="shared" si="23"/>
        <v>0.15000000000000002</v>
      </c>
      <c r="Z625" s="15">
        <v>6.5000000000000002E-2</v>
      </c>
    </row>
    <row r="626" spans="1:26" x14ac:dyDescent="0.2">
      <c r="A626" s="15" t="s">
        <v>78</v>
      </c>
      <c r="B626" s="15">
        <v>3723.375</v>
      </c>
      <c r="C626" s="15">
        <v>20.324999999999999</v>
      </c>
      <c r="D626" s="15">
        <v>22.37</v>
      </c>
      <c r="E626" s="15">
        <v>2.0489999999999999</v>
      </c>
      <c r="F626" s="15">
        <v>163.93899999999999</v>
      </c>
      <c r="G626" s="15">
        <v>2.7829999999999999</v>
      </c>
      <c r="H626" s="15">
        <v>7.952</v>
      </c>
      <c r="I626" s="15">
        <v>2.8220000000000001</v>
      </c>
      <c r="J626" s="15">
        <v>117.774</v>
      </c>
      <c r="K626" s="15">
        <v>135.029</v>
      </c>
      <c r="L626" s="15">
        <v>3.5939999999999999</v>
      </c>
      <c r="M626" s="15">
        <v>0.01</v>
      </c>
      <c r="N626" s="15">
        <v>52.357999999999997</v>
      </c>
      <c r="O626" s="15">
        <v>6.8000000000000005E-2</v>
      </c>
      <c r="P626" s="15">
        <v>7.0000000000000001E-3</v>
      </c>
      <c r="Q626" s="15">
        <v>7.0999999999999994E-2</v>
      </c>
      <c r="R626" s="15">
        <v>0.501</v>
      </c>
      <c r="S626" s="15">
        <v>0.46300000000000002</v>
      </c>
      <c r="T626" s="15" t="s">
        <v>23</v>
      </c>
      <c r="U626" s="15" t="s">
        <v>22</v>
      </c>
      <c r="V626" s="15" t="s">
        <v>30</v>
      </c>
      <c r="W626" s="15">
        <v>1</v>
      </c>
      <c r="X626" s="15" t="s">
        <v>32</v>
      </c>
      <c r="Y626" s="12">
        <f t="shared" si="23"/>
        <v>0.13900000000000001</v>
      </c>
      <c r="Z626" s="15">
        <v>6.1000000000000006E-2</v>
      </c>
    </row>
    <row r="627" spans="1:26" x14ac:dyDescent="0.2">
      <c r="A627" s="15" t="s">
        <v>78</v>
      </c>
      <c r="B627" s="15">
        <v>3723.5</v>
      </c>
      <c r="C627" s="15">
        <v>20.021999999999998</v>
      </c>
      <c r="D627" s="15">
        <v>22.416</v>
      </c>
      <c r="E627" s="15">
        <v>1.845</v>
      </c>
      <c r="F627" s="15">
        <v>162.74600000000001</v>
      </c>
      <c r="G627" s="15">
        <v>2.7759999999999998</v>
      </c>
      <c r="H627" s="15">
        <v>7.907</v>
      </c>
      <c r="I627" s="15">
        <v>2.8319999999999999</v>
      </c>
      <c r="J627" s="15">
        <v>120.85299999999999</v>
      </c>
      <c r="K627" s="15">
        <v>138.65</v>
      </c>
      <c r="L627" s="15">
        <v>3.6520000000000001</v>
      </c>
      <c r="M627" s="15">
        <v>0.01</v>
      </c>
      <c r="N627" s="15">
        <v>53.896999999999998</v>
      </c>
      <c r="O627" s="15">
        <v>6.6000000000000003E-2</v>
      </c>
      <c r="P627" s="15">
        <v>1.4999999999999999E-2</v>
      </c>
      <c r="Q627" s="15">
        <v>5.5E-2</v>
      </c>
      <c r="R627" s="15">
        <v>0.44900000000000001</v>
      </c>
      <c r="S627" s="15">
        <v>0.45700000000000002</v>
      </c>
      <c r="T627" s="15" t="s">
        <v>23</v>
      </c>
      <c r="U627" s="15" t="s">
        <v>22</v>
      </c>
      <c r="V627" s="15" t="s">
        <v>30</v>
      </c>
      <c r="W627" s="15">
        <v>1</v>
      </c>
      <c r="X627" s="15" t="s">
        <v>32</v>
      </c>
      <c r="Y627" s="12">
        <f t="shared" si="23"/>
        <v>0.121</v>
      </c>
      <c r="Z627" s="15">
        <v>5.1000000000000004E-2</v>
      </c>
    </row>
    <row r="628" spans="1:26" x14ac:dyDescent="0.2">
      <c r="A628" s="15" t="s">
        <v>78</v>
      </c>
      <c r="B628" s="15">
        <v>3723.625</v>
      </c>
      <c r="C628" s="15">
        <v>19.721</v>
      </c>
      <c r="D628" s="15">
        <v>22.446000000000002</v>
      </c>
      <c r="E628" s="15">
        <v>1.7050000000000001</v>
      </c>
      <c r="F628" s="15">
        <v>161.47999999999999</v>
      </c>
      <c r="G628" s="15">
        <v>2.7709999999999999</v>
      </c>
      <c r="H628" s="15">
        <v>7.84</v>
      </c>
      <c r="I628" s="15">
        <v>2.8519999999999999</v>
      </c>
      <c r="J628" s="15">
        <v>125</v>
      </c>
      <c r="K628" s="15">
        <v>143.53</v>
      </c>
      <c r="L628" s="15">
        <v>3.702</v>
      </c>
      <c r="M628" s="15">
        <v>0.01</v>
      </c>
      <c r="N628" s="15">
        <v>52.06</v>
      </c>
      <c r="O628" s="15">
        <v>6.3E-2</v>
      </c>
      <c r="P628" s="15">
        <v>2.7E-2</v>
      </c>
      <c r="Q628" s="15">
        <v>3.7999999999999999E-2</v>
      </c>
      <c r="R628" s="15">
        <v>0.40100000000000002</v>
      </c>
      <c r="S628" s="15">
        <v>0.44800000000000001</v>
      </c>
      <c r="T628" s="15" t="s">
        <v>23</v>
      </c>
      <c r="U628" s="15" t="s">
        <v>22</v>
      </c>
      <c r="V628" s="15" t="s">
        <v>30</v>
      </c>
      <c r="W628" s="15">
        <v>1</v>
      </c>
      <c r="X628" s="15" t="s">
        <v>32</v>
      </c>
      <c r="Y628" s="12">
        <f t="shared" si="23"/>
        <v>0.10100000000000001</v>
      </c>
      <c r="Z628" s="15">
        <v>3.6000000000000004E-2</v>
      </c>
    </row>
    <row r="629" spans="1:26" x14ac:dyDescent="0.2">
      <c r="A629" s="15" t="s">
        <v>78</v>
      </c>
      <c r="B629" s="15">
        <v>3723.75</v>
      </c>
      <c r="C629" s="15">
        <v>19.817</v>
      </c>
      <c r="D629" s="15">
        <v>22.396999999999998</v>
      </c>
      <c r="E629" s="15">
        <v>1.623</v>
      </c>
      <c r="F629" s="15">
        <v>160.37100000000001</v>
      </c>
      <c r="G629" s="15">
        <v>2.77</v>
      </c>
      <c r="H629" s="15">
        <v>7.7480000000000002</v>
      </c>
      <c r="I629" s="15">
        <v>2.8889999999999998</v>
      </c>
      <c r="J629" s="15">
        <v>131.09800000000001</v>
      </c>
      <c r="K629" s="15">
        <v>150.70500000000001</v>
      </c>
      <c r="L629" s="15">
        <v>3.7010000000000001</v>
      </c>
      <c r="M629" s="15">
        <v>0.01</v>
      </c>
      <c r="N629" s="15">
        <v>47.05</v>
      </c>
      <c r="O629" s="15">
        <v>6.2E-2</v>
      </c>
      <c r="P629" s="15">
        <v>0.05</v>
      </c>
      <c r="Q629" s="15">
        <v>2.1000000000000001E-2</v>
      </c>
      <c r="R629" s="15">
        <v>0.378</v>
      </c>
      <c r="S629" s="15">
        <v>0.436</v>
      </c>
      <c r="T629" s="15" t="s">
        <v>23</v>
      </c>
      <c r="U629" s="15" t="s">
        <v>22</v>
      </c>
      <c r="V629" s="15" t="s">
        <v>30</v>
      </c>
      <c r="W629" s="15">
        <v>1</v>
      </c>
      <c r="X629" s="15" t="s">
        <v>32</v>
      </c>
      <c r="Y629" s="12">
        <f t="shared" si="23"/>
        <v>8.3000000000000004E-2</v>
      </c>
      <c r="Z629" s="15">
        <v>1.1999999999999997E-2</v>
      </c>
    </row>
    <row r="630" spans="1:26" x14ac:dyDescent="0.2">
      <c r="A630" s="15" t="s">
        <v>78</v>
      </c>
      <c r="B630" s="15">
        <v>3723.875</v>
      </c>
      <c r="C630" s="15">
        <v>20.475000000000001</v>
      </c>
      <c r="D630" s="15">
        <v>22.251000000000001</v>
      </c>
      <c r="E630" s="15">
        <v>1.575</v>
      </c>
      <c r="F630" s="15">
        <v>159.583</v>
      </c>
      <c r="G630" s="15">
        <v>2.7749999999999999</v>
      </c>
      <c r="H630" s="15">
        <v>7.6390000000000002</v>
      </c>
      <c r="I630" s="15">
        <v>2.9289999999999998</v>
      </c>
      <c r="J630" s="15">
        <v>140.459</v>
      </c>
      <c r="K630" s="15">
        <v>161.71600000000001</v>
      </c>
      <c r="L630" s="15">
        <v>3.2210000000000001</v>
      </c>
      <c r="M630" s="15">
        <v>0.01</v>
      </c>
      <c r="N630" s="15">
        <v>48.603999999999999</v>
      </c>
      <c r="O630" s="15">
        <v>6.7000000000000004E-2</v>
      </c>
      <c r="P630" s="15">
        <v>7.9000000000000001E-2</v>
      </c>
      <c r="Q630" s="15">
        <v>8.0000000000000002E-3</v>
      </c>
      <c r="R630" s="15">
        <v>0.39900000000000002</v>
      </c>
      <c r="S630" s="15">
        <v>0.42199999999999999</v>
      </c>
      <c r="T630" s="15" t="s">
        <v>23</v>
      </c>
      <c r="U630" s="15" t="s">
        <v>22</v>
      </c>
      <c r="V630" s="15" t="s">
        <v>30</v>
      </c>
      <c r="W630" s="15">
        <v>1</v>
      </c>
      <c r="X630" s="15" t="s">
        <v>32</v>
      </c>
      <c r="Y630" s="12">
        <f t="shared" si="23"/>
        <v>7.5000000000000011E-2</v>
      </c>
      <c r="Z630" s="15">
        <v>-1.1999999999999997E-2</v>
      </c>
    </row>
    <row r="631" spans="1:26" x14ac:dyDescent="0.2">
      <c r="A631" s="15" t="s">
        <v>78</v>
      </c>
      <c r="B631" s="15">
        <v>3724</v>
      </c>
      <c r="C631" s="15">
        <v>21.565999999999999</v>
      </c>
      <c r="D631" s="15">
        <v>22.094999999999999</v>
      </c>
      <c r="E631" s="15">
        <v>1.548</v>
      </c>
      <c r="F631" s="15">
        <v>159.31399999999999</v>
      </c>
      <c r="G631" s="15">
        <v>2.7829999999999999</v>
      </c>
      <c r="H631" s="15">
        <v>7.5309999999999997</v>
      </c>
      <c r="I631" s="15">
        <v>2.9620000000000002</v>
      </c>
      <c r="J631" s="15">
        <v>154.226</v>
      </c>
      <c r="K631" s="15">
        <v>177.91300000000001</v>
      </c>
      <c r="L631" s="15">
        <v>2.653</v>
      </c>
      <c r="M631" s="15">
        <v>0.01</v>
      </c>
      <c r="N631" s="15">
        <v>52.082999999999998</v>
      </c>
      <c r="O631" s="15">
        <v>7.5999999999999998E-2</v>
      </c>
      <c r="P631" s="15">
        <v>0.106</v>
      </c>
      <c r="Q631" s="15">
        <v>2E-3</v>
      </c>
      <c r="R631" s="15">
        <v>0.45600000000000002</v>
      </c>
      <c r="S631" s="15">
        <v>0.40600000000000003</v>
      </c>
      <c r="T631" s="15" t="s">
        <v>23</v>
      </c>
      <c r="U631" s="15" t="s">
        <v>22</v>
      </c>
      <c r="V631" s="15" t="s">
        <v>30</v>
      </c>
      <c r="W631" s="15">
        <v>1</v>
      </c>
      <c r="X631" s="15" t="s">
        <v>32</v>
      </c>
      <c r="Y631" s="12">
        <f t="shared" si="23"/>
        <v>7.8E-2</v>
      </c>
      <c r="Z631" s="15">
        <v>-0.03</v>
      </c>
    </row>
    <row r="632" spans="1:26" x14ac:dyDescent="0.2">
      <c r="A632" s="15" t="s">
        <v>78</v>
      </c>
      <c r="B632" s="15">
        <v>3724.125</v>
      </c>
      <c r="C632" s="15">
        <v>22.728999999999999</v>
      </c>
      <c r="D632" s="15">
        <v>22.099</v>
      </c>
      <c r="E632" s="15">
        <v>1.54</v>
      </c>
      <c r="F632" s="15">
        <v>160.096</v>
      </c>
      <c r="G632" s="15">
        <v>2.7909999999999999</v>
      </c>
      <c r="H632" s="15">
        <v>7.44</v>
      </c>
      <c r="I632" s="15">
        <v>2.9689999999999999</v>
      </c>
      <c r="J632" s="15">
        <v>173.45699999999999</v>
      </c>
      <c r="K632" s="15">
        <v>200.53800000000001</v>
      </c>
      <c r="L632" s="15">
        <v>2.5590000000000002</v>
      </c>
      <c r="M632" s="15">
        <v>0.01</v>
      </c>
      <c r="N632" s="15">
        <v>51.848999999999997</v>
      </c>
      <c r="O632" s="15">
        <v>8.7999999999999995E-2</v>
      </c>
      <c r="P632" s="15">
        <v>0.12</v>
      </c>
      <c r="Q632" s="15">
        <v>6.0000000000000001E-3</v>
      </c>
      <c r="R632" s="15">
        <v>0.52200000000000002</v>
      </c>
      <c r="S632" s="15">
        <v>0.39100000000000001</v>
      </c>
      <c r="T632" s="15" t="s">
        <v>23</v>
      </c>
      <c r="U632" s="15" t="s">
        <v>22</v>
      </c>
      <c r="V632" s="15" t="s">
        <v>30</v>
      </c>
      <c r="W632" s="15">
        <v>1</v>
      </c>
      <c r="X632" s="15" t="s">
        <v>32</v>
      </c>
      <c r="Y632" s="12">
        <f t="shared" si="23"/>
        <v>9.4E-2</v>
      </c>
      <c r="Z632" s="15">
        <v>-3.2000000000000001E-2</v>
      </c>
    </row>
    <row r="633" spans="1:26" x14ac:dyDescent="0.2">
      <c r="A633" s="15" t="s">
        <v>78</v>
      </c>
      <c r="B633" s="15">
        <v>3724.25</v>
      </c>
      <c r="C633" s="15">
        <v>23.792000000000002</v>
      </c>
      <c r="D633" s="15">
        <v>22.327999999999999</v>
      </c>
      <c r="E633" s="15">
        <v>1.556</v>
      </c>
      <c r="F633" s="15">
        <v>162.19999999999999</v>
      </c>
      <c r="G633" s="15">
        <v>2.794</v>
      </c>
      <c r="H633" s="15">
        <v>7.3890000000000002</v>
      </c>
      <c r="I633" s="15">
        <v>2.952</v>
      </c>
      <c r="J633" s="15">
        <v>199.16399999999999</v>
      </c>
      <c r="K633" s="15">
        <v>230.78100000000001</v>
      </c>
      <c r="L633" s="15">
        <v>2.5249999999999999</v>
      </c>
      <c r="M633" s="15">
        <v>0.01</v>
      </c>
      <c r="N633" s="15">
        <v>54.942</v>
      </c>
      <c r="O633" s="15">
        <v>0.1</v>
      </c>
      <c r="P633" s="15">
        <v>0.114</v>
      </c>
      <c r="Q633" s="15">
        <v>2.8000000000000001E-2</v>
      </c>
      <c r="R633" s="15">
        <v>0.56499999999999995</v>
      </c>
      <c r="S633" s="15">
        <v>0.38200000000000001</v>
      </c>
      <c r="T633" s="15" t="s">
        <v>23</v>
      </c>
      <c r="U633" s="15" t="s">
        <v>22</v>
      </c>
      <c r="V633" s="15" t="s">
        <v>30</v>
      </c>
      <c r="W633" s="15">
        <v>1</v>
      </c>
      <c r="X633" s="15" t="s">
        <v>32</v>
      </c>
      <c r="Y633" s="12">
        <f t="shared" si="23"/>
        <v>0.128</v>
      </c>
      <c r="Z633" s="15">
        <v>-1.3999999999999999E-2</v>
      </c>
    </row>
    <row r="634" spans="1:26" x14ac:dyDescent="0.2">
      <c r="A634" s="15" t="s">
        <v>78</v>
      </c>
      <c r="B634" s="15">
        <v>3724.375</v>
      </c>
      <c r="C634" s="15">
        <v>25.254999999999999</v>
      </c>
      <c r="D634" s="15">
        <v>22.635999999999999</v>
      </c>
      <c r="E634" s="15">
        <v>1.641</v>
      </c>
      <c r="F634" s="15">
        <v>165.261</v>
      </c>
      <c r="G634" s="15">
        <v>2.7919999999999998</v>
      </c>
      <c r="H634" s="15">
        <v>7.4020000000000001</v>
      </c>
      <c r="I634" s="15">
        <v>2.944</v>
      </c>
      <c r="J634" s="15">
        <v>230.46600000000001</v>
      </c>
      <c r="K634" s="15">
        <v>267.60700000000003</v>
      </c>
      <c r="L634" s="15">
        <v>2.5110000000000001</v>
      </c>
      <c r="M634" s="15">
        <v>0.01</v>
      </c>
      <c r="N634" s="15">
        <v>59.218000000000004</v>
      </c>
      <c r="O634" s="15">
        <v>0.114</v>
      </c>
      <c r="P634" s="15">
        <v>0.105</v>
      </c>
      <c r="Q634" s="15">
        <v>6.5000000000000002E-2</v>
      </c>
      <c r="R634" s="15">
        <v>0.56499999999999995</v>
      </c>
      <c r="S634" s="15">
        <v>0.38</v>
      </c>
      <c r="T634" s="15" t="s">
        <v>23</v>
      </c>
      <c r="U634" s="15" t="s">
        <v>22</v>
      </c>
      <c r="V634" s="15" t="s">
        <v>30</v>
      </c>
      <c r="W634" s="15">
        <v>1</v>
      </c>
      <c r="X634" s="15" t="s">
        <v>32</v>
      </c>
      <c r="Y634" s="12">
        <f t="shared" si="23"/>
        <v>0.17899999999999999</v>
      </c>
      <c r="Z634" s="15">
        <v>9.000000000000008E-3</v>
      </c>
    </row>
    <row r="635" spans="1:26" x14ac:dyDescent="0.2">
      <c r="A635" s="15" t="s">
        <v>78</v>
      </c>
      <c r="B635" s="15">
        <v>3724.5</v>
      </c>
      <c r="C635" s="15">
        <v>28.54</v>
      </c>
      <c r="D635" s="15">
        <v>22.834</v>
      </c>
      <c r="E635" s="15">
        <v>1.9930000000000001</v>
      </c>
      <c r="F635" s="15">
        <v>168.816</v>
      </c>
      <c r="G635" s="15">
        <v>2.7869999999999999</v>
      </c>
      <c r="H635" s="15">
        <v>7.4720000000000004</v>
      </c>
      <c r="I635" s="15">
        <v>2.9620000000000002</v>
      </c>
      <c r="J635" s="15">
        <v>263.56299999999999</v>
      </c>
      <c r="K635" s="15">
        <v>306.54500000000002</v>
      </c>
      <c r="L635" s="15">
        <v>2.4449999999999998</v>
      </c>
      <c r="M635" s="15">
        <v>0.01</v>
      </c>
      <c r="N635" s="15">
        <v>62.651000000000003</v>
      </c>
      <c r="O635" s="15">
        <v>0.14099999999999999</v>
      </c>
      <c r="P635" s="15">
        <v>0.111</v>
      </c>
      <c r="Q635" s="15">
        <v>0.112</v>
      </c>
      <c r="R635" s="15">
        <v>0.53400000000000003</v>
      </c>
      <c r="S635" s="15">
        <v>0.38600000000000001</v>
      </c>
      <c r="T635" s="15" t="s">
        <v>23</v>
      </c>
      <c r="U635" s="15" t="s">
        <v>22</v>
      </c>
      <c r="V635" s="15" t="s">
        <v>30</v>
      </c>
      <c r="W635" s="15">
        <v>1</v>
      </c>
      <c r="X635" s="15" t="s">
        <v>32</v>
      </c>
      <c r="Y635" s="12">
        <f t="shared" si="23"/>
        <v>0.253</v>
      </c>
      <c r="Z635" s="15">
        <v>2.9999999999999985E-2</v>
      </c>
    </row>
    <row r="636" spans="1:26" x14ac:dyDescent="0.2">
      <c r="A636" s="15" t="s">
        <v>78</v>
      </c>
      <c r="B636" s="15">
        <v>3724.625</v>
      </c>
      <c r="C636" s="15">
        <v>36.103999999999999</v>
      </c>
      <c r="D636" s="15">
        <v>22.855</v>
      </c>
      <c r="E636" s="15">
        <v>2.87</v>
      </c>
      <c r="F636" s="15">
        <v>172.22300000000001</v>
      </c>
      <c r="G636" s="15">
        <v>2.7810000000000001</v>
      </c>
      <c r="H636" s="15">
        <v>7.5650000000000004</v>
      </c>
      <c r="I636" s="15">
        <v>3.0179999999999998</v>
      </c>
      <c r="J636" s="15">
        <v>290.53899999999999</v>
      </c>
      <c r="K636" s="15">
        <v>338.28199999999998</v>
      </c>
      <c r="L636" s="15">
        <v>2.262</v>
      </c>
      <c r="M636" s="15">
        <v>0.01</v>
      </c>
      <c r="N636" s="15">
        <v>64.805000000000007</v>
      </c>
      <c r="O636" s="15">
        <v>0.20200000000000001</v>
      </c>
      <c r="P636" s="15">
        <v>0.14099999999999999</v>
      </c>
      <c r="Q636" s="15">
        <v>0.161</v>
      </c>
      <c r="R636" s="15">
        <v>0.48699999999999999</v>
      </c>
      <c r="S636" s="15">
        <v>0.39900000000000002</v>
      </c>
      <c r="T636" s="15" t="s">
        <v>23</v>
      </c>
      <c r="U636" s="15" t="s">
        <v>22</v>
      </c>
      <c r="V636" s="15" t="s">
        <v>30</v>
      </c>
      <c r="W636" s="15">
        <v>1</v>
      </c>
      <c r="X636" s="15" t="s">
        <v>32</v>
      </c>
      <c r="Y636" s="12">
        <f t="shared" si="23"/>
        <v>0.36299999999999999</v>
      </c>
      <c r="Z636" s="15">
        <v>6.1000000000000026E-2</v>
      </c>
    </row>
    <row r="637" spans="1:26" x14ac:dyDescent="0.2">
      <c r="A637" s="15" t="s">
        <v>78</v>
      </c>
      <c r="B637" s="15">
        <v>3724.75</v>
      </c>
      <c r="C637" s="15">
        <v>49.033999999999999</v>
      </c>
      <c r="D637" s="15">
        <v>22.815000000000001</v>
      </c>
      <c r="E637" s="15">
        <v>4.0510000000000002</v>
      </c>
      <c r="F637" s="15">
        <v>174.83699999999999</v>
      </c>
      <c r="G637" s="15">
        <v>2.7770000000000001</v>
      </c>
      <c r="H637" s="15">
        <v>7.6909999999999998</v>
      </c>
      <c r="I637" s="15">
        <v>3.117</v>
      </c>
      <c r="J637" s="15">
        <v>302.70999999999998</v>
      </c>
      <c r="K637" s="15">
        <v>352.6</v>
      </c>
      <c r="L637" s="15">
        <v>1.107</v>
      </c>
      <c r="M637" s="15">
        <v>6.0000000000000001E-3</v>
      </c>
      <c r="N637" s="15">
        <v>82.417000000000002</v>
      </c>
      <c r="O637" s="15">
        <v>0.315</v>
      </c>
      <c r="P637" s="15">
        <v>0.20300000000000001</v>
      </c>
      <c r="Q637" s="15">
        <v>0.20200000000000001</v>
      </c>
      <c r="R637" s="15">
        <v>0.44700000000000001</v>
      </c>
      <c r="S637" s="15">
        <v>0.41499999999999998</v>
      </c>
      <c r="T637" s="15" t="s">
        <v>23</v>
      </c>
      <c r="U637" s="15" t="s">
        <v>22</v>
      </c>
      <c r="V637" s="15" t="s">
        <v>30</v>
      </c>
      <c r="W637" s="15">
        <v>1</v>
      </c>
      <c r="X637" s="15" t="s">
        <v>32</v>
      </c>
      <c r="Y637" s="12">
        <f t="shared" si="23"/>
        <v>0.51700000000000002</v>
      </c>
      <c r="Z637" s="15">
        <v>0.11199999999999999</v>
      </c>
    </row>
    <row r="638" spans="1:26" x14ac:dyDescent="0.2">
      <c r="A638" s="15" t="s">
        <v>78</v>
      </c>
      <c r="B638" s="15">
        <v>3724.875</v>
      </c>
      <c r="C638" s="15">
        <v>65.837999999999994</v>
      </c>
      <c r="D638" s="15">
        <v>22.789000000000001</v>
      </c>
      <c r="E638" s="15">
        <v>5.0529999999999999</v>
      </c>
      <c r="F638" s="15">
        <v>176.755</v>
      </c>
      <c r="G638" s="15">
        <v>2.7749999999999999</v>
      </c>
      <c r="H638" s="15">
        <v>7.9450000000000003</v>
      </c>
      <c r="I638" s="15">
        <v>3.2349999999999999</v>
      </c>
      <c r="J638" s="15">
        <v>295.392</v>
      </c>
      <c r="K638" s="15">
        <v>343.99</v>
      </c>
      <c r="L638" s="15">
        <v>0.01</v>
      </c>
      <c r="M638" s="15">
        <v>1E-3</v>
      </c>
      <c r="N638" s="15">
        <v>100</v>
      </c>
      <c r="O638" s="15">
        <v>0.47699999999999998</v>
      </c>
      <c r="P638" s="15">
        <v>0.28599999999999998</v>
      </c>
      <c r="Q638" s="15">
        <v>0.23300000000000001</v>
      </c>
      <c r="R638" s="15">
        <v>0.42399999999999999</v>
      </c>
      <c r="S638" s="15">
        <v>0.44400000000000001</v>
      </c>
      <c r="T638" s="15"/>
      <c r="U638" s="15" t="s">
        <v>33</v>
      </c>
      <c r="V638" s="15" t="s">
        <v>30</v>
      </c>
      <c r="W638" s="15">
        <v>1</v>
      </c>
      <c r="X638" s="15" t="s">
        <v>32</v>
      </c>
      <c r="Y638" s="12">
        <f t="shared" si="23"/>
        <v>0.71</v>
      </c>
      <c r="Z638" s="15">
        <v>0.191</v>
      </c>
    </row>
    <row r="639" spans="1:26" x14ac:dyDescent="0.2">
      <c r="A639" s="15" t="s">
        <v>79</v>
      </c>
      <c r="B639" s="15">
        <v>3372.75</v>
      </c>
      <c r="C639" s="15">
        <v>45.704000000000001</v>
      </c>
      <c r="D639" s="15">
        <v>24.913</v>
      </c>
      <c r="E639" s="15">
        <v>3.5459999999999998</v>
      </c>
      <c r="F639" s="15">
        <v>169.43</v>
      </c>
      <c r="G639" s="15">
        <v>2.7210000000000001</v>
      </c>
      <c r="H639" s="15">
        <v>10.802</v>
      </c>
      <c r="I639" s="15">
        <v>2.956</v>
      </c>
      <c r="J639" s="15">
        <v>194.334</v>
      </c>
      <c r="K639" s="15">
        <v>216.84299999999999</v>
      </c>
      <c r="L639" s="15">
        <v>3.863</v>
      </c>
      <c r="M639" s="15">
        <v>1.6E-2</v>
      </c>
      <c r="N639" s="15">
        <v>44.402000000000001</v>
      </c>
      <c r="O639" s="15">
        <v>0.23499999999999999</v>
      </c>
      <c r="P639" s="15">
        <v>0.252</v>
      </c>
      <c r="Q639" s="15">
        <v>0.20499999999999999</v>
      </c>
      <c r="R639" s="15">
        <v>0.40500000000000003</v>
      </c>
      <c r="S639" s="15">
        <v>0.70699999999999996</v>
      </c>
      <c r="T639" s="15" t="s">
        <v>23</v>
      </c>
      <c r="U639" s="15" t="s">
        <v>22</v>
      </c>
      <c r="V639" s="15" t="s">
        <v>30</v>
      </c>
      <c r="W639" s="15">
        <v>2</v>
      </c>
      <c r="X639" s="15" t="s">
        <v>85</v>
      </c>
      <c r="Y639" s="12">
        <f t="shared" si="23"/>
        <v>0.43999999999999995</v>
      </c>
      <c r="Z639" s="15">
        <v>-1.7000000000000015E-2</v>
      </c>
    </row>
    <row r="640" spans="1:26" x14ac:dyDescent="0.2">
      <c r="A640" s="15" t="s">
        <v>79</v>
      </c>
      <c r="B640" s="15">
        <v>3372.875</v>
      </c>
      <c r="C640" s="15">
        <v>30.24</v>
      </c>
      <c r="D640" s="15">
        <v>24.145</v>
      </c>
      <c r="E640" s="15">
        <v>2.6819999999999999</v>
      </c>
      <c r="F640" s="15">
        <v>163.06</v>
      </c>
      <c r="G640" s="15">
        <v>2.7389999999999999</v>
      </c>
      <c r="H640" s="15">
        <v>9.266</v>
      </c>
      <c r="I640" s="15">
        <v>2.94</v>
      </c>
      <c r="J640" s="15">
        <v>281.14499999999998</v>
      </c>
      <c r="K640" s="15">
        <v>312.74400000000003</v>
      </c>
      <c r="L640" s="15">
        <v>3.9790000000000001</v>
      </c>
      <c r="M640" s="15">
        <v>1.2999999999999999E-2</v>
      </c>
      <c r="N640" s="15">
        <v>33.299999999999997</v>
      </c>
      <c r="O640" s="15">
        <v>0.127</v>
      </c>
      <c r="P640" s="15">
        <v>0.245</v>
      </c>
      <c r="Q640" s="15">
        <v>0.14399999999999999</v>
      </c>
      <c r="R640" s="15">
        <v>0.45500000000000002</v>
      </c>
      <c r="S640" s="15">
        <v>0.59599999999999997</v>
      </c>
      <c r="T640" s="15" t="s">
        <v>23</v>
      </c>
      <c r="U640" s="15" t="s">
        <v>22</v>
      </c>
      <c r="V640" s="15" t="s">
        <v>30</v>
      </c>
      <c r="W640" s="15">
        <v>2</v>
      </c>
      <c r="X640" s="15" t="s">
        <v>85</v>
      </c>
      <c r="Y640" s="12">
        <f t="shared" si="23"/>
        <v>0.27100000000000002</v>
      </c>
      <c r="Z640" s="15">
        <v>-0.11799999999999999</v>
      </c>
    </row>
    <row r="641" spans="1:26" x14ac:dyDescent="0.2">
      <c r="A641" s="15" t="s">
        <v>79</v>
      </c>
      <c r="B641" s="15">
        <v>3373</v>
      </c>
      <c r="C641" s="15">
        <v>21.774000000000001</v>
      </c>
      <c r="D641" s="15">
        <v>23.404</v>
      </c>
      <c r="E641" s="15">
        <v>2.0569999999999999</v>
      </c>
      <c r="F641" s="15">
        <v>159.773</v>
      </c>
      <c r="G641" s="15">
        <v>2.762</v>
      </c>
      <c r="H641" s="15">
        <v>7.5110000000000001</v>
      </c>
      <c r="I641" s="15">
        <v>2.9359999999999999</v>
      </c>
      <c r="J641" s="15">
        <v>367.85300000000001</v>
      </c>
      <c r="K641" s="15">
        <v>407.07900000000001</v>
      </c>
      <c r="L641" s="15">
        <v>2.2669999999999999</v>
      </c>
      <c r="M641" s="15">
        <v>0.01</v>
      </c>
      <c r="N641" s="15">
        <v>57.445</v>
      </c>
      <c r="O641" s="15">
        <v>6.9000000000000006E-2</v>
      </c>
      <c r="P641" s="15">
        <v>0.24399999999999999</v>
      </c>
      <c r="Q641" s="15">
        <v>0.114</v>
      </c>
      <c r="R641" s="15">
        <v>0.51500000000000001</v>
      </c>
      <c r="S641" s="15">
        <v>0.47399999999999998</v>
      </c>
      <c r="T641" s="15" t="s">
        <v>23</v>
      </c>
      <c r="U641" s="15" t="s">
        <v>22</v>
      </c>
      <c r="V641" s="15" t="s">
        <v>30</v>
      </c>
      <c r="W641" s="15">
        <v>2</v>
      </c>
      <c r="X641" s="15" t="s">
        <v>85</v>
      </c>
      <c r="Y641" s="12">
        <f t="shared" si="23"/>
        <v>0.183</v>
      </c>
      <c r="Z641" s="15">
        <v>-0.17499999999999999</v>
      </c>
    </row>
    <row r="642" spans="1:26" x14ac:dyDescent="0.2">
      <c r="A642" s="15" t="s">
        <v>79</v>
      </c>
      <c r="B642" s="15">
        <v>3373.125</v>
      </c>
      <c r="C642" s="15">
        <v>18.367000000000001</v>
      </c>
      <c r="D642" s="15">
        <v>23.132000000000001</v>
      </c>
      <c r="E642" s="15">
        <v>1.718</v>
      </c>
      <c r="F642" s="15">
        <v>158.85</v>
      </c>
      <c r="G642" s="15">
        <v>2.7789999999999999</v>
      </c>
      <c r="H642" s="15">
        <v>6.3769999999999998</v>
      </c>
      <c r="I642" s="15">
        <v>2.9510000000000001</v>
      </c>
      <c r="J642" s="15">
        <v>426.91500000000002</v>
      </c>
      <c r="K642" s="15">
        <v>473.09699999999998</v>
      </c>
      <c r="L642" s="15">
        <v>1.8360000000000001</v>
      </c>
      <c r="M642" s="15">
        <v>0.01</v>
      </c>
      <c r="N642" s="15">
        <v>61.523000000000003</v>
      </c>
      <c r="O642" s="15">
        <v>4.4999999999999998E-2</v>
      </c>
      <c r="P642" s="15">
        <v>0.251</v>
      </c>
      <c r="Q642" s="15">
        <v>0.105</v>
      </c>
      <c r="R642" s="15">
        <v>0.56000000000000005</v>
      </c>
      <c r="S642" s="15">
        <v>0.39600000000000002</v>
      </c>
      <c r="T642" s="15" t="s">
        <v>23</v>
      </c>
      <c r="U642" s="15" t="s">
        <v>22</v>
      </c>
      <c r="V642" s="15" t="s">
        <v>30</v>
      </c>
      <c r="W642" s="15">
        <v>2</v>
      </c>
      <c r="X642" s="15" t="s">
        <v>85</v>
      </c>
      <c r="Y642" s="12">
        <f t="shared" si="23"/>
        <v>0.15</v>
      </c>
      <c r="Z642" s="15">
        <v>-0.20600000000000002</v>
      </c>
    </row>
    <row r="643" spans="1:26" x14ac:dyDescent="0.2">
      <c r="A643" s="15" t="s">
        <v>79</v>
      </c>
      <c r="B643" s="15">
        <v>3373.25</v>
      </c>
      <c r="C643" s="15">
        <v>17.135000000000002</v>
      </c>
      <c r="D643" s="15">
        <v>23.125</v>
      </c>
      <c r="E643" s="15">
        <v>1.597</v>
      </c>
      <c r="F643" s="15">
        <v>158.53100000000001</v>
      </c>
      <c r="G643" s="15">
        <v>2.7890000000000001</v>
      </c>
      <c r="H643" s="15">
        <v>5.8840000000000003</v>
      </c>
      <c r="I643" s="15">
        <v>2.97</v>
      </c>
      <c r="J643" s="15">
        <v>450.65600000000001</v>
      </c>
      <c r="K643" s="15">
        <v>504.13099999999997</v>
      </c>
      <c r="L643" s="15">
        <v>1.82</v>
      </c>
      <c r="M643" s="15">
        <v>0.01</v>
      </c>
      <c r="N643" s="15">
        <v>57.784999999999997</v>
      </c>
      <c r="O643" s="15">
        <v>3.6999999999999998E-2</v>
      </c>
      <c r="P643" s="15">
        <v>0.26</v>
      </c>
      <c r="Q643" s="15">
        <v>0.10199999999999999</v>
      </c>
      <c r="R643" s="15">
        <v>0.58599999999999997</v>
      </c>
      <c r="S643" s="15">
        <v>0.36299999999999999</v>
      </c>
      <c r="T643" s="15" t="s">
        <v>23</v>
      </c>
      <c r="U643" s="15" t="s">
        <v>22</v>
      </c>
      <c r="V643" s="15" t="s">
        <v>30</v>
      </c>
      <c r="W643" s="15">
        <v>2</v>
      </c>
      <c r="X643" s="15" t="s">
        <v>85</v>
      </c>
      <c r="Y643" s="12">
        <f t="shared" ref="Y643:Y706" si="24">O643+Q643</f>
        <v>0.13899999999999998</v>
      </c>
      <c r="Z643" s="15">
        <v>-0.223</v>
      </c>
    </row>
    <row r="644" spans="1:26" x14ac:dyDescent="0.2">
      <c r="A644" s="15" t="s">
        <v>79</v>
      </c>
      <c r="B644" s="15">
        <v>3373.375</v>
      </c>
      <c r="C644" s="15">
        <v>16.3</v>
      </c>
      <c r="D644" s="15">
        <v>23.103999999999999</v>
      </c>
      <c r="E644" s="15">
        <v>1.5229999999999999</v>
      </c>
      <c r="F644" s="15">
        <v>157.90600000000001</v>
      </c>
      <c r="G644" s="15">
        <v>2.7959999999999998</v>
      </c>
      <c r="H644" s="15">
        <v>5.7709999999999999</v>
      </c>
      <c r="I644" s="15">
        <v>2.976</v>
      </c>
      <c r="J644" s="15">
        <v>454.541</v>
      </c>
      <c r="K644" s="15">
        <v>515.80899999999997</v>
      </c>
      <c r="L644" s="15">
        <v>1.804</v>
      </c>
      <c r="M644" s="15">
        <v>0.01</v>
      </c>
      <c r="N644" s="15">
        <v>57.337000000000003</v>
      </c>
      <c r="O644" s="15">
        <v>3.1E-2</v>
      </c>
      <c r="P644" s="15">
        <v>0.26400000000000001</v>
      </c>
      <c r="Q644" s="15">
        <v>9.6000000000000002E-2</v>
      </c>
      <c r="R644" s="15">
        <v>0.60599999999999998</v>
      </c>
      <c r="S644" s="15">
        <v>0.35599999999999998</v>
      </c>
      <c r="T644" s="15" t="s">
        <v>23</v>
      </c>
      <c r="U644" s="15" t="s">
        <v>22</v>
      </c>
      <c r="V644" s="15" t="s">
        <v>30</v>
      </c>
      <c r="W644" s="15">
        <v>2</v>
      </c>
      <c r="X644" s="15" t="s">
        <v>85</v>
      </c>
      <c r="Y644" s="12">
        <f t="shared" si="24"/>
        <v>0.127</v>
      </c>
      <c r="Z644" s="15">
        <v>-0.23300000000000001</v>
      </c>
    </row>
    <row r="645" spans="1:26" x14ac:dyDescent="0.2">
      <c r="A645" s="15" t="s">
        <v>79</v>
      </c>
      <c r="B645" s="15">
        <v>3373.5</v>
      </c>
      <c r="C645" s="15">
        <v>15.358000000000001</v>
      </c>
      <c r="D645" s="15">
        <v>23.038</v>
      </c>
      <c r="E645" s="15">
        <v>1.4239999999999999</v>
      </c>
      <c r="F645" s="15">
        <v>157.334</v>
      </c>
      <c r="G645" s="15">
        <v>2.8050000000000002</v>
      </c>
      <c r="H645" s="15">
        <v>5.84</v>
      </c>
      <c r="I645" s="15">
        <v>3.0230000000000001</v>
      </c>
      <c r="J645" s="15">
        <v>452.84399999999999</v>
      </c>
      <c r="K645" s="15">
        <v>521.42600000000004</v>
      </c>
      <c r="L645" s="15">
        <v>1.7689999999999999</v>
      </c>
      <c r="M645" s="15">
        <v>0.01</v>
      </c>
      <c r="N645" s="15">
        <v>60.781999999999996</v>
      </c>
      <c r="O645" s="15">
        <v>2.4E-2</v>
      </c>
      <c r="P645" s="15">
        <v>0.28599999999999998</v>
      </c>
      <c r="Q645" s="15">
        <v>0.09</v>
      </c>
      <c r="R645" s="15">
        <v>0.629</v>
      </c>
      <c r="S645" s="15">
        <v>0.36099999999999999</v>
      </c>
      <c r="T645" s="15" t="s">
        <v>23</v>
      </c>
      <c r="U645" s="15" t="s">
        <v>22</v>
      </c>
      <c r="V645" s="15" t="s">
        <v>30</v>
      </c>
      <c r="W645" s="15">
        <v>2</v>
      </c>
      <c r="X645" s="15" t="s">
        <v>85</v>
      </c>
      <c r="Y645" s="12">
        <f t="shared" si="24"/>
        <v>0.11399999999999999</v>
      </c>
      <c r="Z645" s="15">
        <v>-0.26199999999999996</v>
      </c>
    </row>
    <row r="646" spans="1:26" x14ac:dyDescent="0.2">
      <c r="A646" s="15" t="s">
        <v>79</v>
      </c>
      <c r="B646" s="15">
        <v>3373.625</v>
      </c>
      <c r="C646" s="15">
        <v>14.319000000000001</v>
      </c>
      <c r="D646" s="15">
        <v>23.024000000000001</v>
      </c>
      <c r="E646" s="15">
        <v>1.302</v>
      </c>
      <c r="F646" s="15">
        <v>157.24100000000001</v>
      </c>
      <c r="G646" s="15">
        <v>2.81</v>
      </c>
      <c r="H646" s="15">
        <v>5.9390000000000001</v>
      </c>
      <c r="I646" s="15">
        <v>3.05</v>
      </c>
      <c r="J646" s="15">
        <v>445.28500000000003</v>
      </c>
      <c r="K646" s="15">
        <v>518.27599999999995</v>
      </c>
      <c r="L646" s="15">
        <v>1.7769999999999999</v>
      </c>
      <c r="M646" s="15">
        <v>0.01</v>
      </c>
      <c r="N646" s="15">
        <v>64.372</v>
      </c>
      <c r="O646" s="15">
        <v>1.6E-2</v>
      </c>
      <c r="P646" s="15">
        <v>0.29799999999999999</v>
      </c>
      <c r="Q646" s="15">
        <v>0.09</v>
      </c>
      <c r="R646" s="15">
        <v>0.64100000000000001</v>
      </c>
      <c r="S646" s="15">
        <v>0.36699999999999999</v>
      </c>
      <c r="T646" s="15" t="s">
        <v>23</v>
      </c>
      <c r="U646" s="15" t="s">
        <v>22</v>
      </c>
      <c r="V646" s="15" t="s">
        <v>30</v>
      </c>
      <c r="W646" s="15">
        <v>2</v>
      </c>
      <c r="X646" s="15" t="s">
        <v>85</v>
      </c>
      <c r="Y646" s="12">
        <f t="shared" si="24"/>
        <v>0.106</v>
      </c>
      <c r="Z646" s="15">
        <v>-0.28199999999999997</v>
      </c>
    </row>
    <row r="647" spans="1:26" x14ac:dyDescent="0.2">
      <c r="A647" s="15" t="s">
        <v>79</v>
      </c>
      <c r="B647" s="15">
        <v>3373.75</v>
      </c>
      <c r="C647" s="15">
        <v>13.45</v>
      </c>
      <c r="D647" s="15">
        <v>23.052</v>
      </c>
      <c r="E647" s="15">
        <v>1.1859999999999999</v>
      </c>
      <c r="F647" s="15">
        <v>157.571</v>
      </c>
      <c r="G647" s="15">
        <v>2.8090000000000002</v>
      </c>
      <c r="H647" s="15">
        <v>5.91</v>
      </c>
      <c r="I647" s="15">
        <v>3.0550000000000002</v>
      </c>
      <c r="J647" s="15">
        <v>423.60599999999999</v>
      </c>
      <c r="K647" s="15">
        <v>495.08</v>
      </c>
      <c r="L647" s="15">
        <v>1.8069999999999999</v>
      </c>
      <c r="M647" s="15">
        <v>0.01</v>
      </c>
      <c r="N647" s="15">
        <v>66.105999999999995</v>
      </c>
      <c r="O647" s="15">
        <v>0.01</v>
      </c>
      <c r="P647" s="15">
        <v>0.3</v>
      </c>
      <c r="Q647" s="15">
        <v>9.2999999999999999E-2</v>
      </c>
      <c r="R647" s="15">
        <v>0.63700000000000001</v>
      </c>
      <c r="S647" s="15">
        <v>0.36399999999999999</v>
      </c>
      <c r="T647" s="15" t="s">
        <v>23</v>
      </c>
      <c r="U647" s="15" t="s">
        <v>22</v>
      </c>
      <c r="V647" s="15" t="s">
        <v>30</v>
      </c>
      <c r="W647" s="15">
        <v>2</v>
      </c>
      <c r="X647" s="15" t="s">
        <v>85</v>
      </c>
      <c r="Y647" s="12">
        <f t="shared" si="24"/>
        <v>0.10299999999999999</v>
      </c>
      <c r="Z647" s="15">
        <v>-0.28999999999999998</v>
      </c>
    </row>
    <row r="648" spans="1:26" x14ac:dyDescent="0.2">
      <c r="A648" s="15" t="s">
        <v>79</v>
      </c>
      <c r="B648" s="15">
        <v>3373.875</v>
      </c>
      <c r="C648" s="15">
        <v>13.163</v>
      </c>
      <c r="D648" s="15">
        <v>23.111999999999998</v>
      </c>
      <c r="E648" s="15">
        <v>1.0960000000000001</v>
      </c>
      <c r="F648" s="15">
        <v>158.363</v>
      </c>
      <c r="G648" s="15">
        <v>2.8</v>
      </c>
      <c r="H648" s="15">
        <v>5.6980000000000004</v>
      </c>
      <c r="I648" s="15">
        <v>3.05</v>
      </c>
      <c r="J648" s="15">
        <v>384.21800000000002</v>
      </c>
      <c r="K648" s="15">
        <v>447.69499999999999</v>
      </c>
      <c r="L648" s="15">
        <v>1.879</v>
      </c>
      <c r="M648" s="15">
        <v>0.01</v>
      </c>
      <c r="N648" s="15">
        <v>68.912000000000006</v>
      </c>
      <c r="O648" s="15">
        <v>8.9999999999999993E-3</v>
      </c>
      <c r="P648" s="15">
        <v>0.29799999999999999</v>
      </c>
      <c r="Q648" s="15">
        <v>0.10100000000000001</v>
      </c>
      <c r="R648" s="15">
        <v>0.61299999999999999</v>
      </c>
      <c r="S648" s="15">
        <v>0.34899999999999998</v>
      </c>
      <c r="T648" s="15" t="s">
        <v>23</v>
      </c>
      <c r="U648" s="15" t="s">
        <v>22</v>
      </c>
      <c r="V648" s="15" t="s">
        <v>30</v>
      </c>
      <c r="W648" s="15">
        <v>2</v>
      </c>
      <c r="X648" s="15" t="s">
        <v>85</v>
      </c>
      <c r="Y648" s="12">
        <f t="shared" si="24"/>
        <v>0.11</v>
      </c>
      <c r="Z648" s="15">
        <v>-0.28899999999999998</v>
      </c>
    </row>
    <row r="649" spans="1:26" x14ac:dyDescent="0.2">
      <c r="A649" s="15" t="s">
        <v>79</v>
      </c>
      <c r="B649" s="15">
        <v>3374</v>
      </c>
      <c r="C649" s="15">
        <v>13.528</v>
      </c>
      <c r="D649" s="15">
        <v>23.186</v>
      </c>
      <c r="E649" s="15">
        <v>1.0309999999999999</v>
      </c>
      <c r="F649" s="15">
        <v>159.11600000000001</v>
      </c>
      <c r="G649" s="15">
        <v>2.7909999999999999</v>
      </c>
      <c r="H649" s="15">
        <v>5.4930000000000003</v>
      </c>
      <c r="I649" s="15">
        <v>3.0339999999999998</v>
      </c>
      <c r="J649" s="15">
        <v>331.70299999999997</v>
      </c>
      <c r="K649" s="15">
        <v>383.322</v>
      </c>
      <c r="L649" s="15">
        <v>1.923</v>
      </c>
      <c r="M649" s="15">
        <v>0.01</v>
      </c>
      <c r="N649" s="15">
        <v>74.616</v>
      </c>
      <c r="O649" s="15">
        <v>1.0999999999999999E-2</v>
      </c>
      <c r="P649" s="15">
        <v>0.28999999999999998</v>
      </c>
      <c r="Q649" s="15">
        <v>0.108</v>
      </c>
      <c r="R649" s="15">
        <v>0.59</v>
      </c>
      <c r="S649" s="15">
        <v>0.33600000000000002</v>
      </c>
      <c r="T649" s="15" t="s">
        <v>23</v>
      </c>
      <c r="U649" s="15" t="s">
        <v>22</v>
      </c>
      <c r="V649" s="15" t="s">
        <v>30</v>
      </c>
      <c r="W649" s="15">
        <v>2</v>
      </c>
      <c r="X649" s="15" t="s">
        <v>85</v>
      </c>
      <c r="Y649" s="12">
        <f t="shared" si="24"/>
        <v>0.11899999999999999</v>
      </c>
      <c r="Z649" s="15">
        <v>-0.27899999999999997</v>
      </c>
    </row>
    <row r="650" spans="1:26" x14ac:dyDescent="0.2">
      <c r="A650" s="15" t="s">
        <v>79</v>
      </c>
      <c r="B650" s="15">
        <v>3374.125</v>
      </c>
      <c r="C650" s="15">
        <v>13.962999999999999</v>
      </c>
      <c r="D650" s="15">
        <v>23.245999999999999</v>
      </c>
      <c r="E650" s="15">
        <v>0.99</v>
      </c>
      <c r="F650" s="15">
        <v>159.31399999999999</v>
      </c>
      <c r="G650" s="15">
        <v>2.7869999999999999</v>
      </c>
      <c r="H650" s="15">
        <v>5.5209999999999999</v>
      </c>
      <c r="I650" s="15">
        <v>3.008</v>
      </c>
      <c r="J650" s="15">
        <v>278.31900000000002</v>
      </c>
      <c r="K650" s="15">
        <v>318.22000000000003</v>
      </c>
      <c r="L650" s="15">
        <v>1.9279999999999999</v>
      </c>
      <c r="M650" s="15">
        <v>0.01</v>
      </c>
      <c r="N650" s="15">
        <v>77.941000000000003</v>
      </c>
      <c r="O650" s="15">
        <v>1.4E-2</v>
      </c>
      <c r="P650" s="15">
        <v>0.27600000000000002</v>
      </c>
      <c r="Q650" s="15">
        <v>0.11</v>
      </c>
      <c r="R650" s="15">
        <v>0.57999999999999996</v>
      </c>
      <c r="S650" s="15">
        <v>0.33900000000000002</v>
      </c>
      <c r="T650" s="15" t="s">
        <v>23</v>
      </c>
      <c r="U650" s="15" t="s">
        <v>22</v>
      </c>
      <c r="V650" s="15" t="s">
        <v>30</v>
      </c>
      <c r="W650" s="15">
        <v>2</v>
      </c>
      <c r="X650" s="15" t="s">
        <v>85</v>
      </c>
      <c r="Y650" s="12">
        <f t="shared" si="24"/>
        <v>0.124</v>
      </c>
      <c r="Z650" s="15">
        <v>-0.26200000000000001</v>
      </c>
    </row>
    <row r="651" spans="1:26" x14ac:dyDescent="0.2">
      <c r="A651" s="15" t="s">
        <v>79</v>
      </c>
      <c r="B651" s="15">
        <v>3374.25</v>
      </c>
      <c r="C651" s="15">
        <v>14.093999999999999</v>
      </c>
      <c r="D651" s="15">
        <v>23.323</v>
      </c>
      <c r="E651" s="15">
        <v>0.97699999999999998</v>
      </c>
      <c r="F651" s="15">
        <v>159.31</v>
      </c>
      <c r="G651" s="15">
        <v>2.7909999999999999</v>
      </c>
      <c r="H651" s="15">
        <v>5.8440000000000003</v>
      </c>
      <c r="I651" s="15">
        <v>2.9550000000000001</v>
      </c>
      <c r="J651" s="15">
        <v>232.68100000000001</v>
      </c>
      <c r="K651" s="15">
        <v>262.84100000000001</v>
      </c>
      <c r="L651" s="15">
        <v>1.883</v>
      </c>
      <c r="M651" s="15">
        <v>0.01</v>
      </c>
      <c r="N651" s="15">
        <v>82.046000000000006</v>
      </c>
      <c r="O651" s="15">
        <v>1.4999999999999999E-2</v>
      </c>
      <c r="P651" s="15">
        <v>0.249</v>
      </c>
      <c r="Q651" s="15">
        <v>0.11</v>
      </c>
      <c r="R651" s="15">
        <v>0.59199999999999997</v>
      </c>
      <c r="S651" s="15">
        <v>0.36299999999999999</v>
      </c>
      <c r="T651" s="15" t="s">
        <v>23</v>
      </c>
      <c r="U651" s="15" t="s">
        <v>22</v>
      </c>
      <c r="V651" s="15" t="s">
        <v>30</v>
      </c>
      <c r="W651" s="15">
        <v>2</v>
      </c>
      <c r="X651" s="15" t="s">
        <v>85</v>
      </c>
      <c r="Y651" s="12">
        <f t="shared" si="24"/>
        <v>0.125</v>
      </c>
      <c r="Z651" s="15">
        <v>-0.23399999999999999</v>
      </c>
    </row>
    <row r="652" spans="1:26" x14ac:dyDescent="0.2">
      <c r="A652" s="15" t="s">
        <v>79</v>
      </c>
      <c r="B652" s="15">
        <v>3374.375</v>
      </c>
      <c r="C652" s="15">
        <v>14.135999999999999</v>
      </c>
      <c r="D652" s="15">
        <v>23.442</v>
      </c>
      <c r="E652" s="15">
        <v>0.98499999999999999</v>
      </c>
      <c r="F652" s="15">
        <v>159.56299999999999</v>
      </c>
      <c r="G652" s="15">
        <v>2.8</v>
      </c>
      <c r="H652" s="15">
        <v>6.367</v>
      </c>
      <c r="I652" s="15">
        <v>2.859</v>
      </c>
      <c r="J652" s="15">
        <v>198.577</v>
      </c>
      <c r="K652" s="15">
        <v>221.53700000000001</v>
      </c>
      <c r="L652" s="15">
        <v>2.5169999999999999</v>
      </c>
      <c r="M652" s="15">
        <v>0.01</v>
      </c>
      <c r="N652" s="15">
        <v>64.911000000000001</v>
      </c>
      <c r="O652" s="15">
        <v>1.6E-2</v>
      </c>
      <c r="P652" s="15">
        <v>0.20200000000000001</v>
      </c>
      <c r="Q652" s="15">
        <v>0.113</v>
      </c>
      <c r="R652" s="15">
        <v>0.61599999999999999</v>
      </c>
      <c r="S652" s="15">
        <v>0.40100000000000002</v>
      </c>
      <c r="T652" s="15" t="s">
        <v>23</v>
      </c>
      <c r="U652" s="15" t="s">
        <v>22</v>
      </c>
      <c r="V652" s="15" t="s">
        <v>30</v>
      </c>
      <c r="W652" s="15">
        <v>2</v>
      </c>
      <c r="X652" s="15" t="s">
        <v>85</v>
      </c>
      <c r="Y652" s="12">
        <f t="shared" si="24"/>
        <v>0.129</v>
      </c>
      <c r="Z652" s="15">
        <v>-0.186</v>
      </c>
    </row>
    <row r="653" spans="1:26" x14ac:dyDescent="0.2">
      <c r="A653" s="15" t="s">
        <v>79</v>
      </c>
      <c r="B653" s="15">
        <v>3374.5</v>
      </c>
      <c r="C653" s="15">
        <v>14.571</v>
      </c>
      <c r="D653" s="15">
        <v>23.5</v>
      </c>
      <c r="E653" s="15">
        <v>1.002</v>
      </c>
      <c r="F653" s="15">
        <v>159.959</v>
      </c>
      <c r="G653" s="15">
        <v>2.8090000000000002</v>
      </c>
      <c r="H653" s="15">
        <v>6.9779999999999998</v>
      </c>
      <c r="I653" s="15">
        <v>2.75</v>
      </c>
      <c r="J653" s="15">
        <v>174.904</v>
      </c>
      <c r="K653" s="15">
        <v>192.79599999999999</v>
      </c>
      <c r="L653" s="15">
        <v>2.6890000000000001</v>
      </c>
      <c r="M653" s="15">
        <v>0.01</v>
      </c>
      <c r="N653" s="15">
        <v>60.747</v>
      </c>
      <c r="O653" s="15">
        <v>1.9E-2</v>
      </c>
      <c r="P653" s="15">
        <v>0.151</v>
      </c>
      <c r="Q653" s="15">
        <v>0.11700000000000001</v>
      </c>
      <c r="R653" s="15">
        <v>0.64</v>
      </c>
      <c r="S653" s="15">
        <v>0.44500000000000001</v>
      </c>
      <c r="T653" s="15" t="s">
        <v>23</v>
      </c>
      <c r="U653" s="15" t="s">
        <v>22</v>
      </c>
      <c r="V653" s="15" t="s">
        <v>30</v>
      </c>
      <c r="W653" s="15">
        <v>2</v>
      </c>
      <c r="X653" s="15" t="s">
        <v>85</v>
      </c>
      <c r="Y653" s="12">
        <f t="shared" si="24"/>
        <v>0.13600000000000001</v>
      </c>
      <c r="Z653" s="15">
        <v>-0.13200000000000001</v>
      </c>
    </row>
    <row r="654" spans="1:26" x14ac:dyDescent="0.2">
      <c r="A654" s="15" t="s">
        <v>79</v>
      </c>
      <c r="B654" s="15">
        <v>3374.625</v>
      </c>
      <c r="C654" s="15">
        <v>15.462999999999999</v>
      </c>
      <c r="D654" s="15">
        <v>23.39</v>
      </c>
      <c r="E654" s="15">
        <v>1.014</v>
      </c>
      <c r="F654" s="15">
        <v>160.41</v>
      </c>
      <c r="G654" s="15">
        <v>2.8159999999999998</v>
      </c>
      <c r="H654" s="15">
        <v>7.577</v>
      </c>
      <c r="I654" s="15">
        <v>2.6850000000000001</v>
      </c>
      <c r="J654" s="15">
        <v>160.61699999999999</v>
      </c>
      <c r="K654" s="15">
        <v>175.13800000000001</v>
      </c>
      <c r="L654" s="15">
        <v>3.3290000000000002</v>
      </c>
      <c r="M654" s="15">
        <v>0.01</v>
      </c>
      <c r="N654" s="15">
        <v>50.22</v>
      </c>
      <c r="O654" s="15">
        <v>2.5000000000000001E-2</v>
      </c>
      <c r="P654" s="15">
        <v>0.122</v>
      </c>
      <c r="Q654" s="15">
        <v>0.121</v>
      </c>
      <c r="R654" s="15">
        <v>0.65800000000000003</v>
      </c>
      <c r="S654" s="15">
        <v>0.48699999999999999</v>
      </c>
      <c r="T654" s="15" t="s">
        <v>23</v>
      </c>
      <c r="U654" s="15" t="s">
        <v>22</v>
      </c>
      <c r="V654" s="15" t="s">
        <v>30</v>
      </c>
      <c r="W654" s="15">
        <v>2</v>
      </c>
      <c r="X654" s="15" t="s">
        <v>85</v>
      </c>
      <c r="Y654" s="12">
        <f t="shared" si="24"/>
        <v>0.14599999999999999</v>
      </c>
      <c r="Z654" s="15">
        <v>-9.7000000000000003E-2</v>
      </c>
    </row>
    <row r="655" spans="1:26" x14ac:dyDescent="0.2">
      <c r="A655" s="15" t="s">
        <v>79</v>
      </c>
      <c r="B655" s="15">
        <v>3374.75</v>
      </c>
      <c r="C655" s="15">
        <v>16.204999999999998</v>
      </c>
      <c r="D655" s="15">
        <v>23.248999999999999</v>
      </c>
      <c r="E655" s="15">
        <v>1.0129999999999999</v>
      </c>
      <c r="F655" s="15">
        <v>160.505</v>
      </c>
      <c r="G655" s="15">
        <v>2.82</v>
      </c>
      <c r="H655" s="15">
        <v>8.0310000000000006</v>
      </c>
      <c r="I655" s="15">
        <v>2.677</v>
      </c>
      <c r="J655" s="15">
        <v>154.374</v>
      </c>
      <c r="K655" s="15">
        <v>166.858</v>
      </c>
      <c r="L655" s="15">
        <v>3.496</v>
      </c>
      <c r="M655" s="15">
        <v>0.01</v>
      </c>
      <c r="N655" s="15">
        <v>45.344999999999999</v>
      </c>
      <c r="O655" s="15">
        <v>3.1E-2</v>
      </c>
      <c r="P655" s="15">
        <v>0.11899999999999999</v>
      </c>
      <c r="Q655" s="15">
        <v>0.121</v>
      </c>
      <c r="R655" s="15">
        <v>0.66900000000000004</v>
      </c>
      <c r="S655" s="15">
        <v>0.51800000000000002</v>
      </c>
      <c r="T655" s="15" t="s">
        <v>23</v>
      </c>
      <c r="U655" s="15" t="s">
        <v>22</v>
      </c>
      <c r="V655" s="15" t="s">
        <v>30</v>
      </c>
      <c r="W655" s="15">
        <v>2</v>
      </c>
      <c r="X655" s="15" t="s">
        <v>85</v>
      </c>
      <c r="Y655" s="12">
        <f t="shared" si="24"/>
        <v>0.152</v>
      </c>
      <c r="Z655" s="15">
        <v>-8.7999999999999995E-2</v>
      </c>
    </row>
    <row r="656" spans="1:26" x14ac:dyDescent="0.2">
      <c r="A656" s="15" t="s">
        <v>79</v>
      </c>
      <c r="B656" s="15">
        <v>3374.875</v>
      </c>
      <c r="C656" s="15">
        <v>16.332000000000001</v>
      </c>
      <c r="D656" s="15">
        <v>23.257000000000001</v>
      </c>
      <c r="E656" s="15">
        <v>0.997</v>
      </c>
      <c r="F656" s="15">
        <v>159.779</v>
      </c>
      <c r="G656" s="15">
        <v>2.8239999999999998</v>
      </c>
      <c r="H656" s="15">
        <v>8.1989999999999998</v>
      </c>
      <c r="I656" s="15">
        <v>2.6970000000000001</v>
      </c>
      <c r="J656" s="15">
        <v>153.53299999999999</v>
      </c>
      <c r="K656" s="15">
        <v>164.98</v>
      </c>
      <c r="L656" s="15">
        <v>3.4780000000000002</v>
      </c>
      <c r="M656" s="15">
        <v>0.01</v>
      </c>
      <c r="N656" s="15">
        <v>43.985999999999997</v>
      </c>
      <c r="O656" s="15">
        <v>3.1E-2</v>
      </c>
      <c r="P656" s="15">
        <v>0.129</v>
      </c>
      <c r="Q656" s="15">
        <v>0.114</v>
      </c>
      <c r="R656" s="15">
        <v>0.67900000000000005</v>
      </c>
      <c r="S656" s="15">
        <v>0.52800000000000002</v>
      </c>
      <c r="T656" s="15" t="s">
        <v>23</v>
      </c>
      <c r="U656" s="15" t="s">
        <v>22</v>
      </c>
      <c r="V656" s="15" t="s">
        <v>30</v>
      </c>
      <c r="W656" s="15">
        <v>2</v>
      </c>
      <c r="X656" s="15" t="s">
        <v>85</v>
      </c>
      <c r="Y656" s="12">
        <f t="shared" si="24"/>
        <v>0.14500000000000002</v>
      </c>
      <c r="Z656" s="15">
        <v>-9.8000000000000004E-2</v>
      </c>
    </row>
    <row r="657" spans="1:26" x14ac:dyDescent="0.2">
      <c r="A657" s="15" t="s">
        <v>79</v>
      </c>
      <c r="B657" s="15">
        <v>3375</v>
      </c>
      <c r="C657" s="15">
        <v>15.869</v>
      </c>
      <c r="D657" s="15">
        <v>23.332000000000001</v>
      </c>
      <c r="E657" s="15">
        <v>0.96199999999999997</v>
      </c>
      <c r="F657" s="15">
        <v>158.49299999999999</v>
      </c>
      <c r="G657" s="15">
        <v>2.8250000000000002</v>
      </c>
      <c r="H657" s="15">
        <v>8.1159999999999997</v>
      </c>
      <c r="I657" s="15">
        <v>2.7290000000000001</v>
      </c>
      <c r="J657" s="15">
        <v>155.97</v>
      </c>
      <c r="K657" s="15">
        <v>167.059</v>
      </c>
      <c r="L657" s="15">
        <v>3.496</v>
      </c>
      <c r="M657" s="15">
        <v>0.01</v>
      </c>
      <c r="N657" s="15">
        <v>42.805</v>
      </c>
      <c r="O657" s="15">
        <v>2.8000000000000001E-2</v>
      </c>
      <c r="P657" s="15">
        <v>0.14499999999999999</v>
      </c>
      <c r="Q657" s="15">
        <v>0.10100000000000001</v>
      </c>
      <c r="R657" s="15">
        <v>0.68200000000000005</v>
      </c>
      <c r="S657" s="15">
        <v>0.52200000000000002</v>
      </c>
      <c r="T657" s="15" t="s">
        <v>23</v>
      </c>
      <c r="U657" s="15" t="s">
        <v>22</v>
      </c>
      <c r="V657" s="15" t="s">
        <v>30</v>
      </c>
      <c r="W657" s="15">
        <v>2</v>
      </c>
      <c r="X657" s="15" t="s">
        <v>85</v>
      </c>
      <c r="Y657" s="12">
        <f t="shared" si="24"/>
        <v>0.129</v>
      </c>
      <c r="Z657" s="15">
        <v>-0.11699999999999999</v>
      </c>
    </row>
    <row r="658" spans="1:26" x14ac:dyDescent="0.2">
      <c r="A658" s="15" t="s">
        <v>79</v>
      </c>
      <c r="B658" s="15">
        <v>3375.125</v>
      </c>
      <c r="C658" s="15">
        <v>15.303000000000001</v>
      </c>
      <c r="D658" s="15">
        <v>23.318000000000001</v>
      </c>
      <c r="E658" s="15">
        <v>0.91900000000000004</v>
      </c>
      <c r="F658" s="15">
        <v>157.44200000000001</v>
      </c>
      <c r="G658" s="15">
        <v>2.823</v>
      </c>
      <c r="H658" s="15">
        <v>7.9029999999999996</v>
      </c>
      <c r="I658" s="15">
        <v>2.7749999999999999</v>
      </c>
      <c r="J658" s="15">
        <v>159.934</v>
      </c>
      <c r="K658" s="15">
        <v>170.85300000000001</v>
      </c>
      <c r="L658" s="15">
        <v>3.5169999999999999</v>
      </c>
      <c r="M658" s="15">
        <v>0.01</v>
      </c>
      <c r="N658" s="15">
        <v>42.637</v>
      </c>
      <c r="O658" s="15">
        <v>2.4E-2</v>
      </c>
      <c r="P658" s="15">
        <v>0.16600000000000001</v>
      </c>
      <c r="Q658" s="15">
        <v>9.0999999999999998E-2</v>
      </c>
      <c r="R658" s="15">
        <v>0.67600000000000005</v>
      </c>
      <c r="S658" s="15">
        <v>0.50600000000000001</v>
      </c>
      <c r="T658" s="15" t="s">
        <v>23</v>
      </c>
      <c r="U658" s="15" t="s">
        <v>22</v>
      </c>
      <c r="V658" s="15" t="s">
        <v>30</v>
      </c>
      <c r="W658" s="15">
        <v>2</v>
      </c>
      <c r="X658" s="15" t="s">
        <v>85</v>
      </c>
      <c r="Y658" s="12">
        <f t="shared" si="24"/>
        <v>0.11499999999999999</v>
      </c>
      <c r="Z658" s="15">
        <v>-0.14200000000000002</v>
      </c>
    </row>
    <row r="659" spans="1:26" x14ac:dyDescent="0.2">
      <c r="A659" s="15" t="s">
        <v>79</v>
      </c>
      <c r="B659" s="15">
        <v>3375.25</v>
      </c>
      <c r="C659" s="15">
        <v>14.943</v>
      </c>
      <c r="D659" s="15">
        <v>23.216000000000001</v>
      </c>
      <c r="E659" s="15">
        <v>0.88200000000000001</v>
      </c>
      <c r="F659" s="15">
        <v>157.154</v>
      </c>
      <c r="G659" s="15">
        <v>2.8210000000000002</v>
      </c>
      <c r="H659" s="15">
        <v>7.6669999999999998</v>
      </c>
      <c r="I659" s="15">
        <v>2.7930000000000001</v>
      </c>
      <c r="J659" s="15">
        <v>163.84399999999999</v>
      </c>
      <c r="K659" s="15">
        <v>174.49700000000001</v>
      </c>
      <c r="L659" s="15">
        <v>3.5339999999999998</v>
      </c>
      <c r="M659" s="15">
        <v>0.01</v>
      </c>
      <c r="N659" s="15">
        <v>43.142000000000003</v>
      </c>
      <c r="O659" s="15">
        <v>2.1000000000000001E-2</v>
      </c>
      <c r="P659" s="15">
        <v>0.17499999999999999</v>
      </c>
      <c r="Q659" s="15">
        <v>8.8999999999999996E-2</v>
      </c>
      <c r="R659" s="15">
        <v>0.67100000000000004</v>
      </c>
      <c r="S659" s="15">
        <v>0.49</v>
      </c>
      <c r="T659" s="15" t="s">
        <v>23</v>
      </c>
      <c r="U659" s="15" t="s">
        <v>22</v>
      </c>
      <c r="V659" s="15" t="s">
        <v>30</v>
      </c>
      <c r="W659" s="15">
        <v>2</v>
      </c>
      <c r="X659" s="15" t="s">
        <v>85</v>
      </c>
      <c r="Y659" s="12">
        <f t="shared" si="24"/>
        <v>0.11</v>
      </c>
      <c r="Z659" s="15">
        <v>-0.154</v>
      </c>
    </row>
    <row r="660" spans="1:26" x14ac:dyDescent="0.2">
      <c r="A660" s="15" t="s">
        <v>79</v>
      </c>
      <c r="B660" s="15">
        <v>3375.375</v>
      </c>
      <c r="C660" s="15">
        <v>14.795</v>
      </c>
      <c r="D660" s="15">
        <v>23.138999999999999</v>
      </c>
      <c r="E660" s="15">
        <v>0.86799999999999999</v>
      </c>
      <c r="F660" s="15">
        <v>157.85599999999999</v>
      </c>
      <c r="G660" s="15">
        <v>2.8210000000000002</v>
      </c>
      <c r="H660" s="15">
        <v>7.45</v>
      </c>
      <c r="I660" s="15">
        <v>2.7970000000000002</v>
      </c>
      <c r="J660" s="15">
        <v>166.19</v>
      </c>
      <c r="K660" s="15">
        <v>176.589</v>
      </c>
      <c r="L660" s="15">
        <v>2.8340000000000001</v>
      </c>
      <c r="M660" s="15">
        <v>0.01</v>
      </c>
      <c r="N660" s="15">
        <v>55.82</v>
      </c>
      <c r="O660" s="15">
        <v>0.02</v>
      </c>
      <c r="P660" s="15">
        <v>0.17699999999999999</v>
      </c>
      <c r="Q660" s="15">
        <v>9.6000000000000002E-2</v>
      </c>
      <c r="R660" s="15">
        <v>0.67100000000000004</v>
      </c>
      <c r="S660" s="15">
        <v>0.47499999999999998</v>
      </c>
      <c r="T660" s="15" t="s">
        <v>23</v>
      </c>
      <c r="U660" s="15" t="s">
        <v>22</v>
      </c>
      <c r="V660" s="15" t="s">
        <v>30</v>
      </c>
      <c r="W660" s="15">
        <v>2</v>
      </c>
      <c r="X660" s="15" t="s">
        <v>85</v>
      </c>
      <c r="Y660" s="12">
        <f t="shared" si="24"/>
        <v>0.11600000000000001</v>
      </c>
      <c r="Z660" s="15">
        <v>-0.157</v>
      </c>
    </row>
    <row r="661" spans="1:26" x14ac:dyDescent="0.2">
      <c r="A661" s="15" t="s">
        <v>79</v>
      </c>
      <c r="B661" s="15">
        <v>3375.5</v>
      </c>
      <c r="C661" s="15">
        <v>14.877000000000001</v>
      </c>
      <c r="D661" s="15">
        <v>23.239000000000001</v>
      </c>
      <c r="E661" s="15">
        <v>0.876</v>
      </c>
      <c r="F661" s="15">
        <v>158.99299999999999</v>
      </c>
      <c r="G661" s="15">
        <v>2.8180000000000001</v>
      </c>
      <c r="H661" s="15">
        <v>7.306</v>
      </c>
      <c r="I661" s="15">
        <v>2.8140000000000001</v>
      </c>
      <c r="J661" s="15">
        <v>167.029</v>
      </c>
      <c r="K661" s="15">
        <v>177.553</v>
      </c>
      <c r="L661" s="15">
        <v>2.64</v>
      </c>
      <c r="M661" s="15">
        <v>0.01</v>
      </c>
      <c r="N661" s="15">
        <v>59.610999999999997</v>
      </c>
      <c r="O661" s="15">
        <v>2.1000000000000001E-2</v>
      </c>
      <c r="P661" s="15">
        <v>0.185</v>
      </c>
      <c r="Q661" s="15">
        <v>0.107</v>
      </c>
      <c r="R661" s="15">
        <v>0.66200000000000003</v>
      </c>
      <c r="S661" s="15">
        <v>0.46500000000000002</v>
      </c>
      <c r="T661" s="15" t="s">
        <v>23</v>
      </c>
      <c r="U661" s="15" t="s">
        <v>22</v>
      </c>
      <c r="V661" s="15" t="s">
        <v>30</v>
      </c>
      <c r="W661" s="15">
        <v>2</v>
      </c>
      <c r="X661" s="15" t="s">
        <v>85</v>
      </c>
      <c r="Y661" s="12">
        <f t="shared" si="24"/>
        <v>0.128</v>
      </c>
      <c r="Z661" s="15">
        <v>-0.16400000000000001</v>
      </c>
    </row>
    <row r="662" spans="1:26" x14ac:dyDescent="0.2">
      <c r="A662" s="15" t="s">
        <v>79</v>
      </c>
      <c r="B662" s="15">
        <v>3375.625</v>
      </c>
      <c r="C662" s="15">
        <v>15.234</v>
      </c>
      <c r="D662" s="15">
        <v>23.35</v>
      </c>
      <c r="E662" s="15">
        <v>0.90700000000000003</v>
      </c>
      <c r="F662" s="15">
        <v>159.875</v>
      </c>
      <c r="G662" s="15">
        <v>2.8149999999999999</v>
      </c>
      <c r="H662" s="15">
        <v>7.2770000000000001</v>
      </c>
      <c r="I662" s="15">
        <v>2.827</v>
      </c>
      <c r="J662" s="15">
        <v>167.785</v>
      </c>
      <c r="K662" s="15">
        <v>179.11099999999999</v>
      </c>
      <c r="L662" s="15">
        <v>2.6429999999999998</v>
      </c>
      <c r="M662" s="15">
        <v>0.01</v>
      </c>
      <c r="N662" s="15">
        <v>59.456000000000003</v>
      </c>
      <c r="O662" s="15">
        <v>2.4E-2</v>
      </c>
      <c r="P662" s="15">
        <v>0.191</v>
      </c>
      <c r="Q662" s="15">
        <v>0.11600000000000001</v>
      </c>
      <c r="R662" s="15">
        <v>0.65400000000000003</v>
      </c>
      <c r="S662" s="15">
        <v>0.46300000000000002</v>
      </c>
      <c r="T662" s="15" t="s">
        <v>23</v>
      </c>
      <c r="U662" s="15" t="s">
        <v>22</v>
      </c>
      <c r="V662" s="15" t="s">
        <v>30</v>
      </c>
      <c r="W662" s="15">
        <v>2</v>
      </c>
      <c r="X662" s="15" t="s">
        <v>85</v>
      </c>
      <c r="Y662" s="12">
        <f t="shared" si="24"/>
        <v>0.14000000000000001</v>
      </c>
      <c r="Z662" s="15">
        <v>-0.16700000000000001</v>
      </c>
    </row>
    <row r="663" spans="1:26" x14ac:dyDescent="0.2">
      <c r="A663" s="15" t="s">
        <v>79</v>
      </c>
      <c r="B663" s="15">
        <v>3375.75</v>
      </c>
      <c r="C663" s="15">
        <v>15.798</v>
      </c>
      <c r="D663" s="15">
        <v>23.183</v>
      </c>
      <c r="E663" s="15">
        <v>0.96299999999999997</v>
      </c>
      <c r="F663" s="15">
        <v>160.184</v>
      </c>
      <c r="G663" s="15">
        <v>2.8119999999999998</v>
      </c>
      <c r="H663" s="15">
        <v>7.3220000000000001</v>
      </c>
      <c r="I663" s="15">
        <v>2.8279999999999998</v>
      </c>
      <c r="J663" s="15">
        <v>170.071</v>
      </c>
      <c r="K663" s="15">
        <v>183.179</v>
      </c>
      <c r="L663" s="15">
        <v>2.6320000000000001</v>
      </c>
      <c r="M663" s="15">
        <v>0.01</v>
      </c>
      <c r="N663" s="15">
        <v>58.305</v>
      </c>
      <c r="O663" s="15">
        <v>2.8000000000000001E-2</v>
      </c>
      <c r="P663" s="15">
        <v>0.191</v>
      </c>
      <c r="Q663" s="15">
        <v>0.11799999999999999</v>
      </c>
      <c r="R663" s="15">
        <v>0.64500000000000002</v>
      </c>
      <c r="S663" s="15">
        <v>0.46600000000000003</v>
      </c>
      <c r="T663" s="15" t="s">
        <v>23</v>
      </c>
      <c r="U663" s="15" t="s">
        <v>22</v>
      </c>
      <c r="V663" s="15" t="s">
        <v>30</v>
      </c>
      <c r="W663" s="15">
        <v>2</v>
      </c>
      <c r="X663" s="15" t="s">
        <v>85</v>
      </c>
      <c r="Y663" s="12">
        <f t="shared" si="24"/>
        <v>0.14599999999999999</v>
      </c>
      <c r="Z663" s="15">
        <v>-0.16300000000000001</v>
      </c>
    </row>
    <row r="664" spans="1:26" x14ac:dyDescent="0.2">
      <c r="A664" s="15" t="s">
        <v>79</v>
      </c>
      <c r="B664" s="15">
        <v>3375.875</v>
      </c>
      <c r="C664" s="15">
        <v>16.318999999999999</v>
      </c>
      <c r="D664" s="15">
        <v>22.905999999999999</v>
      </c>
      <c r="E664" s="15">
        <v>1.0489999999999999</v>
      </c>
      <c r="F664" s="15">
        <v>159.983</v>
      </c>
      <c r="G664" s="15">
        <v>2.8</v>
      </c>
      <c r="H664" s="15">
        <v>7.367</v>
      </c>
      <c r="I664" s="15">
        <v>2.823</v>
      </c>
      <c r="J664" s="15">
        <v>174.47900000000001</v>
      </c>
      <c r="K664" s="15">
        <v>190.34399999999999</v>
      </c>
      <c r="L664" s="15">
        <v>2.7309999999999999</v>
      </c>
      <c r="M664" s="15">
        <v>0.01</v>
      </c>
      <c r="N664" s="15">
        <v>55.231999999999999</v>
      </c>
      <c r="O664" s="15">
        <v>3.1E-2</v>
      </c>
      <c r="P664" s="15">
        <v>0.188</v>
      </c>
      <c r="Q664" s="15">
        <v>0.11600000000000001</v>
      </c>
      <c r="R664" s="15">
        <v>0.61299999999999999</v>
      </c>
      <c r="S664" s="15">
        <v>0.47</v>
      </c>
      <c r="T664" s="15" t="s">
        <v>23</v>
      </c>
      <c r="U664" s="15" t="s">
        <v>22</v>
      </c>
      <c r="V664" s="15" t="s">
        <v>30</v>
      </c>
      <c r="W664" s="15">
        <v>2</v>
      </c>
      <c r="X664" s="15" t="s">
        <v>85</v>
      </c>
      <c r="Y664" s="12">
        <f t="shared" si="24"/>
        <v>0.14700000000000002</v>
      </c>
      <c r="Z664" s="15">
        <v>-0.157</v>
      </c>
    </row>
    <row r="665" spans="1:26" x14ac:dyDescent="0.2">
      <c r="A665" s="15" t="s">
        <v>79</v>
      </c>
      <c r="B665" s="15">
        <v>3376</v>
      </c>
      <c r="C665" s="15">
        <v>16.643999999999998</v>
      </c>
      <c r="D665" s="15">
        <v>22.754000000000001</v>
      </c>
      <c r="E665" s="15">
        <v>1.1839999999999999</v>
      </c>
      <c r="F665" s="15">
        <v>159.333</v>
      </c>
      <c r="G665" s="15">
        <v>2.79</v>
      </c>
      <c r="H665" s="15">
        <v>7.4</v>
      </c>
      <c r="I665" s="15">
        <v>2.8109999999999999</v>
      </c>
      <c r="J665" s="15">
        <v>181.71299999999999</v>
      </c>
      <c r="K665" s="15">
        <v>201.042</v>
      </c>
      <c r="L665" s="15">
        <v>2.76</v>
      </c>
      <c r="M665" s="15">
        <v>0.01</v>
      </c>
      <c r="N665" s="15">
        <v>53.488</v>
      </c>
      <c r="O665" s="15">
        <v>3.4000000000000002E-2</v>
      </c>
      <c r="P665" s="15">
        <v>0.182</v>
      </c>
      <c r="Q665" s="15">
        <v>0.109</v>
      </c>
      <c r="R665" s="15">
        <v>0.58799999999999997</v>
      </c>
      <c r="S665" s="15">
        <v>0.47199999999999998</v>
      </c>
      <c r="T665" s="15" t="s">
        <v>23</v>
      </c>
      <c r="U665" s="15" t="s">
        <v>22</v>
      </c>
      <c r="V665" s="15" t="s">
        <v>30</v>
      </c>
      <c r="W665" s="15">
        <v>2</v>
      </c>
      <c r="X665" s="15" t="s">
        <v>85</v>
      </c>
      <c r="Y665" s="12">
        <f t="shared" si="24"/>
        <v>0.14300000000000002</v>
      </c>
      <c r="Z665" s="15">
        <v>-0.14799999999999999</v>
      </c>
    </row>
    <row r="666" spans="1:26" x14ac:dyDescent="0.2">
      <c r="A666" s="15" t="s">
        <v>79</v>
      </c>
      <c r="B666" s="15">
        <v>3376.125</v>
      </c>
      <c r="C666" s="15">
        <v>16.983000000000001</v>
      </c>
      <c r="D666" s="15">
        <v>22.748000000000001</v>
      </c>
      <c r="E666" s="15">
        <v>1.4019999999999999</v>
      </c>
      <c r="F666" s="15">
        <v>158.46799999999999</v>
      </c>
      <c r="G666" s="15">
        <v>2.7919999999999998</v>
      </c>
      <c r="H666" s="15">
        <v>7.4480000000000004</v>
      </c>
      <c r="I666" s="15">
        <v>2.7679999999999998</v>
      </c>
      <c r="J666" s="15">
        <v>193.31</v>
      </c>
      <c r="K666" s="15">
        <v>216.46799999999999</v>
      </c>
      <c r="L666" s="15">
        <v>3.3980000000000001</v>
      </c>
      <c r="M666" s="15">
        <v>0.01</v>
      </c>
      <c r="N666" s="15">
        <v>42.76</v>
      </c>
      <c r="O666" s="15">
        <v>3.5999999999999997E-2</v>
      </c>
      <c r="P666" s="15">
        <v>0.16</v>
      </c>
      <c r="Q666" s="15">
        <v>0.10100000000000001</v>
      </c>
      <c r="R666" s="15">
        <v>0.59499999999999997</v>
      </c>
      <c r="S666" s="15">
        <v>0.47599999999999998</v>
      </c>
      <c r="T666" s="15" t="s">
        <v>23</v>
      </c>
      <c r="U666" s="15" t="s">
        <v>22</v>
      </c>
      <c r="V666" s="15" t="s">
        <v>30</v>
      </c>
      <c r="W666" s="15">
        <v>2</v>
      </c>
      <c r="X666" s="15" t="s">
        <v>85</v>
      </c>
      <c r="Y666" s="12">
        <f t="shared" si="24"/>
        <v>0.13700000000000001</v>
      </c>
      <c r="Z666" s="15">
        <v>-0.124</v>
      </c>
    </row>
    <row r="667" spans="1:26" x14ac:dyDescent="0.2">
      <c r="A667" s="15" t="s">
        <v>79</v>
      </c>
      <c r="B667" s="15">
        <v>3376.25</v>
      </c>
      <c r="C667" s="15">
        <v>17.626000000000001</v>
      </c>
      <c r="D667" s="15">
        <v>22.795000000000002</v>
      </c>
      <c r="E667" s="15">
        <v>1.714</v>
      </c>
      <c r="F667" s="15">
        <v>157.72499999999999</v>
      </c>
      <c r="G667" s="15">
        <v>2.8039999999999998</v>
      </c>
      <c r="H667" s="15">
        <v>7.5179999999999998</v>
      </c>
      <c r="I667" s="15">
        <v>2.7120000000000002</v>
      </c>
      <c r="J667" s="15">
        <v>211.06</v>
      </c>
      <c r="K667" s="15">
        <v>238.82599999999999</v>
      </c>
      <c r="L667" s="15">
        <v>3.5419999999999998</v>
      </c>
      <c r="M667" s="15">
        <v>0.01</v>
      </c>
      <c r="N667" s="15">
        <v>39.293999999999997</v>
      </c>
      <c r="O667" s="15">
        <v>4.1000000000000002E-2</v>
      </c>
      <c r="P667" s="15">
        <v>0.13400000000000001</v>
      </c>
      <c r="Q667" s="15">
        <v>9.4E-2</v>
      </c>
      <c r="R667" s="15">
        <v>0.627</v>
      </c>
      <c r="S667" s="15">
        <v>0.48</v>
      </c>
      <c r="T667" s="15" t="s">
        <v>23</v>
      </c>
      <c r="U667" s="15" t="s">
        <v>22</v>
      </c>
      <c r="V667" s="15" t="s">
        <v>30</v>
      </c>
      <c r="W667" s="15">
        <v>2</v>
      </c>
      <c r="X667" s="15" t="s">
        <v>85</v>
      </c>
      <c r="Y667" s="12">
        <f t="shared" si="24"/>
        <v>0.13500000000000001</v>
      </c>
      <c r="Z667" s="15">
        <v>-9.2999999999999999E-2</v>
      </c>
    </row>
    <row r="668" spans="1:26" x14ac:dyDescent="0.2">
      <c r="A668" s="15" t="s">
        <v>79</v>
      </c>
      <c r="B668" s="15">
        <v>3376.375</v>
      </c>
      <c r="C668" s="15">
        <v>18.571999999999999</v>
      </c>
      <c r="D668" s="15">
        <v>22.835999999999999</v>
      </c>
      <c r="E668" s="15">
        <v>2.1080000000000001</v>
      </c>
      <c r="F668" s="15">
        <v>156.88900000000001</v>
      </c>
      <c r="G668" s="15">
        <v>2.8149999999999999</v>
      </c>
      <c r="H668" s="15">
        <v>7.5679999999999996</v>
      </c>
      <c r="I668" s="15">
        <v>2.6840000000000002</v>
      </c>
      <c r="J668" s="15">
        <v>238.44</v>
      </c>
      <c r="K668" s="15">
        <v>272.80599999999998</v>
      </c>
      <c r="L668" s="15">
        <v>3.4489999999999998</v>
      </c>
      <c r="M668" s="15">
        <v>0.01</v>
      </c>
      <c r="N668" s="15">
        <v>36.74</v>
      </c>
      <c r="O668" s="15">
        <v>4.8000000000000001E-2</v>
      </c>
      <c r="P668" s="15">
        <v>0.122</v>
      </c>
      <c r="Q668" s="15">
        <v>8.5000000000000006E-2</v>
      </c>
      <c r="R668" s="15">
        <v>0.65600000000000003</v>
      </c>
      <c r="S668" s="15">
        <v>0.48399999999999999</v>
      </c>
      <c r="T668" s="15" t="s">
        <v>23</v>
      </c>
      <c r="U668" s="15" t="s">
        <v>22</v>
      </c>
      <c r="V668" s="15" t="s">
        <v>30</v>
      </c>
      <c r="W668" s="15">
        <v>2</v>
      </c>
      <c r="X668" s="15" t="s">
        <v>85</v>
      </c>
      <c r="Y668" s="12">
        <f t="shared" si="24"/>
        <v>0.13300000000000001</v>
      </c>
      <c r="Z668" s="15">
        <v>-7.3999999999999996E-2</v>
      </c>
    </row>
    <row r="669" spans="1:26" x14ac:dyDescent="0.2">
      <c r="A669" s="15" t="s">
        <v>79</v>
      </c>
      <c r="B669" s="15">
        <v>3376.5</v>
      </c>
      <c r="C669" s="15">
        <v>19.454000000000001</v>
      </c>
      <c r="D669" s="15">
        <v>22.791</v>
      </c>
      <c r="E669" s="15">
        <v>2.5230000000000001</v>
      </c>
      <c r="F669" s="15">
        <v>155.53899999999999</v>
      </c>
      <c r="G669" s="15">
        <v>2.8220000000000001</v>
      </c>
      <c r="H669" s="15">
        <v>7.5140000000000002</v>
      </c>
      <c r="I669" s="15">
        <v>2.6819999999999999</v>
      </c>
      <c r="J669" s="15">
        <v>278.654</v>
      </c>
      <c r="K669" s="15">
        <v>322.916</v>
      </c>
      <c r="L669" s="15">
        <v>2.6840000000000002</v>
      </c>
      <c r="M669" s="15">
        <v>0.01</v>
      </c>
      <c r="N669" s="15">
        <v>41.715000000000003</v>
      </c>
      <c r="O669" s="15">
        <v>5.3999999999999999E-2</v>
      </c>
      <c r="P669" s="15">
        <v>0.121</v>
      </c>
      <c r="Q669" s="15">
        <v>7.1999999999999995E-2</v>
      </c>
      <c r="R669" s="15">
        <v>0.67500000000000004</v>
      </c>
      <c r="S669" s="15">
        <v>0.47899999999999998</v>
      </c>
      <c r="T669" s="15" t="s">
        <v>23</v>
      </c>
      <c r="U669" s="15" t="s">
        <v>22</v>
      </c>
      <c r="V669" s="15" t="s">
        <v>30</v>
      </c>
      <c r="W669" s="15">
        <v>2</v>
      </c>
      <c r="X669" s="15" t="s">
        <v>85</v>
      </c>
      <c r="Y669" s="12">
        <f t="shared" si="24"/>
        <v>0.126</v>
      </c>
      <c r="Z669" s="15">
        <v>-6.7000000000000004E-2</v>
      </c>
    </row>
    <row r="670" spans="1:26" x14ac:dyDescent="0.2">
      <c r="A670" s="15" t="s">
        <v>79</v>
      </c>
      <c r="B670" s="15">
        <v>3376.625</v>
      </c>
      <c r="C670" s="15">
        <v>20.143000000000001</v>
      </c>
      <c r="D670" s="15">
        <v>22.690999999999999</v>
      </c>
      <c r="E670" s="15">
        <v>2.89</v>
      </c>
      <c r="F670" s="15">
        <v>154.05799999999999</v>
      </c>
      <c r="G670" s="15">
        <v>2.827</v>
      </c>
      <c r="H670" s="15">
        <v>7.3019999999999996</v>
      </c>
      <c r="I670" s="15">
        <v>2.6880000000000002</v>
      </c>
      <c r="J670" s="15">
        <v>331.15499999999997</v>
      </c>
      <c r="K670" s="15">
        <v>389.64800000000002</v>
      </c>
      <c r="L670" s="15">
        <v>2.4380000000000002</v>
      </c>
      <c r="M670" s="15">
        <v>0.01</v>
      </c>
      <c r="N670" s="15">
        <v>42.735999999999997</v>
      </c>
      <c r="O670" s="15">
        <v>5.8999999999999997E-2</v>
      </c>
      <c r="P670" s="15">
        <v>0.124</v>
      </c>
      <c r="Q670" s="15">
        <v>5.7000000000000002E-2</v>
      </c>
      <c r="R670" s="15">
        <v>0.68799999999999994</v>
      </c>
      <c r="S670" s="15">
        <v>0.46400000000000002</v>
      </c>
      <c r="T670" s="15" t="s">
        <v>23</v>
      </c>
      <c r="U670" s="15" t="s">
        <v>22</v>
      </c>
      <c r="V670" s="15" t="s">
        <v>30</v>
      </c>
      <c r="W670" s="15">
        <v>2</v>
      </c>
      <c r="X670" s="15" t="s">
        <v>85</v>
      </c>
      <c r="Y670" s="12">
        <f t="shared" si="24"/>
        <v>0.11599999999999999</v>
      </c>
      <c r="Z670" s="15">
        <v>-6.5000000000000002E-2</v>
      </c>
    </row>
    <row r="671" spans="1:26" x14ac:dyDescent="0.2">
      <c r="A671" s="15" t="s">
        <v>79</v>
      </c>
      <c r="B671" s="15">
        <v>3376.75</v>
      </c>
      <c r="C671" s="15">
        <v>20.782</v>
      </c>
      <c r="D671" s="15">
        <v>22.657</v>
      </c>
      <c r="E671" s="15">
        <v>3.1469999999999998</v>
      </c>
      <c r="F671" s="15">
        <v>153.04599999999999</v>
      </c>
      <c r="G671" s="15">
        <v>2.83</v>
      </c>
      <c r="H671" s="15">
        <v>7.0730000000000004</v>
      </c>
      <c r="I671" s="15">
        <v>2.6970000000000001</v>
      </c>
      <c r="J671" s="15">
        <v>394.23500000000001</v>
      </c>
      <c r="K671" s="15">
        <v>472.18400000000003</v>
      </c>
      <c r="L671" s="15">
        <v>2.3980000000000001</v>
      </c>
      <c r="M671" s="15">
        <v>0.01</v>
      </c>
      <c r="N671" s="15">
        <v>40.82</v>
      </c>
      <c r="O671" s="15">
        <v>6.4000000000000001E-2</v>
      </c>
      <c r="P671" s="15">
        <v>0.129</v>
      </c>
      <c r="Q671" s="15">
        <v>4.8000000000000001E-2</v>
      </c>
      <c r="R671" s="15">
        <v>0.69499999999999995</v>
      </c>
      <c r="S671" s="15">
        <v>0.44800000000000001</v>
      </c>
      <c r="T671" s="15" t="s">
        <v>23</v>
      </c>
      <c r="U671" s="15" t="s">
        <v>22</v>
      </c>
      <c r="V671" s="15" t="s">
        <v>30</v>
      </c>
      <c r="W671" s="15">
        <v>2</v>
      </c>
      <c r="X671" s="15" t="s">
        <v>85</v>
      </c>
      <c r="Y671" s="12">
        <f t="shared" si="24"/>
        <v>0.112</v>
      </c>
      <c r="Z671" s="15">
        <v>-6.5000000000000002E-2</v>
      </c>
    </row>
    <row r="672" spans="1:26" x14ac:dyDescent="0.2">
      <c r="A672" s="15" t="s">
        <v>79</v>
      </c>
      <c r="B672" s="15">
        <v>3376.875</v>
      </c>
      <c r="C672" s="15">
        <v>21.446000000000002</v>
      </c>
      <c r="D672" s="15">
        <v>22.728000000000002</v>
      </c>
      <c r="E672" s="15">
        <v>3.2879999999999998</v>
      </c>
      <c r="F672" s="15">
        <v>152.453</v>
      </c>
      <c r="G672" s="15">
        <v>2.8290000000000002</v>
      </c>
      <c r="H672" s="15">
        <v>6.992</v>
      </c>
      <c r="I672" s="15">
        <v>2.7120000000000002</v>
      </c>
      <c r="J672" s="15">
        <v>460.84899999999999</v>
      </c>
      <c r="K672" s="15">
        <v>559.41800000000001</v>
      </c>
      <c r="L672" s="15">
        <v>2.399</v>
      </c>
      <c r="M672" s="15">
        <v>0.01</v>
      </c>
      <c r="N672" s="15">
        <v>39.828000000000003</v>
      </c>
      <c r="O672" s="15">
        <v>6.9000000000000006E-2</v>
      </c>
      <c r="P672" s="15">
        <v>0.13600000000000001</v>
      </c>
      <c r="Q672" s="15">
        <v>4.2000000000000003E-2</v>
      </c>
      <c r="R672" s="15">
        <v>0.69099999999999995</v>
      </c>
      <c r="S672" s="15">
        <v>0.443</v>
      </c>
      <c r="T672" s="15" t="s">
        <v>23</v>
      </c>
      <c r="U672" s="15" t="s">
        <v>22</v>
      </c>
      <c r="V672" s="15" t="s">
        <v>30</v>
      </c>
      <c r="W672" s="15">
        <v>2</v>
      </c>
      <c r="X672" s="15" t="s">
        <v>85</v>
      </c>
      <c r="Y672" s="12">
        <f t="shared" si="24"/>
        <v>0.11100000000000002</v>
      </c>
      <c r="Z672" s="15">
        <v>-6.7000000000000004E-2</v>
      </c>
    </row>
    <row r="673" spans="1:26" x14ac:dyDescent="0.2">
      <c r="A673" s="15" t="s">
        <v>79</v>
      </c>
      <c r="B673" s="15">
        <v>3377</v>
      </c>
      <c r="C673" s="15">
        <v>21.988</v>
      </c>
      <c r="D673" s="15">
        <v>22.893999999999998</v>
      </c>
      <c r="E673" s="15">
        <v>3.3359999999999999</v>
      </c>
      <c r="F673" s="15">
        <v>152.15</v>
      </c>
      <c r="G673" s="15">
        <v>2.8220000000000001</v>
      </c>
      <c r="H673" s="15">
        <v>7.11</v>
      </c>
      <c r="I673" s="15">
        <v>2.7309999999999999</v>
      </c>
      <c r="J673" s="15">
        <v>520.08299999999997</v>
      </c>
      <c r="K673" s="15">
        <v>632.75900000000001</v>
      </c>
      <c r="L673" s="15">
        <v>2.4329999999999998</v>
      </c>
      <c r="M673" s="15">
        <v>0.01</v>
      </c>
      <c r="N673" s="15">
        <v>39.911000000000001</v>
      </c>
      <c r="O673" s="15">
        <v>7.1999999999999995E-2</v>
      </c>
      <c r="P673" s="15">
        <v>0.14499999999999999</v>
      </c>
      <c r="Q673" s="15">
        <v>3.9E-2</v>
      </c>
      <c r="R673" s="15">
        <v>0.67300000000000004</v>
      </c>
      <c r="S673" s="15">
        <v>0.45200000000000001</v>
      </c>
      <c r="T673" s="15" t="s">
        <v>23</v>
      </c>
      <c r="U673" s="15" t="s">
        <v>22</v>
      </c>
      <c r="V673" s="15" t="s">
        <v>30</v>
      </c>
      <c r="W673" s="15">
        <v>2</v>
      </c>
      <c r="X673" s="15" t="s">
        <v>85</v>
      </c>
      <c r="Y673" s="12">
        <f t="shared" si="24"/>
        <v>0.11099999999999999</v>
      </c>
      <c r="Z673" s="15">
        <v>-7.2999999999999995E-2</v>
      </c>
    </row>
    <row r="674" spans="1:26" x14ac:dyDescent="0.2">
      <c r="A674" s="15" t="s">
        <v>79</v>
      </c>
      <c r="B674" s="15">
        <v>3377.125</v>
      </c>
      <c r="C674" s="15">
        <v>22.452999999999999</v>
      </c>
      <c r="D674" s="15">
        <v>23.167000000000002</v>
      </c>
      <c r="E674" s="15">
        <v>3.2930000000000001</v>
      </c>
      <c r="F674" s="15">
        <v>152.233</v>
      </c>
      <c r="G674" s="15">
        <v>2.819</v>
      </c>
      <c r="H674" s="15">
        <v>7.2809999999999997</v>
      </c>
      <c r="I674" s="15">
        <v>2.7509999999999999</v>
      </c>
      <c r="J674" s="15">
        <v>555.09199999999998</v>
      </c>
      <c r="K674" s="15">
        <v>665.72299999999996</v>
      </c>
      <c r="L674" s="15">
        <v>2.4420000000000002</v>
      </c>
      <c r="M674" s="15">
        <v>0.01</v>
      </c>
      <c r="N674" s="15">
        <v>43.8</v>
      </c>
      <c r="O674" s="15">
        <v>7.5999999999999998E-2</v>
      </c>
      <c r="P674" s="15">
        <v>0.155</v>
      </c>
      <c r="Q674" s="15">
        <v>0.04</v>
      </c>
      <c r="R674" s="15">
        <v>0.66400000000000003</v>
      </c>
      <c r="S674" s="15">
        <v>0.46400000000000002</v>
      </c>
      <c r="T674" s="15" t="s">
        <v>23</v>
      </c>
      <c r="U674" s="15" t="s">
        <v>22</v>
      </c>
      <c r="V674" s="15" t="s">
        <v>30</v>
      </c>
      <c r="W674" s="15">
        <v>2</v>
      </c>
      <c r="X674" s="15" t="s">
        <v>85</v>
      </c>
      <c r="Y674" s="12">
        <f t="shared" si="24"/>
        <v>0.11599999999999999</v>
      </c>
      <c r="Z674" s="15">
        <v>-7.9000000000000001E-2</v>
      </c>
    </row>
    <row r="675" spans="1:26" x14ac:dyDescent="0.2">
      <c r="A675" s="15" t="s">
        <v>79</v>
      </c>
      <c r="B675" s="15">
        <v>3377.25</v>
      </c>
      <c r="C675" s="15">
        <v>23.734999999999999</v>
      </c>
      <c r="D675" s="15">
        <v>23.59</v>
      </c>
      <c r="E675" s="15">
        <v>3.1440000000000001</v>
      </c>
      <c r="F675" s="15">
        <v>152.57499999999999</v>
      </c>
      <c r="G675" s="15">
        <v>2.8090000000000002</v>
      </c>
      <c r="H675" s="15">
        <v>7.359</v>
      </c>
      <c r="I675" s="15">
        <v>2.7629999999999999</v>
      </c>
      <c r="J675" s="15">
        <v>551.88900000000001</v>
      </c>
      <c r="K675" s="15">
        <v>642.66099999999994</v>
      </c>
      <c r="L675" s="15">
        <v>2.476</v>
      </c>
      <c r="M675" s="15">
        <v>0.01</v>
      </c>
      <c r="N675" s="15">
        <v>47.023000000000003</v>
      </c>
      <c r="O675" s="15">
        <v>8.6999999999999994E-2</v>
      </c>
      <c r="P675" s="15">
        <v>0.16</v>
      </c>
      <c r="Q675" s="15">
        <v>4.3999999999999997E-2</v>
      </c>
      <c r="R675" s="15">
        <v>0.63700000000000001</v>
      </c>
      <c r="S675" s="15">
        <v>0.46899999999999997</v>
      </c>
      <c r="T675" s="15" t="s">
        <v>23</v>
      </c>
      <c r="U675" s="15" t="s">
        <v>22</v>
      </c>
      <c r="V675" s="15" t="s">
        <v>30</v>
      </c>
      <c r="W675" s="15">
        <v>2</v>
      </c>
      <c r="X675" s="15" t="s">
        <v>85</v>
      </c>
      <c r="Y675" s="12">
        <f t="shared" si="24"/>
        <v>0.13100000000000001</v>
      </c>
      <c r="Z675" s="15">
        <v>-7.3000000000000009E-2</v>
      </c>
    </row>
    <row r="676" spans="1:26" x14ac:dyDescent="0.2">
      <c r="A676" s="15" t="s">
        <v>79</v>
      </c>
      <c r="B676" s="15">
        <v>3377.375</v>
      </c>
      <c r="C676" s="15">
        <v>27.744</v>
      </c>
      <c r="D676" s="15">
        <v>24.07</v>
      </c>
      <c r="E676" s="15">
        <v>2.9489999999999998</v>
      </c>
      <c r="F676" s="15">
        <v>153.21100000000001</v>
      </c>
      <c r="G676" s="15">
        <v>2.798</v>
      </c>
      <c r="H676" s="15">
        <v>7.3369999999999997</v>
      </c>
      <c r="I676" s="15">
        <v>2.7690000000000001</v>
      </c>
      <c r="J676" s="15">
        <v>502.78</v>
      </c>
      <c r="K676" s="15">
        <v>561.94299999999998</v>
      </c>
      <c r="L676" s="15">
        <v>2.423</v>
      </c>
      <c r="M676" s="15">
        <v>0.01</v>
      </c>
      <c r="N676" s="15">
        <v>51.545000000000002</v>
      </c>
      <c r="O676" s="15">
        <v>0.11899999999999999</v>
      </c>
      <c r="P676" s="15">
        <v>0.16300000000000001</v>
      </c>
      <c r="Q676" s="15">
        <v>5.0999999999999997E-2</v>
      </c>
      <c r="R676" s="15">
        <v>0.60699999999999998</v>
      </c>
      <c r="S676" s="15">
        <v>0.46700000000000003</v>
      </c>
      <c r="T676" s="15"/>
      <c r="U676" s="15" t="s">
        <v>22</v>
      </c>
      <c r="V676" s="15" t="s">
        <v>30</v>
      </c>
      <c r="W676" s="15">
        <v>2</v>
      </c>
      <c r="X676" s="15" t="s">
        <v>85</v>
      </c>
      <c r="Y676" s="12">
        <f t="shared" si="24"/>
        <v>0.16999999999999998</v>
      </c>
      <c r="Z676" s="15">
        <v>-4.4000000000000011E-2</v>
      </c>
    </row>
    <row r="677" spans="1:26" x14ac:dyDescent="0.2">
      <c r="A677" s="15" t="s">
        <v>79</v>
      </c>
      <c r="B677" s="15">
        <v>3377.5</v>
      </c>
      <c r="C677" s="15">
        <v>37.473999999999997</v>
      </c>
      <c r="D677" s="15">
        <v>24.271000000000001</v>
      </c>
      <c r="E677" s="15">
        <v>2.9009999999999998</v>
      </c>
      <c r="F677" s="15">
        <v>154.982</v>
      </c>
      <c r="G677" s="15">
        <v>2.7850000000000001</v>
      </c>
      <c r="H677" s="15">
        <v>7.298</v>
      </c>
      <c r="I677" s="15">
        <v>2.7759999999999998</v>
      </c>
      <c r="J677" s="15">
        <v>413.25</v>
      </c>
      <c r="K677" s="15">
        <v>441.28100000000001</v>
      </c>
      <c r="L677" s="15">
        <v>1.4370000000000001</v>
      </c>
      <c r="M677" s="15">
        <v>0.01</v>
      </c>
      <c r="N677" s="15">
        <v>88.832999999999998</v>
      </c>
      <c r="O677" s="15">
        <v>0.192</v>
      </c>
      <c r="P677" s="15">
        <v>0.16700000000000001</v>
      </c>
      <c r="Q677" s="15">
        <v>6.9000000000000006E-2</v>
      </c>
      <c r="R677" s="15">
        <v>0.56899999999999995</v>
      </c>
      <c r="S677" s="15">
        <v>0.46500000000000002</v>
      </c>
      <c r="T677" s="15"/>
      <c r="U677" s="15" t="s">
        <v>22</v>
      </c>
      <c r="V677" s="15" t="s">
        <v>30</v>
      </c>
      <c r="W677" s="15">
        <v>2</v>
      </c>
      <c r="X677" s="15" t="s">
        <v>85</v>
      </c>
      <c r="Y677" s="12">
        <f t="shared" si="24"/>
        <v>0.26100000000000001</v>
      </c>
      <c r="Z677" s="15">
        <v>2.4999999999999994E-2</v>
      </c>
    </row>
    <row r="678" spans="1:26" x14ac:dyDescent="0.2">
      <c r="A678" s="15" t="s">
        <v>80</v>
      </c>
      <c r="B678" s="15">
        <v>3442.25</v>
      </c>
      <c r="C678" s="15">
        <v>17.974</v>
      </c>
      <c r="D678" s="15">
        <v>23.254999999999999</v>
      </c>
      <c r="E678" s="15">
        <v>1.5369999999999999</v>
      </c>
      <c r="F678" s="15">
        <v>160.756</v>
      </c>
      <c r="G678" s="15">
        <v>2.734</v>
      </c>
      <c r="H678" s="15">
        <v>5.8259999999999996</v>
      </c>
      <c r="I678" s="15">
        <v>3.302</v>
      </c>
      <c r="J678" s="15">
        <v>123.935</v>
      </c>
      <c r="K678" s="15">
        <v>177.971</v>
      </c>
      <c r="L678" s="15">
        <v>1.256</v>
      </c>
      <c r="M678" s="15">
        <v>0.01</v>
      </c>
      <c r="N678" s="15">
        <v>100</v>
      </c>
      <c r="O678" s="15">
        <v>3.4000000000000002E-2</v>
      </c>
      <c r="P678" s="15">
        <v>0.29899999999999999</v>
      </c>
      <c r="Q678" s="15">
        <v>0.13</v>
      </c>
      <c r="R678" s="15">
        <v>0.49199999999999999</v>
      </c>
      <c r="S678" s="15">
        <v>0.44600000000000001</v>
      </c>
      <c r="T678" s="15" t="s">
        <v>23</v>
      </c>
      <c r="U678" s="15" t="s">
        <v>22</v>
      </c>
      <c r="V678" s="15" t="s">
        <v>30</v>
      </c>
      <c r="W678" s="15">
        <v>4</v>
      </c>
      <c r="X678" s="15" t="s">
        <v>32</v>
      </c>
      <c r="Y678" s="12">
        <f t="shared" si="24"/>
        <v>0.16400000000000001</v>
      </c>
      <c r="Z678" s="15">
        <v>-0.26500000000000001</v>
      </c>
    </row>
    <row r="679" spans="1:26" x14ac:dyDescent="0.2">
      <c r="A679" s="15" t="s">
        <v>80</v>
      </c>
      <c r="B679" s="15">
        <v>3442.375</v>
      </c>
      <c r="C679" s="15">
        <v>19.178999999999998</v>
      </c>
      <c r="D679" s="15">
        <v>23.21</v>
      </c>
      <c r="E679" s="15">
        <v>1.6719999999999999</v>
      </c>
      <c r="F679" s="15">
        <v>161.60499999999999</v>
      </c>
      <c r="G679" s="15">
        <v>2.7320000000000002</v>
      </c>
      <c r="H679" s="15">
        <v>6.2880000000000003</v>
      </c>
      <c r="I679" s="15">
        <v>3.2240000000000002</v>
      </c>
      <c r="J679" s="15">
        <v>124.306</v>
      </c>
      <c r="K679" s="15">
        <v>176.19800000000001</v>
      </c>
      <c r="L679" s="15">
        <v>2.16</v>
      </c>
      <c r="M679" s="15">
        <v>0.01</v>
      </c>
      <c r="N679" s="15">
        <v>69.340999999999994</v>
      </c>
      <c r="O679" s="15">
        <v>4.2000000000000003E-2</v>
      </c>
      <c r="P679" s="15">
        <v>0.26</v>
      </c>
      <c r="Q679" s="15">
        <v>0.14299999999999999</v>
      </c>
      <c r="R679" s="15">
        <v>0.48699999999999999</v>
      </c>
      <c r="S679" s="15">
        <v>0.48199999999999998</v>
      </c>
      <c r="T679" s="15" t="s">
        <v>23</v>
      </c>
      <c r="U679" s="15" t="s">
        <v>22</v>
      </c>
      <c r="V679" s="15" t="s">
        <v>30</v>
      </c>
      <c r="W679" s="15">
        <v>4</v>
      </c>
      <c r="X679" s="15" t="s">
        <v>32</v>
      </c>
      <c r="Y679" s="12">
        <f t="shared" si="24"/>
        <v>0.185</v>
      </c>
      <c r="Z679" s="15">
        <v>-0.218</v>
      </c>
    </row>
    <row r="680" spans="1:26" x14ac:dyDescent="0.2">
      <c r="A680" s="15" t="s">
        <v>80</v>
      </c>
      <c r="B680" s="15">
        <v>3442.5</v>
      </c>
      <c r="C680" s="15">
        <v>20.12</v>
      </c>
      <c r="D680" s="15">
        <v>23.187999999999999</v>
      </c>
      <c r="E680" s="15">
        <v>1.819</v>
      </c>
      <c r="F680" s="15">
        <v>162.56299999999999</v>
      </c>
      <c r="G680" s="15">
        <v>2.7280000000000002</v>
      </c>
      <c r="H680" s="15">
        <v>6.6980000000000004</v>
      </c>
      <c r="I680" s="15">
        <v>3.16</v>
      </c>
      <c r="J680" s="15">
        <v>126.643</v>
      </c>
      <c r="K680" s="15">
        <v>179.53800000000001</v>
      </c>
      <c r="L680" s="15">
        <v>2.1480000000000001</v>
      </c>
      <c r="M680" s="15">
        <v>0.01</v>
      </c>
      <c r="N680" s="15">
        <v>68.343999999999994</v>
      </c>
      <c r="O680" s="15">
        <v>0.05</v>
      </c>
      <c r="P680" s="15">
        <v>0.23</v>
      </c>
      <c r="Q680" s="15">
        <v>0.157</v>
      </c>
      <c r="R680" s="15">
        <v>0.47799999999999998</v>
      </c>
      <c r="S680" s="15">
        <v>0.51600000000000001</v>
      </c>
      <c r="T680" s="15" t="s">
        <v>23</v>
      </c>
      <c r="U680" s="15" t="s">
        <v>22</v>
      </c>
      <c r="V680" s="15" t="s">
        <v>30</v>
      </c>
      <c r="W680" s="15">
        <v>4</v>
      </c>
      <c r="X680" s="15" t="s">
        <v>32</v>
      </c>
      <c r="Y680" s="12">
        <f t="shared" si="24"/>
        <v>0.20700000000000002</v>
      </c>
      <c r="Z680" s="15">
        <v>-0.18</v>
      </c>
    </row>
    <row r="681" spans="1:26" x14ac:dyDescent="0.2">
      <c r="A681" s="15" t="s">
        <v>80</v>
      </c>
      <c r="B681" s="15">
        <v>3442.625</v>
      </c>
      <c r="C681" s="15">
        <v>20.591000000000001</v>
      </c>
      <c r="D681" s="15">
        <v>23.152999999999999</v>
      </c>
      <c r="E681" s="15">
        <v>1.9279999999999999</v>
      </c>
      <c r="F681" s="15">
        <v>163.40299999999999</v>
      </c>
      <c r="G681" s="15">
        <v>2.7290000000000001</v>
      </c>
      <c r="H681" s="15">
        <v>7.0119999999999996</v>
      </c>
      <c r="I681" s="15">
        <v>3.0640000000000001</v>
      </c>
      <c r="J681" s="15">
        <v>130.99</v>
      </c>
      <c r="K681" s="15">
        <v>187.87</v>
      </c>
      <c r="L681" s="15">
        <v>3.0640000000000001</v>
      </c>
      <c r="M681" s="15">
        <v>0.01</v>
      </c>
      <c r="N681" s="15">
        <v>45.993000000000002</v>
      </c>
      <c r="O681" s="15">
        <v>5.3999999999999999E-2</v>
      </c>
      <c r="P681" s="15">
        <v>0.189</v>
      </c>
      <c r="Q681" s="15">
        <v>0.17100000000000001</v>
      </c>
      <c r="R681" s="15">
        <v>0.47799999999999998</v>
      </c>
      <c r="S681" s="15">
        <v>0.54300000000000004</v>
      </c>
      <c r="T681" s="15" t="s">
        <v>23</v>
      </c>
      <c r="U681" s="15" t="s">
        <v>22</v>
      </c>
      <c r="V681" s="15" t="s">
        <v>30</v>
      </c>
      <c r="W681" s="15">
        <v>4</v>
      </c>
      <c r="X681" s="15" t="s">
        <v>32</v>
      </c>
      <c r="Y681" s="12">
        <f t="shared" si="24"/>
        <v>0.22500000000000001</v>
      </c>
      <c r="Z681" s="15">
        <v>-0.13500000000000001</v>
      </c>
    </row>
    <row r="682" spans="1:26" x14ac:dyDescent="0.2">
      <c r="A682" s="15" t="s">
        <v>80</v>
      </c>
      <c r="B682" s="15">
        <v>3442.75</v>
      </c>
      <c r="C682" s="15">
        <v>20.71</v>
      </c>
      <c r="D682" s="15">
        <v>23.117999999999999</v>
      </c>
      <c r="E682" s="15">
        <v>1.9890000000000001</v>
      </c>
      <c r="F682" s="15">
        <v>163.863</v>
      </c>
      <c r="G682" s="15">
        <v>2.7360000000000002</v>
      </c>
      <c r="H682" s="15">
        <v>7.1130000000000004</v>
      </c>
      <c r="I682" s="15">
        <v>2.9220000000000002</v>
      </c>
      <c r="J682" s="15">
        <v>137.214</v>
      </c>
      <c r="K682" s="15">
        <v>200.798</v>
      </c>
      <c r="L682" s="15">
        <v>3.0489999999999999</v>
      </c>
      <c r="M682" s="15">
        <v>0.01</v>
      </c>
      <c r="N682" s="15">
        <v>44.517000000000003</v>
      </c>
      <c r="O682" s="15">
        <v>5.5E-2</v>
      </c>
      <c r="P682" s="15">
        <v>0.129</v>
      </c>
      <c r="Q682" s="15">
        <v>0.17899999999999999</v>
      </c>
      <c r="R682" s="15">
        <v>0.49299999999999999</v>
      </c>
      <c r="S682" s="15">
        <v>0.55500000000000005</v>
      </c>
      <c r="T682" s="15" t="s">
        <v>23</v>
      </c>
      <c r="U682" s="15" t="s">
        <v>22</v>
      </c>
      <c r="V682" s="15" t="s">
        <v>30</v>
      </c>
      <c r="W682" s="15">
        <v>4</v>
      </c>
      <c r="X682" s="15" t="s">
        <v>32</v>
      </c>
      <c r="Y682" s="12">
        <f t="shared" si="24"/>
        <v>0.23399999999999999</v>
      </c>
      <c r="Z682" s="15">
        <v>-7.400000000000001E-2</v>
      </c>
    </row>
    <row r="683" spans="1:26" x14ac:dyDescent="0.2">
      <c r="A683" s="15" t="s">
        <v>80</v>
      </c>
      <c r="B683" s="15">
        <v>3442.875</v>
      </c>
      <c r="C683" s="15">
        <v>20.25</v>
      </c>
      <c r="D683" s="15">
        <v>23.096</v>
      </c>
      <c r="E683" s="15">
        <v>1.9970000000000001</v>
      </c>
      <c r="F683" s="15">
        <v>163.863</v>
      </c>
      <c r="G683" s="15">
        <v>2.75</v>
      </c>
      <c r="H683" s="15">
        <v>7.0350000000000001</v>
      </c>
      <c r="I683" s="15">
        <v>2.7669999999999999</v>
      </c>
      <c r="J683" s="15">
        <v>144.88800000000001</v>
      </c>
      <c r="K683" s="15">
        <v>217.68299999999999</v>
      </c>
      <c r="L683" s="15">
        <v>3.0009999999999999</v>
      </c>
      <c r="M683" s="15">
        <v>0.01</v>
      </c>
      <c r="N683" s="15">
        <v>43.674999999999997</v>
      </c>
      <c r="O683" s="15">
        <v>5.2999999999999999E-2</v>
      </c>
      <c r="P683" s="15">
        <v>0.06</v>
      </c>
      <c r="Q683" s="15">
        <v>0.18</v>
      </c>
      <c r="R683" s="15">
        <v>0.52500000000000002</v>
      </c>
      <c r="S683" s="15">
        <v>0.55200000000000005</v>
      </c>
      <c r="T683" s="15" t="s">
        <v>23</v>
      </c>
      <c r="U683" s="15" t="s">
        <v>22</v>
      </c>
      <c r="V683" s="15" t="s">
        <v>30</v>
      </c>
      <c r="W683" s="15">
        <v>4</v>
      </c>
      <c r="X683" s="15" t="s">
        <v>32</v>
      </c>
      <c r="Y683" s="12">
        <f t="shared" si="24"/>
        <v>0.23299999999999998</v>
      </c>
      <c r="Z683" s="15">
        <v>-6.9999999999999993E-3</v>
      </c>
    </row>
    <row r="684" spans="1:26" x14ac:dyDescent="0.2">
      <c r="A684" s="15" t="s">
        <v>80</v>
      </c>
      <c r="B684" s="15">
        <v>3443</v>
      </c>
      <c r="C684" s="15">
        <v>19.259</v>
      </c>
      <c r="D684" s="15">
        <v>23.045999999999999</v>
      </c>
      <c r="E684" s="15">
        <v>1.946</v>
      </c>
      <c r="F684" s="15">
        <v>163.47300000000001</v>
      </c>
      <c r="G684" s="15">
        <v>2.7650000000000001</v>
      </c>
      <c r="H684" s="15">
        <v>6.8390000000000004</v>
      </c>
      <c r="I684" s="15">
        <v>2.6659999999999999</v>
      </c>
      <c r="J684" s="15">
        <v>153.083</v>
      </c>
      <c r="K684" s="15">
        <v>237.256</v>
      </c>
      <c r="L684" s="15">
        <v>2.9279999999999999</v>
      </c>
      <c r="M684" s="15">
        <v>0.01</v>
      </c>
      <c r="N684" s="15">
        <v>43.326999999999998</v>
      </c>
      <c r="O684" s="15">
        <v>4.5999999999999999E-2</v>
      </c>
      <c r="P684" s="15">
        <v>8.9999999999999993E-3</v>
      </c>
      <c r="Q684" s="15">
        <v>0.17599999999999999</v>
      </c>
      <c r="R684" s="15">
        <v>0.56299999999999994</v>
      </c>
      <c r="S684" s="15">
        <v>0.53800000000000003</v>
      </c>
      <c r="T684" s="15" t="s">
        <v>23</v>
      </c>
      <c r="U684" s="15" t="s">
        <v>22</v>
      </c>
      <c r="V684" s="15" t="s">
        <v>30</v>
      </c>
      <c r="W684" s="15">
        <v>4</v>
      </c>
      <c r="X684" s="15" t="s">
        <v>32</v>
      </c>
      <c r="Y684" s="12">
        <f t="shared" si="24"/>
        <v>0.22199999999999998</v>
      </c>
      <c r="Z684" s="15">
        <v>3.6999999999999998E-2</v>
      </c>
    </row>
    <row r="685" spans="1:26" x14ac:dyDescent="0.2">
      <c r="A685" s="15" t="s">
        <v>80</v>
      </c>
      <c r="B685" s="15">
        <v>3443.125</v>
      </c>
      <c r="C685" s="15">
        <v>18.577000000000002</v>
      </c>
      <c r="D685" s="15">
        <v>23.027999999999999</v>
      </c>
      <c r="E685" s="15">
        <v>1.871</v>
      </c>
      <c r="F685" s="15">
        <v>163.047</v>
      </c>
      <c r="G685" s="15">
        <v>2.7749999999999999</v>
      </c>
      <c r="H685" s="15">
        <v>6.6580000000000004</v>
      </c>
      <c r="I685" s="15">
        <v>2.6669999999999998</v>
      </c>
      <c r="J685" s="15">
        <v>160.34299999999999</v>
      </c>
      <c r="K685" s="15">
        <v>256.19400000000002</v>
      </c>
      <c r="L685" s="15">
        <v>2.8660000000000001</v>
      </c>
      <c r="M685" s="15">
        <v>0.01</v>
      </c>
      <c r="N685" s="15">
        <v>43.354999999999997</v>
      </c>
      <c r="O685" s="15">
        <v>4.1000000000000002E-2</v>
      </c>
      <c r="P685" s="15">
        <v>0</v>
      </c>
      <c r="Q685" s="15">
        <v>0.16900000000000001</v>
      </c>
      <c r="R685" s="15">
        <v>0.59099999999999997</v>
      </c>
      <c r="S685" s="15">
        <v>0.52300000000000002</v>
      </c>
      <c r="T685" s="15" t="s">
        <v>23</v>
      </c>
      <c r="U685" s="15" t="s">
        <v>22</v>
      </c>
      <c r="V685" s="15" t="s">
        <v>30</v>
      </c>
      <c r="W685" s="15">
        <v>4</v>
      </c>
      <c r="X685" s="15" t="s">
        <v>32</v>
      </c>
      <c r="Y685" s="12">
        <f t="shared" si="24"/>
        <v>0.21000000000000002</v>
      </c>
      <c r="Z685" s="15">
        <v>4.1000000000000002E-2</v>
      </c>
    </row>
    <row r="686" spans="1:26" x14ac:dyDescent="0.2">
      <c r="A686" s="15" t="s">
        <v>80</v>
      </c>
      <c r="B686" s="15">
        <v>3443.25</v>
      </c>
      <c r="C686" s="15">
        <v>18.7</v>
      </c>
      <c r="D686" s="15">
        <v>23.015000000000001</v>
      </c>
      <c r="E686" s="15">
        <v>1.8280000000000001</v>
      </c>
      <c r="F686" s="15">
        <v>162.79499999999999</v>
      </c>
      <c r="G686" s="15">
        <v>2.7810000000000001</v>
      </c>
      <c r="H686" s="15">
        <v>6.55</v>
      </c>
      <c r="I686" s="15">
        <v>2.754</v>
      </c>
      <c r="J686" s="15">
        <v>166.28800000000001</v>
      </c>
      <c r="K686" s="15">
        <v>272.601</v>
      </c>
      <c r="L686" s="15">
        <v>2.82</v>
      </c>
      <c r="M686" s="15">
        <v>0.01</v>
      </c>
      <c r="N686" s="15">
        <v>42.761000000000003</v>
      </c>
      <c r="O686" s="15">
        <v>4.1000000000000002E-2</v>
      </c>
      <c r="P686" s="15">
        <v>3.2000000000000001E-2</v>
      </c>
      <c r="Q686" s="15">
        <v>0.16500000000000001</v>
      </c>
      <c r="R686" s="15">
        <v>0.60799999999999998</v>
      </c>
      <c r="S686" s="15">
        <v>0.51300000000000001</v>
      </c>
      <c r="T686" s="15" t="s">
        <v>23</v>
      </c>
      <c r="U686" s="15" t="s">
        <v>22</v>
      </c>
      <c r="V686" s="15" t="s">
        <v>30</v>
      </c>
      <c r="W686" s="15">
        <v>4</v>
      </c>
      <c r="X686" s="15" t="s">
        <v>32</v>
      </c>
      <c r="Y686" s="12">
        <f t="shared" si="24"/>
        <v>0.20600000000000002</v>
      </c>
      <c r="Z686" s="15">
        <v>9.0000000000000011E-3</v>
      </c>
    </row>
    <row r="687" spans="1:26" x14ac:dyDescent="0.2">
      <c r="A687" s="15" t="s">
        <v>80</v>
      </c>
      <c r="B687" s="15">
        <v>3443.375</v>
      </c>
      <c r="C687" s="15">
        <v>19.032</v>
      </c>
      <c r="D687" s="15">
        <v>23.033000000000001</v>
      </c>
      <c r="E687" s="15">
        <v>1.8540000000000001</v>
      </c>
      <c r="F687" s="15">
        <v>162.97399999999999</v>
      </c>
      <c r="G687" s="15">
        <v>2.7839999999999998</v>
      </c>
      <c r="H687" s="15">
        <v>6.5069999999999997</v>
      </c>
      <c r="I687" s="15">
        <v>2.8639999999999999</v>
      </c>
      <c r="J687" s="15">
        <v>171.20699999999999</v>
      </c>
      <c r="K687" s="15">
        <v>285.06700000000001</v>
      </c>
      <c r="L687" s="15">
        <v>1.865</v>
      </c>
      <c r="M687" s="15">
        <v>0.01</v>
      </c>
      <c r="N687" s="15">
        <v>63.118000000000002</v>
      </c>
      <c r="O687" s="15">
        <v>4.2999999999999997E-2</v>
      </c>
      <c r="P687" s="15">
        <v>0.08</v>
      </c>
      <c r="Q687" s="15">
        <v>0.16600000000000001</v>
      </c>
      <c r="R687" s="15">
        <v>0.61699999999999999</v>
      </c>
      <c r="S687" s="15">
        <v>0.50800000000000001</v>
      </c>
      <c r="T687" s="15" t="s">
        <v>23</v>
      </c>
      <c r="U687" s="15" t="s">
        <v>22</v>
      </c>
      <c r="V687" s="15" t="s">
        <v>30</v>
      </c>
      <c r="W687" s="15">
        <v>4</v>
      </c>
      <c r="X687" s="15" t="s">
        <v>32</v>
      </c>
      <c r="Y687" s="12">
        <f t="shared" si="24"/>
        <v>0.20900000000000002</v>
      </c>
      <c r="Z687" s="15">
        <v>-3.7000000000000005E-2</v>
      </c>
    </row>
    <row r="688" spans="1:26" x14ac:dyDescent="0.2">
      <c r="A688" s="15" t="s">
        <v>80</v>
      </c>
      <c r="B688" s="15">
        <v>3443.5</v>
      </c>
      <c r="C688" s="15">
        <v>18.86</v>
      </c>
      <c r="D688" s="15">
        <v>23.047999999999998</v>
      </c>
      <c r="E688" s="15">
        <v>1.909</v>
      </c>
      <c r="F688" s="15">
        <v>163.477</v>
      </c>
      <c r="G688" s="15">
        <v>2.7839999999999998</v>
      </c>
      <c r="H688" s="15">
        <v>6.4989999999999997</v>
      </c>
      <c r="I688" s="15">
        <v>2.9350000000000001</v>
      </c>
      <c r="J688" s="15">
        <v>175.39500000000001</v>
      </c>
      <c r="K688" s="15">
        <v>294.13499999999999</v>
      </c>
      <c r="L688" s="15">
        <v>1.839</v>
      </c>
      <c r="M688" s="15">
        <v>0.01</v>
      </c>
      <c r="N688" s="15">
        <v>62.209000000000003</v>
      </c>
      <c r="O688" s="15">
        <v>4.2000000000000003E-2</v>
      </c>
      <c r="P688" s="15">
        <v>0.11600000000000001</v>
      </c>
      <c r="Q688" s="15">
        <v>0.17299999999999999</v>
      </c>
      <c r="R688" s="15">
        <v>0.61899999999999999</v>
      </c>
      <c r="S688" s="15">
        <v>0.50700000000000001</v>
      </c>
      <c r="T688" s="15" t="s">
        <v>23</v>
      </c>
      <c r="U688" s="15" t="s">
        <v>22</v>
      </c>
      <c r="V688" s="15" t="s">
        <v>30</v>
      </c>
      <c r="W688" s="15">
        <v>4</v>
      </c>
      <c r="X688" s="15" t="s">
        <v>32</v>
      </c>
      <c r="Y688" s="12">
        <f t="shared" si="24"/>
        <v>0.215</v>
      </c>
      <c r="Z688" s="15">
        <v>-7.400000000000001E-2</v>
      </c>
    </row>
    <row r="689" spans="1:26" x14ac:dyDescent="0.2">
      <c r="A689" s="15" t="s">
        <v>80</v>
      </c>
      <c r="B689" s="15">
        <v>3443.625</v>
      </c>
      <c r="C689" s="15">
        <v>18.448</v>
      </c>
      <c r="D689" s="15">
        <v>23.085999999999999</v>
      </c>
      <c r="E689" s="15">
        <v>1.9910000000000001</v>
      </c>
      <c r="F689" s="15">
        <v>164.14099999999999</v>
      </c>
      <c r="G689" s="15">
        <v>2.78</v>
      </c>
      <c r="H689" s="15">
        <v>6.5419999999999998</v>
      </c>
      <c r="I689" s="15">
        <v>2.952</v>
      </c>
      <c r="J689" s="15">
        <v>178.62100000000001</v>
      </c>
      <c r="K689" s="15">
        <v>301.06799999999998</v>
      </c>
      <c r="L689" s="15">
        <v>1.8420000000000001</v>
      </c>
      <c r="M689" s="15">
        <v>0.01</v>
      </c>
      <c r="N689" s="15">
        <v>61.219000000000001</v>
      </c>
      <c r="O689" s="15">
        <v>3.9E-2</v>
      </c>
      <c r="P689" s="15">
        <v>0.128</v>
      </c>
      <c r="Q689" s="15">
        <v>0.183</v>
      </c>
      <c r="R689" s="15">
        <v>0.61099999999999999</v>
      </c>
      <c r="S689" s="15">
        <v>0.51</v>
      </c>
      <c r="T689" s="15" t="s">
        <v>23</v>
      </c>
      <c r="U689" s="15" t="s">
        <v>22</v>
      </c>
      <c r="V689" s="15" t="s">
        <v>30</v>
      </c>
      <c r="W689" s="15">
        <v>4</v>
      </c>
      <c r="X689" s="15" t="s">
        <v>32</v>
      </c>
      <c r="Y689" s="12">
        <f t="shared" si="24"/>
        <v>0.222</v>
      </c>
      <c r="Z689" s="15">
        <v>-8.8999999999999996E-2</v>
      </c>
    </row>
    <row r="690" spans="1:26" x14ac:dyDescent="0.2">
      <c r="A690" s="15" t="s">
        <v>80</v>
      </c>
      <c r="B690" s="15">
        <v>3443.75</v>
      </c>
      <c r="C690" s="15">
        <v>18.675999999999998</v>
      </c>
      <c r="D690" s="15">
        <v>23.137</v>
      </c>
      <c r="E690" s="15">
        <v>2.16</v>
      </c>
      <c r="F690" s="15">
        <v>164.607</v>
      </c>
      <c r="G690" s="15">
        <v>2.7719999999999998</v>
      </c>
      <c r="H690" s="15">
        <v>6.6580000000000004</v>
      </c>
      <c r="I690" s="15">
        <v>2.9390000000000001</v>
      </c>
      <c r="J690" s="15">
        <v>179.82400000000001</v>
      </c>
      <c r="K690" s="15">
        <v>307.55500000000001</v>
      </c>
      <c r="L690" s="15">
        <v>1.8740000000000001</v>
      </c>
      <c r="M690" s="15">
        <v>0.01</v>
      </c>
      <c r="N690" s="15">
        <v>59.326000000000001</v>
      </c>
      <c r="O690" s="15">
        <v>0.04</v>
      </c>
      <c r="P690" s="15">
        <v>0.125</v>
      </c>
      <c r="Q690" s="15">
        <v>0.19</v>
      </c>
      <c r="R690" s="15">
        <v>0.59199999999999997</v>
      </c>
      <c r="S690" s="15">
        <v>0.51800000000000002</v>
      </c>
      <c r="T690" s="15" t="s">
        <v>23</v>
      </c>
      <c r="U690" s="15" t="s">
        <v>22</v>
      </c>
      <c r="V690" s="15" t="s">
        <v>30</v>
      </c>
      <c r="W690" s="15">
        <v>4</v>
      </c>
      <c r="X690" s="15" t="s">
        <v>32</v>
      </c>
      <c r="Y690" s="12">
        <f t="shared" si="24"/>
        <v>0.23</v>
      </c>
      <c r="Z690" s="15">
        <v>-8.4999999999999992E-2</v>
      </c>
    </row>
    <row r="691" spans="1:26" x14ac:dyDescent="0.2">
      <c r="A691" s="15" t="s">
        <v>80</v>
      </c>
      <c r="B691" s="15">
        <v>3443.875</v>
      </c>
      <c r="C691" s="15">
        <v>19.704000000000001</v>
      </c>
      <c r="D691" s="15">
        <v>23.17</v>
      </c>
      <c r="E691" s="15">
        <v>2.4020000000000001</v>
      </c>
      <c r="F691" s="15">
        <v>164.72800000000001</v>
      </c>
      <c r="G691" s="15">
        <v>2.76</v>
      </c>
      <c r="H691" s="15">
        <v>6.8890000000000002</v>
      </c>
      <c r="I691" s="15">
        <v>2.9350000000000001</v>
      </c>
      <c r="J691" s="15">
        <v>177.53299999999999</v>
      </c>
      <c r="K691" s="15">
        <v>312.35300000000001</v>
      </c>
      <c r="L691" s="15">
        <v>2.839</v>
      </c>
      <c r="M691" s="15">
        <v>0.01</v>
      </c>
      <c r="N691" s="15">
        <v>38.795999999999999</v>
      </c>
      <c r="O691" s="15">
        <v>4.5999999999999999E-2</v>
      </c>
      <c r="P691" s="15">
        <v>0.122</v>
      </c>
      <c r="Q691" s="15">
        <v>0.193</v>
      </c>
      <c r="R691" s="15">
        <v>0.56399999999999995</v>
      </c>
      <c r="S691" s="15">
        <v>0.53500000000000003</v>
      </c>
      <c r="T691" s="15" t="s">
        <v>23</v>
      </c>
      <c r="U691" s="15" t="s">
        <v>22</v>
      </c>
      <c r="V691" s="15" t="s">
        <v>30</v>
      </c>
      <c r="W691" s="15">
        <v>4</v>
      </c>
      <c r="X691" s="15" t="s">
        <v>32</v>
      </c>
      <c r="Y691" s="12">
        <f t="shared" si="24"/>
        <v>0.23899999999999999</v>
      </c>
      <c r="Z691" s="15">
        <v>-7.5999999999999998E-2</v>
      </c>
    </row>
    <row r="692" spans="1:26" x14ac:dyDescent="0.2">
      <c r="A692" s="15" t="s">
        <v>80</v>
      </c>
      <c r="B692" s="15">
        <v>3444</v>
      </c>
      <c r="C692" s="15">
        <v>21.146000000000001</v>
      </c>
      <c r="D692" s="15">
        <v>23.260999999999999</v>
      </c>
      <c r="E692" s="15">
        <v>2.601</v>
      </c>
      <c r="F692" s="15">
        <v>164.46700000000001</v>
      </c>
      <c r="G692" s="15">
        <v>2.7450000000000001</v>
      </c>
      <c r="H692" s="15">
        <v>7.2030000000000003</v>
      </c>
      <c r="I692" s="15">
        <v>2.9580000000000002</v>
      </c>
      <c r="J692" s="15">
        <v>170.93</v>
      </c>
      <c r="K692" s="15">
        <v>310.80200000000002</v>
      </c>
      <c r="L692" s="15">
        <v>2.8849999999999998</v>
      </c>
      <c r="M692" s="15">
        <v>0.01</v>
      </c>
      <c r="N692" s="15">
        <v>38.893999999999998</v>
      </c>
      <c r="O692" s="15">
        <v>5.6000000000000001E-2</v>
      </c>
      <c r="P692" s="15">
        <v>0.13</v>
      </c>
      <c r="Q692" s="15">
        <v>0.191</v>
      </c>
      <c r="R692" s="15">
        <v>0.52700000000000002</v>
      </c>
      <c r="S692" s="15">
        <v>0.55900000000000005</v>
      </c>
      <c r="T692" s="15" t="s">
        <v>23</v>
      </c>
      <c r="U692" s="15" t="s">
        <v>22</v>
      </c>
      <c r="V692" s="15" t="s">
        <v>30</v>
      </c>
      <c r="W692" s="15">
        <v>4</v>
      </c>
      <c r="X692" s="15" t="s">
        <v>32</v>
      </c>
      <c r="Y692" s="12">
        <f t="shared" si="24"/>
        <v>0.247</v>
      </c>
      <c r="Z692" s="15">
        <v>-7.400000000000001E-2</v>
      </c>
    </row>
    <row r="693" spans="1:26" x14ac:dyDescent="0.2">
      <c r="A693" s="15" t="s">
        <v>80</v>
      </c>
      <c r="B693" s="15">
        <v>3444.125</v>
      </c>
      <c r="C693" s="15">
        <v>22.385000000000002</v>
      </c>
      <c r="D693" s="15">
        <v>23.399000000000001</v>
      </c>
      <c r="E693" s="15">
        <v>2.6389999999999998</v>
      </c>
      <c r="F693" s="15">
        <v>163.96700000000001</v>
      </c>
      <c r="G693" s="15">
        <v>2.7290000000000001</v>
      </c>
      <c r="H693" s="15">
        <v>7.6239999999999997</v>
      </c>
      <c r="I693" s="15">
        <v>3.0009999999999999</v>
      </c>
      <c r="J693" s="15">
        <v>163.232</v>
      </c>
      <c r="K693" s="15">
        <v>300.24099999999999</v>
      </c>
      <c r="L693" s="15">
        <v>2.9340000000000002</v>
      </c>
      <c r="M693" s="15">
        <v>0.01</v>
      </c>
      <c r="N693" s="15">
        <v>40.185000000000002</v>
      </c>
      <c r="O693" s="15">
        <v>6.6000000000000003E-2</v>
      </c>
      <c r="P693" s="15">
        <v>0.14799999999999999</v>
      </c>
      <c r="Q693" s="15">
        <v>0.184</v>
      </c>
      <c r="R693" s="15">
        <v>0.48599999999999999</v>
      </c>
      <c r="S693" s="15">
        <v>0.59099999999999997</v>
      </c>
      <c r="T693" s="15" t="s">
        <v>23</v>
      </c>
      <c r="U693" s="15" t="s">
        <v>22</v>
      </c>
      <c r="V693" s="15" t="s">
        <v>30</v>
      </c>
      <c r="W693" s="15">
        <v>4</v>
      </c>
      <c r="X693" s="15" t="s">
        <v>32</v>
      </c>
      <c r="Y693" s="12">
        <f t="shared" si="24"/>
        <v>0.25</v>
      </c>
      <c r="Z693" s="15">
        <v>-8.199999999999999E-2</v>
      </c>
    </row>
    <row r="694" spans="1:26" x14ac:dyDescent="0.2">
      <c r="A694" s="15" t="s">
        <v>80</v>
      </c>
      <c r="B694" s="15">
        <v>3444.25</v>
      </c>
      <c r="C694" s="15">
        <v>23.324999999999999</v>
      </c>
      <c r="D694" s="15">
        <v>23.47</v>
      </c>
      <c r="E694" s="15">
        <v>2.5510000000000002</v>
      </c>
      <c r="F694" s="15">
        <v>163.339</v>
      </c>
      <c r="G694" s="15">
        <v>2.7069999999999999</v>
      </c>
      <c r="H694" s="15">
        <v>8.1020000000000003</v>
      </c>
      <c r="I694" s="15">
        <v>3.04</v>
      </c>
      <c r="J694" s="15">
        <v>158.38200000000001</v>
      </c>
      <c r="K694" s="15">
        <v>283.553</v>
      </c>
      <c r="L694" s="15">
        <v>3.0030000000000001</v>
      </c>
      <c r="M694" s="15">
        <v>0.01</v>
      </c>
      <c r="N694" s="15">
        <v>42.722000000000001</v>
      </c>
      <c r="O694" s="15">
        <v>7.2999999999999995E-2</v>
      </c>
      <c r="P694" s="15">
        <v>0.16600000000000001</v>
      </c>
      <c r="Q694" s="15">
        <v>0.17399999999999999</v>
      </c>
      <c r="R694" s="15">
        <v>0.433</v>
      </c>
      <c r="S694" s="15">
        <v>0.629</v>
      </c>
      <c r="T694" s="15" t="s">
        <v>23</v>
      </c>
      <c r="U694" s="15" t="s">
        <v>22</v>
      </c>
      <c r="V694" s="15" t="s">
        <v>30</v>
      </c>
      <c r="W694" s="15">
        <v>4</v>
      </c>
      <c r="X694" s="15" t="s">
        <v>32</v>
      </c>
      <c r="Y694" s="12">
        <f t="shared" si="24"/>
        <v>0.247</v>
      </c>
      <c r="Z694" s="15">
        <v>-9.3000000000000013E-2</v>
      </c>
    </row>
    <row r="695" spans="1:26" x14ac:dyDescent="0.2">
      <c r="A695" s="15" t="s">
        <v>80</v>
      </c>
      <c r="B695" s="15">
        <v>3444.375</v>
      </c>
      <c r="C695" s="15">
        <v>23.579000000000001</v>
      </c>
      <c r="D695" s="15">
        <v>23.529</v>
      </c>
      <c r="E695" s="15">
        <v>2.3940000000000001</v>
      </c>
      <c r="F695" s="15">
        <v>162.62799999999999</v>
      </c>
      <c r="G695" s="15">
        <v>2.6829999999999998</v>
      </c>
      <c r="H695" s="15">
        <v>8.6240000000000006</v>
      </c>
      <c r="I695" s="15">
        <v>3.06</v>
      </c>
      <c r="J695" s="15">
        <v>159.58099999999999</v>
      </c>
      <c r="K695" s="15">
        <v>266.84699999999998</v>
      </c>
      <c r="L695" s="15">
        <v>4.0270000000000001</v>
      </c>
      <c r="M695" s="15">
        <v>0.01</v>
      </c>
      <c r="N695" s="15">
        <v>34.018999999999998</v>
      </c>
      <c r="O695" s="15">
        <v>7.5999999999999998E-2</v>
      </c>
      <c r="P695" s="15">
        <v>0.17699999999999999</v>
      </c>
      <c r="Q695" s="15">
        <v>0.16400000000000001</v>
      </c>
      <c r="R695" s="15">
        <v>0.373</v>
      </c>
      <c r="S695" s="15">
        <v>0.67100000000000004</v>
      </c>
      <c r="T695" s="15" t="s">
        <v>23</v>
      </c>
      <c r="U695" s="15" t="s">
        <v>22</v>
      </c>
      <c r="V695" s="15" t="s">
        <v>30</v>
      </c>
      <c r="W695" s="15">
        <v>4</v>
      </c>
      <c r="X695" s="15" t="s">
        <v>32</v>
      </c>
      <c r="Y695" s="12">
        <f t="shared" si="24"/>
        <v>0.24</v>
      </c>
      <c r="Z695" s="15">
        <v>-0.10099999999999999</v>
      </c>
    </row>
    <row r="696" spans="1:26" x14ac:dyDescent="0.2">
      <c r="A696" s="15" t="s">
        <v>80</v>
      </c>
      <c r="B696" s="15">
        <v>3444.5</v>
      </c>
      <c r="C696" s="15">
        <v>22.899000000000001</v>
      </c>
      <c r="D696" s="15">
        <v>23.478000000000002</v>
      </c>
      <c r="E696" s="15">
        <v>2.137</v>
      </c>
      <c r="F696" s="15">
        <v>161.78800000000001</v>
      </c>
      <c r="G696" s="15">
        <v>2.66</v>
      </c>
      <c r="H696" s="15">
        <v>9.0950000000000006</v>
      </c>
      <c r="I696" s="15">
        <v>3.0640000000000001</v>
      </c>
      <c r="J696" s="15">
        <v>167.35900000000001</v>
      </c>
      <c r="K696" s="15">
        <v>256.23099999999999</v>
      </c>
      <c r="L696" s="15">
        <v>4.1710000000000003</v>
      </c>
      <c r="M696" s="15">
        <v>0.01</v>
      </c>
      <c r="N696" s="15">
        <v>33.414000000000001</v>
      </c>
      <c r="O696" s="15">
        <v>7.1999999999999995E-2</v>
      </c>
      <c r="P696" s="15">
        <v>0.18</v>
      </c>
      <c r="Q696" s="15">
        <v>0.151</v>
      </c>
      <c r="R696" s="15">
        <v>0.314</v>
      </c>
      <c r="S696" s="15">
        <v>0.71</v>
      </c>
      <c r="T696" s="15" t="s">
        <v>23</v>
      </c>
      <c r="U696" s="15" t="s">
        <v>22</v>
      </c>
      <c r="V696" s="15" t="s">
        <v>30</v>
      </c>
      <c r="W696" s="15">
        <v>4</v>
      </c>
      <c r="X696" s="15" t="s">
        <v>32</v>
      </c>
      <c r="Y696" s="12">
        <f t="shared" si="24"/>
        <v>0.22299999999999998</v>
      </c>
      <c r="Z696" s="15">
        <v>-0.108</v>
      </c>
    </row>
    <row r="697" spans="1:26" x14ac:dyDescent="0.2">
      <c r="A697" s="15" t="s">
        <v>80</v>
      </c>
      <c r="B697" s="15">
        <v>3444.625</v>
      </c>
      <c r="C697" s="15">
        <v>21.628</v>
      </c>
      <c r="D697" s="15">
        <v>23.215</v>
      </c>
      <c r="E697" s="15">
        <v>1.802</v>
      </c>
      <c r="F697" s="15">
        <v>160.80000000000001</v>
      </c>
      <c r="G697" s="15">
        <v>2.6469999999999998</v>
      </c>
      <c r="H697" s="15">
        <v>9.4350000000000005</v>
      </c>
      <c r="I697" s="15">
        <v>3.0609999999999999</v>
      </c>
      <c r="J697" s="15">
        <v>183.02799999999999</v>
      </c>
      <c r="K697" s="15">
        <v>256.22800000000001</v>
      </c>
      <c r="L697" s="15">
        <v>5.2469999999999999</v>
      </c>
      <c r="M697" s="15">
        <v>2.5000000000000001E-2</v>
      </c>
      <c r="N697" s="15">
        <v>25.614999999999998</v>
      </c>
      <c r="O697" s="15">
        <v>6.4000000000000001E-2</v>
      </c>
      <c r="P697" s="15">
        <v>0.17899999999999999</v>
      </c>
      <c r="Q697" s="15">
        <v>0.13600000000000001</v>
      </c>
      <c r="R697" s="15">
        <v>0.27500000000000002</v>
      </c>
      <c r="S697" s="15">
        <v>0.74</v>
      </c>
      <c r="T697" s="15" t="s">
        <v>23</v>
      </c>
      <c r="U697" s="15" t="s">
        <v>22</v>
      </c>
      <c r="V697" s="15" t="s">
        <v>30</v>
      </c>
      <c r="W697" s="15">
        <v>4</v>
      </c>
      <c r="X697" s="15" t="s">
        <v>32</v>
      </c>
      <c r="Y697" s="12">
        <f t="shared" si="24"/>
        <v>0.2</v>
      </c>
      <c r="Z697" s="15">
        <v>-0.11499999999999999</v>
      </c>
    </row>
    <row r="698" spans="1:26" x14ac:dyDescent="0.2">
      <c r="A698" s="15" t="s">
        <v>80</v>
      </c>
      <c r="B698" s="15">
        <v>3444.75</v>
      </c>
      <c r="C698" s="15">
        <v>20.667999999999999</v>
      </c>
      <c r="D698" s="15">
        <v>22.899000000000001</v>
      </c>
      <c r="E698" s="15">
        <v>1.5269999999999999</v>
      </c>
      <c r="F698" s="15">
        <v>159.74</v>
      </c>
      <c r="G698" s="15">
        <v>2.6520000000000001</v>
      </c>
      <c r="H698" s="15">
        <v>9.609</v>
      </c>
      <c r="I698" s="15">
        <v>3.0590000000000002</v>
      </c>
      <c r="J698" s="15">
        <v>207.93700000000001</v>
      </c>
      <c r="K698" s="15">
        <v>273.26</v>
      </c>
      <c r="L698" s="15">
        <v>5.3559999999999999</v>
      </c>
      <c r="M698" s="15">
        <v>2.7E-2</v>
      </c>
      <c r="N698" s="15">
        <v>24.574999999999999</v>
      </c>
      <c r="O698" s="15">
        <v>5.6000000000000001E-2</v>
      </c>
      <c r="P698" s="15">
        <v>0.17799999999999999</v>
      </c>
      <c r="Q698" s="15">
        <v>0.12</v>
      </c>
      <c r="R698" s="15">
        <v>0.27900000000000003</v>
      </c>
      <c r="S698" s="15">
        <v>0.75700000000000001</v>
      </c>
      <c r="T698" s="15" t="s">
        <v>23</v>
      </c>
      <c r="U698" s="15" t="s">
        <v>22</v>
      </c>
      <c r="V698" s="15" t="s">
        <v>30</v>
      </c>
      <c r="W698" s="15">
        <v>4</v>
      </c>
      <c r="X698" s="15" t="s">
        <v>32</v>
      </c>
      <c r="Y698" s="12">
        <f t="shared" si="24"/>
        <v>0.17599999999999999</v>
      </c>
      <c r="Z698" s="15">
        <v>-0.122</v>
      </c>
    </row>
    <row r="699" spans="1:26" x14ac:dyDescent="0.2">
      <c r="A699" s="15" t="s">
        <v>80</v>
      </c>
      <c r="B699" s="15">
        <v>3444.875</v>
      </c>
      <c r="C699" s="15">
        <v>20.457999999999998</v>
      </c>
      <c r="D699" s="15">
        <v>22.780999999999999</v>
      </c>
      <c r="E699" s="15">
        <v>1.355</v>
      </c>
      <c r="F699" s="15">
        <v>158.88300000000001</v>
      </c>
      <c r="G699" s="15">
        <v>2.6749999999999998</v>
      </c>
      <c r="H699" s="15">
        <v>9.5730000000000004</v>
      </c>
      <c r="I699" s="15">
        <v>3.0489999999999999</v>
      </c>
      <c r="J699" s="15">
        <v>234.53100000000001</v>
      </c>
      <c r="K699" s="15">
        <v>300.88299999999998</v>
      </c>
      <c r="L699" s="15">
        <v>6.27</v>
      </c>
      <c r="M699" s="15">
        <v>5.3999999999999999E-2</v>
      </c>
      <c r="N699" s="15">
        <v>21.196999999999999</v>
      </c>
      <c r="O699" s="15">
        <v>5.3999999999999999E-2</v>
      </c>
      <c r="P699" s="15">
        <v>0.17499999999999999</v>
      </c>
      <c r="Q699" s="15">
        <v>0.106</v>
      </c>
      <c r="R699" s="15">
        <v>0.32800000000000001</v>
      </c>
      <c r="S699" s="15">
        <v>0.75800000000000001</v>
      </c>
      <c r="T699" s="15" t="s">
        <v>23</v>
      </c>
      <c r="U699" s="15" t="s">
        <v>22</v>
      </c>
      <c r="V699" s="15" t="s">
        <v>30</v>
      </c>
      <c r="W699" s="15">
        <v>4</v>
      </c>
      <c r="X699" s="15" t="s">
        <v>32</v>
      </c>
      <c r="Y699" s="12">
        <f t="shared" si="24"/>
        <v>0.16</v>
      </c>
      <c r="Z699" s="15">
        <v>-0.121</v>
      </c>
    </row>
    <row r="700" spans="1:26" x14ac:dyDescent="0.2">
      <c r="A700" s="15" t="s">
        <v>80</v>
      </c>
      <c r="B700" s="15">
        <v>3445</v>
      </c>
      <c r="C700" s="15">
        <v>21.187000000000001</v>
      </c>
      <c r="D700" s="15">
        <v>22.652000000000001</v>
      </c>
      <c r="E700" s="15">
        <v>1.232</v>
      </c>
      <c r="F700" s="15">
        <v>158.43899999999999</v>
      </c>
      <c r="G700" s="15">
        <v>2.7109999999999999</v>
      </c>
      <c r="H700" s="15">
        <v>9.36</v>
      </c>
      <c r="I700" s="15">
        <v>3.024</v>
      </c>
      <c r="J700" s="15">
        <v>249.96</v>
      </c>
      <c r="K700" s="15">
        <v>321.36099999999999</v>
      </c>
      <c r="L700" s="15">
        <v>6.1369999999999996</v>
      </c>
      <c r="M700" s="15">
        <v>4.9000000000000002E-2</v>
      </c>
      <c r="N700" s="15">
        <v>22.585999999999999</v>
      </c>
      <c r="O700" s="15">
        <v>5.8000000000000003E-2</v>
      </c>
      <c r="P700" s="15">
        <v>0.16500000000000001</v>
      </c>
      <c r="Q700" s="15">
        <v>9.8000000000000004E-2</v>
      </c>
      <c r="R700" s="15">
        <v>0.41399999999999998</v>
      </c>
      <c r="S700" s="15">
        <v>0.74299999999999999</v>
      </c>
      <c r="T700" s="15" t="s">
        <v>23</v>
      </c>
      <c r="U700" s="15" t="s">
        <v>22</v>
      </c>
      <c r="V700" s="15" t="s">
        <v>30</v>
      </c>
      <c r="W700" s="15">
        <v>4</v>
      </c>
      <c r="X700" s="15" t="s">
        <v>32</v>
      </c>
      <c r="Y700" s="12">
        <f t="shared" si="24"/>
        <v>0.156</v>
      </c>
      <c r="Z700" s="15">
        <v>-0.10700000000000001</v>
      </c>
    </row>
    <row r="701" spans="1:26" x14ac:dyDescent="0.2">
      <c r="A701" s="15" t="s">
        <v>80</v>
      </c>
      <c r="B701" s="15">
        <v>3445.125</v>
      </c>
      <c r="C701" s="15">
        <v>25.355</v>
      </c>
      <c r="D701" s="15">
        <v>22.614000000000001</v>
      </c>
      <c r="E701" s="15">
        <v>1.1739999999999999</v>
      </c>
      <c r="F701" s="15">
        <v>159.01</v>
      </c>
      <c r="G701" s="15">
        <v>2.7480000000000002</v>
      </c>
      <c r="H701" s="15">
        <v>9.0169999999999995</v>
      </c>
      <c r="I701" s="15">
        <v>2.984</v>
      </c>
      <c r="J701" s="15">
        <v>242.35599999999999</v>
      </c>
      <c r="K701" s="15">
        <v>312.19799999999998</v>
      </c>
      <c r="L701" s="15">
        <v>4.9809999999999999</v>
      </c>
      <c r="M701" s="15">
        <v>0.02</v>
      </c>
      <c r="N701" s="15">
        <v>29.137</v>
      </c>
      <c r="O701" s="15">
        <v>8.3000000000000004E-2</v>
      </c>
      <c r="P701" s="15">
        <v>0.14799999999999999</v>
      </c>
      <c r="Q701" s="15">
        <v>0.104</v>
      </c>
      <c r="R701" s="15">
        <v>0.50800000000000001</v>
      </c>
      <c r="S701" s="15">
        <v>0.71699999999999997</v>
      </c>
      <c r="T701" s="15" t="s">
        <v>23</v>
      </c>
      <c r="U701" s="15" t="s">
        <v>22</v>
      </c>
      <c r="V701" s="15" t="s">
        <v>30</v>
      </c>
      <c r="W701" s="15">
        <v>4</v>
      </c>
      <c r="X701" s="15" t="s">
        <v>32</v>
      </c>
      <c r="Y701" s="12">
        <f t="shared" si="24"/>
        <v>0.187</v>
      </c>
      <c r="Z701" s="15">
        <v>-6.4999999999999988E-2</v>
      </c>
    </row>
    <row r="702" spans="1:26" x14ac:dyDescent="0.2">
      <c r="A702" s="15" t="s">
        <v>80</v>
      </c>
      <c r="B702" s="15">
        <v>3445.25</v>
      </c>
      <c r="C702" s="15">
        <v>37.210999999999999</v>
      </c>
      <c r="D702" s="15">
        <v>22.614999999999998</v>
      </c>
      <c r="E702" s="15">
        <v>1.304</v>
      </c>
      <c r="F702" s="15">
        <v>160.78899999999999</v>
      </c>
      <c r="G702" s="15">
        <v>2.778</v>
      </c>
      <c r="H702" s="15">
        <v>8.6850000000000005</v>
      </c>
      <c r="I702" s="15">
        <v>2.9529999999999998</v>
      </c>
      <c r="J702" s="15">
        <v>216.31899999999999</v>
      </c>
      <c r="K702" s="15">
        <v>275.21100000000001</v>
      </c>
      <c r="L702" s="15">
        <v>4.641</v>
      </c>
      <c r="M702" s="15">
        <v>1.4E-2</v>
      </c>
      <c r="N702" s="15">
        <v>32.896999999999998</v>
      </c>
      <c r="O702" s="15">
        <v>0.158</v>
      </c>
      <c r="P702" s="15">
        <v>0.13300000000000001</v>
      </c>
      <c r="Q702" s="15">
        <v>0.128</v>
      </c>
      <c r="R702" s="15">
        <v>0.58799999999999997</v>
      </c>
      <c r="S702" s="15">
        <v>0.69</v>
      </c>
      <c r="T702" s="15" t="s">
        <v>23</v>
      </c>
      <c r="U702" s="15" t="s">
        <v>22</v>
      </c>
      <c r="V702" s="15" t="s">
        <v>30</v>
      </c>
      <c r="W702" s="15">
        <v>4</v>
      </c>
      <c r="X702" s="15" t="s">
        <v>32</v>
      </c>
      <c r="Y702" s="12">
        <f t="shared" si="24"/>
        <v>0.28600000000000003</v>
      </c>
      <c r="Z702" s="15">
        <v>2.4999999999999994E-2</v>
      </c>
    </row>
    <row r="703" spans="1:26" x14ac:dyDescent="0.2">
      <c r="A703" s="15" t="s">
        <v>80</v>
      </c>
      <c r="B703" s="15">
        <v>3450.5</v>
      </c>
      <c r="C703" s="15">
        <v>31.506</v>
      </c>
      <c r="D703" s="15">
        <v>22.646000000000001</v>
      </c>
      <c r="E703" s="15">
        <v>2.2309999999999999</v>
      </c>
      <c r="F703" s="15">
        <v>176.45699999999999</v>
      </c>
      <c r="G703" s="15">
        <v>2.89</v>
      </c>
      <c r="H703" s="15">
        <v>1.4910000000000001</v>
      </c>
      <c r="I703" s="15">
        <v>4.1970000000000001</v>
      </c>
      <c r="J703" s="15">
        <v>568.00300000000004</v>
      </c>
      <c r="K703" s="15">
        <v>710.90899999999999</v>
      </c>
      <c r="L703" s="15">
        <v>0.01</v>
      </c>
      <c r="M703" s="15">
        <v>1E-3</v>
      </c>
      <c r="N703" s="15">
        <v>100</v>
      </c>
      <c r="O703" s="15">
        <v>0.14099999999999999</v>
      </c>
      <c r="P703" s="15">
        <v>0.70899999999999996</v>
      </c>
      <c r="Q703" s="15">
        <v>0.375</v>
      </c>
      <c r="R703" s="15">
        <v>0.89700000000000002</v>
      </c>
      <c r="S703" s="15">
        <v>9.7000000000000003E-2</v>
      </c>
      <c r="T703" s="15"/>
      <c r="U703" s="15" t="s">
        <v>33</v>
      </c>
      <c r="V703" s="15" t="s">
        <v>30</v>
      </c>
      <c r="W703" s="15">
        <v>7</v>
      </c>
      <c r="X703" s="15" t="s">
        <v>32</v>
      </c>
      <c r="Y703" s="12">
        <f t="shared" si="24"/>
        <v>0.51600000000000001</v>
      </c>
      <c r="Z703" s="15">
        <v>-0.56799999999999995</v>
      </c>
    </row>
    <row r="704" spans="1:26" x14ac:dyDescent="0.2">
      <c r="A704" s="15" t="s">
        <v>80</v>
      </c>
      <c r="B704" s="15">
        <v>3450.625</v>
      </c>
      <c r="C704" s="15">
        <v>30.161000000000001</v>
      </c>
      <c r="D704" s="15">
        <v>22.645</v>
      </c>
      <c r="E704" s="15">
        <v>2.4449999999999998</v>
      </c>
      <c r="F704" s="15">
        <v>176.697</v>
      </c>
      <c r="G704" s="15">
        <v>2.867</v>
      </c>
      <c r="H704" s="15">
        <v>1.6539999999999999</v>
      </c>
      <c r="I704" s="15">
        <v>3.9910000000000001</v>
      </c>
      <c r="J704" s="15">
        <v>459.68400000000003</v>
      </c>
      <c r="K704" s="15">
        <v>600.98199999999997</v>
      </c>
      <c r="L704" s="15">
        <v>0.01</v>
      </c>
      <c r="M704" s="15">
        <v>1E-3</v>
      </c>
      <c r="N704" s="15">
        <v>100</v>
      </c>
      <c r="O704" s="15">
        <v>0.126</v>
      </c>
      <c r="P704" s="15">
        <v>0.61899999999999999</v>
      </c>
      <c r="Q704" s="15">
        <v>0.377</v>
      </c>
      <c r="R704" s="15">
        <v>0.84299999999999997</v>
      </c>
      <c r="S704" s="15">
        <v>0.11</v>
      </c>
      <c r="T704" s="15"/>
      <c r="U704" s="15" t="s">
        <v>33</v>
      </c>
      <c r="V704" s="15" t="s">
        <v>30</v>
      </c>
      <c r="W704" s="15">
        <v>7</v>
      </c>
      <c r="X704" s="15" t="s">
        <v>32</v>
      </c>
      <c r="Y704" s="12">
        <f t="shared" si="24"/>
        <v>0.503</v>
      </c>
      <c r="Z704" s="15">
        <v>-0.49299999999999999</v>
      </c>
    </row>
    <row r="705" spans="1:26" x14ac:dyDescent="0.2">
      <c r="A705" s="15" t="s">
        <v>80</v>
      </c>
      <c r="B705" s="15">
        <v>3450.75</v>
      </c>
      <c r="C705" s="15">
        <v>34.424999999999997</v>
      </c>
      <c r="D705" s="15">
        <v>22.65</v>
      </c>
      <c r="E705" s="15">
        <v>2.843</v>
      </c>
      <c r="F705" s="15">
        <v>177.57</v>
      </c>
      <c r="G705" s="15">
        <v>2.8410000000000002</v>
      </c>
      <c r="H705" s="15">
        <v>1.9850000000000001</v>
      </c>
      <c r="I705" s="15">
        <v>3.7440000000000002</v>
      </c>
      <c r="J705" s="15">
        <v>349.60500000000002</v>
      </c>
      <c r="K705" s="15">
        <v>456.298</v>
      </c>
      <c r="L705" s="15">
        <v>0.01</v>
      </c>
      <c r="M705" s="15">
        <v>1E-3</v>
      </c>
      <c r="N705" s="15">
        <v>100</v>
      </c>
      <c r="O705" s="15">
        <v>0.14799999999999999</v>
      </c>
      <c r="P705" s="15">
        <v>0.51100000000000001</v>
      </c>
      <c r="Q705" s="15">
        <v>0.38900000000000001</v>
      </c>
      <c r="R705" s="15">
        <v>0.77800000000000002</v>
      </c>
      <c r="S705" s="15">
        <v>0.13400000000000001</v>
      </c>
      <c r="T705" s="15"/>
      <c r="U705" s="15" t="s">
        <v>33</v>
      </c>
      <c r="V705" s="15" t="s">
        <v>30</v>
      </c>
      <c r="W705" s="15">
        <v>7</v>
      </c>
      <c r="X705" s="15" t="s">
        <v>32</v>
      </c>
      <c r="Y705" s="12">
        <f t="shared" si="24"/>
        <v>0.53700000000000003</v>
      </c>
      <c r="Z705" s="15">
        <v>-0.36299999999999999</v>
      </c>
    </row>
    <row r="706" spans="1:26" x14ac:dyDescent="0.2">
      <c r="A706" s="15" t="s">
        <v>80</v>
      </c>
      <c r="B706" s="15">
        <v>3450.875</v>
      </c>
      <c r="C706" s="15">
        <v>43.609000000000002</v>
      </c>
      <c r="D706" s="15">
        <v>22.667999999999999</v>
      </c>
      <c r="E706" s="15">
        <v>3.49</v>
      </c>
      <c r="F706" s="15">
        <v>179.054</v>
      </c>
      <c r="G706" s="15">
        <v>2.8210000000000002</v>
      </c>
      <c r="H706" s="15">
        <v>2.6110000000000002</v>
      </c>
      <c r="I706" s="15">
        <v>3.7440000000000002</v>
      </c>
      <c r="J706" s="15">
        <v>269.41300000000001</v>
      </c>
      <c r="K706" s="15">
        <v>335.08800000000002</v>
      </c>
      <c r="L706" s="15">
        <v>0.01</v>
      </c>
      <c r="M706" s="15">
        <v>1E-3</v>
      </c>
      <c r="N706" s="15">
        <v>100</v>
      </c>
      <c r="O706" s="15">
        <v>0.20799999999999999</v>
      </c>
      <c r="P706" s="15">
        <v>0.48899999999999999</v>
      </c>
      <c r="Q706" s="15">
        <v>0.40899999999999997</v>
      </c>
      <c r="R706" s="15">
        <v>0.72399999999999998</v>
      </c>
      <c r="S706" s="15">
        <v>0.18</v>
      </c>
      <c r="T706" s="15"/>
      <c r="U706" s="15" t="s">
        <v>33</v>
      </c>
      <c r="V706" s="15" t="s">
        <v>30</v>
      </c>
      <c r="W706" s="15">
        <v>7</v>
      </c>
      <c r="X706" s="15" t="s">
        <v>32</v>
      </c>
      <c r="Y706" s="12">
        <f t="shared" si="24"/>
        <v>0.61699999999999999</v>
      </c>
      <c r="Z706" s="15">
        <v>-0.28100000000000003</v>
      </c>
    </row>
    <row r="707" spans="1:26" x14ac:dyDescent="0.2">
      <c r="A707" s="15" t="s">
        <v>80</v>
      </c>
      <c r="B707" s="15">
        <v>3451</v>
      </c>
      <c r="C707" s="15">
        <v>54.912999999999997</v>
      </c>
      <c r="D707" s="15">
        <v>22.687999999999999</v>
      </c>
      <c r="E707" s="15">
        <v>4.093</v>
      </c>
      <c r="F707" s="15">
        <v>181.40199999999999</v>
      </c>
      <c r="G707" s="15">
        <v>2.8109999999999999</v>
      </c>
      <c r="H707" s="15">
        <v>3.5190000000000001</v>
      </c>
      <c r="I707" s="15">
        <v>3.7440000000000002</v>
      </c>
      <c r="J707" s="15">
        <v>229.49600000000001</v>
      </c>
      <c r="K707" s="15">
        <v>273.70499999999998</v>
      </c>
      <c r="L707" s="15">
        <v>0.01</v>
      </c>
      <c r="M707" s="15">
        <v>1E-3</v>
      </c>
      <c r="N707" s="15">
        <v>100</v>
      </c>
      <c r="O707" s="15">
        <v>0.28599999999999998</v>
      </c>
      <c r="P707" s="15">
        <v>0.48899999999999999</v>
      </c>
      <c r="Q707" s="15">
        <v>0.443</v>
      </c>
      <c r="R707" s="15">
        <v>0.69299999999999995</v>
      </c>
      <c r="S707" s="15">
        <v>0.249</v>
      </c>
      <c r="T707" s="15"/>
      <c r="U707" s="15" t="s">
        <v>33</v>
      </c>
      <c r="V707" s="15" t="s">
        <v>30</v>
      </c>
      <c r="W707" s="15">
        <v>7</v>
      </c>
      <c r="X707" s="15" t="s">
        <v>32</v>
      </c>
      <c r="Y707" s="12">
        <f t="shared" ref="Y707:Y770" si="25">O707+Q707</f>
        <v>0.72899999999999998</v>
      </c>
      <c r="Z707" s="15">
        <v>-0.20300000000000001</v>
      </c>
    </row>
    <row r="708" spans="1:26" x14ac:dyDescent="0.2">
      <c r="A708" s="15" t="s">
        <v>80</v>
      </c>
      <c r="B708" s="15">
        <v>3451.125</v>
      </c>
      <c r="C708" s="15">
        <v>64.866</v>
      </c>
      <c r="D708" s="15">
        <v>22.698</v>
      </c>
      <c r="E708" s="15">
        <v>4.42</v>
      </c>
      <c r="F708" s="15">
        <v>185.38</v>
      </c>
      <c r="G708" s="15">
        <v>2.8109999999999999</v>
      </c>
      <c r="H708" s="15">
        <v>4.4589999999999996</v>
      </c>
      <c r="I708" s="15">
        <v>3.7440000000000002</v>
      </c>
      <c r="J708" s="15">
        <v>215.7</v>
      </c>
      <c r="K708" s="15">
        <v>258.221</v>
      </c>
      <c r="L708" s="15">
        <v>0.01</v>
      </c>
      <c r="M708" s="15">
        <v>1E-3</v>
      </c>
      <c r="N708" s="15">
        <v>100</v>
      </c>
      <c r="O708" s="15">
        <v>0.36</v>
      </c>
      <c r="P708" s="15">
        <v>0.48899999999999999</v>
      </c>
      <c r="Q708" s="15">
        <v>0.499</v>
      </c>
      <c r="R708" s="15">
        <v>0.68799999999999994</v>
      </c>
      <c r="S708" s="15">
        <v>0.32500000000000001</v>
      </c>
      <c r="T708" s="15"/>
      <c r="U708" s="15" t="s">
        <v>33</v>
      </c>
      <c r="V708" s="15" t="s">
        <v>30</v>
      </c>
      <c r="W708" s="15">
        <v>7</v>
      </c>
      <c r="X708" s="15" t="s">
        <v>32</v>
      </c>
      <c r="Y708" s="12">
        <f t="shared" si="25"/>
        <v>0.85899999999999999</v>
      </c>
      <c r="Z708" s="15">
        <v>-0.129</v>
      </c>
    </row>
    <row r="709" spans="1:26" x14ac:dyDescent="0.2">
      <c r="A709" s="15" t="s">
        <v>80</v>
      </c>
      <c r="B709" s="15">
        <v>3451.25</v>
      </c>
      <c r="C709" s="15">
        <v>71.06</v>
      </c>
      <c r="D709" s="15">
        <v>22.715</v>
      </c>
      <c r="E709" s="15">
        <v>4.5599999999999996</v>
      </c>
      <c r="F709" s="15">
        <v>191.37200000000001</v>
      </c>
      <c r="G709" s="15">
        <v>2.8180000000000001</v>
      </c>
      <c r="H709" s="15">
        <v>5.0629999999999997</v>
      </c>
      <c r="I709" s="15">
        <v>3.7440000000000002</v>
      </c>
      <c r="J709" s="15">
        <v>225.76499999999999</v>
      </c>
      <c r="K709" s="15">
        <v>283.36200000000002</v>
      </c>
      <c r="L709" s="15">
        <v>0.01</v>
      </c>
      <c r="M709" s="15">
        <v>1E-3</v>
      </c>
      <c r="N709" s="15">
        <v>100</v>
      </c>
      <c r="O709" s="15">
        <v>0.41099999999999998</v>
      </c>
      <c r="P709" s="15">
        <v>0.48899999999999999</v>
      </c>
      <c r="Q709" s="15">
        <v>0.58499999999999996</v>
      </c>
      <c r="R709" s="15">
        <v>0.70199999999999996</v>
      </c>
      <c r="S709" s="15">
        <v>0.38</v>
      </c>
      <c r="T709" s="15"/>
      <c r="U709" s="15" t="s">
        <v>33</v>
      </c>
      <c r="V709" s="15" t="s">
        <v>30</v>
      </c>
      <c r="W709" s="15">
        <v>7</v>
      </c>
      <c r="X709" s="15" t="s">
        <v>32</v>
      </c>
      <c r="Y709" s="12">
        <f t="shared" si="25"/>
        <v>0.996</v>
      </c>
      <c r="Z709" s="15">
        <v>-7.8000000000000014E-2</v>
      </c>
    </row>
    <row r="710" spans="1:26" x14ac:dyDescent="0.2">
      <c r="A710" s="15" t="s">
        <v>80</v>
      </c>
      <c r="B710" s="15">
        <v>3451.375</v>
      </c>
      <c r="C710" s="15">
        <v>71.495000000000005</v>
      </c>
      <c r="D710" s="15">
        <v>22.715</v>
      </c>
      <c r="E710" s="15">
        <v>4.5309999999999997</v>
      </c>
      <c r="F710" s="15">
        <v>199.304</v>
      </c>
      <c r="G710" s="15">
        <v>2.8250000000000002</v>
      </c>
      <c r="H710" s="15">
        <v>5.2279999999999998</v>
      </c>
      <c r="I710" s="15">
        <v>3.774</v>
      </c>
      <c r="J710" s="15">
        <v>258.20800000000003</v>
      </c>
      <c r="K710" s="15">
        <v>345.08100000000002</v>
      </c>
      <c r="L710" s="15">
        <v>0.01</v>
      </c>
      <c r="M710" s="15">
        <v>1E-3</v>
      </c>
      <c r="N710" s="15">
        <v>100</v>
      </c>
      <c r="O710" s="15">
        <v>0.42199999999999999</v>
      </c>
      <c r="P710" s="15">
        <v>0.5</v>
      </c>
      <c r="Q710" s="15">
        <v>0.70099999999999996</v>
      </c>
      <c r="R710" s="15">
        <v>0.72</v>
      </c>
      <c r="S710" s="15">
        <v>0.40100000000000002</v>
      </c>
      <c r="T710" s="15"/>
      <c r="U710" s="15" t="s">
        <v>33</v>
      </c>
      <c r="V710" s="15" t="s">
        <v>30</v>
      </c>
      <c r="W710" s="15">
        <v>7</v>
      </c>
      <c r="X710" s="15" t="s">
        <v>32</v>
      </c>
      <c r="Y710" s="12">
        <f t="shared" si="25"/>
        <v>1.123</v>
      </c>
      <c r="Z710" s="15">
        <v>-7.8000000000000014E-2</v>
      </c>
    </row>
    <row r="711" spans="1:26" x14ac:dyDescent="0.2">
      <c r="A711" s="15" t="s">
        <v>82</v>
      </c>
      <c r="B711" s="15">
        <v>3854.375</v>
      </c>
      <c r="C711" s="15">
        <v>67.497</v>
      </c>
      <c r="D711" s="15">
        <v>22.187999999999999</v>
      </c>
      <c r="E711" s="15">
        <v>4.6920000000000002</v>
      </c>
      <c r="F711" s="15">
        <v>170.78</v>
      </c>
      <c r="G711" s="15">
        <v>2.726</v>
      </c>
      <c r="H711" s="15">
        <v>5.415</v>
      </c>
      <c r="I711" s="15">
        <v>3.2509999999999999</v>
      </c>
      <c r="J711" s="15">
        <v>308.53100000000001</v>
      </c>
      <c r="K711" s="15">
        <v>447.44900000000001</v>
      </c>
      <c r="L711" s="15">
        <v>0</v>
      </c>
      <c r="M711" s="15">
        <v>0</v>
      </c>
      <c r="N711" s="15">
        <v>100</v>
      </c>
      <c r="O711" s="15">
        <v>0.40699999999999997</v>
      </c>
      <c r="P711" s="15">
        <v>0.94399999999999995</v>
      </c>
      <c r="Q711" s="15">
        <v>0.22</v>
      </c>
      <c r="R711" s="15">
        <v>0.38100000000000001</v>
      </c>
      <c r="S711" s="15">
        <v>0.182</v>
      </c>
      <c r="T711" s="15"/>
      <c r="U711" s="15" t="s">
        <v>22</v>
      </c>
      <c r="V711" s="15" t="s">
        <v>30</v>
      </c>
      <c r="W711" s="15">
        <v>3</v>
      </c>
      <c r="X711" s="15" t="s">
        <v>85</v>
      </c>
      <c r="Y711" s="12">
        <f t="shared" si="25"/>
        <v>0.627</v>
      </c>
      <c r="Z711" s="15">
        <v>-0.53699999999999992</v>
      </c>
    </row>
    <row r="712" spans="1:26" x14ac:dyDescent="0.2">
      <c r="A712" s="15" t="s">
        <v>82</v>
      </c>
      <c r="B712" s="15">
        <v>3854.5</v>
      </c>
      <c r="C712" s="15">
        <v>62.387</v>
      </c>
      <c r="D712" s="15">
        <v>22.193999999999999</v>
      </c>
      <c r="E712" s="15">
        <v>4.4569999999999999</v>
      </c>
      <c r="F712" s="15">
        <v>170.02699999999999</v>
      </c>
      <c r="G712" s="15">
        <v>2.7240000000000002</v>
      </c>
      <c r="H712" s="15">
        <v>5.1980000000000004</v>
      </c>
      <c r="I712" s="15">
        <v>3.2349999999999999</v>
      </c>
      <c r="J712" s="15">
        <v>329.43900000000002</v>
      </c>
      <c r="K712" s="15">
        <v>482.61099999999999</v>
      </c>
      <c r="L712" s="15">
        <v>0</v>
      </c>
      <c r="M712" s="15">
        <v>0</v>
      </c>
      <c r="N712" s="15">
        <v>100</v>
      </c>
      <c r="O712" s="15">
        <v>0.36599999999999999</v>
      </c>
      <c r="P712" s="15">
        <v>0.92300000000000004</v>
      </c>
      <c r="Q712" s="15">
        <v>0.20899999999999999</v>
      </c>
      <c r="R712" s="15">
        <v>0.375</v>
      </c>
      <c r="S712" s="15">
        <v>0.153</v>
      </c>
      <c r="T712" s="15"/>
      <c r="U712" s="15" t="s">
        <v>22</v>
      </c>
      <c r="V712" s="15" t="s">
        <v>30</v>
      </c>
      <c r="W712" s="15">
        <v>3</v>
      </c>
      <c r="X712" s="15" t="s">
        <v>85</v>
      </c>
      <c r="Y712" s="12">
        <f t="shared" si="25"/>
        <v>0.57499999999999996</v>
      </c>
      <c r="Z712" s="15">
        <v>-0.55700000000000005</v>
      </c>
    </row>
    <row r="713" spans="1:26" x14ac:dyDescent="0.2">
      <c r="A713" s="15" t="s">
        <v>82</v>
      </c>
      <c r="B713" s="15">
        <v>3854.625</v>
      </c>
      <c r="C713" s="15">
        <v>57.847999999999999</v>
      </c>
      <c r="D713" s="15">
        <v>22.149000000000001</v>
      </c>
      <c r="E713" s="15">
        <v>4.2</v>
      </c>
      <c r="F713" s="15">
        <v>170.29</v>
      </c>
      <c r="G713" s="15">
        <v>2.7160000000000002</v>
      </c>
      <c r="H713" s="15">
        <v>5.0590000000000002</v>
      </c>
      <c r="I713" s="15">
        <v>3.2010000000000001</v>
      </c>
      <c r="J713" s="15">
        <v>338.09199999999998</v>
      </c>
      <c r="K713" s="15">
        <v>503.255</v>
      </c>
      <c r="L713" s="15">
        <v>0</v>
      </c>
      <c r="M713" s="15">
        <v>0</v>
      </c>
      <c r="N713" s="15">
        <v>100</v>
      </c>
      <c r="O713" s="15">
        <v>0.32800000000000001</v>
      </c>
      <c r="P713" s="15">
        <v>0.86299999999999999</v>
      </c>
      <c r="Q713" s="15">
        <v>0.21099999999999999</v>
      </c>
      <c r="R713" s="15">
        <v>0.33800000000000002</v>
      </c>
      <c r="S713" s="15">
        <v>0.13300000000000001</v>
      </c>
      <c r="T713" s="15"/>
      <c r="U713" s="15" t="s">
        <v>22</v>
      </c>
      <c r="V713" s="15" t="s">
        <v>30</v>
      </c>
      <c r="W713" s="15">
        <v>3</v>
      </c>
      <c r="X713" s="15" t="s">
        <v>85</v>
      </c>
      <c r="Y713" s="12">
        <f t="shared" si="25"/>
        <v>0.53900000000000003</v>
      </c>
      <c r="Z713" s="15">
        <v>-0.53499999999999992</v>
      </c>
    </row>
    <row r="714" spans="1:26" x14ac:dyDescent="0.2">
      <c r="A714" s="15" t="s">
        <v>82</v>
      </c>
      <c r="B714" s="15">
        <v>3854.75</v>
      </c>
      <c r="C714" s="15">
        <v>55.093000000000004</v>
      </c>
      <c r="D714" s="15">
        <v>22.111000000000001</v>
      </c>
      <c r="E714" s="15">
        <v>4.0199999999999996</v>
      </c>
      <c r="F714" s="15">
        <v>171.51400000000001</v>
      </c>
      <c r="G714" s="15">
        <v>2.7080000000000002</v>
      </c>
      <c r="H714" s="15">
        <v>4.968</v>
      </c>
      <c r="I714" s="15">
        <v>3.17</v>
      </c>
      <c r="J714" s="15">
        <v>335.33699999999999</v>
      </c>
      <c r="K714" s="15">
        <v>509.03399999999999</v>
      </c>
      <c r="L714" s="15">
        <v>0</v>
      </c>
      <c r="M714" s="15">
        <v>0</v>
      </c>
      <c r="N714" s="15">
        <v>100</v>
      </c>
      <c r="O714" s="15">
        <v>0.30499999999999999</v>
      </c>
      <c r="P714" s="15">
        <v>0.80500000000000005</v>
      </c>
      <c r="Q714" s="15">
        <v>0.22700000000000001</v>
      </c>
      <c r="R714" s="15">
        <v>0.29699999999999999</v>
      </c>
      <c r="S714" s="15">
        <v>0.121</v>
      </c>
      <c r="T714" s="15"/>
      <c r="U714" s="15" t="s">
        <v>22</v>
      </c>
      <c r="V714" s="15" t="s">
        <v>30</v>
      </c>
      <c r="W714" s="15">
        <v>3</v>
      </c>
      <c r="X714" s="15" t="s">
        <v>85</v>
      </c>
      <c r="Y714" s="12">
        <f t="shared" si="25"/>
        <v>0.53200000000000003</v>
      </c>
      <c r="Z714" s="15">
        <v>-0.5</v>
      </c>
    </row>
    <row r="715" spans="1:26" x14ac:dyDescent="0.2">
      <c r="A715" s="15" t="s">
        <v>82</v>
      </c>
      <c r="B715" s="15">
        <v>3854.875</v>
      </c>
      <c r="C715" s="15">
        <v>53.85</v>
      </c>
      <c r="D715" s="15">
        <v>22.120999999999999</v>
      </c>
      <c r="E715" s="15">
        <v>3.919</v>
      </c>
      <c r="F715" s="15">
        <v>173.476</v>
      </c>
      <c r="G715" s="15">
        <v>2.7080000000000002</v>
      </c>
      <c r="H715" s="15">
        <v>4.9029999999999996</v>
      </c>
      <c r="I715" s="15">
        <v>3.1259999999999999</v>
      </c>
      <c r="J715" s="15">
        <v>318.012</v>
      </c>
      <c r="K715" s="15">
        <v>490.42500000000001</v>
      </c>
      <c r="L715" s="15">
        <v>0</v>
      </c>
      <c r="M715" s="15">
        <v>0</v>
      </c>
      <c r="N715" s="15">
        <v>100</v>
      </c>
      <c r="O715" s="15">
        <v>0.29299999999999998</v>
      </c>
      <c r="P715" s="15">
        <v>0.72499999999999998</v>
      </c>
      <c r="Q715" s="15">
        <v>0.253</v>
      </c>
      <c r="R715" s="15">
        <v>0.29199999999999998</v>
      </c>
      <c r="S715" s="15">
        <v>0.112</v>
      </c>
      <c r="T715" s="15"/>
      <c r="U715" s="15" t="s">
        <v>22</v>
      </c>
      <c r="V715" s="15" t="s">
        <v>30</v>
      </c>
      <c r="W715" s="15">
        <v>3</v>
      </c>
      <c r="X715" s="15" t="s">
        <v>85</v>
      </c>
      <c r="Y715" s="12">
        <f t="shared" si="25"/>
        <v>0.54600000000000004</v>
      </c>
      <c r="Z715" s="15">
        <v>-0.432</v>
      </c>
    </row>
    <row r="716" spans="1:26" x14ac:dyDescent="0.2">
      <c r="A716" s="15" t="s">
        <v>82</v>
      </c>
      <c r="B716" s="15">
        <v>3855</v>
      </c>
      <c r="C716" s="15">
        <v>52.655999999999999</v>
      </c>
      <c r="D716" s="15">
        <v>22.132999999999999</v>
      </c>
      <c r="E716" s="15">
        <v>3.843</v>
      </c>
      <c r="F716" s="15">
        <v>175.672</v>
      </c>
      <c r="G716" s="15">
        <v>2.7080000000000002</v>
      </c>
      <c r="H716" s="15">
        <v>4.8630000000000004</v>
      </c>
      <c r="I716" s="15">
        <v>3.081</v>
      </c>
      <c r="J716" s="15">
        <v>281.63099999999997</v>
      </c>
      <c r="K716" s="15">
        <v>437.73099999999999</v>
      </c>
      <c r="L716" s="15">
        <v>0</v>
      </c>
      <c r="M716" s="15">
        <v>0</v>
      </c>
      <c r="N716" s="15">
        <v>100</v>
      </c>
      <c r="O716" s="15">
        <v>0.28399999999999997</v>
      </c>
      <c r="P716" s="15">
        <v>0.64200000000000002</v>
      </c>
      <c r="Q716" s="15">
        <v>0.28299999999999997</v>
      </c>
      <c r="R716" s="15">
        <v>0.29199999999999998</v>
      </c>
      <c r="S716" s="15">
        <v>0.106</v>
      </c>
      <c r="T716" s="15"/>
      <c r="U716" s="15" t="s">
        <v>22</v>
      </c>
      <c r="V716" s="15" t="s">
        <v>30</v>
      </c>
      <c r="W716" s="15">
        <v>3</v>
      </c>
      <c r="X716" s="15" t="s">
        <v>85</v>
      </c>
      <c r="Y716" s="12">
        <f t="shared" si="25"/>
        <v>0.56699999999999995</v>
      </c>
      <c r="Z716" s="15">
        <v>-0.35800000000000004</v>
      </c>
    </row>
    <row r="717" spans="1:26" x14ac:dyDescent="0.2">
      <c r="A717" s="15" t="s">
        <v>82</v>
      </c>
      <c r="B717" s="15">
        <v>3855.125</v>
      </c>
      <c r="C717" s="15">
        <v>50.457999999999998</v>
      </c>
      <c r="D717" s="15">
        <v>22.116</v>
      </c>
      <c r="E717" s="15">
        <v>3.74</v>
      </c>
      <c r="F717" s="15">
        <v>177.20099999999999</v>
      </c>
      <c r="G717" s="15">
        <v>2.706</v>
      </c>
      <c r="H717" s="15">
        <v>4.8710000000000004</v>
      </c>
      <c r="I717" s="15">
        <v>3.044</v>
      </c>
      <c r="J717" s="15">
        <v>235.405</v>
      </c>
      <c r="K717" s="15">
        <v>365.69</v>
      </c>
      <c r="L717" s="15">
        <v>0</v>
      </c>
      <c r="M717" s="15">
        <v>0</v>
      </c>
      <c r="N717" s="15">
        <v>100</v>
      </c>
      <c r="O717" s="15">
        <v>0.26700000000000002</v>
      </c>
      <c r="P717" s="15">
        <v>0.57099999999999995</v>
      </c>
      <c r="Q717" s="15">
        <v>0.30499999999999999</v>
      </c>
      <c r="R717" s="15">
        <v>0.28299999999999997</v>
      </c>
      <c r="S717" s="15">
        <v>0.107</v>
      </c>
      <c r="T717" s="15"/>
      <c r="U717" s="15" t="s">
        <v>22</v>
      </c>
      <c r="V717" s="15" t="s">
        <v>30</v>
      </c>
      <c r="W717" s="15">
        <v>3</v>
      </c>
      <c r="X717" s="15" t="s">
        <v>85</v>
      </c>
      <c r="Y717" s="12">
        <f t="shared" si="25"/>
        <v>0.57200000000000006</v>
      </c>
      <c r="Z717" s="15">
        <v>-0.30399999999999994</v>
      </c>
    </row>
    <row r="718" spans="1:26" x14ac:dyDescent="0.2">
      <c r="A718" s="15" t="s">
        <v>82</v>
      </c>
      <c r="B718" s="15">
        <v>3855.25</v>
      </c>
      <c r="C718" s="15">
        <v>47.045999999999999</v>
      </c>
      <c r="D718" s="15">
        <v>22.097000000000001</v>
      </c>
      <c r="E718" s="15">
        <v>3.5110000000000001</v>
      </c>
      <c r="F718" s="15">
        <v>177.07900000000001</v>
      </c>
      <c r="G718" s="15">
        <v>2.7050000000000001</v>
      </c>
      <c r="H718" s="15">
        <v>4.9160000000000004</v>
      </c>
      <c r="I718" s="15">
        <v>3.028</v>
      </c>
      <c r="J718" s="15">
        <v>200.518</v>
      </c>
      <c r="K718" s="15">
        <v>308.08999999999997</v>
      </c>
      <c r="L718" s="15">
        <v>0</v>
      </c>
      <c r="M718" s="15">
        <v>0</v>
      </c>
      <c r="N718" s="15">
        <v>100</v>
      </c>
      <c r="O718" s="15">
        <v>0.24</v>
      </c>
      <c r="P718" s="15">
        <v>0.53800000000000003</v>
      </c>
      <c r="Q718" s="15">
        <v>0.30499999999999999</v>
      </c>
      <c r="R718" s="15">
        <v>0.27700000000000002</v>
      </c>
      <c r="S718" s="15">
        <v>0.112</v>
      </c>
      <c r="T718" s="15"/>
      <c r="U718" s="15" t="s">
        <v>22</v>
      </c>
      <c r="V718" s="15" t="s">
        <v>30</v>
      </c>
      <c r="W718" s="15">
        <v>3</v>
      </c>
      <c r="X718" s="15" t="s">
        <v>85</v>
      </c>
      <c r="Y718" s="12">
        <f t="shared" si="25"/>
        <v>0.54499999999999993</v>
      </c>
      <c r="Z718" s="15">
        <v>-0.29800000000000004</v>
      </c>
    </row>
    <row r="719" spans="1:26" x14ac:dyDescent="0.2">
      <c r="A719" s="15" t="s">
        <v>82</v>
      </c>
      <c r="B719" s="15">
        <v>3855.375</v>
      </c>
      <c r="C719" s="15">
        <v>42.441000000000003</v>
      </c>
      <c r="D719" s="15">
        <v>22.084</v>
      </c>
      <c r="E719" s="15">
        <v>3.0539999999999998</v>
      </c>
      <c r="F719" s="15">
        <v>175.261</v>
      </c>
      <c r="G719" s="15">
        <v>2.7069999999999999</v>
      </c>
      <c r="H719" s="15">
        <v>4.9130000000000003</v>
      </c>
      <c r="I719" s="15">
        <v>3.0259999999999998</v>
      </c>
      <c r="J719" s="15">
        <v>183.61799999999999</v>
      </c>
      <c r="K719" s="15">
        <v>276.23200000000003</v>
      </c>
      <c r="L719" s="15">
        <v>0</v>
      </c>
      <c r="M719" s="15">
        <v>0</v>
      </c>
      <c r="N719" s="15">
        <v>100</v>
      </c>
      <c r="O719" s="15">
        <v>0.20399999999999999</v>
      </c>
      <c r="P719" s="15">
        <v>0.53100000000000003</v>
      </c>
      <c r="Q719" s="15">
        <v>0.28299999999999997</v>
      </c>
      <c r="R719" s="15">
        <v>0.28599999999999998</v>
      </c>
      <c r="S719" s="15">
        <v>0.112</v>
      </c>
      <c r="T719" s="15"/>
      <c r="U719" s="15" t="s">
        <v>22</v>
      </c>
      <c r="V719" s="15" t="s">
        <v>30</v>
      </c>
      <c r="W719" s="15">
        <v>3</v>
      </c>
      <c r="X719" s="15" t="s">
        <v>85</v>
      </c>
      <c r="Y719" s="12">
        <f t="shared" si="25"/>
        <v>0.48699999999999999</v>
      </c>
      <c r="Z719" s="15">
        <v>-0.32700000000000007</v>
      </c>
    </row>
    <row r="720" spans="1:26" x14ac:dyDescent="0.2">
      <c r="A720" s="15" t="s">
        <v>82</v>
      </c>
      <c r="B720" s="15">
        <v>3855.5</v>
      </c>
      <c r="C720" s="15">
        <v>36.996000000000002</v>
      </c>
      <c r="D720" s="15">
        <v>22.071999999999999</v>
      </c>
      <c r="E720" s="15">
        <v>2.4420000000000002</v>
      </c>
      <c r="F720" s="15">
        <v>172.86199999999999</v>
      </c>
      <c r="G720" s="15">
        <v>2.7109999999999999</v>
      </c>
      <c r="H720" s="15">
        <v>4.798</v>
      </c>
      <c r="I720" s="15">
        <v>3.0350000000000001</v>
      </c>
      <c r="J720" s="15">
        <v>169.73</v>
      </c>
      <c r="K720" s="15">
        <v>249.03</v>
      </c>
      <c r="L720" s="15">
        <v>0</v>
      </c>
      <c r="M720" s="15">
        <v>0</v>
      </c>
      <c r="N720" s="15">
        <v>100</v>
      </c>
      <c r="O720" s="15">
        <v>0.161</v>
      </c>
      <c r="P720" s="15">
        <v>0.54600000000000004</v>
      </c>
      <c r="Q720" s="15">
        <v>0.25</v>
      </c>
      <c r="R720" s="15">
        <v>0.30599999999999999</v>
      </c>
      <c r="S720" s="15">
        <v>9.9000000000000005E-2</v>
      </c>
      <c r="T720" s="15"/>
      <c r="U720" s="15" t="s">
        <v>22</v>
      </c>
      <c r="V720" s="15" t="s">
        <v>30</v>
      </c>
      <c r="W720" s="15">
        <v>3</v>
      </c>
      <c r="X720" s="15" t="s">
        <v>85</v>
      </c>
      <c r="Y720" s="12">
        <f t="shared" si="25"/>
        <v>0.41100000000000003</v>
      </c>
      <c r="Z720" s="15">
        <v>-0.38500000000000001</v>
      </c>
    </row>
    <row r="721" spans="1:26" x14ac:dyDescent="0.2">
      <c r="A721" s="15" t="s">
        <v>82</v>
      </c>
      <c r="B721" s="15">
        <v>3856.75</v>
      </c>
      <c r="C721" s="15">
        <v>35.866</v>
      </c>
      <c r="D721" s="15">
        <v>21.821000000000002</v>
      </c>
      <c r="E721" s="15">
        <v>1.3779999999999999</v>
      </c>
      <c r="F721" s="15">
        <v>186.23</v>
      </c>
      <c r="G721" s="15">
        <v>2.67</v>
      </c>
      <c r="H721" s="15">
        <v>6.3739999999999997</v>
      </c>
      <c r="I721" s="15">
        <v>3.2370000000000001</v>
      </c>
      <c r="J721" s="15">
        <v>54.686</v>
      </c>
      <c r="K721" s="15">
        <v>68.796999999999997</v>
      </c>
      <c r="L721" s="15">
        <v>2.823</v>
      </c>
      <c r="M721" s="15">
        <v>1.7000000000000001E-2</v>
      </c>
      <c r="N721" s="15">
        <v>73.084999999999994</v>
      </c>
      <c r="O721" s="15">
        <v>0.15</v>
      </c>
      <c r="P721" s="15">
        <v>0.92800000000000005</v>
      </c>
      <c r="Q721" s="15">
        <v>0.435</v>
      </c>
      <c r="R721" s="15">
        <v>0.105</v>
      </c>
      <c r="S721" s="15">
        <v>0.3</v>
      </c>
      <c r="T721" s="15" t="s">
        <v>23</v>
      </c>
      <c r="U721" s="15" t="s">
        <v>22</v>
      </c>
      <c r="V721" s="15" t="s">
        <v>30</v>
      </c>
      <c r="W721" s="15">
        <v>6</v>
      </c>
      <c r="X721" s="15" t="s">
        <v>85</v>
      </c>
      <c r="Y721" s="12">
        <f t="shared" si="25"/>
        <v>0.58499999999999996</v>
      </c>
      <c r="Z721" s="15">
        <v>-0.77800000000000002</v>
      </c>
    </row>
    <row r="722" spans="1:26" x14ac:dyDescent="0.2">
      <c r="A722" s="15" t="s">
        <v>82</v>
      </c>
      <c r="B722" s="15">
        <v>3856.875</v>
      </c>
      <c r="C722" s="15">
        <v>30.863</v>
      </c>
      <c r="D722" s="15">
        <v>21.773</v>
      </c>
      <c r="E722" s="15">
        <v>1.595</v>
      </c>
      <c r="F722" s="15">
        <v>181.982</v>
      </c>
      <c r="G722" s="15">
        <v>2.6579999999999999</v>
      </c>
      <c r="H722" s="15">
        <v>6.4160000000000004</v>
      </c>
      <c r="I722" s="15">
        <v>3.198</v>
      </c>
      <c r="J722" s="15">
        <v>60.137</v>
      </c>
      <c r="K722" s="15">
        <v>75.564999999999998</v>
      </c>
      <c r="L722" s="15">
        <v>3.4860000000000002</v>
      </c>
      <c r="M722" s="15">
        <v>3.9E-2</v>
      </c>
      <c r="N722" s="15">
        <v>58.091000000000001</v>
      </c>
      <c r="O722" s="15">
        <v>0.111</v>
      </c>
      <c r="P722" s="15">
        <v>0.85899999999999999</v>
      </c>
      <c r="Q722" s="15">
        <v>0.379</v>
      </c>
      <c r="R722" s="15">
        <v>4.2000000000000003E-2</v>
      </c>
      <c r="S722" s="15">
        <v>0.308</v>
      </c>
      <c r="T722" s="15" t="s">
        <v>23</v>
      </c>
      <c r="U722" s="15" t="s">
        <v>22</v>
      </c>
      <c r="V722" s="15" t="s">
        <v>30</v>
      </c>
      <c r="W722" s="15">
        <v>6</v>
      </c>
      <c r="X722" s="15" t="s">
        <v>85</v>
      </c>
      <c r="Y722" s="12">
        <f t="shared" si="25"/>
        <v>0.49</v>
      </c>
      <c r="Z722" s="15">
        <v>-0.748</v>
      </c>
    </row>
    <row r="723" spans="1:26" x14ac:dyDescent="0.2">
      <c r="A723" s="15" t="s">
        <v>82</v>
      </c>
      <c r="B723" s="15">
        <v>3857</v>
      </c>
      <c r="C723" s="15">
        <v>26.21</v>
      </c>
      <c r="D723" s="15">
        <v>21.751000000000001</v>
      </c>
      <c r="E723" s="15">
        <v>1.8420000000000001</v>
      </c>
      <c r="F723" s="15">
        <v>177.12</v>
      </c>
      <c r="G723" s="15">
        <v>2.6509999999999998</v>
      </c>
      <c r="H723" s="15">
        <v>6.4610000000000003</v>
      </c>
      <c r="I723" s="15">
        <v>3.1549999999999998</v>
      </c>
      <c r="J723" s="15">
        <v>64.296999999999997</v>
      </c>
      <c r="K723" s="15">
        <v>80.864999999999995</v>
      </c>
      <c r="L723" s="15">
        <v>3.9769999999999999</v>
      </c>
      <c r="M723" s="15">
        <v>6.7000000000000004E-2</v>
      </c>
      <c r="N723" s="15">
        <v>49.755000000000003</v>
      </c>
      <c r="O723" s="15">
        <v>7.2999999999999995E-2</v>
      </c>
      <c r="P723" s="15">
        <v>0.77900000000000003</v>
      </c>
      <c r="Q723" s="15">
        <v>0.313</v>
      </c>
      <c r="R723" s="15">
        <v>4.0000000000000001E-3</v>
      </c>
      <c r="S723" s="15">
        <v>0.314</v>
      </c>
      <c r="T723" s="15" t="s">
        <v>23</v>
      </c>
      <c r="U723" s="15" t="s">
        <v>22</v>
      </c>
      <c r="V723" s="15" t="s">
        <v>30</v>
      </c>
      <c r="W723" s="15">
        <v>6</v>
      </c>
      <c r="X723" s="15" t="s">
        <v>85</v>
      </c>
      <c r="Y723" s="12">
        <f t="shared" si="25"/>
        <v>0.38600000000000001</v>
      </c>
      <c r="Z723" s="15">
        <v>-0.70600000000000007</v>
      </c>
    </row>
    <row r="724" spans="1:26" x14ac:dyDescent="0.2">
      <c r="A724" s="15" t="s">
        <v>82</v>
      </c>
      <c r="B724" s="15">
        <v>3857.125</v>
      </c>
      <c r="C724" s="15">
        <v>22.978000000000002</v>
      </c>
      <c r="D724" s="15">
        <v>21.766999999999999</v>
      </c>
      <c r="E724" s="15">
        <v>1.998</v>
      </c>
      <c r="F724" s="15">
        <v>173.33600000000001</v>
      </c>
      <c r="G724" s="15">
        <v>2.653</v>
      </c>
      <c r="H724" s="15">
        <v>6.617</v>
      </c>
      <c r="I724" s="15">
        <v>3.1280000000000001</v>
      </c>
      <c r="J724" s="15">
        <v>66.046999999999997</v>
      </c>
      <c r="K724" s="15">
        <v>83.278000000000006</v>
      </c>
      <c r="L724" s="15">
        <v>4.2439999999999998</v>
      </c>
      <c r="M724" s="15">
        <v>8.7999999999999995E-2</v>
      </c>
      <c r="N724" s="15">
        <v>45.661999999999999</v>
      </c>
      <c r="O724" s="15">
        <v>4.4999999999999998E-2</v>
      </c>
      <c r="P724" s="15">
        <v>0.72599999999999998</v>
      </c>
      <c r="Q724" s="15">
        <v>0.25900000000000001</v>
      </c>
      <c r="R724" s="15">
        <v>8.9999999999999993E-3</v>
      </c>
      <c r="S724" s="15">
        <v>0.33300000000000002</v>
      </c>
      <c r="T724" s="15" t="s">
        <v>23</v>
      </c>
      <c r="U724" s="15" t="s">
        <v>22</v>
      </c>
      <c r="V724" s="15" t="s">
        <v>30</v>
      </c>
      <c r="W724" s="15">
        <v>6</v>
      </c>
      <c r="X724" s="15" t="s">
        <v>85</v>
      </c>
      <c r="Y724" s="12">
        <f t="shared" si="25"/>
        <v>0.30399999999999999</v>
      </c>
      <c r="Z724" s="15">
        <v>-0.68099999999999994</v>
      </c>
    </row>
    <row r="725" spans="1:26" x14ac:dyDescent="0.2">
      <c r="A725" s="15" t="s">
        <v>82</v>
      </c>
      <c r="B725" s="15">
        <v>3857.25</v>
      </c>
      <c r="C725" s="15">
        <v>20.952000000000002</v>
      </c>
      <c r="D725" s="15">
        <v>21.809000000000001</v>
      </c>
      <c r="E725" s="15">
        <v>1.9910000000000001</v>
      </c>
      <c r="F725" s="15">
        <v>172.21899999999999</v>
      </c>
      <c r="G725" s="15">
        <v>2.6589999999999998</v>
      </c>
      <c r="H725" s="15">
        <v>6.8179999999999996</v>
      </c>
      <c r="I725" s="15">
        <v>3.1139999999999999</v>
      </c>
      <c r="J725" s="15">
        <v>66.367999999999995</v>
      </c>
      <c r="K725" s="15">
        <v>84.085999999999999</v>
      </c>
      <c r="L725" s="15">
        <v>4.3559999999999999</v>
      </c>
      <c r="M725" s="15">
        <v>9.8000000000000004E-2</v>
      </c>
      <c r="N725" s="15">
        <v>43.634999999999998</v>
      </c>
      <c r="O725" s="15">
        <v>2.8000000000000001E-2</v>
      </c>
      <c r="P725" s="15">
        <v>0.69699999999999995</v>
      </c>
      <c r="Q725" s="15">
        <v>0.24</v>
      </c>
      <c r="R725" s="15">
        <v>3.7999999999999999E-2</v>
      </c>
      <c r="S725" s="15">
        <v>0.35899999999999999</v>
      </c>
      <c r="T725" s="15" t="s">
        <v>23</v>
      </c>
      <c r="U725" s="15" t="s">
        <v>22</v>
      </c>
      <c r="V725" s="15" t="s">
        <v>30</v>
      </c>
      <c r="W725" s="15">
        <v>6</v>
      </c>
      <c r="X725" s="15" t="s">
        <v>85</v>
      </c>
      <c r="Y725" s="12">
        <f t="shared" si="25"/>
        <v>0.26800000000000002</v>
      </c>
      <c r="Z725" s="15">
        <v>-0.66899999999999993</v>
      </c>
    </row>
    <row r="726" spans="1:26" x14ac:dyDescent="0.2">
      <c r="A726" s="15" t="s">
        <v>82</v>
      </c>
      <c r="B726" s="15">
        <v>3857.375</v>
      </c>
      <c r="C726" s="15">
        <v>19.538</v>
      </c>
      <c r="D726" s="15">
        <v>21.863</v>
      </c>
      <c r="E726" s="15">
        <v>1.8380000000000001</v>
      </c>
      <c r="F726" s="15">
        <v>174.649</v>
      </c>
      <c r="G726" s="15">
        <v>2.6669999999999998</v>
      </c>
      <c r="H726" s="15">
        <v>6.9870000000000001</v>
      </c>
      <c r="I726" s="15">
        <v>3.0920000000000001</v>
      </c>
      <c r="J726" s="15">
        <v>67.105999999999995</v>
      </c>
      <c r="K726" s="15">
        <v>85.656000000000006</v>
      </c>
      <c r="L726" s="15">
        <v>4.3630000000000004</v>
      </c>
      <c r="M726" s="15">
        <v>9.9000000000000005E-2</v>
      </c>
      <c r="N726" s="15">
        <v>43</v>
      </c>
      <c r="O726" s="15">
        <v>1.6E-2</v>
      </c>
      <c r="P726" s="15">
        <v>0.65800000000000003</v>
      </c>
      <c r="Q726" s="15">
        <v>0.26800000000000002</v>
      </c>
      <c r="R726" s="15">
        <v>7.8E-2</v>
      </c>
      <c r="S726" s="15">
        <v>0.38100000000000001</v>
      </c>
      <c r="T726" s="15" t="s">
        <v>23</v>
      </c>
      <c r="U726" s="15" t="s">
        <v>22</v>
      </c>
      <c r="V726" s="15" t="s">
        <v>30</v>
      </c>
      <c r="W726" s="15">
        <v>6</v>
      </c>
      <c r="X726" s="15" t="s">
        <v>85</v>
      </c>
      <c r="Y726" s="12">
        <f t="shared" si="25"/>
        <v>0.28400000000000003</v>
      </c>
      <c r="Z726" s="15">
        <v>-0.64200000000000002</v>
      </c>
    </row>
    <row r="727" spans="1:26" x14ac:dyDescent="0.2">
      <c r="A727" s="15" t="s">
        <v>82</v>
      </c>
      <c r="B727" s="15">
        <v>3857.5</v>
      </c>
      <c r="C727" s="15">
        <v>18.423999999999999</v>
      </c>
      <c r="D727" s="15">
        <v>22.006</v>
      </c>
      <c r="E727" s="15">
        <v>1.6220000000000001</v>
      </c>
      <c r="F727" s="15">
        <v>179.739</v>
      </c>
      <c r="G727" s="15">
        <v>2.6779999999999999</v>
      </c>
      <c r="H727" s="15">
        <v>7.1479999999999997</v>
      </c>
      <c r="I727" s="15">
        <v>3.0680000000000001</v>
      </c>
      <c r="J727" s="15">
        <v>69.227999999999994</v>
      </c>
      <c r="K727" s="15">
        <v>89.200999999999993</v>
      </c>
      <c r="L727" s="15">
        <v>4.2629999999999999</v>
      </c>
      <c r="M727" s="15">
        <v>8.8999999999999996E-2</v>
      </c>
      <c r="N727" s="15">
        <v>43.58</v>
      </c>
      <c r="O727" s="15">
        <v>7.0000000000000001E-3</v>
      </c>
      <c r="P727" s="15">
        <v>0.61399999999999999</v>
      </c>
      <c r="Q727" s="15">
        <v>0.33500000000000002</v>
      </c>
      <c r="R727" s="15">
        <v>0.13300000000000001</v>
      </c>
      <c r="S727" s="15">
        <v>0.40200000000000002</v>
      </c>
      <c r="T727" s="15" t="s">
        <v>23</v>
      </c>
      <c r="U727" s="15" t="s">
        <v>22</v>
      </c>
      <c r="V727" s="15" t="s">
        <v>30</v>
      </c>
      <c r="W727" s="15">
        <v>6</v>
      </c>
      <c r="X727" s="15" t="s">
        <v>85</v>
      </c>
      <c r="Y727" s="12">
        <f t="shared" si="25"/>
        <v>0.34200000000000003</v>
      </c>
      <c r="Z727" s="15">
        <v>-0.60699999999999998</v>
      </c>
    </row>
    <row r="728" spans="1:26" x14ac:dyDescent="0.2">
      <c r="A728" s="15" t="s">
        <v>82</v>
      </c>
      <c r="B728" s="15">
        <v>3857.625</v>
      </c>
      <c r="C728" s="15">
        <v>17.742000000000001</v>
      </c>
      <c r="D728" s="15">
        <v>22.195</v>
      </c>
      <c r="E728" s="15">
        <v>1.419</v>
      </c>
      <c r="F728" s="15">
        <v>185.18</v>
      </c>
      <c r="G728" s="15">
        <v>2.6960000000000002</v>
      </c>
      <c r="H728" s="15">
        <v>7.298</v>
      </c>
      <c r="I728" s="15">
        <v>3.0649999999999999</v>
      </c>
      <c r="J728" s="15">
        <v>72.331000000000003</v>
      </c>
      <c r="K728" s="15">
        <v>94.141000000000005</v>
      </c>
      <c r="L728" s="15">
        <v>4.0060000000000002</v>
      </c>
      <c r="M728" s="15">
        <v>6.9000000000000006E-2</v>
      </c>
      <c r="N728" s="15">
        <v>45.468000000000004</v>
      </c>
      <c r="O728" s="15">
        <v>1E-3</v>
      </c>
      <c r="P728" s="15">
        <v>0.60399999999999998</v>
      </c>
      <c r="Q728" s="15">
        <v>0.40899999999999997</v>
      </c>
      <c r="R728" s="15">
        <v>0.221</v>
      </c>
      <c r="S728" s="15">
        <v>0.42199999999999999</v>
      </c>
      <c r="T728" s="15" t="s">
        <v>23</v>
      </c>
      <c r="U728" s="15" t="s">
        <v>22</v>
      </c>
      <c r="V728" s="15" t="s">
        <v>30</v>
      </c>
      <c r="W728" s="15">
        <v>6</v>
      </c>
      <c r="X728" s="15" t="s">
        <v>85</v>
      </c>
      <c r="Y728" s="12">
        <f t="shared" si="25"/>
        <v>0.41</v>
      </c>
      <c r="Z728" s="15">
        <v>-0.60299999999999998</v>
      </c>
    </row>
    <row r="729" spans="1:26" x14ac:dyDescent="0.2">
      <c r="A729" s="15" t="s">
        <v>82</v>
      </c>
      <c r="B729" s="15">
        <v>3858.375</v>
      </c>
      <c r="C729" s="15">
        <v>25.911999999999999</v>
      </c>
      <c r="D729" s="15">
        <v>22.542999999999999</v>
      </c>
      <c r="E729" s="15">
        <v>1.8580000000000001</v>
      </c>
      <c r="F729" s="15">
        <v>177.827</v>
      </c>
      <c r="G729" s="15">
        <v>2.7109999999999999</v>
      </c>
      <c r="H729" s="15">
        <v>8.8849999999999998</v>
      </c>
      <c r="I729" s="15">
        <v>2.9940000000000002</v>
      </c>
      <c r="J729" s="15">
        <v>64.341999999999999</v>
      </c>
      <c r="K729" s="15">
        <v>84.075999999999993</v>
      </c>
      <c r="L729" s="15">
        <v>3.9369999999999998</v>
      </c>
      <c r="M729" s="15">
        <v>6.3E-2</v>
      </c>
      <c r="N729" s="15">
        <v>43.249000000000002</v>
      </c>
      <c r="O729" s="15">
        <v>6.5000000000000002E-2</v>
      </c>
      <c r="P729" s="15">
        <v>0.48799999999999999</v>
      </c>
      <c r="Q729" s="15">
        <v>0.32100000000000001</v>
      </c>
      <c r="R729" s="15">
        <v>0.311</v>
      </c>
      <c r="S729" s="15">
        <v>0.627</v>
      </c>
      <c r="T729" s="15" t="s">
        <v>23</v>
      </c>
      <c r="U729" s="15" t="s">
        <v>22</v>
      </c>
      <c r="V729" s="15" t="s">
        <v>30</v>
      </c>
      <c r="W729" s="15">
        <v>8</v>
      </c>
      <c r="X729" s="15" t="s">
        <v>85</v>
      </c>
      <c r="Y729" s="12">
        <f t="shared" si="25"/>
        <v>0.38600000000000001</v>
      </c>
      <c r="Z729" s="15">
        <v>-0.42299999999999999</v>
      </c>
    </row>
    <row r="730" spans="1:26" x14ac:dyDescent="0.2">
      <c r="A730" s="15" t="s">
        <v>82</v>
      </c>
      <c r="B730" s="15">
        <v>3858.5</v>
      </c>
      <c r="C730" s="15">
        <v>26.385999999999999</v>
      </c>
      <c r="D730" s="15">
        <v>22.6</v>
      </c>
      <c r="E730" s="15">
        <v>2.08</v>
      </c>
      <c r="F730" s="15">
        <v>173.739</v>
      </c>
      <c r="G730" s="15">
        <v>2.714</v>
      </c>
      <c r="H730" s="15">
        <v>8.7799999999999994</v>
      </c>
      <c r="I730" s="15">
        <v>2.9119999999999999</v>
      </c>
      <c r="J730" s="15">
        <v>64.212000000000003</v>
      </c>
      <c r="K730" s="15">
        <v>84.546999999999997</v>
      </c>
      <c r="L730" s="15">
        <v>3.8420000000000001</v>
      </c>
      <c r="M730" s="15">
        <v>5.7000000000000002E-2</v>
      </c>
      <c r="N730" s="15">
        <v>43.018999999999998</v>
      </c>
      <c r="O730" s="15">
        <v>7.0000000000000007E-2</v>
      </c>
      <c r="P730" s="15">
        <v>0.33400000000000002</v>
      </c>
      <c r="Q730" s="15">
        <v>0.26500000000000001</v>
      </c>
      <c r="R730" s="15">
        <v>0.32100000000000001</v>
      </c>
      <c r="S730" s="15">
        <v>0.61899999999999999</v>
      </c>
      <c r="T730" s="15" t="s">
        <v>23</v>
      </c>
      <c r="U730" s="15" t="s">
        <v>22</v>
      </c>
      <c r="V730" s="15" t="s">
        <v>30</v>
      </c>
      <c r="W730" s="15">
        <v>8</v>
      </c>
      <c r="X730" s="15" t="s">
        <v>85</v>
      </c>
      <c r="Y730" s="12">
        <f t="shared" si="25"/>
        <v>0.33500000000000002</v>
      </c>
      <c r="Z730" s="15">
        <v>-0.26400000000000001</v>
      </c>
    </row>
    <row r="731" spans="1:26" x14ac:dyDescent="0.2">
      <c r="A731" s="15" t="s">
        <v>82</v>
      </c>
      <c r="B731" s="15">
        <v>3858.625</v>
      </c>
      <c r="C731" s="15">
        <v>26.25</v>
      </c>
      <c r="D731" s="15">
        <v>22.672999999999998</v>
      </c>
      <c r="E731" s="15">
        <v>2.25</v>
      </c>
      <c r="F731" s="15">
        <v>168.82599999999999</v>
      </c>
      <c r="G731" s="15">
        <v>2.7240000000000002</v>
      </c>
      <c r="H731" s="15">
        <v>8.4649999999999999</v>
      </c>
      <c r="I731" s="15">
        <v>2.8460000000000001</v>
      </c>
      <c r="J731" s="15">
        <v>66.87</v>
      </c>
      <c r="K731" s="15">
        <v>89.24</v>
      </c>
      <c r="L731" s="15">
        <v>3.5</v>
      </c>
      <c r="M731" s="15">
        <v>3.7999999999999999E-2</v>
      </c>
      <c r="N731" s="15">
        <v>44.201999999999998</v>
      </c>
      <c r="O731" s="15">
        <v>6.9000000000000006E-2</v>
      </c>
      <c r="P731" s="15">
        <v>0.20799999999999999</v>
      </c>
      <c r="Q731" s="15">
        <v>0.19800000000000001</v>
      </c>
      <c r="R731" s="15">
        <v>0.36899999999999999</v>
      </c>
      <c r="S731" s="15">
        <v>0.58099999999999996</v>
      </c>
      <c r="T731" s="15" t="s">
        <v>23</v>
      </c>
      <c r="U731" s="15" t="s">
        <v>22</v>
      </c>
      <c r="V731" s="15" t="s">
        <v>30</v>
      </c>
      <c r="W731" s="15">
        <v>8</v>
      </c>
      <c r="X731" s="15" t="s">
        <v>85</v>
      </c>
      <c r="Y731" s="12">
        <f t="shared" si="25"/>
        <v>0.26700000000000002</v>
      </c>
      <c r="Z731" s="15">
        <v>-0.13899999999999998</v>
      </c>
    </row>
    <row r="732" spans="1:26" x14ac:dyDescent="0.2">
      <c r="A732" s="15" t="s">
        <v>82</v>
      </c>
      <c r="B732" s="15">
        <v>3858.75</v>
      </c>
      <c r="C732" s="15">
        <v>27.67</v>
      </c>
      <c r="D732" s="15">
        <v>22.734000000000002</v>
      </c>
      <c r="E732" s="15">
        <v>2.504</v>
      </c>
      <c r="F732" s="15">
        <v>164.142</v>
      </c>
      <c r="G732" s="15">
        <v>2.7410000000000001</v>
      </c>
      <c r="H732" s="15">
        <v>8.1940000000000008</v>
      </c>
      <c r="I732" s="15">
        <v>2.778</v>
      </c>
      <c r="J732" s="15">
        <v>71.808000000000007</v>
      </c>
      <c r="K732" s="15">
        <v>97.325999999999993</v>
      </c>
      <c r="L732" s="15">
        <v>2.9569999999999999</v>
      </c>
      <c r="M732" s="15">
        <v>1.9E-2</v>
      </c>
      <c r="N732" s="15">
        <v>47.761000000000003</v>
      </c>
      <c r="O732" s="15">
        <v>7.9000000000000001E-2</v>
      </c>
      <c r="P732" s="15">
        <v>8.2000000000000003E-2</v>
      </c>
      <c r="Q732" s="15">
        <v>0.13300000000000001</v>
      </c>
      <c r="R732" s="15">
        <v>0.45300000000000001</v>
      </c>
      <c r="S732" s="15">
        <v>0.54500000000000004</v>
      </c>
      <c r="T732" s="15" t="s">
        <v>23</v>
      </c>
      <c r="U732" s="15" t="s">
        <v>22</v>
      </c>
      <c r="V732" s="15" t="s">
        <v>30</v>
      </c>
      <c r="W732" s="15">
        <v>8</v>
      </c>
      <c r="X732" s="15" t="s">
        <v>85</v>
      </c>
      <c r="Y732" s="12">
        <f t="shared" si="25"/>
        <v>0.21200000000000002</v>
      </c>
      <c r="Z732" s="15">
        <v>-3.0000000000000027E-3</v>
      </c>
    </row>
    <row r="733" spans="1:26" x14ac:dyDescent="0.2">
      <c r="A733" s="15" t="s">
        <v>82</v>
      </c>
      <c r="B733" s="15">
        <v>3858.875</v>
      </c>
      <c r="C733" s="15">
        <v>33.098999999999997</v>
      </c>
      <c r="D733" s="15">
        <v>22.786999999999999</v>
      </c>
      <c r="E733" s="15">
        <v>2.923</v>
      </c>
      <c r="F733" s="15">
        <v>161.59700000000001</v>
      </c>
      <c r="G733" s="15">
        <v>2.7589999999999999</v>
      </c>
      <c r="H733" s="15">
        <v>8.0649999999999995</v>
      </c>
      <c r="I733" s="15">
        <v>2.746</v>
      </c>
      <c r="J733" s="15">
        <v>76.521000000000001</v>
      </c>
      <c r="K733" s="15">
        <v>105.024</v>
      </c>
      <c r="L733" s="15">
        <v>2.2309999999999999</v>
      </c>
      <c r="M733" s="15">
        <v>6.0000000000000001E-3</v>
      </c>
      <c r="N733" s="15">
        <v>58.247</v>
      </c>
      <c r="O733" s="15">
        <v>0.12</v>
      </c>
      <c r="P733" s="15">
        <v>1.4999999999999999E-2</v>
      </c>
      <c r="Q733" s="15">
        <v>9.5000000000000001E-2</v>
      </c>
      <c r="R733" s="15">
        <v>0.54400000000000004</v>
      </c>
      <c r="S733" s="15">
        <v>0.52600000000000002</v>
      </c>
      <c r="T733" s="15" t="s">
        <v>23</v>
      </c>
      <c r="U733" s="15" t="s">
        <v>22</v>
      </c>
      <c r="V733" s="15" t="s">
        <v>30</v>
      </c>
      <c r="W733" s="15">
        <v>8</v>
      </c>
      <c r="X733" s="15" t="s">
        <v>85</v>
      </c>
      <c r="Y733" s="12">
        <f t="shared" si="25"/>
        <v>0.215</v>
      </c>
      <c r="Z733" s="15">
        <v>0.105</v>
      </c>
    </row>
    <row r="734" spans="1:26" x14ac:dyDescent="0.2">
      <c r="A734" s="15" t="s">
        <v>82</v>
      </c>
      <c r="B734" s="15">
        <v>3859</v>
      </c>
      <c r="C734" s="15">
        <v>43.610999999999997</v>
      </c>
      <c r="D734" s="15">
        <v>22.826000000000001</v>
      </c>
      <c r="E734" s="15">
        <v>3.4689999999999999</v>
      </c>
      <c r="F734" s="15">
        <v>162.512</v>
      </c>
      <c r="G734" s="15">
        <v>2.7730000000000001</v>
      </c>
      <c r="H734" s="15">
        <v>8.18</v>
      </c>
      <c r="I734" s="15">
        <v>2.8210000000000002</v>
      </c>
      <c r="J734" s="15">
        <v>78.17</v>
      </c>
      <c r="K734" s="15">
        <v>108.05800000000001</v>
      </c>
      <c r="L734" s="15">
        <v>0.96899999999999997</v>
      </c>
      <c r="M734" s="15">
        <v>1E-3</v>
      </c>
      <c r="N734" s="15">
        <v>82.216999999999999</v>
      </c>
      <c r="O734" s="15">
        <v>0.20100000000000001</v>
      </c>
      <c r="P734" s="15">
        <v>0.13500000000000001</v>
      </c>
      <c r="Q734" s="15">
        <v>0.10299999999999999</v>
      </c>
      <c r="R734" s="15">
        <v>0.61799999999999999</v>
      </c>
      <c r="S734" s="15">
        <v>0.53800000000000003</v>
      </c>
      <c r="T734" s="15" t="s">
        <v>23</v>
      </c>
      <c r="U734" s="15" t="s">
        <v>33</v>
      </c>
      <c r="V734" s="15" t="s">
        <v>30</v>
      </c>
      <c r="W734" s="15">
        <v>8</v>
      </c>
      <c r="X734" s="15" t="s">
        <v>85</v>
      </c>
      <c r="Y734" s="12">
        <f t="shared" si="25"/>
        <v>0.30399999999999999</v>
      </c>
      <c r="Z734" s="15">
        <v>6.6000000000000003E-2</v>
      </c>
    </row>
    <row r="735" spans="1:26" x14ac:dyDescent="0.2">
      <c r="A735" s="15" t="s">
        <v>82</v>
      </c>
      <c r="B735" s="15">
        <v>3859.875</v>
      </c>
      <c r="C735" s="15">
        <v>63.841999999999999</v>
      </c>
      <c r="D735" s="15">
        <v>22.791</v>
      </c>
      <c r="E735" s="15">
        <v>3.0169999999999999</v>
      </c>
      <c r="F735" s="15">
        <v>171.374</v>
      </c>
      <c r="G735" s="15">
        <v>2.782</v>
      </c>
      <c r="H735" s="15">
        <v>6.6840000000000002</v>
      </c>
      <c r="I735" s="15">
        <v>3.2360000000000002</v>
      </c>
      <c r="J735" s="15">
        <v>159.345</v>
      </c>
      <c r="K735" s="15">
        <v>242.87700000000001</v>
      </c>
      <c r="L735" s="15">
        <v>0</v>
      </c>
      <c r="M735" s="15">
        <v>0</v>
      </c>
      <c r="N735" s="15">
        <v>100</v>
      </c>
      <c r="O735" s="15">
        <v>0.379</v>
      </c>
      <c r="P735" s="15">
        <v>0.92600000000000005</v>
      </c>
      <c r="Q735" s="15">
        <v>0.23100000000000001</v>
      </c>
      <c r="R735" s="15">
        <v>0.66700000000000004</v>
      </c>
      <c r="S735" s="15">
        <v>0.35299999999999998</v>
      </c>
      <c r="T735" s="15"/>
      <c r="U735" s="15" t="s">
        <v>33</v>
      </c>
      <c r="V735" s="15" t="s">
        <v>30</v>
      </c>
      <c r="W735" s="15">
        <v>10</v>
      </c>
      <c r="X735" s="15" t="s">
        <v>85</v>
      </c>
      <c r="Y735" s="12">
        <f t="shared" si="25"/>
        <v>0.61</v>
      </c>
      <c r="Z735" s="15">
        <v>-0.54700000000000004</v>
      </c>
    </row>
    <row r="736" spans="1:26" x14ac:dyDescent="0.2">
      <c r="A736" s="15" t="s">
        <v>82</v>
      </c>
      <c r="B736" s="15">
        <v>3860</v>
      </c>
      <c r="C736" s="15">
        <v>57.161999999999999</v>
      </c>
      <c r="D736" s="15">
        <v>22.76</v>
      </c>
      <c r="E736" s="15">
        <v>2.968</v>
      </c>
      <c r="F736" s="15">
        <v>168.55</v>
      </c>
      <c r="G736" s="15">
        <v>2.7890000000000001</v>
      </c>
      <c r="H736" s="15">
        <v>6.2809999999999997</v>
      </c>
      <c r="I736" s="15">
        <v>3.1960000000000002</v>
      </c>
      <c r="J736" s="15">
        <v>207.75399999999999</v>
      </c>
      <c r="K736" s="15">
        <v>320.75200000000001</v>
      </c>
      <c r="L736" s="15">
        <v>0</v>
      </c>
      <c r="M736" s="15">
        <v>0</v>
      </c>
      <c r="N736" s="15">
        <v>100</v>
      </c>
      <c r="O736" s="15">
        <v>0.32500000000000001</v>
      </c>
      <c r="P736" s="15">
        <v>0.85499999999999998</v>
      </c>
      <c r="Q736" s="15">
        <v>0.192</v>
      </c>
      <c r="R736" s="15">
        <v>0.70399999999999996</v>
      </c>
      <c r="S736" s="15">
        <v>0.29699999999999999</v>
      </c>
      <c r="T736" s="15"/>
      <c r="U736" s="15" t="s">
        <v>33</v>
      </c>
      <c r="V736" s="15" t="s">
        <v>30</v>
      </c>
      <c r="W736" s="15">
        <v>10</v>
      </c>
      <c r="X736" s="15" t="s">
        <v>85</v>
      </c>
      <c r="Y736" s="12">
        <f t="shared" si="25"/>
        <v>0.51700000000000002</v>
      </c>
      <c r="Z736" s="15">
        <v>-0.53</v>
      </c>
    </row>
    <row r="737" spans="1:26" x14ac:dyDescent="0.2">
      <c r="A737" s="15" t="s">
        <v>82</v>
      </c>
      <c r="B737" s="15">
        <v>3860.125</v>
      </c>
      <c r="C737" s="15">
        <v>49.884</v>
      </c>
      <c r="D737" s="15">
        <v>22.768999999999998</v>
      </c>
      <c r="E737" s="15">
        <v>2.9580000000000002</v>
      </c>
      <c r="F737" s="15">
        <v>166.38</v>
      </c>
      <c r="G737" s="15">
        <v>2.798</v>
      </c>
      <c r="H737" s="15">
        <v>6.1219999999999999</v>
      </c>
      <c r="I737" s="15">
        <v>3.2240000000000002</v>
      </c>
      <c r="J737" s="15">
        <v>262.98399999999998</v>
      </c>
      <c r="K737" s="15">
        <v>411.779</v>
      </c>
      <c r="L737" s="15">
        <v>0</v>
      </c>
      <c r="M737" s="15">
        <v>0</v>
      </c>
      <c r="N737" s="15">
        <v>100</v>
      </c>
      <c r="O737" s="15">
        <v>0.26600000000000001</v>
      </c>
      <c r="P737" s="15">
        <v>0.89400000000000002</v>
      </c>
      <c r="Q737" s="15">
        <v>0.161</v>
      </c>
      <c r="R737" s="15">
        <v>0.749</v>
      </c>
      <c r="S737" s="15">
        <v>0.27200000000000002</v>
      </c>
      <c r="T737" s="15"/>
      <c r="U737" s="15" t="s">
        <v>33</v>
      </c>
      <c r="V737" s="15" t="s">
        <v>30</v>
      </c>
      <c r="W737" s="15">
        <v>10</v>
      </c>
      <c r="X737" s="15" t="s">
        <v>85</v>
      </c>
      <c r="Y737" s="12">
        <f t="shared" si="25"/>
        <v>0.42700000000000005</v>
      </c>
      <c r="Z737" s="15">
        <v>-0.628</v>
      </c>
    </row>
    <row r="738" spans="1:26" x14ac:dyDescent="0.2">
      <c r="A738" s="15" t="s">
        <v>82</v>
      </c>
      <c r="B738" s="15">
        <v>3860.25</v>
      </c>
      <c r="C738" s="15">
        <v>43.552999999999997</v>
      </c>
      <c r="D738" s="15">
        <v>22.803999999999998</v>
      </c>
      <c r="E738" s="15">
        <v>2.891</v>
      </c>
      <c r="F738" s="15">
        <v>164.75700000000001</v>
      </c>
      <c r="G738" s="15">
        <v>2.8140000000000001</v>
      </c>
      <c r="H738" s="15">
        <v>6.21</v>
      </c>
      <c r="I738" s="15">
        <v>3.258</v>
      </c>
      <c r="J738" s="15">
        <v>312.40600000000001</v>
      </c>
      <c r="K738" s="15">
        <v>494.94</v>
      </c>
      <c r="L738" s="15">
        <v>0</v>
      </c>
      <c r="M738" s="15">
        <v>0</v>
      </c>
      <c r="N738" s="15">
        <v>100</v>
      </c>
      <c r="O738" s="15">
        <v>0.214</v>
      </c>
      <c r="P738" s="15">
        <v>0.95599999999999996</v>
      </c>
      <c r="Q738" s="15">
        <v>0.13700000000000001</v>
      </c>
      <c r="R738" s="15">
        <v>0.82699999999999996</v>
      </c>
      <c r="S738" s="15">
        <v>0.28100000000000003</v>
      </c>
      <c r="T738" s="15"/>
      <c r="U738" s="15" t="s">
        <v>33</v>
      </c>
      <c r="V738" s="15" t="s">
        <v>30</v>
      </c>
      <c r="W738" s="15">
        <v>10</v>
      </c>
      <c r="X738" s="15" t="s">
        <v>85</v>
      </c>
      <c r="Y738" s="12">
        <f t="shared" si="25"/>
        <v>0.35099999999999998</v>
      </c>
      <c r="Z738" s="15">
        <v>-0.74199999999999999</v>
      </c>
    </row>
    <row r="739" spans="1:26" x14ac:dyDescent="0.2">
      <c r="A739" s="15" t="s">
        <v>83</v>
      </c>
      <c r="B739" s="15">
        <v>3811.625</v>
      </c>
      <c r="C739" s="15">
        <v>35.808999999999997</v>
      </c>
      <c r="D739" s="15">
        <v>21.878</v>
      </c>
      <c r="E739" s="15">
        <v>1.905</v>
      </c>
      <c r="F739" s="15">
        <v>164.559</v>
      </c>
      <c r="G739" s="15">
        <v>2.8420000000000001</v>
      </c>
      <c r="H739" s="15">
        <v>7.3620000000000001</v>
      </c>
      <c r="I739" s="15">
        <v>3.2360000000000002</v>
      </c>
      <c r="J739" s="15">
        <v>350.851</v>
      </c>
      <c r="K739" s="15">
        <v>403.488</v>
      </c>
      <c r="L739" s="15">
        <v>0.01</v>
      </c>
      <c r="M739" s="15">
        <v>1E-3</v>
      </c>
      <c r="N739" s="15">
        <v>100</v>
      </c>
      <c r="O739" s="15">
        <v>0.14699999999999999</v>
      </c>
      <c r="P739" s="15">
        <v>0.54700000000000004</v>
      </c>
      <c r="Q739" s="15">
        <v>0.11600000000000001</v>
      </c>
      <c r="R739" s="15">
        <v>0.996</v>
      </c>
      <c r="S739" s="15">
        <v>0.121</v>
      </c>
      <c r="T739" s="15"/>
      <c r="U739" s="15" t="s">
        <v>33</v>
      </c>
      <c r="V739" s="15" t="s">
        <v>30</v>
      </c>
      <c r="W739" s="15">
        <v>10</v>
      </c>
      <c r="X739" s="15" t="s">
        <v>85</v>
      </c>
      <c r="Y739" s="12">
        <f t="shared" si="25"/>
        <v>0.26300000000000001</v>
      </c>
      <c r="Z739" s="15">
        <v>-0.4</v>
      </c>
    </row>
    <row r="740" spans="1:26" x14ac:dyDescent="0.2">
      <c r="A740" s="15" t="s">
        <v>83</v>
      </c>
      <c r="B740" s="15">
        <v>3811.75</v>
      </c>
      <c r="C740" s="15">
        <v>29.015000000000001</v>
      </c>
      <c r="D740" s="15">
        <v>21.896000000000001</v>
      </c>
      <c r="E740" s="15">
        <v>1.3740000000000001</v>
      </c>
      <c r="F740" s="15">
        <v>161.15700000000001</v>
      </c>
      <c r="G740" s="15">
        <v>2.843</v>
      </c>
      <c r="H740" s="15">
        <v>6.2539999999999996</v>
      </c>
      <c r="I740" s="15">
        <v>3.2429999999999999</v>
      </c>
      <c r="J740" s="15">
        <v>376.36</v>
      </c>
      <c r="K740" s="15">
        <v>436.3</v>
      </c>
      <c r="L740" s="15">
        <v>0.01</v>
      </c>
      <c r="M740" s="15">
        <v>1E-3</v>
      </c>
      <c r="N740" s="15">
        <v>100</v>
      </c>
      <c r="O740" s="15">
        <v>0.108</v>
      </c>
      <c r="P740" s="15">
        <v>0.56799999999999995</v>
      </c>
      <c r="Q740" s="15">
        <v>6.6000000000000003E-2</v>
      </c>
      <c r="R740" s="15">
        <v>0.99299999999999999</v>
      </c>
      <c r="S740" s="15">
        <v>8.6999999999999994E-2</v>
      </c>
      <c r="T740" s="15"/>
      <c r="U740" s="15" t="s">
        <v>33</v>
      </c>
      <c r="V740" s="15" t="s">
        <v>30</v>
      </c>
      <c r="W740" s="15">
        <v>10</v>
      </c>
      <c r="X740" s="15" t="s">
        <v>85</v>
      </c>
      <c r="Y740" s="12">
        <f t="shared" si="25"/>
        <v>0.17399999999999999</v>
      </c>
      <c r="Z740" s="15">
        <v>-0.45999999999999996</v>
      </c>
    </row>
    <row r="741" spans="1:26" x14ac:dyDescent="0.2">
      <c r="A741" s="15" t="s">
        <v>83</v>
      </c>
      <c r="B741" s="15">
        <v>3811.875</v>
      </c>
      <c r="C741" s="15">
        <v>28.503</v>
      </c>
      <c r="D741" s="15">
        <v>21.916</v>
      </c>
      <c r="E741" s="15">
        <v>1.1759999999999999</v>
      </c>
      <c r="F741" s="15">
        <v>159.25399999999999</v>
      </c>
      <c r="G741" s="15">
        <v>2.84</v>
      </c>
      <c r="H741" s="15">
        <v>6.2350000000000003</v>
      </c>
      <c r="I741" s="15">
        <v>3.2810000000000001</v>
      </c>
      <c r="J741" s="15">
        <v>351.66800000000001</v>
      </c>
      <c r="K741" s="15">
        <v>409.79399999999998</v>
      </c>
      <c r="L741" s="15">
        <v>0.01</v>
      </c>
      <c r="M741" s="15">
        <v>1E-3</v>
      </c>
      <c r="N741" s="15">
        <v>100</v>
      </c>
      <c r="O741" s="15">
        <v>0.11899999999999999</v>
      </c>
      <c r="P741" s="15">
        <v>0.61399999999999999</v>
      </c>
      <c r="Q741" s="15">
        <v>4.2999999999999997E-2</v>
      </c>
      <c r="R741" s="15">
        <v>0.96199999999999997</v>
      </c>
      <c r="S741" s="15">
        <v>0.10299999999999999</v>
      </c>
      <c r="T741" s="15"/>
      <c r="U741" s="15" t="s">
        <v>33</v>
      </c>
      <c r="V741" s="15" t="s">
        <v>30</v>
      </c>
      <c r="W741" s="15">
        <v>10</v>
      </c>
      <c r="X741" s="15" t="s">
        <v>85</v>
      </c>
      <c r="Y741" s="12">
        <f t="shared" si="25"/>
        <v>0.16199999999999998</v>
      </c>
      <c r="Z741" s="15">
        <v>-0.495</v>
      </c>
    </row>
    <row r="742" spans="1:26" x14ac:dyDescent="0.2">
      <c r="A742" s="15" t="s">
        <v>83</v>
      </c>
      <c r="B742" s="15">
        <v>3812</v>
      </c>
      <c r="C742" s="15">
        <v>32.838000000000001</v>
      </c>
      <c r="D742" s="15">
        <v>21.931000000000001</v>
      </c>
      <c r="E742" s="15">
        <v>1.2689999999999999</v>
      </c>
      <c r="F742" s="15">
        <v>158.91900000000001</v>
      </c>
      <c r="G742" s="15">
        <v>2.8330000000000002</v>
      </c>
      <c r="H742" s="15">
        <v>7.149</v>
      </c>
      <c r="I742" s="15">
        <v>3.323</v>
      </c>
      <c r="J742" s="15">
        <v>292.654</v>
      </c>
      <c r="K742" s="15">
        <v>341.28899999999999</v>
      </c>
      <c r="L742" s="15">
        <v>0.01</v>
      </c>
      <c r="M742" s="15">
        <v>1E-3</v>
      </c>
      <c r="N742" s="15">
        <v>100</v>
      </c>
      <c r="O742" s="15">
        <v>0.16800000000000001</v>
      </c>
      <c r="P742" s="15">
        <v>0.66200000000000003</v>
      </c>
      <c r="Q742" s="15">
        <v>4.5999999999999999E-2</v>
      </c>
      <c r="R742" s="15">
        <v>0.89800000000000002</v>
      </c>
      <c r="S742" s="15">
        <v>0.16</v>
      </c>
      <c r="T742" s="15"/>
      <c r="U742" s="15" t="s">
        <v>33</v>
      </c>
      <c r="V742" s="15" t="s">
        <v>30</v>
      </c>
      <c r="W742" s="15">
        <v>10</v>
      </c>
      <c r="X742" s="15" t="s">
        <v>85</v>
      </c>
      <c r="Y742" s="12">
        <f t="shared" si="25"/>
        <v>0.21400000000000002</v>
      </c>
      <c r="Z742" s="15">
        <v>-0.49399999999999999</v>
      </c>
    </row>
    <row r="743" spans="1:26" x14ac:dyDescent="0.2">
      <c r="A743" s="15" t="s">
        <v>83</v>
      </c>
      <c r="B743" s="15">
        <v>3812.125</v>
      </c>
      <c r="C743" s="15">
        <v>40.540999999999997</v>
      </c>
      <c r="D743" s="15">
        <v>21.939</v>
      </c>
      <c r="E743" s="15">
        <v>1.49</v>
      </c>
      <c r="F743" s="15">
        <v>159.90199999999999</v>
      </c>
      <c r="G743" s="15">
        <v>2.819</v>
      </c>
      <c r="H743" s="15">
        <v>8.8190000000000008</v>
      </c>
      <c r="I743" s="15">
        <v>3.3620000000000001</v>
      </c>
      <c r="J743" s="15">
        <v>230.77600000000001</v>
      </c>
      <c r="K743" s="15">
        <v>268.56200000000001</v>
      </c>
      <c r="L743" s="15">
        <v>0.01</v>
      </c>
      <c r="M743" s="15">
        <v>1E-3</v>
      </c>
      <c r="N743" s="15">
        <v>100</v>
      </c>
      <c r="O743" s="15">
        <v>0.248</v>
      </c>
      <c r="P743" s="15">
        <v>0.69699999999999995</v>
      </c>
      <c r="Q743" s="15">
        <v>7.0000000000000007E-2</v>
      </c>
      <c r="R743" s="15">
        <v>0.80100000000000005</v>
      </c>
      <c r="S743" s="15">
        <v>0.25</v>
      </c>
      <c r="T743" s="15"/>
      <c r="U743" s="15" t="s">
        <v>33</v>
      </c>
      <c r="V743" s="15" t="s">
        <v>30</v>
      </c>
      <c r="W743" s="15">
        <v>10</v>
      </c>
      <c r="X743" s="15" t="s">
        <v>85</v>
      </c>
      <c r="Y743" s="12">
        <f t="shared" si="25"/>
        <v>0.318</v>
      </c>
      <c r="Z743" s="15">
        <v>-0.44899999999999995</v>
      </c>
    </row>
    <row r="744" spans="1:26" x14ac:dyDescent="0.2">
      <c r="A744" s="15" t="s">
        <v>84</v>
      </c>
      <c r="B744" s="15">
        <v>3920.125</v>
      </c>
      <c r="C744" s="15">
        <v>27.12</v>
      </c>
      <c r="D744" s="15">
        <v>22.388999999999999</v>
      </c>
      <c r="E744" s="15">
        <v>0.83199999999999996</v>
      </c>
      <c r="F744" s="15">
        <v>179.642</v>
      </c>
      <c r="G744" s="15">
        <v>2.6619999999999999</v>
      </c>
      <c r="H744" s="15">
        <v>6.1879999999999997</v>
      </c>
      <c r="I744" s="15">
        <v>3.419</v>
      </c>
      <c r="J744" s="15">
        <v>57.015999999999998</v>
      </c>
      <c r="K744" s="15">
        <v>63.665999999999997</v>
      </c>
      <c r="L744" s="15">
        <v>3.2090000000000001</v>
      </c>
      <c r="M744" s="15">
        <v>0.01</v>
      </c>
      <c r="N744" s="15">
        <v>85.984999999999999</v>
      </c>
      <c r="O744" s="15">
        <v>5.8999999999999997E-2</v>
      </c>
      <c r="P744" s="15">
        <v>0.52600000000000002</v>
      </c>
      <c r="Q744" s="15">
        <v>0.78400000000000003</v>
      </c>
      <c r="R744" s="15">
        <v>0.29199999999999998</v>
      </c>
      <c r="S744" s="15">
        <v>0.28100000000000003</v>
      </c>
      <c r="T744" s="15" t="s">
        <v>23</v>
      </c>
      <c r="U744" s="15" t="s">
        <v>22</v>
      </c>
      <c r="V744" s="15" t="s">
        <v>30</v>
      </c>
      <c r="W744" s="15">
        <v>3</v>
      </c>
      <c r="X744" s="15" t="s">
        <v>85</v>
      </c>
      <c r="Y744" s="12">
        <f t="shared" si="25"/>
        <v>0.84299999999999997</v>
      </c>
      <c r="Z744" s="15">
        <v>-0.46700000000000003</v>
      </c>
    </row>
    <row r="745" spans="1:26" x14ac:dyDescent="0.2">
      <c r="A745" s="15" t="s">
        <v>84</v>
      </c>
      <c r="B745" s="15">
        <v>3920.25</v>
      </c>
      <c r="C745" s="15">
        <v>25.916</v>
      </c>
      <c r="D745" s="15">
        <v>22.466999999999999</v>
      </c>
      <c r="E745" s="15">
        <v>0.79200000000000004</v>
      </c>
      <c r="F745" s="15">
        <v>182.23400000000001</v>
      </c>
      <c r="G745" s="15">
        <v>2.637</v>
      </c>
      <c r="H745" s="15">
        <v>7.5970000000000004</v>
      </c>
      <c r="I745" s="15">
        <v>3.331</v>
      </c>
      <c r="J745" s="15">
        <v>41.944000000000003</v>
      </c>
      <c r="K745" s="15">
        <v>46.838999999999999</v>
      </c>
      <c r="L745" s="15">
        <v>4.819</v>
      </c>
      <c r="M745" s="15">
        <v>1.7999999999999999E-2</v>
      </c>
      <c r="N745" s="15">
        <v>60.905999999999999</v>
      </c>
      <c r="O745" s="15">
        <v>4.5999999999999999E-2</v>
      </c>
      <c r="P745" s="15">
        <v>0.46400000000000002</v>
      </c>
      <c r="Q745" s="15">
        <v>0.86899999999999999</v>
      </c>
      <c r="R745" s="15">
        <v>0.16500000000000001</v>
      </c>
      <c r="S745" s="15">
        <v>0.40699999999999997</v>
      </c>
      <c r="T745" s="15" t="s">
        <v>23</v>
      </c>
      <c r="U745" s="15" t="s">
        <v>22</v>
      </c>
      <c r="V745" s="15" t="s">
        <v>30</v>
      </c>
      <c r="W745" s="15">
        <v>3</v>
      </c>
      <c r="X745" s="15" t="s">
        <v>85</v>
      </c>
      <c r="Y745" s="12">
        <f t="shared" si="25"/>
        <v>0.91500000000000004</v>
      </c>
      <c r="Z745" s="15">
        <v>-0.41800000000000004</v>
      </c>
    </row>
    <row r="746" spans="1:26" x14ac:dyDescent="0.2">
      <c r="A746" s="15" t="s">
        <v>84</v>
      </c>
      <c r="B746" s="15">
        <v>3920.375</v>
      </c>
      <c r="C746" s="15">
        <v>24.74</v>
      </c>
      <c r="D746" s="15">
        <v>22.506</v>
      </c>
      <c r="E746" s="15">
        <v>0.73399999999999999</v>
      </c>
      <c r="F746" s="15">
        <v>183.53399999999999</v>
      </c>
      <c r="G746" s="15">
        <v>2.6190000000000002</v>
      </c>
      <c r="H746" s="15">
        <v>8.83</v>
      </c>
      <c r="I746" s="15">
        <v>3.2570000000000001</v>
      </c>
      <c r="J746" s="15">
        <v>34.154000000000003</v>
      </c>
      <c r="K746" s="15">
        <v>38.140999999999998</v>
      </c>
      <c r="L746" s="15">
        <v>5.851</v>
      </c>
      <c r="M746" s="15">
        <v>4.2000000000000003E-2</v>
      </c>
      <c r="N746" s="15">
        <v>52.136000000000003</v>
      </c>
      <c r="O746" s="15">
        <v>3.5000000000000003E-2</v>
      </c>
      <c r="P746" s="15">
        <v>0.41099999999999998</v>
      </c>
      <c r="Q746" s="15">
        <v>0.91800000000000004</v>
      </c>
      <c r="R746" s="15">
        <v>6.8000000000000005E-2</v>
      </c>
      <c r="S746" s="15">
        <v>0.52400000000000002</v>
      </c>
      <c r="T746" s="15" t="s">
        <v>23</v>
      </c>
      <c r="U746" s="15" t="s">
        <v>22</v>
      </c>
      <c r="V746" s="15" t="s">
        <v>30</v>
      </c>
      <c r="W746" s="15">
        <v>3</v>
      </c>
      <c r="X746" s="15" t="s">
        <v>85</v>
      </c>
      <c r="Y746" s="12">
        <f t="shared" si="25"/>
        <v>0.95300000000000007</v>
      </c>
      <c r="Z746" s="15">
        <v>-0.376</v>
      </c>
    </row>
    <row r="747" spans="1:26" x14ac:dyDescent="0.2">
      <c r="A747" s="15" t="s">
        <v>84</v>
      </c>
      <c r="B747" s="15">
        <v>3920.5</v>
      </c>
      <c r="C747" s="15">
        <v>23.568999999999999</v>
      </c>
      <c r="D747" s="15">
        <v>22.498000000000001</v>
      </c>
      <c r="E747" s="15">
        <v>0.72099999999999997</v>
      </c>
      <c r="F747" s="15">
        <v>183.291</v>
      </c>
      <c r="G747" s="15">
        <v>2.61</v>
      </c>
      <c r="H747" s="15">
        <v>9.73</v>
      </c>
      <c r="I747" s="15">
        <v>3.1970000000000001</v>
      </c>
      <c r="J747" s="15">
        <v>29.457999999999998</v>
      </c>
      <c r="K747" s="15">
        <v>32.896000000000001</v>
      </c>
      <c r="L747" s="15">
        <v>6.8529999999999998</v>
      </c>
      <c r="M747" s="15">
        <v>8.3000000000000004E-2</v>
      </c>
      <c r="N747" s="15">
        <v>47.192999999999998</v>
      </c>
      <c r="O747" s="15">
        <v>2.5000000000000001E-2</v>
      </c>
      <c r="P747" s="15">
        <v>0.36699999999999999</v>
      </c>
      <c r="Q747" s="15">
        <v>0.92</v>
      </c>
      <c r="R747" s="15">
        <v>1.4E-2</v>
      </c>
      <c r="S747" s="15">
        <v>0.61299999999999999</v>
      </c>
      <c r="T747" s="15" t="s">
        <v>23</v>
      </c>
      <c r="U747" s="15" t="s">
        <v>22</v>
      </c>
      <c r="V747" s="15" t="s">
        <v>30</v>
      </c>
      <c r="W747" s="15">
        <v>3</v>
      </c>
      <c r="X747" s="15" t="s">
        <v>85</v>
      </c>
      <c r="Y747" s="12">
        <f t="shared" si="25"/>
        <v>0.94500000000000006</v>
      </c>
      <c r="Z747" s="15">
        <v>-0.34199999999999997</v>
      </c>
    </row>
    <row r="748" spans="1:26" x14ac:dyDescent="0.2">
      <c r="A748" s="15" t="s">
        <v>84</v>
      </c>
      <c r="B748" s="15">
        <v>3920.625</v>
      </c>
      <c r="C748" s="15">
        <v>23.209</v>
      </c>
      <c r="D748" s="15">
        <v>22.454000000000001</v>
      </c>
      <c r="E748" s="15">
        <v>0.78100000000000003</v>
      </c>
      <c r="F748" s="15">
        <v>181.792</v>
      </c>
      <c r="G748" s="15">
        <v>2.609</v>
      </c>
      <c r="H748" s="15">
        <v>10.377000000000001</v>
      </c>
      <c r="I748" s="15">
        <v>3.1459999999999999</v>
      </c>
      <c r="J748" s="15">
        <v>26.742000000000001</v>
      </c>
      <c r="K748" s="15">
        <v>29.863</v>
      </c>
      <c r="L748" s="15">
        <v>7.4279999999999999</v>
      </c>
      <c r="M748" s="15">
        <v>0.114</v>
      </c>
      <c r="N748" s="15">
        <v>46.744</v>
      </c>
      <c r="O748" s="15">
        <v>0.02</v>
      </c>
      <c r="P748" s="15">
        <v>0.33100000000000002</v>
      </c>
      <c r="Q748" s="15">
        <v>0.88100000000000001</v>
      </c>
      <c r="R748" s="15">
        <v>1E-3</v>
      </c>
      <c r="S748" s="15">
        <v>0.67700000000000005</v>
      </c>
      <c r="T748" s="15" t="s">
        <v>23</v>
      </c>
      <c r="U748" s="15" t="s">
        <v>22</v>
      </c>
      <c r="V748" s="15" t="s">
        <v>30</v>
      </c>
      <c r="W748" s="15">
        <v>3</v>
      </c>
      <c r="X748" s="15" t="s">
        <v>85</v>
      </c>
      <c r="Y748" s="12">
        <f t="shared" si="25"/>
        <v>0.90100000000000002</v>
      </c>
      <c r="Z748" s="15">
        <v>-0.311</v>
      </c>
    </row>
    <row r="749" spans="1:26" x14ac:dyDescent="0.2">
      <c r="A749" s="15" t="s">
        <v>84</v>
      </c>
      <c r="B749" s="15">
        <v>3920.75</v>
      </c>
      <c r="C749" s="15">
        <v>23.486999999999998</v>
      </c>
      <c r="D749" s="15">
        <v>22.393999999999998</v>
      </c>
      <c r="E749" s="15">
        <v>0.83199999999999996</v>
      </c>
      <c r="F749" s="15">
        <v>179.79499999999999</v>
      </c>
      <c r="G749" s="15">
        <v>2.6139999999999999</v>
      </c>
      <c r="H749" s="15">
        <v>10.779</v>
      </c>
      <c r="I749" s="15">
        <v>3.101</v>
      </c>
      <c r="J749" s="15">
        <v>26.593</v>
      </c>
      <c r="K749" s="15">
        <v>29.696000000000002</v>
      </c>
      <c r="L749" s="15">
        <v>7.3920000000000003</v>
      </c>
      <c r="M749" s="15">
        <v>0.112</v>
      </c>
      <c r="N749" s="15">
        <v>48.308</v>
      </c>
      <c r="O749" s="15">
        <v>2.1000000000000001E-2</v>
      </c>
      <c r="P749" s="15">
        <v>0.29899999999999999</v>
      </c>
      <c r="Q749" s="15">
        <v>0.82099999999999995</v>
      </c>
      <c r="R749" s="15">
        <v>0.02</v>
      </c>
      <c r="S749" s="15">
        <v>0.71799999999999997</v>
      </c>
      <c r="T749" s="15" t="s">
        <v>23</v>
      </c>
      <c r="U749" s="15" t="s">
        <v>22</v>
      </c>
      <c r="V749" s="15" t="s">
        <v>30</v>
      </c>
      <c r="W749" s="15">
        <v>3</v>
      </c>
      <c r="X749" s="15" t="s">
        <v>85</v>
      </c>
      <c r="Y749" s="12">
        <f t="shared" si="25"/>
        <v>0.84199999999999997</v>
      </c>
      <c r="Z749" s="15">
        <v>-0.27799999999999997</v>
      </c>
    </row>
    <row r="750" spans="1:26" x14ac:dyDescent="0.2">
      <c r="A750" s="15" t="s">
        <v>84</v>
      </c>
      <c r="B750" s="15">
        <v>3920.875</v>
      </c>
      <c r="C750" s="15">
        <v>23.628</v>
      </c>
      <c r="D750" s="15">
        <v>22.343</v>
      </c>
      <c r="E750" s="15">
        <v>0.84199999999999997</v>
      </c>
      <c r="F750" s="15">
        <v>178.10400000000001</v>
      </c>
      <c r="G750" s="15">
        <v>2.6219999999999999</v>
      </c>
      <c r="H750" s="15">
        <v>10.888999999999999</v>
      </c>
      <c r="I750" s="15">
        <v>3.0649999999999999</v>
      </c>
      <c r="J750" s="15">
        <v>28.385999999999999</v>
      </c>
      <c r="K750" s="15">
        <v>31.698</v>
      </c>
      <c r="L750" s="15">
        <v>7.3449999999999998</v>
      </c>
      <c r="M750" s="15">
        <v>0.108</v>
      </c>
      <c r="N750" s="15">
        <v>47.448</v>
      </c>
      <c r="O750" s="15">
        <v>2.3E-2</v>
      </c>
      <c r="P750" s="15">
        <v>0.27300000000000002</v>
      </c>
      <c r="Q750" s="15">
        <v>0.76500000000000001</v>
      </c>
      <c r="R750" s="15">
        <v>5.7000000000000002E-2</v>
      </c>
      <c r="S750" s="15">
        <v>0.73399999999999999</v>
      </c>
      <c r="T750" s="15" t="s">
        <v>23</v>
      </c>
      <c r="U750" s="15" t="s">
        <v>22</v>
      </c>
      <c r="V750" s="15" t="s">
        <v>30</v>
      </c>
      <c r="W750" s="15">
        <v>3</v>
      </c>
      <c r="X750" s="15" t="s">
        <v>85</v>
      </c>
      <c r="Y750" s="12">
        <f t="shared" si="25"/>
        <v>0.78800000000000003</v>
      </c>
      <c r="Z750" s="15">
        <v>-0.25</v>
      </c>
    </row>
    <row r="751" spans="1:26" x14ac:dyDescent="0.2">
      <c r="A751" s="15" t="s">
        <v>84</v>
      </c>
      <c r="B751" s="15">
        <v>3921</v>
      </c>
      <c r="C751" s="15">
        <v>23.341999999999999</v>
      </c>
      <c r="D751" s="15">
        <v>22.311</v>
      </c>
      <c r="E751" s="15">
        <v>0.85799999999999998</v>
      </c>
      <c r="F751" s="15">
        <v>177.03800000000001</v>
      </c>
      <c r="G751" s="15">
        <v>2.6349999999999998</v>
      </c>
      <c r="H751" s="15">
        <v>10.739000000000001</v>
      </c>
      <c r="I751" s="15">
        <v>3.04</v>
      </c>
      <c r="J751" s="15">
        <v>30.826000000000001</v>
      </c>
      <c r="K751" s="15">
        <v>34.423000000000002</v>
      </c>
      <c r="L751" s="15">
        <v>7.2640000000000002</v>
      </c>
      <c r="M751" s="15">
        <v>0.10299999999999999</v>
      </c>
      <c r="N751" s="15">
        <v>43.420999999999999</v>
      </c>
      <c r="O751" s="15">
        <v>2.1000000000000001E-2</v>
      </c>
      <c r="P751" s="15">
        <v>0.255</v>
      </c>
      <c r="Q751" s="15">
        <v>0.72799999999999998</v>
      </c>
      <c r="R751" s="15">
        <v>0.11700000000000001</v>
      </c>
      <c r="S751" s="15">
        <v>0.72499999999999998</v>
      </c>
      <c r="T751" s="15" t="s">
        <v>23</v>
      </c>
      <c r="U751" s="15" t="s">
        <v>22</v>
      </c>
      <c r="V751" s="15" t="s">
        <v>30</v>
      </c>
      <c r="W751" s="15">
        <v>3</v>
      </c>
      <c r="X751" s="15" t="s">
        <v>85</v>
      </c>
      <c r="Y751" s="12">
        <f t="shared" si="25"/>
        <v>0.749</v>
      </c>
      <c r="Z751" s="15">
        <v>-0.23400000000000001</v>
      </c>
    </row>
    <row r="752" spans="1:26" x14ac:dyDescent="0.2">
      <c r="A752" s="15" t="s">
        <v>84</v>
      </c>
      <c r="B752" s="15">
        <v>3921.125</v>
      </c>
      <c r="C752" s="15">
        <v>22.187000000000001</v>
      </c>
      <c r="D752" s="15">
        <v>22.292000000000002</v>
      </c>
      <c r="E752" s="15">
        <v>0.93799999999999994</v>
      </c>
      <c r="F752" s="15">
        <v>176.387</v>
      </c>
      <c r="G752" s="15">
        <v>2.6509999999999998</v>
      </c>
      <c r="H752" s="15">
        <v>10.439</v>
      </c>
      <c r="I752" s="15">
        <v>3.032</v>
      </c>
      <c r="J752" s="15">
        <v>34.902000000000001</v>
      </c>
      <c r="K752" s="15">
        <v>38.975000000000001</v>
      </c>
      <c r="L752" s="15">
        <v>7.17</v>
      </c>
      <c r="M752" s="15">
        <v>9.7000000000000003E-2</v>
      </c>
      <c r="N752" s="15">
        <v>38.843000000000004</v>
      </c>
      <c r="O752" s="15">
        <v>1.2E-2</v>
      </c>
      <c r="P752" s="15">
        <v>0.247</v>
      </c>
      <c r="Q752" s="15">
        <v>0.70499999999999996</v>
      </c>
      <c r="R752" s="15">
        <v>0.19400000000000001</v>
      </c>
      <c r="S752" s="15">
        <v>0.7</v>
      </c>
      <c r="T752" s="15" t="s">
        <v>23</v>
      </c>
      <c r="U752" s="15" t="s">
        <v>22</v>
      </c>
      <c r="V752" s="15" t="s">
        <v>30</v>
      </c>
      <c r="W752" s="15">
        <v>3</v>
      </c>
      <c r="X752" s="15" t="s">
        <v>85</v>
      </c>
      <c r="Y752" s="12">
        <f t="shared" si="25"/>
        <v>0.71699999999999997</v>
      </c>
      <c r="Z752" s="15">
        <v>-0.23499999999999999</v>
      </c>
    </row>
    <row r="753" spans="1:26" x14ac:dyDescent="0.2">
      <c r="A753" s="15" t="s">
        <v>84</v>
      </c>
      <c r="B753" s="15">
        <v>3921.25</v>
      </c>
      <c r="C753" s="15">
        <v>21.141999999999999</v>
      </c>
      <c r="D753" s="15">
        <v>22.27</v>
      </c>
      <c r="E753" s="15">
        <v>1.0940000000000001</v>
      </c>
      <c r="F753" s="15">
        <v>175.67099999999999</v>
      </c>
      <c r="G753" s="15">
        <v>2.67</v>
      </c>
      <c r="H753" s="15">
        <v>10.039</v>
      </c>
      <c r="I753" s="15">
        <v>3.0430000000000001</v>
      </c>
      <c r="J753" s="15">
        <v>43.337000000000003</v>
      </c>
      <c r="K753" s="15">
        <v>48.395000000000003</v>
      </c>
      <c r="L753" s="15">
        <v>6.7320000000000002</v>
      </c>
      <c r="M753" s="15">
        <v>7.6999999999999999E-2</v>
      </c>
      <c r="N753" s="15">
        <v>39.423000000000002</v>
      </c>
      <c r="O753" s="15">
        <v>2E-3</v>
      </c>
      <c r="P753" s="15">
        <v>0.252</v>
      </c>
      <c r="Q753" s="15">
        <v>0.68200000000000005</v>
      </c>
      <c r="R753" s="15">
        <v>0.28599999999999998</v>
      </c>
      <c r="S753" s="15">
        <v>0.66500000000000004</v>
      </c>
      <c r="T753" s="15" t="s">
        <v>23</v>
      </c>
      <c r="U753" s="15" t="s">
        <v>22</v>
      </c>
      <c r="V753" s="15" t="s">
        <v>30</v>
      </c>
      <c r="W753" s="15">
        <v>3</v>
      </c>
      <c r="X753" s="15" t="s">
        <v>85</v>
      </c>
      <c r="Y753" s="12">
        <f t="shared" si="25"/>
        <v>0.68400000000000005</v>
      </c>
      <c r="Z753" s="15">
        <v>-0.25</v>
      </c>
    </row>
    <row r="754" spans="1:26" x14ac:dyDescent="0.2">
      <c r="A754" s="15" t="s">
        <v>84</v>
      </c>
      <c r="B754" s="15">
        <v>3921.375</v>
      </c>
      <c r="C754" s="15">
        <v>21.468</v>
      </c>
      <c r="D754" s="15">
        <v>22.234000000000002</v>
      </c>
      <c r="E754" s="15">
        <v>1.3009999999999999</v>
      </c>
      <c r="F754" s="15">
        <v>174.45500000000001</v>
      </c>
      <c r="G754" s="15">
        <v>2.69</v>
      </c>
      <c r="H754" s="15">
        <v>9.5310000000000006</v>
      </c>
      <c r="I754" s="15">
        <v>3.0720000000000001</v>
      </c>
      <c r="J754" s="15">
        <v>56.866999999999997</v>
      </c>
      <c r="K754" s="15">
        <v>63.506999999999998</v>
      </c>
      <c r="L754" s="15">
        <v>6.0810000000000004</v>
      </c>
      <c r="M754" s="15">
        <v>4.7E-2</v>
      </c>
      <c r="N754" s="15">
        <v>40.813000000000002</v>
      </c>
      <c r="O754" s="15">
        <v>2E-3</v>
      </c>
      <c r="P754" s="15">
        <v>0.26900000000000002</v>
      </c>
      <c r="Q754" s="15">
        <v>0.64700000000000002</v>
      </c>
      <c r="R754" s="15">
        <v>0.38500000000000001</v>
      </c>
      <c r="S754" s="15">
        <v>0.62</v>
      </c>
      <c r="T754" s="15" t="s">
        <v>23</v>
      </c>
      <c r="U754" s="15" t="s">
        <v>22</v>
      </c>
      <c r="V754" s="15" t="s">
        <v>30</v>
      </c>
      <c r="W754" s="15">
        <v>3</v>
      </c>
      <c r="X754" s="15" t="s">
        <v>85</v>
      </c>
      <c r="Y754" s="12">
        <f t="shared" si="25"/>
        <v>0.64900000000000002</v>
      </c>
      <c r="Z754" s="15">
        <v>-0.26700000000000002</v>
      </c>
    </row>
    <row r="755" spans="1:26" x14ac:dyDescent="0.2">
      <c r="A755" s="15" t="s">
        <v>84</v>
      </c>
      <c r="B755" s="15">
        <v>3921.5</v>
      </c>
      <c r="C755" s="15">
        <v>22.811</v>
      </c>
      <c r="D755" s="15">
        <v>22.178000000000001</v>
      </c>
      <c r="E755" s="15">
        <v>1.464</v>
      </c>
      <c r="F755" s="15">
        <v>172.59</v>
      </c>
      <c r="G755" s="15">
        <v>2.7109999999999999</v>
      </c>
      <c r="H755" s="15">
        <v>8.9559999999999995</v>
      </c>
      <c r="I755" s="15">
        <v>3.1179999999999999</v>
      </c>
      <c r="J755" s="15">
        <v>73.534000000000006</v>
      </c>
      <c r="K755" s="15">
        <v>82.122</v>
      </c>
      <c r="L755" s="15">
        <v>5.5369999999999999</v>
      </c>
      <c r="M755" s="15">
        <v>3.4000000000000002E-2</v>
      </c>
      <c r="N755" s="15">
        <v>40.512</v>
      </c>
      <c r="O755" s="15">
        <v>1.2999999999999999E-2</v>
      </c>
      <c r="P755" s="15">
        <v>0.29899999999999999</v>
      </c>
      <c r="Q755" s="15">
        <v>0.59199999999999997</v>
      </c>
      <c r="R755" s="15">
        <v>0.48899999999999999</v>
      </c>
      <c r="S755" s="15">
        <v>0.56899999999999995</v>
      </c>
      <c r="T755" s="15" t="s">
        <v>23</v>
      </c>
      <c r="U755" s="15" t="s">
        <v>22</v>
      </c>
      <c r="V755" s="15" t="s">
        <v>30</v>
      </c>
      <c r="W755" s="15">
        <v>3</v>
      </c>
      <c r="X755" s="15" t="s">
        <v>85</v>
      </c>
      <c r="Y755" s="12">
        <f t="shared" si="25"/>
        <v>0.60499999999999998</v>
      </c>
      <c r="Z755" s="15">
        <v>-0.28599999999999998</v>
      </c>
    </row>
    <row r="756" spans="1:26" x14ac:dyDescent="0.2">
      <c r="A756" s="15" t="s">
        <v>84</v>
      </c>
      <c r="B756" s="15">
        <v>3921.625</v>
      </c>
      <c r="C756" s="15">
        <v>23.844999999999999</v>
      </c>
      <c r="D756" s="15">
        <v>22.103999999999999</v>
      </c>
      <c r="E756" s="15">
        <v>1.5029999999999999</v>
      </c>
      <c r="F756" s="15">
        <v>170.137</v>
      </c>
      <c r="G756" s="15">
        <v>2.73</v>
      </c>
      <c r="H756" s="15">
        <v>8.4</v>
      </c>
      <c r="I756" s="15">
        <v>3.1739999999999999</v>
      </c>
      <c r="J756" s="15">
        <v>95.733000000000004</v>
      </c>
      <c r="K756" s="15">
        <v>106.91500000000001</v>
      </c>
      <c r="L756" s="15">
        <v>4.4290000000000003</v>
      </c>
      <c r="M756" s="15">
        <v>1.4E-2</v>
      </c>
      <c r="N756" s="15">
        <v>44.918999999999997</v>
      </c>
      <c r="O756" s="15">
        <v>2.3E-2</v>
      </c>
      <c r="P756" s="15">
        <v>0.33600000000000002</v>
      </c>
      <c r="Q756" s="15">
        <v>0.51800000000000002</v>
      </c>
      <c r="R756" s="15">
        <v>0.58599999999999997</v>
      </c>
      <c r="S756" s="15">
        <v>0.51700000000000002</v>
      </c>
      <c r="T756" s="15" t="s">
        <v>23</v>
      </c>
      <c r="U756" s="15" t="s">
        <v>22</v>
      </c>
      <c r="V756" s="15" t="s">
        <v>30</v>
      </c>
      <c r="W756" s="15">
        <v>3</v>
      </c>
      <c r="X756" s="15" t="s">
        <v>85</v>
      </c>
      <c r="Y756" s="12">
        <f t="shared" si="25"/>
        <v>0.54100000000000004</v>
      </c>
      <c r="Z756" s="15">
        <v>-0.313</v>
      </c>
    </row>
    <row r="757" spans="1:26" x14ac:dyDescent="0.2">
      <c r="A757" s="15" t="s">
        <v>84</v>
      </c>
      <c r="B757" s="15">
        <v>3924.375</v>
      </c>
      <c r="C757" s="15">
        <v>34.362000000000002</v>
      </c>
      <c r="D757" s="15">
        <v>21.919</v>
      </c>
      <c r="E757" s="15">
        <v>1.2949999999999999</v>
      </c>
      <c r="F757" s="15">
        <v>163.982</v>
      </c>
      <c r="G757" s="15">
        <v>2.7639999999999998</v>
      </c>
      <c r="H757" s="15">
        <v>8.9860000000000007</v>
      </c>
      <c r="I757" s="15">
        <v>3.0630000000000002</v>
      </c>
      <c r="J757" s="15">
        <v>1623.421</v>
      </c>
      <c r="K757" s="15">
        <v>1812.2159999999999</v>
      </c>
      <c r="L757" s="15">
        <v>0.01</v>
      </c>
      <c r="M757" s="15">
        <v>1E-3</v>
      </c>
      <c r="N757" s="15">
        <v>100</v>
      </c>
      <c r="O757" s="15">
        <v>0.14499999999999999</v>
      </c>
      <c r="P757" s="15">
        <v>0.27400000000000002</v>
      </c>
      <c r="Q757" s="15">
        <v>0.314</v>
      </c>
      <c r="R757" s="15">
        <v>0.78200000000000003</v>
      </c>
      <c r="S757" s="15">
        <v>0.57199999999999995</v>
      </c>
      <c r="T757" s="15"/>
      <c r="U757" s="15" t="s">
        <v>33</v>
      </c>
      <c r="V757" s="15" t="s">
        <v>30</v>
      </c>
      <c r="W757" s="15">
        <v>7</v>
      </c>
      <c r="X757" s="15" t="s">
        <v>85</v>
      </c>
      <c r="Y757" s="12">
        <f t="shared" si="25"/>
        <v>0.45899999999999996</v>
      </c>
      <c r="Z757" s="15">
        <v>-0.12900000000000003</v>
      </c>
    </row>
    <row r="758" spans="1:26" x14ac:dyDescent="0.2">
      <c r="A758" s="15" t="s">
        <v>84</v>
      </c>
      <c r="B758" s="15">
        <v>3924.5</v>
      </c>
      <c r="C758" s="15">
        <v>27.675000000000001</v>
      </c>
      <c r="D758" s="15">
        <v>21.876999999999999</v>
      </c>
      <c r="E758" s="15">
        <v>1.2749999999999999</v>
      </c>
      <c r="F758" s="15">
        <v>162.577</v>
      </c>
      <c r="G758" s="15">
        <v>2.762</v>
      </c>
      <c r="H758" s="15">
        <v>8.2219999999999995</v>
      </c>
      <c r="I758" s="15">
        <v>3.0139999999999998</v>
      </c>
      <c r="J758" s="15">
        <v>1675.857</v>
      </c>
      <c r="K758" s="15">
        <v>1866.9839999999999</v>
      </c>
      <c r="L758" s="15">
        <v>0.01</v>
      </c>
      <c r="M758" s="15">
        <v>1E-3</v>
      </c>
      <c r="N758" s="15">
        <v>100</v>
      </c>
      <c r="O758" s="15">
        <v>7.2999999999999995E-2</v>
      </c>
      <c r="P758" s="15">
        <v>0.24</v>
      </c>
      <c r="Q758" s="15">
        <v>0.27300000000000002</v>
      </c>
      <c r="R758" s="15">
        <v>0.76700000000000002</v>
      </c>
      <c r="S758" s="15">
        <v>0.505</v>
      </c>
      <c r="T758" s="15"/>
      <c r="U758" s="15" t="s">
        <v>33</v>
      </c>
      <c r="V758" s="15" t="s">
        <v>30</v>
      </c>
      <c r="W758" s="15">
        <v>7</v>
      </c>
      <c r="X758" s="15" t="s">
        <v>85</v>
      </c>
      <c r="Y758" s="12">
        <f t="shared" si="25"/>
        <v>0.34600000000000003</v>
      </c>
      <c r="Z758" s="15">
        <v>-0.16699999999999998</v>
      </c>
    </row>
    <row r="759" spans="1:26" x14ac:dyDescent="0.2">
      <c r="A759" s="15" t="s">
        <v>84</v>
      </c>
      <c r="B759" s="15">
        <v>3924.625</v>
      </c>
      <c r="C759" s="15">
        <v>26.294</v>
      </c>
      <c r="D759" s="15">
        <v>21.827999999999999</v>
      </c>
      <c r="E759" s="15">
        <v>1.304</v>
      </c>
      <c r="F759" s="15">
        <v>160.93799999999999</v>
      </c>
      <c r="G759" s="15">
        <v>2.7669999999999999</v>
      </c>
      <c r="H759" s="15">
        <v>7.5759999999999996</v>
      </c>
      <c r="I759" s="15">
        <v>2.9609999999999999</v>
      </c>
      <c r="J759" s="15">
        <v>1612.2449999999999</v>
      </c>
      <c r="K759" s="15">
        <v>1788.62</v>
      </c>
      <c r="L759" s="15">
        <v>0.01</v>
      </c>
      <c r="M759" s="15">
        <v>1E-3</v>
      </c>
      <c r="N759" s="15">
        <v>100</v>
      </c>
      <c r="O759" s="15">
        <v>0.05</v>
      </c>
      <c r="P759" s="15">
        <v>0.20399999999999999</v>
      </c>
      <c r="Q759" s="15">
        <v>0.223</v>
      </c>
      <c r="R759" s="15">
        <v>0.78500000000000003</v>
      </c>
      <c r="S759" s="15">
        <v>0.443</v>
      </c>
      <c r="T759" s="15"/>
      <c r="U759" s="15" t="s">
        <v>33</v>
      </c>
      <c r="V759" s="15" t="s">
        <v>30</v>
      </c>
      <c r="W759" s="15">
        <v>7</v>
      </c>
      <c r="X759" s="15" t="s">
        <v>85</v>
      </c>
      <c r="Y759" s="12">
        <f t="shared" si="25"/>
        <v>0.27300000000000002</v>
      </c>
      <c r="Z759" s="15">
        <v>-0.15399999999999997</v>
      </c>
    </row>
    <row r="760" spans="1:26" x14ac:dyDescent="0.2">
      <c r="A760" s="15" t="s">
        <v>84</v>
      </c>
      <c r="B760" s="15">
        <v>3924.75</v>
      </c>
      <c r="C760" s="15">
        <v>27.824999999999999</v>
      </c>
      <c r="D760" s="15">
        <v>21.789000000000001</v>
      </c>
      <c r="E760" s="15">
        <v>1.4319999999999999</v>
      </c>
      <c r="F760" s="15">
        <v>159.63399999999999</v>
      </c>
      <c r="G760" s="15">
        <v>2.7770000000000001</v>
      </c>
      <c r="H760" s="15">
        <v>7.1070000000000002</v>
      </c>
      <c r="I760" s="15">
        <v>2.9</v>
      </c>
      <c r="J760" s="15">
        <v>1482.8309999999999</v>
      </c>
      <c r="K760" s="15">
        <v>1639.6880000000001</v>
      </c>
      <c r="L760" s="15">
        <v>0.01</v>
      </c>
      <c r="M760" s="15">
        <v>1E-3</v>
      </c>
      <c r="N760" s="15">
        <v>100</v>
      </c>
      <c r="O760" s="15">
        <v>5.8999999999999997E-2</v>
      </c>
      <c r="P760" s="15">
        <v>0.16300000000000001</v>
      </c>
      <c r="Q760" s="15">
        <v>0.17899999999999999</v>
      </c>
      <c r="R760" s="15">
        <v>0.83</v>
      </c>
      <c r="S760" s="15">
        <v>0.39700000000000002</v>
      </c>
      <c r="T760" s="15"/>
      <c r="U760" s="15" t="s">
        <v>33</v>
      </c>
      <c r="V760" s="15" t="s">
        <v>30</v>
      </c>
      <c r="W760" s="15">
        <v>7</v>
      </c>
      <c r="X760" s="15" t="s">
        <v>85</v>
      </c>
      <c r="Y760" s="12">
        <f t="shared" si="25"/>
        <v>0.23799999999999999</v>
      </c>
      <c r="Z760" s="15">
        <v>-0.10400000000000001</v>
      </c>
    </row>
    <row r="761" spans="1:26" x14ac:dyDescent="0.2">
      <c r="A761" s="15" t="s">
        <v>75</v>
      </c>
      <c r="B761" s="15">
        <v>3868.75</v>
      </c>
      <c r="C761" s="15">
        <v>49.319000000000003</v>
      </c>
      <c r="D761" s="15">
        <v>21.710999999999999</v>
      </c>
      <c r="E761" s="15">
        <v>3.2360000000000002</v>
      </c>
      <c r="F761" s="15">
        <v>169.49199999999999</v>
      </c>
      <c r="G761" s="15">
        <v>2.657</v>
      </c>
      <c r="H761" s="15">
        <v>12.461</v>
      </c>
      <c r="I761" s="15">
        <v>3.8109999999999999</v>
      </c>
      <c r="J761" s="15">
        <v>91.686999999999998</v>
      </c>
      <c r="K761" s="15">
        <v>101.875</v>
      </c>
      <c r="L761" s="15">
        <v>0</v>
      </c>
      <c r="M761" s="15">
        <v>0</v>
      </c>
      <c r="N761" s="15">
        <v>100</v>
      </c>
      <c r="O761" s="15">
        <v>0.28599999999999998</v>
      </c>
      <c r="P761" s="15">
        <v>0.55500000000000005</v>
      </c>
      <c r="Q761" s="15">
        <v>0.20799999999999999</v>
      </c>
      <c r="R761" s="15">
        <v>5.5E-2</v>
      </c>
      <c r="S761" s="15">
        <v>0.70399999999999996</v>
      </c>
      <c r="T761" s="15"/>
      <c r="U761" s="15" t="s">
        <v>22</v>
      </c>
      <c r="V761" s="15" t="s">
        <v>29</v>
      </c>
      <c r="W761" s="15">
        <v>2</v>
      </c>
      <c r="X761" s="15"/>
      <c r="Y761" s="12">
        <f t="shared" si="25"/>
        <v>0.49399999999999999</v>
      </c>
      <c r="Z761" s="15">
        <v>-0.26900000000000007</v>
      </c>
    </row>
    <row r="762" spans="1:26" x14ac:dyDescent="0.2">
      <c r="A762" s="15" t="s">
        <v>75</v>
      </c>
      <c r="B762" s="15">
        <v>3868.875</v>
      </c>
      <c r="C762" s="15">
        <v>32.229999999999997</v>
      </c>
      <c r="D762" s="15">
        <v>21.568999999999999</v>
      </c>
      <c r="E762" s="15">
        <v>2.0449999999999999</v>
      </c>
      <c r="F762" s="15">
        <v>162.90799999999999</v>
      </c>
      <c r="G762" s="15">
        <v>2.6760000000000002</v>
      </c>
      <c r="H762" s="15">
        <v>12.087</v>
      </c>
      <c r="I762" s="15">
        <v>3.6549999999999998</v>
      </c>
      <c r="J762" s="15">
        <v>87.108000000000004</v>
      </c>
      <c r="K762" s="15">
        <v>96.786000000000001</v>
      </c>
      <c r="L762" s="15">
        <v>0</v>
      </c>
      <c r="M762" s="15">
        <v>0</v>
      </c>
      <c r="N762" s="15">
        <v>100</v>
      </c>
      <c r="O762" s="15">
        <v>0.13800000000000001</v>
      </c>
      <c r="P762" s="15">
        <v>0.46600000000000003</v>
      </c>
      <c r="Q762" s="15">
        <v>0.122</v>
      </c>
      <c r="R762" s="15">
        <v>0.17100000000000001</v>
      </c>
      <c r="S762" s="15">
        <v>0.65</v>
      </c>
      <c r="T762" s="15"/>
      <c r="U762" s="15" t="s">
        <v>22</v>
      </c>
      <c r="V762" s="15" t="s">
        <v>29</v>
      </c>
      <c r="W762" s="15">
        <v>2</v>
      </c>
      <c r="X762" s="15"/>
      <c r="Y762" s="12">
        <f t="shared" si="25"/>
        <v>0.26</v>
      </c>
      <c r="Z762" s="15">
        <v>-0.32800000000000001</v>
      </c>
    </row>
    <row r="763" spans="1:26" x14ac:dyDescent="0.2">
      <c r="A763" s="15" t="s">
        <v>75</v>
      </c>
      <c r="B763" s="15">
        <v>3869</v>
      </c>
      <c r="C763" s="15">
        <v>22.108000000000001</v>
      </c>
      <c r="D763" s="15">
        <v>21.605</v>
      </c>
      <c r="E763" s="15">
        <v>1.504</v>
      </c>
      <c r="F763" s="15">
        <v>160.762</v>
      </c>
      <c r="G763" s="15">
        <v>2.6989999999999998</v>
      </c>
      <c r="H763" s="15">
        <v>11.170999999999999</v>
      </c>
      <c r="I763" s="15">
        <v>3.4860000000000002</v>
      </c>
      <c r="J763" s="15">
        <v>83.001999999999995</v>
      </c>
      <c r="K763" s="15">
        <v>92.224000000000004</v>
      </c>
      <c r="L763" s="15">
        <v>0.83899999999999997</v>
      </c>
      <c r="M763" s="15">
        <v>4.2000000000000003E-2</v>
      </c>
      <c r="N763" s="15">
        <v>87.028000000000006</v>
      </c>
      <c r="O763" s="15">
        <v>5.5E-2</v>
      </c>
      <c r="P763" s="15">
        <v>0.38800000000000001</v>
      </c>
      <c r="Q763" s="15">
        <v>0.108</v>
      </c>
      <c r="R763" s="15">
        <v>0.29099999999999998</v>
      </c>
      <c r="S763" s="15">
        <v>0.56699999999999995</v>
      </c>
      <c r="T763" s="15"/>
      <c r="U763" s="15" t="s">
        <v>22</v>
      </c>
      <c r="V763" s="15" t="s">
        <v>29</v>
      </c>
      <c r="W763" s="15">
        <v>2</v>
      </c>
      <c r="X763" s="15"/>
      <c r="Y763" s="12">
        <f t="shared" si="25"/>
        <v>0.16300000000000001</v>
      </c>
      <c r="Z763" s="15">
        <v>-0.33300000000000002</v>
      </c>
    </row>
    <row r="764" spans="1:26" x14ac:dyDescent="0.2">
      <c r="A764" s="15" t="s">
        <v>75</v>
      </c>
      <c r="B764" s="15">
        <v>3869.125</v>
      </c>
      <c r="C764" s="15">
        <v>17.626000000000001</v>
      </c>
      <c r="D764" s="15">
        <v>21.782</v>
      </c>
      <c r="E764" s="15">
        <v>1.403</v>
      </c>
      <c r="F764" s="15">
        <v>163.14500000000001</v>
      </c>
      <c r="G764" s="15">
        <v>2.714</v>
      </c>
      <c r="H764" s="15">
        <v>10.574</v>
      </c>
      <c r="I764" s="15">
        <v>3.419</v>
      </c>
      <c r="J764" s="15">
        <v>76.42</v>
      </c>
      <c r="K764" s="15">
        <v>84.911000000000001</v>
      </c>
      <c r="L764" s="15">
        <v>4.2069999999999999</v>
      </c>
      <c r="M764" s="15">
        <v>0.20899999999999999</v>
      </c>
      <c r="N764" s="15">
        <v>35.415999999999997</v>
      </c>
      <c r="O764" s="15">
        <v>1.9E-2</v>
      </c>
      <c r="P764" s="15">
        <v>0.35899999999999999</v>
      </c>
      <c r="Q764" s="15">
        <v>0.14699999999999999</v>
      </c>
      <c r="R764" s="15">
        <v>0.35899999999999999</v>
      </c>
      <c r="S764" s="15">
        <v>0.52300000000000002</v>
      </c>
      <c r="T764" s="15" t="s">
        <v>23</v>
      </c>
      <c r="U764" s="15" t="s">
        <v>22</v>
      </c>
      <c r="V764" s="15" t="s">
        <v>29</v>
      </c>
      <c r="W764" s="15">
        <v>2</v>
      </c>
      <c r="X764" s="15"/>
      <c r="Y764" s="12">
        <f t="shared" si="25"/>
        <v>0.16599999999999998</v>
      </c>
      <c r="Z764" s="15">
        <v>-0.33999999999999997</v>
      </c>
    </row>
    <row r="765" spans="1:26" x14ac:dyDescent="0.2">
      <c r="A765" s="15" t="s">
        <v>75</v>
      </c>
      <c r="B765" s="15">
        <v>3869.25</v>
      </c>
      <c r="C765" s="15">
        <v>16.116</v>
      </c>
      <c r="D765" s="15">
        <v>21.998000000000001</v>
      </c>
      <c r="E765" s="15">
        <v>1.3819999999999999</v>
      </c>
      <c r="F765" s="15">
        <v>165.59299999999999</v>
      </c>
      <c r="G765" s="15">
        <v>2.718</v>
      </c>
      <c r="H765" s="15">
        <v>10.535</v>
      </c>
      <c r="I765" s="15">
        <v>3.4039999999999999</v>
      </c>
      <c r="J765" s="15">
        <v>67.415999999999997</v>
      </c>
      <c r="K765" s="15">
        <v>74.906000000000006</v>
      </c>
      <c r="L765" s="15">
        <v>4.194</v>
      </c>
      <c r="M765" s="15">
        <v>0.20699999999999999</v>
      </c>
      <c r="N765" s="15">
        <v>38.101999999999997</v>
      </c>
      <c r="O765" s="15">
        <v>7.0000000000000001E-3</v>
      </c>
      <c r="P765" s="15">
        <v>0.35199999999999998</v>
      </c>
      <c r="Q765" s="15">
        <v>0.17899999999999999</v>
      </c>
      <c r="R765" s="15">
        <v>0.377</v>
      </c>
      <c r="S765" s="15">
        <v>0.51800000000000002</v>
      </c>
      <c r="T765" s="15" t="s">
        <v>23</v>
      </c>
      <c r="U765" s="15" t="s">
        <v>22</v>
      </c>
      <c r="V765" s="15" t="s">
        <v>29</v>
      </c>
      <c r="W765" s="15">
        <v>2</v>
      </c>
      <c r="X765" s="15"/>
      <c r="Y765" s="12">
        <f t="shared" si="25"/>
        <v>0.186</v>
      </c>
      <c r="Z765" s="15">
        <v>-0.34499999999999997</v>
      </c>
    </row>
    <row r="766" spans="1:26" x14ac:dyDescent="0.2">
      <c r="A766" s="15" t="s">
        <v>75</v>
      </c>
      <c r="B766" s="15">
        <v>3869.375</v>
      </c>
      <c r="C766" s="15">
        <v>15.5</v>
      </c>
      <c r="D766" s="15">
        <v>22.178999999999998</v>
      </c>
      <c r="E766" s="15">
        <v>1.3939999999999999</v>
      </c>
      <c r="F766" s="15">
        <v>166.458</v>
      </c>
      <c r="G766" s="15">
        <v>2.7189999999999999</v>
      </c>
      <c r="H766" s="15">
        <v>10.476000000000001</v>
      </c>
      <c r="I766" s="15">
        <v>3.399</v>
      </c>
      <c r="J766" s="15">
        <v>59.287999999999997</v>
      </c>
      <c r="K766" s="15">
        <v>65.876999999999995</v>
      </c>
      <c r="L766" s="15">
        <v>4.2030000000000003</v>
      </c>
      <c r="M766" s="15">
        <v>0.20899999999999999</v>
      </c>
      <c r="N766" s="15">
        <v>40.841999999999999</v>
      </c>
      <c r="O766" s="15">
        <v>3.0000000000000001E-3</v>
      </c>
      <c r="P766" s="15">
        <v>0.35099999999999998</v>
      </c>
      <c r="Q766" s="15">
        <v>0.19</v>
      </c>
      <c r="R766" s="15">
        <v>0.377</v>
      </c>
      <c r="S766" s="15">
        <v>0.50900000000000001</v>
      </c>
      <c r="T766" s="15" t="s">
        <v>23</v>
      </c>
      <c r="U766" s="15" t="s">
        <v>22</v>
      </c>
      <c r="V766" s="15" t="s">
        <v>29</v>
      </c>
      <c r="W766" s="15">
        <v>2</v>
      </c>
      <c r="X766" s="15"/>
      <c r="Y766" s="12">
        <f t="shared" si="25"/>
        <v>0.193</v>
      </c>
      <c r="Z766" s="15">
        <v>-0.34799999999999998</v>
      </c>
    </row>
    <row r="767" spans="1:26" x14ac:dyDescent="0.2">
      <c r="A767" s="15" t="s">
        <v>75</v>
      </c>
      <c r="B767" s="15">
        <v>3869.5</v>
      </c>
      <c r="C767" s="15">
        <v>15.519</v>
      </c>
      <c r="D767" s="15">
        <v>22.25</v>
      </c>
      <c r="E767" s="15">
        <v>1.4279999999999999</v>
      </c>
      <c r="F767" s="15">
        <v>166.64599999999999</v>
      </c>
      <c r="G767" s="15">
        <v>2.7160000000000002</v>
      </c>
      <c r="H767" s="15">
        <v>10.321999999999999</v>
      </c>
      <c r="I767" s="15">
        <v>3.4039999999999999</v>
      </c>
      <c r="J767" s="15">
        <v>53.93</v>
      </c>
      <c r="K767" s="15">
        <v>59.921999999999997</v>
      </c>
      <c r="L767" s="15">
        <v>4.1890000000000001</v>
      </c>
      <c r="M767" s="15">
        <v>0.20599999999999999</v>
      </c>
      <c r="N767" s="15">
        <v>43.143000000000001</v>
      </c>
      <c r="O767" s="15">
        <v>5.0000000000000001E-3</v>
      </c>
      <c r="P767" s="15">
        <v>0.35299999999999998</v>
      </c>
      <c r="Q767" s="15">
        <v>0.189</v>
      </c>
      <c r="R767" s="15">
        <v>0.35899999999999999</v>
      </c>
      <c r="S767" s="15">
        <v>0.49299999999999999</v>
      </c>
      <c r="T767" s="15" t="s">
        <v>23</v>
      </c>
      <c r="U767" s="15" t="s">
        <v>22</v>
      </c>
      <c r="V767" s="15" t="s">
        <v>29</v>
      </c>
      <c r="W767" s="15">
        <v>2</v>
      </c>
      <c r="X767" s="15"/>
      <c r="Y767" s="12">
        <f t="shared" si="25"/>
        <v>0.19400000000000001</v>
      </c>
      <c r="Z767" s="15">
        <v>-0.34799999999999998</v>
      </c>
    </row>
    <row r="768" spans="1:26" x14ac:dyDescent="0.2">
      <c r="A768" s="15" t="s">
        <v>75</v>
      </c>
      <c r="B768" s="15">
        <v>3869.625</v>
      </c>
      <c r="C768" s="15">
        <v>16.431999999999999</v>
      </c>
      <c r="D768" s="15">
        <v>22.137</v>
      </c>
      <c r="E768" s="15">
        <v>1.53</v>
      </c>
      <c r="F768" s="15">
        <v>165.869</v>
      </c>
      <c r="G768" s="15">
        <v>2.7130000000000001</v>
      </c>
      <c r="H768" s="15">
        <v>10.138</v>
      </c>
      <c r="I768" s="15">
        <v>3.4020000000000001</v>
      </c>
      <c r="J768" s="15">
        <v>51.643999999999998</v>
      </c>
      <c r="K768" s="15">
        <v>57.381999999999998</v>
      </c>
      <c r="L768" s="15">
        <v>4.0970000000000004</v>
      </c>
      <c r="M768" s="15">
        <v>0.187</v>
      </c>
      <c r="N768" s="15">
        <v>45.015000000000001</v>
      </c>
      <c r="O768" s="15">
        <v>1.6E-2</v>
      </c>
      <c r="P768" s="15">
        <v>0.35299999999999998</v>
      </c>
      <c r="Q768" s="15">
        <v>0.16900000000000001</v>
      </c>
      <c r="R768" s="15">
        <v>0.35</v>
      </c>
      <c r="S768" s="15">
        <v>0.47499999999999998</v>
      </c>
      <c r="T768" s="15" t="s">
        <v>23</v>
      </c>
      <c r="U768" s="15" t="s">
        <v>22</v>
      </c>
      <c r="V768" s="15" t="s">
        <v>29</v>
      </c>
      <c r="W768" s="15">
        <v>2</v>
      </c>
      <c r="X768" s="15"/>
      <c r="Y768" s="12">
        <f t="shared" si="25"/>
        <v>0.185</v>
      </c>
      <c r="Z768" s="15">
        <v>-0.33699999999999997</v>
      </c>
    </row>
    <row r="769" spans="1:26" x14ac:dyDescent="0.2">
      <c r="A769" s="15" t="s">
        <v>75</v>
      </c>
      <c r="B769" s="15">
        <v>3869.75</v>
      </c>
      <c r="C769" s="15">
        <v>17.808</v>
      </c>
      <c r="D769" s="15">
        <v>21.841999999999999</v>
      </c>
      <c r="E769" s="15">
        <v>1.7210000000000001</v>
      </c>
      <c r="F769" s="15">
        <v>163.447</v>
      </c>
      <c r="G769" s="15">
        <v>2.7149999999999999</v>
      </c>
      <c r="H769" s="15">
        <v>9.9879999999999995</v>
      </c>
      <c r="I769" s="15">
        <v>3.4089999999999998</v>
      </c>
      <c r="J769" s="15">
        <v>51.798000000000002</v>
      </c>
      <c r="K769" s="15">
        <v>57.552999999999997</v>
      </c>
      <c r="L769" s="15">
        <v>3.867</v>
      </c>
      <c r="M769" s="15">
        <v>0.14599999999999999</v>
      </c>
      <c r="N769" s="15">
        <v>47.155999999999999</v>
      </c>
      <c r="O769" s="15">
        <v>2.9000000000000001E-2</v>
      </c>
      <c r="P769" s="15">
        <v>0.36199999999999999</v>
      </c>
      <c r="Q769" s="15">
        <v>0.13</v>
      </c>
      <c r="R769" s="15">
        <v>0.377</v>
      </c>
      <c r="S769" s="15">
        <v>0.46300000000000002</v>
      </c>
      <c r="T769" s="15" t="s">
        <v>23</v>
      </c>
      <c r="U769" s="15" t="s">
        <v>22</v>
      </c>
      <c r="V769" s="15" t="s">
        <v>29</v>
      </c>
      <c r="W769" s="15">
        <v>2</v>
      </c>
      <c r="X769" s="15"/>
      <c r="Y769" s="12">
        <f t="shared" si="25"/>
        <v>0.159</v>
      </c>
      <c r="Z769" s="15">
        <v>-0.33299999999999996</v>
      </c>
    </row>
    <row r="770" spans="1:26" x14ac:dyDescent="0.2">
      <c r="A770" s="15" t="s">
        <v>75</v>
      </c>
      <c r="B770" s="15">
        <v>3869.875</v>
      </c>
      <c r="C770" s="15">
        <v>18.995999999999999</v>
      </c>
      <c r="D770" s="15">
        <v>21.489000000000001</v>
      </c>
      <c r="E770" s="15">
        <v>1.9530000000000001</v>
      </c>
      <c r="F770" s="15">
        <v>161.30000000000001</v>
      </c>
      <c r="G770" s="15">
        <v>2.726</v>
      </c>
      <c r="H770" s="15">
        <v>9.93</v>
      </c>
      <c r="I770" s="15">
        <v>3.4460000000000002</v>
      </c>
      <c r="J770" s="15">
        <v>54.097000000000001</v>
      </c>
      <c r="K770" s="15">
        <v>60.106999999999999</v>
      </c>
      <c r="L770" s="15">
        <v>3.5150000000000001</v>
      </c>
      <c r="M770" s="15">
        <v>9.6000000000000002E-2</v>
      </c>
      <c r="N770" s="15">
        <v>49.798000000000002</v>
      </c>
      <c r="O770" s="15">
        <v>3.9E-2</v>
      </c>
      <c r="P770" s="15">
        <v>0.38</v>
      </c>
      <c r="Q770" s="15">
        <v>0.105</v>
      </c>
      <c r="R770" s="15">
        <v>0.44700000000000001</v>
      </c>
      <c r="S770" s="15">
        <v>0.46100000000000002</v>
      </c>
      <c r="T770" s="15" t="s">
        <v>23</v>
      </c>
      <c r="U770" s="15" t="s">
        <v>22</v>
      </c>
      <c r="V770" s="15" t="s">
        <v>29</v>
      </c>
      <c r="W770" s="15">
        <v>2</v>
      </c>
      <c r="X770" s="15"/>
      <c r="Y770" s="12">
        <f t="shared" si="25"/>
        <v>0.14399999999999999</v>
      </c>
      <c r="Z770" s="15">
        <v>-0.34100000000000003</v>
      </c>
    </row>
    <row r="771" spans="1:26" x14ac:dyDescent="0.2">
      <c r="A771" s="15" t="s">
        <v>75</v>
      </c>
      <c r="B771" s="15">
        <v>3870</v>
      </c>
      <c r="C771" s="15">
        <v>19.734999999999999</v>
      </c>
      <c r="D771" s="15">
        <v>21.193999999999999</v>
      </c>
      <c r="E771" s="15">
        <v>2.1469999999999998</v>
      </c>
      <c r="F771" s="15">
        <v>161.21799999999999</v>
      </c>
      <c r="G771" s="15">
        <v>2.7410000000000001</v>
      </c>
      <c r="H771" s="15">
        <v>10.002000000000001</v>
      </c>
      <c r="I771" s="15">
        <v>3.472</v>
      </c>
      <c r="J771" s="15">
        <v>57.261000000000003</v>
      </c>
      <c r="K771" s="15">
        <v>63.624000000000002</v>
      </c>
      <c r="L771" s="15">
        <v>3.1760000000000002</v>
      </c>
      <c r="M771" s="15">
        <v>6.2E-2</v>
      </c>
      <c r="N771" s="15">
        <v>52.414000000000001</v>
      </c>
      <c r="O771" s="15">
        <v>4.5999999999999999E-2</v>
      </c>
      <c r="P771" s="15">
        <v>0.375</v>
      </c>
      <c r="Q771" s="15">
        <v>0.105</v>
      </c>
      <c r="R771" s="15">
        <v>0.52900000000000003</v>
      </c>
      <c r="S771" s="15">
        <v>0.46899999999999997</v>
      </c>
      <c r="T771" s="15" t="s">
        <v>23</v>
      </c>
      <c r="U771" s="15" t="s">
        <v>22</v>
      </c>
      <c r="V771" s="15" t="s">
        <v>29</v>
      </c>
      <c r="W771" s="15">
        <v>2</v>
      </c>
      <c r="X771" s="15"/>
      <c r="Y771" s="12">
        <f t="shared" ref="Y771:Y834" si="26">O771+Q771</f>
        <v>0.151</v>
      </c>
      <c r="Z771" s="15">
        <v>-0.32900000000000001</v>
      </c>
    </row>
    <row r="772" spans="1:26" x14ac:dyDescent="0.2">
      <c r="A772" s="15" t="s">
        <v>75</v>
      </c>
      <c r="B772" s="15">
        <v>3870.125</v>
      </c>
      <c r="C772" s="15">
        <v>20.286999999999999</v>
      </c>
      <c r="D772" s="15">
        <v>20.94</v>
      </c>
      <c r="E772" s="15">
        <v>2.2759999999999998</v>
      </c>
      <c r="F772" s="15">
        <v>161.43299999999999</v>
      </c>
      <c r="G772" s="15">
        <v>2.7530000000000001</v>
      </c>
      <c r="H772" s="15">
        <v>10.113</v>
      </c>
      <c r="I772" s="15">
        <v>3.3719999999999999</v>
      </c>
      <c r="J772" s="15">
        <v>59.113</v>
      </c>
      <c r="K772" s="15">
        <v>65.680999999999997</v>
      </c>
      <c r="L772" s="15">
        <v>2.927</v>
      </c>
      <c r="M772" s="15">
        <v>4.2999999999999997E-2</v>
      </c>
      <c r="N772" s="15">
        <v>55.07</v>
      </c>
      <c r="O772" s="15">
        <v>5.0999999999999997E-2</v>
      </c>
      <c r="P772" s="15">
        <v>0.30099999999999999</v>
      </c>
      <c r="Q772" s="15">
        <v>0.104</v>
      </c>
      <c r="R772" s="15">
        <v>0.59499999999999997</v>
      </c>
      <c r="S772" s="15">
        <v>0.47499999999999998</v>
      </c>
      <c r="T772" s="15" t="s">
        <v>23</v>
      </c>
      <c r="U772" s="15" t="s">
        <v>22</v>
      </c>
      <c r="V772" s="15" t="s">
        <v>29</v>
      </c>
      <c r="W772" s="15">
        <v>2</v>
      </c>
      <c r="X772" s="15"/>
      <c r="Y772" s="12">
        <f t="shared" si="26"/>
        <v>0.155</v>
      </c>
      <c r="Z772" s="15">
        <v>-0.25</v>
      </c>
    </row>
    <row r="773" spans="1:26" x14ac:dyDescent="0.2">
      <c r="A773" s="15" t="s">
        <v>75</v>
      </c>
      <c r="B773" s="15">
        <v>3870.25</v>
      </c>
      <c r="C773" s="15">
        <v>20.79</v>
      </c>
      <c r="D773" s="15">
        <v>20.765999999999998</v>
      </c>
      <c r="E773" s="15">
        <v>2.35</v>
      </c>
      <c r="F773" s="15">
        <v>160.68</v>
      </c>
      <c r="G773" s="15">
        <v>2.7629999999999999</v>
      </c>
      <c r="H773" s="15">
        <v>10.057</v>
      </c>
      <c r="I773" s="15">
        <v>3.1579999999999999</v>
      </c>
      <c r="J773" s="15">
        <v>58.198999999999998</v>
      </c>
      <c r="K773" s="15">
        <v>64.665999999999997</v>
      </c>
      <c r="L773" s="15">
        <v>2.66</v>
      </c>
      <c r="M773" s="15">
        <v>2.8000000000000001E-2</v>
      </c>
      <c r="N773" s="15">
        <v>60.234999999999999</v>
      </c>
      <c r="O773" s="15">
        <v>5.3999999999999999E-2</v>
      </c>
      <c r="P773" s="15">
        <v>0.20799999999999999</v>
      </c>
      <c r="Q773" s="15">
        <v>9.0999999999999998E-2</v>
      </c>
      <c r="R773" s="15">
        <v>0.65600000000000003</v>
      </c>
      <c r="S773" s="15">
        <v>0.46200000000000002</v>
      </c>
      <c r="T773" s="15" t="s">
        <v>23</v>
      </c>
      <c r="U773" s="15" t="s">
        <v>22</v>
      </c>
      <c r="V773" s="15" t="s">
        <v>29</v>
      </c>
      <c r="W773" s="15">
        <v>2</v>
      </c>
      <c r="X773" s="15"/>
      <c r="Y773" s="12">
        <f t="shared" si="26"/>
        <v>0.14499999999999999</v>
      </c>
      <c r="Z773" s="15">
        <v>-0.154</v>
      </c>
    </row>
    <row r="774" spans="1:26" x14ac:dyDescent="0.2">
      <c r="A774" s="15" t="s">
        <v>75</v>
      </c>
      <c r="B774" s="15">
        <v>3871</v>
      </c>
      <c r="C774" s="15">
        <v>17.186</v>
      </c>
      <c r="D774" s="15">
        <v>20.634</v>
      </c>
      <c r="E774" s="15">
        <v>2.105</v>
      </c>
      <c r="F774" s="15">
        <v>156.892</v>
      </c>
      <c r="G774" s="15">
        <v>2.7490000000000001</v>
      </c>
      <c r="H774" s="15">
        <v>9.4450000000000003</v>
      </c>
      <c r="I774" s="15">
        <v>2.7709999999999999</v>
      </c>
      <c r="J774" s="15">
        <v>45.514000000000003</v>
      </c>
      <c r="K774" s="15">
        <v>50.570999999999998</v>
      </c>
      <c r="L774" s="15">
        <v>2.887</v>
      </c>
      <c r="M774" s="15">
        <v>4.2000000000000003E-2</v>
      </c>
      <c r="N774" s="15">
        <v>64.677000000000007</v>
      </c>
      <c r="O774" s="15">
        <v>1.6E-2</v>
      </c>
      <c r="P774" s="15">
        <v>8.9999999999999993E-3</v>
      </c>
      <c r="Q774" s="15">
        <v>3.5999999999999997E-2</v>
      </c>
      <c r="R774" s="15">
        <v>0.53300000000000003</v>
      </c>
      <c r="S774" s="15">
        <v>0.41199999999999998</v>
      </c>
      <c r="T774" s="15" t="s">
        <v>23</v>
      </c>
      <c r="U774" s="15" t="s">
        <v>22</v>
      </c>
      <c r="V774" s="15" t="s">
        <v>29</v>
      </c>
      <c r="W774" s="15">
        <v>2</v>
      </c>
      <c r="X774" s="15"/>
      <c r="Y774" s="12">
        <f t="shared" si="26"/>
        <v>5.1999999999999998E-2</v>
      </c>
      <c r="Z774" s="15">
        <v>7.000000000000001E-3</v>
      </c>
    </row>
    <row r="775" spans="1:26" x14ac:dyDescent="0.2">
      <c r="A775" s="15" t="s">
        <v>75</v>
      </c>
      <c r="B775" s="15">
        <v>3871.125</v>
      </c>
      <c r="C775" s="15">
        <v>16.141999999999999</v>
      </c>
      <c r="D775" s="15">
        <v>20.722999999999999</v>
      </c>
      <c r="E775" s="15">
        <v>2.1040000000000001</v>
      </c>
      <c r="F775" s="15">
        <v>157.364</v>
      </c>
      <c r="G775" s="15">
        <v>2.7360000000000002</v>
      </c>
      <c r="H775" s="15">
        <v>9.5299999999999994</v>
      </c>
      <c r="I775" s="15">
        <v>2.827</v>
      </c>
      <c r="J775" s="15">
        <v>45.209000000000003</v>
      </c>
      <c r="K775" s="15">
        <v>50.231999999999999</v>
      </c>
      <c r="L775" s="15">
        <v>3.2679999999999998</v>
      </c>
      <c r="M775" s="15">
        <v>6.9000000000000006E-2</v>
      </c>
      <c r="N775" s="15">
        <v>58.384999999999998</v>
      </c>
      <c r="O775" s="15">
        <v>7.0000000000000001E-3</v>
      </c>
      <c r="P775" s="15">
        <v>5.8000000000000003E-2</v>
      </c>
      <c r="Q775" s="15">
        <v>4.3999999999999997E-2</v>
      </c>
      <c r="R775" s="15">
        <v>0.47599999999999998</v>
      </c>
      <c r="S775" s="15">
        <v>0.41099999999999998</v>
      </c>
      <c r="T775" s="15" t="s">
        <v>23</v>
      </c>
      <c r="U775" s="15" t="s">
        <v>22</v>
      </c>
      <c r="V775" s="15" t="s">
        <v>29</v>
      </c>
      <c r="W775" s="15">
        <v>2</v>
      </c>
      <c r="X775" s="15"/>
      <c r="Y775" s="12">
        <f t="shared" si="26"/>
        <v>5.0999999999999997E-2</v>
      </c>
      <c r="Z775" s="15">
        <v>-5.1000000000000004E-2</v>
      </c>
    </row>
    <row r="776" spans="1:26" x14ac:dyDescent="0.2">
      <c r="A776" s="15" t="s">
        <v>75</v>
      </c>
      <c r="B776" s="15">
        <v>3871.25</v>
      </c>
      <c r="C776" s="15">
        <v>15.34</v>
      </c>
      <c r="D776" s="15">
        <v>20.817</v>
      </c>
      <c r="E776" s="15">
        <v>2.077</v>
      </c>
      <c r="F776" s="15">
        <v>157.88399999999999</v>
      </c>
      <c r="G776" s="15">
        <v>2.734</v>
      </c>
      <c r="H776" s="15">
        <v>9.2959999999999994</v>
      </c>
      <c r="I776" s="15">
        <v>2.996</v>
      </c>
      <c r="J776" s="15">
        <v>45.962000000000003</v>
      </c>
      <c r="K776" s="15">
        <v>51.069000000000003</v>
      </c>
      <c r="L776" s="15">
        <v>3.246</v>
      </c>
      <c r="M776" s="15">
        <v>6.9000000000000006E-2</v>
      </c>
      <c r="N776" s="15">
        <v>58.38</v>
      </c>
      <c r="O776" s="15">
        <v>1E-3</v>
      </c>
      <c r="P776" s="15">
        <v>0.16</v>
      </c>
      <c r="Q776" s="15">
        <v>5.6000000000000001E-2</v>
      </c>
      <c r="R776" s="15">
        <v>0.48299999999999998</v>
      </c>
      <c r="S776" s="15">
        <v>0.375</v>
      </c>
      <c r="T776" s="15" t="s">
        <v>23</v>
      </c>
      <c r="U776" s="15" t="s">
        <v>22</v>
      </c>
      <c r="V776" s="15" t="s">
        <v>29</v>
      </c>
      <c r="W776" s="15">
        <v>2</v>
      </c>
      <c r="X776" s="15"/>
      <c r="Y776" s="12">
        <f t="shared" si="26"/>
        <v>5.7000000000000002E-2</v>
      </c>
      <c r="Z776" s="15">
        <v>-0.159</v>
      </c>
    </row>
    <row r="777" spans="1:26" x14ac:dyDescent="0.2">
      <c r="A777" s="15" t="s">
        <v>75</v>
      </c>
      <c r="B777" s="15">
        <v>3871.375</v>
      </c>
      <c r="C777" s="15">
        <v>15.234999999999999</v>
      </c>
      <c r="D777" s="15">
        <v>20.867000000000001</v>
      </c>
      <c r="E777" s="15">
        <v>2.0190000000000001</v>
      </c>
      <c r="F777" s="15">
        <v>159.13399999999999</v>
      </c>
      <c r="G777" s="15">
        <v>2.7429999999999999</v>
      </c>
      <c r="H777" s="15">
        <v>8.625</v>
      </c>
      <c r="I777" s="15">
        <v>3.2090000000000001</v>
      </c>
      <c r="J777" s="15">
        <v>47.125</v>
      </c>
      <c r="K777" s="15">
        <v>52.360999999999997</v>
      </c>
      <c r="L777" s="15">
        <v>2.7160000000000002</v>
      </c>
      <c r="M777" s="15">
        <v>3.5000000000000003E-2</v>
      </c>
      <c r="N777" s="15">
        <v>67.376999999999995</v>
      </c>
      <c r="O777" s="15">
        <v>1E-3</v>
      </c>
      <c r="P777" s="15">
        <v>0.26400000000000001</v>
      </c>
      <c r="Q777" s="15">
        <v>7.2999999999999995E-2</v>
      </c>
      <c r="R777" s="15">
        <v>0.54500000000000004</v>
      </c>
      <c r="S777" s="15">
        <v>0.307</v>
      </c>
      <c r="T777" s="15" t="s">
        <v>23</v>
      </c>
      <c r="U777" s="15" t="s">
        <v>22</v>
      </c>
      <c r="V777" s="15" t="s">
        <v>29</v>
      </c>
      <c r="W777" s="15">
        <v>2</v>
      </c>
      <c r="X777" s="15"/>
      <c r="Y777" s="12">
        <f t="shared" si="26"/>
        <v>7.3999999999999996E-2</v>
      </c>
      <c r="Z777" s="15">
        <v>-0.26300000000000001</v>
      </c>
    </row>
    <row r="778" spans="1:26" x14ac:dyDescent="0.2">
      <c r="A778" s="15" t="s">
        <v>75</v>
      </c>
      <c r="B778" s="15">
        <v>3871.5</v>
      </c>
      <c r="C778" s="15">
        <v>15.635</v>
      </c>
      <c r="D778" s="15">
        <v>20.893000000000001</v>
      </c>
      <c r="E778" s="15">
        <v>1.925</v>
      </c>
      <c r="F778" s="15">
        <v>159.673</v>
      </c>
      <c r="G778" s="15">
        <v>2.758</v>
      </c>
      <c r="H778" s="15">
        <v>7.9770000000000003</v>
      </c>
      <c r="I778" s="15">
        <v>3.3330000000000002</v>
      </c>
      <c r="J778" s="15">
        <v>48.941000000000003</v>
      </c>
      <c r="K778" s="15">
        <v>54.378999999999998</v>
      </c>
      <c r="L778" s="15">
        <v>2.0699999999999998</v>
      </c>
      <c r="M778" s="15">
        <v>0.01</v>
      </c>
      <c r="N778" s="15">
        <v>81.486000000000004</v>
      </c>
      <c r="O778" s="15">
        <v>6.0000000000000001E-3</v>
      </c>
      <c r="P778" s="15">
        <v>0.32700000000000001</v>
      </c>
      <c r="Q778" s="15">
        <v>7.8E-2</v>
      </c>
      <c r="R778" s="15">
        <v>0.622</v>
      </c>
      <c r="S778" s="15">
        <v>0.254</v>
      </c>
      <c r="T778" s="15" t="s">
        <v>23</v>
      </c>
      <c r="U778" s="15" t="s">
        <v>22</v>
      </c>
      <c r="V778" s="15" t="s">
        <v>29</v>
      </c>
      <c r="W778" s="15">
        <v>2</v>
      </c>
      <c r="X778" s="15"/>
      <c r="Y778" s="12">
        <f t="shared" si="26"/>
        <v>8.4000000000000005E-2</v>
      </c>
      <c r="Z778" s="15">
        <v>-0.32100000000000001</v>
      </c>
    </row>
    <row r="779" spans="1:26" x14ac:dyDescent="0.2">
      <c r="A779" s="15" t="s">
        <v>78</v>
      </c>
      <c r="B779" s="15">
        <v>3726.125</v>
      </c>
      <c r="C779" s="15">
        <v>21.187999999999999</v>
      </c>
      <c r="D779" s="15">
        <v>22.402999999999999</v>
      </c>
      <c r="E779" s="15">
        <v>2.2570000000000001</v>
      </c>
      <c r="F779" s="15">
        <v>193.57400000000001</v>
      </c>
      <c r="G779" s="15">
        <v>2.7669999999999999</v>
      </c>
      <c r="H779" s="15">
        <v>8.5340000000000007</v>
      </c>
      <c r="I779" s="15">
        <v>3.2519999999999998</v>
      </c>
      <c r="J779" s="15">
        <v>517.34299999999996</v>
      </c>
      <c r="K779" s="15">
        <v>605.11</v>
      </c>
      <c r="L779" s="15">
        <v>0.01</v>
      </c>
      <c r="M779" s="15">
        <v>1E-3</v>
      </c>
      <c r="N779" s="15">
        <v>100</v>
      </c>
      <c r="O779" s="15">
        <v>0.114</v>
      </c>
      <c r="P779" s="15">
        <v>0.39</v>
      </c>
      <c r="Q779" s="15">
        <v>0.58199999999999996</v>
      </c>
      <c r="R779" s="15">
        <v>0.27400000000000002</v>
      </c>
      <c r="S779" s="15">
        <v>0.60299999999999998</v>
      </c>
      <c r="T779" s="15"/>
      <c r="U779" s="15" t="s">
        <v>33</v>
      </c>
      <c r="V779" s="15" t="s">
        <v>30</v>
      </c>
      <c r="W779" s="15">
        <v>3</v>
      </c>
      <c r="X779" s="15"/>
      <c r="Y779" s="12">
        <f t="shared" si="26"/>
        <v>0.69599999999999995</v>
      </c>
      <c r="Z779" s="15">
        <v>-0.27600000000000002</v>
      </c>
    </row>
    <row r="780" spans="1:26" x14ac:dyDescent="0.2">
      <c r="A780" s="15" t="s">
        <v>78</v>
      </c>
      <c r="B780" s="15">
        <v>3726.25</v>
      </c>
      <c r="C780" s="15">
        <v>19.268000000000001</v>
      </c>
      <c r="D780" s="15">
        <v>22.279</v>
      </c>
      <c r="E780" s="15">
        <v>2.04</v>
      </c>
      <c r="F780" s="15">
        <v>178.286</v>
      </c>
      <c r="G780" s="15">
        <v>2.786</v>
      </c>
      <c r="H780" s="15">
        <v>7.7380000000000004</v>
      </c>
      <c r="I780" s="15">
        <v>3.077</v>
      </c>
      <c r="J780" s="15">
        <v>569.87</v>
      </c>
      <c r="K780" s="15">
        <v>666.90599999999995</v>
      </c>
      <c r="L780" s="15">
        <v>0.01</v>
      </c>
      <c r="M780" s="15">
        <v>1E-3</v>
      </c>
      <c r="N780" s="15">
        <v>100</v>
      </c>
      <c r="O780" s="15">
        <v>6.5000000000000002E-2</v>
      </c>
      <c r="P780" s="15">
        <v>0.25900000000000001</v>
      </c>
      <c r="Q780" s="15">
        <v>0.35499999999999998</v>
      </c>
      <c r="R780" s="15">
        <v>0.442</v>
      </c>
      <c r="S780" s="15">
        <v>0.47699999999999998</v>
      </c>
      <c r="T780" s="15"/>
      <c r="U780" s="15" t="s">
        <v>33</v>
      </c>
      <c r="V780" s="15" t="s">
        <v>30</v>
      </c>
      <c r="W780" s="15">
        <v>3</v>
      </c>
      <c r="X780" s="15"/>
      <c r="Y780" s="12">
        <f t="shared" si="26"/>
        <v>0.42</v>
      </c>
      <c r="Z780" s="15">
        <v>-0.19400000000000001</v>
      </c>
    </row>
    <row r="781" spans="1:26" x14ac:dyDescent="0.2">
      <c r="A781" s="15" t="s">
        <v>78</v>
      </c>
      <c r="B781" s="15">
        <v>3726.375</v>
      </c>
      <c r="C781" s="15">
        <v>22.033000000000001</v>
      </c>
      <c r="D781" s="15">
        <v>22.24</v>
      </c>
      <c r="E781" s="15">
        <v>2.16</v>
      </c>
      <c r="F781" s="15">
        <v>168.76599999999999</v>
      </c>
      <c r="G781" s="15">
        <v>2.794</v>
      </c>
      <c r="H781" s="15">
        <v>7.1429999999999998</v>
      </c>
      <c r="I781" s="15">
        <v>2.9470000000000001</v>
      </c>
      <c r="J781" s="15">
        <v>570.51499999999999</v>
      </c>
      <c r="K781" s="15">
        <v>667.66499999999996</v>
      </c>
      <c r="L781" s="15">
        <v>0.01</v>
      </c>
      <c r="M781" s="15">
        <v>1E-3</v>
      </c>
      <c r="N781" s="15">
        <v>100</v>
      </c>
      <c r="O781" s="15">
        <v>7.3999999999999996E-2</v>
      </c>
      <c r="P781" s="15">
        <v>0.14599999999999999</v>
      </c>
      <c r="Q781" s="15">
        <v>0.188</v>
      </c>
      <c r="R781" s="15">
        <v>0.54700000000000004</v>
      </c>
      <c r="S781" s="15">
        <v>0.379</v>
      </c>
      <c r="T781" s="15"/>
      <c r="U781" s="15" t="s">
        <v>33</v>
      </c>
      <c r="V781" s="15" t="s">
        <v>30</v>
      </c>
      <c r="W781" s="15">
        <v>3</v>
      </c>
      <c r="X781" s="15"/>
      <c r="Y781" s="12">
        <f t="shared" si="26"/>
        <v>0.26200000000000001</v>
      </c>
      <c r="Z781" s="15">
        <v>-7.1999999999999995E-2</v>
      </c>
    </row>
    <row r="782" spans="1:26" x14ac:dyDescent="0.2">
      <c r="A782" s="15" t="s">
        <v>78</v>
      </c>
      <c r="B782" s="15">
        <v>3726.5</v>
      </c>
      <c r="C782" s="15">
        <v>29.228999999999999</v>
      </c>
      <c r="D782" s="15">
        <v>22.277999999999999</v>
      </c>
      <c r="E782" s="15">
        <v>2.6259999999999999</v>
      </c>
      <c r="F782" s="15">
        <v>165.86099999999999</v>
      </c>
      <c r="G782" s="15">
        <v>2.798</v>
      </c>
      <c r="H782" s="15">
        <v>6.7380000000000004</v>
      </c>
      <c r="I782" s="15">
        <v>2.8969999999999998</v>
      </c>
      <c r="J782" s="15">
        <v>533.13499999999999</v>
      </c>
      <c r="K782" s="15">
        <v>623.68799999999999</v>
      </c>
      <c r="L782" s="15">
        <v>0.01</v>
      </c>
      <c r="M782" s="15">
        <v>1E-3</v>
      </c>
      <c r="N782" s="15">
        <v>100</v>
      </c>
      <c r="O782" s="15">
        <v>0.13100000000000001</v>
      </c>
      <c r="P782" s="15">
        <v>8.3000000000000004E-2</v>
      </c>
      <c r="Q782" s="15">
        <v>0.109</v>
      </c>
      <c r="R782" s="15">
        <v>0.59399999999999997</v>
      </c>
      <c r="S782" s="15">
        <v>0.308</v>
      </c>
      <c r="T782" s="15"/>
      <c r="U782" s="15" t="s">
        <v>33</v>
      </c>
      <c r="V782" s="15" t="s">
        <v>30</v>
      </c>
      <c r="W782" s="15">
        <v>3</v>
      </c>
      <c r="X782" s="15"/>
      <c r="Y782" s="12">
        <f t="shared" si="26"/>
        <v>0.24</v>
      </c>
      <c r="Z782" s="15">
        <v>4.8000000000000001E-2</v>
      </c>
    </row>
    <row r="783" spans="1:26" x14ac:dyDescent="0.2">
      <c r="A783" s="15" t="s">
        <v>78</v>
      </c>
      <c r="B783" s="15">
        <v>3726.625</v>
      </c>
      <c r="C783" s="15">
        <v>39.744</v>
      </c>
      <c r="D783" s="15">
        <v>22.276</v>
      </c>
      <c r="E783" s="15">
        <v>3.4209999999999998</v>
      </c>
      <c r="F783" s="15">
        <v>167.048</v>
      </c>
      <c r="G783" s="15">
        <v>2.798</v>
      </c>
      <c r="H783" s="15">
        <v>6.5540000000000003</v>
      </c>
      <c r="I783" s="15">
        <v>2.919</v>
      </c>
      <c r="J783" s="15">
        <v>471.15199999999999</v>
      </c>
      <c r="K783" s="15">
        <v>550.76700000000005</v>
      </c>
      <c r="L783" s="15">
        <v>0.01</v>
      </c>
      <c r="M783" s="15">
        <v>1E-3</v>
      </c>
      <c r="N783" s="15">
        <v>100</v>
      </c>
      <c r="O783" s="15">
        <v>0.22800000000000001</v>
      </c>
      <c r="P783" s="15">
        <v>7.6999999999999999E-2</v>
      </c>
      <c r="Q783" s="15">
        <v>0.10100000000000001</v>
      </c>
      <c r="R783" s="15">
        <v>0.60799999999999998</v>
      </c>
      <c r="S783" s="15">
        <v>0.26800000000000002</v>
      </c>
      <c r="T783" s="15"/>
      <c r="U783" s="15" t="s">
        <v>33</v>
      </c>
      <c r="V783" s="15" t="s">
        <v>30</v>
      </c>
      <c r="W783" s="15">
        <v>3</v>
      </c>
      <c r="X783" s="15"/>
      <c r="Y783" s="12">
        <f t="shared" si="26"/>
        <v>0.32900000000000001</v>
      </c>
      <c r="Z783" s="15">
        <v>0.15100000000000002</v>
      </c>
    </row>
    <row r="784" spans="1:26" x14ac:dyDescent="0.2">
      <c r="A784" s="15" t="s">
        <v>78</v>
      </c>
      <c r="B784" s="15">
        <v>3726.75</v>
      </c>
      <c r="C784" s="15">
        <v>49.963000000000001</v>
      </c>
      <c r="D784" s="15">
        <v>22.184000000000001</v>
      </c>
      <c r="E784" s="15">
        <v>4.2240000000000002</v>
      </c>
      <c r="F784" s="15">
        <v>168.80600000000001</v>
      </c>
      <c r="G784" s="15">
        <v>2.7970000000000002</v>
      </c>
      <c r="H784" s="15">
        <v>6.6470000000000002</v>
      </c>
      <c r="I784" s="15">
        <v>2.976</v>
      </c>
      <c r="J784" s="15">
        <v>399.09100000000001</v>
      </c>
      <c r="K784" s="15">
        <v>465.99</v>
      </c>
      <c r="L784" s="15">
        <v>0.01</v>
      </c>
      <c r="M784" s="15">
        <v>1E-3</v>
      </c>
      <c r="N784" s="15">
        <v>100</v>
      </c>
      <c r="O784" s="15">
        <v>0.33700000000000002</v>
      </c>
      <c r="P784" s="15">
        <v>0.109</v>
      </c>
      <c r="Q784" s="15">
        <v>0.123</v>
      </c>
      <c r="R784" s="15">
        <v>0.60299999999999998</v>
      </c>
      <c r="S784" s="15">
        <v>0.26500000000000001</v>
      </c>
      <c r="T784" s="15"/>
      <c r="U784" s="15" t="s">
        <v>33</v>
      </c>
      <c r="V784" s="15" t="s">
        <v>30</v>
      </c>
      <c r="W784" s="15">
        <v>3</v>
      </c>
      <c r="X784" s="15"/>
      <c r="Y784" s="12">
        <f t="shared" si="26"/>
        <v>0.46</v>
      </c>
      <c r="Z784" s="15">
        <v>0.22800000000000004</v>
      </c>
    </row>
    <row r="785" spans="1:26" x14ac:dyDescent="0.2">
      <c r="A785" s="15" t="s">
        <v>78</v>
      </c>
      <c r="B785" s="15">
        <v>3726.875</v>
      </c>
      <c r="C785" s="15">
        <v>55.570999999999998</v>
      </c>
      <c r="D785" s="15">
        <v>22.079000000000001</v>
      </c>
      <c r="E785" s="15">
        <v>4.6870000000000003</v>
      </c>
      <c r="F785" s="15">
        <v>169.374</v>
      </c>
      <c r="G785" s="15">
        <v>2.7909999999999999</v>
      </c>
      <c r="H785" s="15">
        <v>6.9290000000000003</v>
      </c>
      <c r="I785" s="15">
        <v>3.0529999999999999</v>
      </c>
      <c r="J785" s="15">
        <v>336.22899999999998</v>
      </c>
      <c r="K785" s="15">
        <v>392.03399999999999</v>
      </c>
      <c r="L785" s="15">
        <v>0.01</v>
      </c>
      <c r="M785" s="15">
        <v>1E-3</v>
      </c>
      <c r="N785" s="15">
        <v>100</v>
      </c>
      <c r="O785" s="15">
        <v>0.41699999999999998</v>
      </c>
      <c r="P785" s="15">
        <v>0.161</v>
      </c>
      <c r="Q785" s="15">
        <v>0.13800000000000001</v>
      </c>
      <c r="R785" s="15">
        <v>0.57099999999999995</v>
      </c>
      <c r="S785" s="15">
        <v>0.29499999999999998</v>
      </c>
      <c r="T785" s="15"/>
      <c r="U785" s="15" t="s">
        <v>33</v>
      </c>
      <c r="V785" s="15" t="s">
        <v>30</v>
      </c>
      <c r="W785" s="15">
        <v>3</v>
      </c>
      <c r="X785" s="15"/>
      <c r="Y785" s="12">
        <f t="shared" si="26"/>
        <v>0.55499999999999994</v>
      </c>
      <c r="Z785" s="15">
        <v>0.25600000000000001</v>
      </c>
    </row>
    <row r="786" spans="1:26" x14ac:dyDescent="0.2">
      <c r="A786" s="15" t="s">
        <v>78</v>
      </c>
      <c r="B786" s="15">
        <v>3727</v>
      </c>
      <c r="C786" s="15">
        <v>54.72</v>
      </c>
      <c r="D786" s="15">
        <v>22.030999999999999</v>
      </c>
      <c r="E786" s="15">
        <v>4.8440000000000003</v>
      </c>
      <c r="F786" s="15">
        <v>168.53700000000001</v>
      </c>
      <c r="G786" s="15">
        <v>2.7879999999999998</v>
      </c>
      <c r="H786" s="15">
        <v>7.1420000000000003</v>
      </c>
      <c r="I786" s="15">
        <v>3.1269999999999998</v>
      </c>
      <c r="J786" s="15">
        <v>296.11500000000001</v>
      </c>
      <c r="K786" s="15">
        <v>344.84100000000001</v>
      </c>
      <c r="L786" s="15">
        <v>0.01</v>
      </c>
      <c r="M786" s="15">
        <v>1E-3</v>
      </c>
      <c r="N786" s="15">
        <v>100</v>
      </c>
      <c r="O786" s="15">
        <v>0.437</v>
      </c>
      <c r="P786" s="15">
        <v>0.218</v>
      </c>
      <c r="Q786" s="15">
        <v>0.13400000000000001</v>
      </c>
      <c r="R786" s="15">
        <v>0.53500000000000003</v>
      </c>
      <c r="S786" s="15">
        <v>0.33</v>
      </c>
      <c r="T786" s="15"/>
      <c r="U786" s="15" t="s">
        <v>33</v>
      </c>
      <c r="V786" s="15" t="s">
        <v>30</v>
      </c>
      <c r="W786" s="15">
        <v>3</v>
      </c>
      <c r="X786" s="15"/>
      <c r="Y786" s="12">
        <f t="shared" si="26"/>
        <v>0.57099999999999995</v>
      </c>
      <c r="Z786" s="15">
        <v>0.219</v>
      </c>
    </row>
    <row r="787" spans="1:26" x14ac:dyDescent="0.2">
      <c r="A787" s="15" t="s">
        <v>78</v>
      </c>
      <c r="B787" s="15">
        <v>3727.125</v>
      </c>
      <c r="C787" s="15">
        <v>48.241</v>
      </c>
      <c r="D787" s="15">
        <v>22.047000000000001</v>
      </c>
      <c r="E787" s="15">
        <v>4.8029999999999999</v>
      </c>
      <c r="F787" s="15">
        <v>166.989</v>
      </c>
      <c r="G787" s="15">
        <v>2.794</v>
      </c>
      <c r="H787" s="15">
        <v>7.0890000000000004</v>
      </c>
      <c r="I787" s="15">
        <v>3.1680000000000001</v>
      </c>
      <c r="J787" s="15">
        <v>284.524</v>
      </c>
      <c r="K787" s="15">
        <v>331.20499999999998</v>
      </c>
      <c r="L787" s="15">
        <v>0.01</v>
      </c>
      <c r="M787" s="15">
        <v>1E-3</v>
      </c>
      <c r="N787" s="15">
        <v>100</v>
      </c>
      <c r="O787" s="15">
        <v>0.39300000000000002</v>
      </c>
      <c r="P787" s="15">
        <v>0.26</v>
      </c>
      <c r="Q787" s="15">
        <v>0.11700000000000001</v>
      </c>
      <c r="R787" s="15">
        <v>0.55400000000000005</v>
      </c>
      <c r="S787" s="15">
        <v>0.33800000000000002</v>
      </c>
      <c r="T787" s="15"/>
      <c r="U787" s="15" t="s">
        <v>33</v>
      </c>
      <c r="V787" s="15" t="s">
        <v>30</v>
      </c>
      <c r="W787" s="15">
        <v>3</v>
      </c>
      <c r="X787" s="15"/>
      <c r="Y787" s="12">
        <f t="shared" si="26"/>
        <v>0.51</v>
      </c>
      <c r="Z787" s="15">
        <v>0.13300000000000001</v>
      </c>
    </row>
    <row r="788" spans="1:26" x14ac:dyDescent="0.2">
      <c r="A788" s="15" t="s">
        <v>78</v>
      </c>
      <c r="B788" s="15">
        <v>3727.25</v>
      </c>
      <c r="C788" s="15">
        <v>39.99</v>
      </c>
      <c r="D788" s="15">
        <v>22.085999999999999</v>
      </c>
      <c r="E788" s="15">
        <v>4.6230000000000002</v>
      </c>
      <c r="F788" s="15">
        <v>166.233</v>
      </c>
      <c r="G788" s="15">
        <v>2.8</v>
      </c>
      <c r="H788" s="15">
        <v>6.7750000000000004</v>
      </c>
      <c r="I788" s="15">
        <v>3.2040000000000002</v>
      </c>
      <c r="J788" s="15">
        <v>297.15800000000002</v>
      </c>
      <c r="K788" s="15">
        <v>346.06799999999998</v>
      </c>
      <c r="L788" s="15">
        <v>0.01</v>
      </c>
      <c r="M788" s="15">
        <v>1E-3</v>
      </c>
      <c r="N788" s="15">
        <v>100</v>
      </c>
      <c r="O788" s="15">
        <v>0.313</v>
      </c>
      <c r="P788" s="15">
        <v>0.28799999999999998</v>
      </c>
      <c r="Q788" s="15">
        <v>0.10100000000000001</v>
      </c>
      <c r="R788" s="15">
        <v>0.60399999999999998</v>
      </c>
      <c r="S788" s="15">
        <v>0.308</v>
      </c>
      <c r="T788" s="15"/>
      <c r="U788" s="15" t="s">
        <v>33</v>
      </c>
      <c r="V788" s="15" t="s">
        <v>30</v>
      </c>
      <c r="W788" s="15">
        <v>3</v>
      </c>
      <c r="X788" s="15"/>
      <c r="Y788" s="12">
        <f t="shared" si="26"/>
        <v>0.41400000000000003</v>
      </c>
      <c r="Z788" s="15">
        <v>2.5000000000000022E-2</v>
      </c>
    </row>
    <row r="789" spans="1:26" x14ac:dyDescent="0.2">
      <c r="A789" s="15" t="s">
        <v>78</v>
      </c>
      <c r="B789" s="15">
        <v>3727.375</v>
      </c>
      <c r="C789" s="15">
        <v>35.186999999999998</v>
      </c>
      <c r="D789" s="15">
        <v>22.113</v>
      </c>
      <c r="E789" s="15">
        <v>4.4050000000000002</v>
      </c>
      <c r="F789" s="15">
        <v>167.33</v>
      </c>
      <c r="G789" s="15">
        <v>2.806</v>
      </c>
      <c r="H789" s="15">
        <v>6.3940000000000001</v>
      </c>
      <c r="I789" s="15">
        <v>3.2240000000000002</v>
      </c>
      <c r="J789" s="15">
        <v>322.25400000000002</v>
      </c>
      <c r="K789" s="15">
        <v>375.59399999999999</v>
      </c>
      <c r="L789" s="15">
        <v>0.01</v>
      </c>
      <c r="M789" s="15">
        <v>1E-3</v>
      </c>
      <c r="N789" s="15">
        <v>100</v>
      </c>
      <c r="O789" s="15">
        <v>0.247</v>
      </c>
      <c r="P789" s="15">
        <v>0.309</v>
      </c>
      <c r="Q789" s="15">
        <v>0.106</v>
      </c>
      <c r="R789" s="15">
        <v>0.65400000000000003</v>
      </c>
      <c r="S789" s="15">
        <v>0.25700000000000001</v>
      </c>
      <c r="T789" s="15"/>
      <c r="U789" s="15" t="s">
        <v>33</v>
      </c>
      <c r="V789" s="15" t="s">
        <v>30</v>
      </c>
      <c r="W789" s="15">
        <v>3</v>
      </c>
      <c r="X789" s="15"/>
      <c r="Y789" s="12">
        <f t="shared" si="26"/>
        <v>0.35299999999999998</v>
      </c>
      <c r="Z789" s="15">
        <v>-6.2E-2</v>
      </c>
    </row>
    <row r="790" spans="1:26" x14ac:dyDescent="0.2">
      <c r="A790" s="15" t="s">
        <v>78</v>
      </c>
      <c r="B790" s="15">
        <v>3727.5</v>
      </c>
      <c r="C790" s="15">
        <v>36.847999999999999</v>
      </c>
      <c r="D790" s="15">
        <v>22.123999999999999</v>
      </c>
      <c r="E790" s="15">
        <v>4.04</v>
      </c>
      <c r="F790" s="15">
        <v>170.21700000000001</v>
      </c>
      <c r="G790" s="15">
        <v>2.81</v>
      </c>
      <c r="H790" s="15">
        <v>6.2119999999999997</v>
      </c>
      <c r="I790" s="15">
        <v>3.2410000000000001</v>
      </c>
      <c r="J790" s="15">
        <v>345.02300000000002</v>
      </c>
      <c r="K790" s="15">
        <v>402.37900000000002</v>
      </c>
      <c r="L790" s="15">
        <v>0.01</v>
      </c>
      <c r="M790" s="15">
        <v>1E-3</v>
      </c>
      <c r="N790" s="15">
        <v>100</v>
      </c>
      <c r="O790" s="15">
        <v>0.23599999999999999</v>
      </c>
      <c r="P790" s="15">
        <v>0.32200000000000001</v>
      </c>
      <c r="Q790" s="15">
        <v>0.13600000000000001</v>
      </c>
      <c r="R790" s="15">
        <v>0.69399999999999995</v>
      </c>
      <c r="S790" s="15">
        <v>0.219</v>
      </c>
      <c r="T790" s="15"/>
      <c r="U790" s="15" t="s">
        <v>33</v>
      </c>
      <c r="V790" s="15" t="s">
        <v>30</v>
      </c>
      <c r="W790" s="15">
        <v>3</v>
      </c>
      <c r="X790" s="15"/>
      <c r="Y790" s="12">
        <f t="shared" si="26"/>
        <v>0.372</v>
      </c>
      <c r="Z790" s="15">
        <v>-8.6000000000000021E-2</v>
      </c>
    </row>
    <row r="791" spans="1:26" x14ac:dyDescent="0.2">
      <c r="A791" s="15" t="s">
        <v>78</v>
      </c>
      <c r="B791" s="15">
        <v>3727.625</v>
      </c>
      <c r="C791" s="15">
        <v>44.064999999999998</v>
      </c>
      <c r="D791" s="15">
        <v>22.135000000000002</v>
      </c>
      <c r="E791" s="15">
        <v>3.3929999999999998</v>
      </c>
      <c r="F791" s="15">
        <v>173.93600000000001</v>
      </c>
      <c r="G791" s="15">
        <v>2.8130000000000002</v>
      </c>
      <c r="H791" s="15">
        <v>6.3380000000000001</v>
      </c>
      <c r="I791" s="15">
        <v>3.28</v>
      </c>
      <c r="J791" s="15">
        <v>347.19799999999998</v>
      </c>
      <c r="K791" s="15">
        <v>404.93799999999999</v>
      </c>
      <c r="L791" s="15">
        <v>0.01</v>
      </c>
      <c r="M791" s="15">
        <v>1E-3</v>
      </c>
      <c r="N791" s="15">
        <v>100</v>
      </c>
      <c r="O791" s="15">
        <v>0.28799999999999998</v>
      </c>
      <c r="P791" s="15">
        <v>0.34499999999999997</v>
      </c>
      <c r="Q791" s="15">
        <v>0.183</v>
      </c>
      <c r="R791" s="15">
        <v>0.72299999999999998</v>
      </c>
      <c r="S791" s="15">
        <v>0.218</v>
      </c>
      <c r="T791" s="15"/>
      <c r="U791" s="15" t="s">
        <v>33</v>
      </c>
      <c r="V791" s="15" t="s">
        <v>30</v>
      </c>
      <c r="W791" s="15">
        <v>3</v>
      </c>
      <c r="X791" s="15"/>
      <c r="Y791" s="12">
        <f t="shared" si="26"/>
        <v>0.47099999999999997</v>
      </c>
      <c r="Z791" s="15">
        <v>-5.6999999999999995E-2</v>
      </c>
    </row>
    <row r="792" spans="1:26" x14ac:dyDescent="0.2">
      <c r="A792" s="15" t="s">
        <v>78</v>
      </c>
      <c r="B792" s="15">
        <v>3727.75</v>
      </c>
      <c r="C792" s="15">
        <v>51.006</v>
      </c>
      <c r="D792" s="15">
        <v>22.154</v>
      </c>
      <c r="E792" s="15">
        <v>2.7410000000000001</v>
      </c>
      <c r="F792" s="15">
        <v>176.55199999999999</v>
      </c>
      <c r="G792" s="15">
        <v>2.8140000000000001</v>
      </c>
      <c r="H792" s="15">
        <v>6.681</v>
      </c>
      <c r="I792" s="15">
        <v>3.3220000000000001</v>
      </c>
      <c r="J792" s="15">
        <v>325.536</v>
      </c>
      <c r="K792" s="15">
        <v>379.45499999999998</v>
      </c>
      <c r="L792" s="15">
        <v>0.01</v>
      </c>
      <c r="M792" s="15">
        <v>1E-3</v>
      </c>
      <c r="N792" s="15">
        <v>100</v>
      </c>
      <c r="O792" s="15">
        <v>0.36299999999999999</v>
      </c>
      <c r="P792" s="15">
        <v>0.376</v>
      </c>
      <c r="Q792" s="15">
        <v>0.22600000000000001</v>
      </c>
      <c r="R792" s="15">
        <v>0.73799999999999999</v>
      </c>
      <c r="S792" s="15">
        <v>0.255</v>
      </c>
      <c r="T792" s="15"/>
      <c r="U792" s="15" t="s">
        <v>33</v>
      </c>
      <c r="V792" s="15" t="s">
        <v>30</v>
      </c>
      <c r="W792" s="15">
        <v>3</v>
      </c>
      <c r="X792" s="15"/>
      <c r="Y792" s="12">
        <f t="shared" si="26"/>
        <v>0.58899999999999997</v>
      </c>
      <c r="Z792" s="15">
        <v>-1.3000000000000012E-2</v>
      </c>
    </row>
    <row r="793" spans="1:26" x14ac:dyDescent="0.2">
      <c r="A793" s="15" t="s">
        <v>78</v>
      </c>
      <c r="B793" s="15">
        <v>3727.875</v>
      </c>
      <c r="C793" s="15">
        <v>51.930999999999997</v>
      </c>
      <c r="D793" s="15">
        <v>22.170999999999999</v>
      </c>
      <c r="E793" s="15">
        <v>2.4350000000000001</v>
      </c>
      <c r="F793" s="15">
        <v>176.392</v>
      </c>
      <c r="G793" s="15">
        <v>2.8130000000000002</v>
      </c>
      <c r="H793" s="15">
        <v>7.0330000000000004</v>
      </c>
      <c r="I793" s="15">
        <v>3.359</v>
      </c>
      <c r="J793" s="15">
        <v>297.904</v>
      </c>
      <c r="K793" s="15">
        <v>346.94600000000003</v>
      </c>
      <c r="L793" s="15">
        <v>0.01</v>
      </c>
      <c r="M793" s="15">
        <v>1E-3</v>
      </c>
      <c r="N793" s="15">
        <v>100</v>
      </c>
      <c r="O793" s="15">
        <v>0.39900000000000002</v>
      </c>
      <c r="P793" s="15">
        <v>0.40500000000000003</v>
      </c>
      <c r="Q793" s="15">
        <v>0.24</v>
      </c>
      <c r="R793" s="15">
        <v>0.73699999999999999</v>
      </c>
      <c r="S793" s="15">
        <v>0.30599999999999999</v>
      </c>
      <c r="T793" s="15"/>
      <c r="U793" s="15" t="s">
        <v>33</v>
      </c>
      <c r="V793" s="15" t="s">
        <v>30</v>
      </c>
      <c r="W793" s="15">
        <v>3</v>
      </c>
      <c r="X793" s="15"/>
      <c r="Y793" s="12">
        <f t="shared" si="26"/>
        <v>0.63900000000000001</v>
      </c>
      <c r="Z793" s="15">
        <v>-6.0000000000000053E-3</v>
      </c>
    </row>
    <row r="794" spans="1:26" x14ac:dyDescent="0.2">
      <c r="A794" s="15" t="s">
        <v>78</v>
      </c>
      <c r="B794" s="15">
        <v>3728</v>
      </c>
      <c r="C794" s="15">
        <v>46.363</v>
      </c>
      <c r="D794" s="15">
        <v>22.170999999999999</v>
      </c>
      <c r="E794" s="15">
        <v>2.3620000000000001</v>
      </c>
      <c r="F794" s="15">
        <v>173.61199999999999</v>
      </c>
      <c r="G794" s="15">
        <v>2.8119999999999998</v>
      </c>
      <c r="H794" s="15">
        <v>7.1970000000000001</v>
      </c>
      <c r="I794" s="15">
        <v>3.3820000000000001</v>
      </c>
      <c r="J794" s="15">
        <v>292.68599999999998</v>
      </c>
      <c r="K794" s="15">
        <v>340.80700000000002</v>
      </c>
      <c r="L794" s="15">
        <v>0.01</v>
      </c>
      <c r="M794" s="15">
        <v>1E-3</v>
      </c>
      <c r="N794" s="15">
        <v>100</v>
      </c>
      <c r="O794" s="15">
        <v>0.36899999999999999</v>
      </c>
      <c r="P794" s="15">
        <v>0.42699999999999999</v>
      </c>
      <c r="Q794" s="15">
        <v>0.216</v>
      </c>
      <c r="R794" s="15">
        <v>0.72799999999999998</v>
      </c>
      <c r="S794" s="15">
        <v>0.34100000000000003</v>
      </c>
      <c r="T794" s="15"/>
      <c r="U794" s="15" t="s">
        <v>33</v>
      </c>
      <c r="V794" s="15" t="s">
        <v>30</v>
      </c>
      <c r="W794" s="15">
        <v>3</v>
      </c>
      <c r="X794" s="15"/>
      <c r="Y794" s="12">
        <f t="shared" si="26"/>
        <v>0.58499999999999996</v>
      </c>
      <c r="Z794" s="15">
        <v>-5.7999999999999996E-2</v>
      </c>
    </row>
    <row r="795" spans="1:26" x14ac:dyDescent="0.2">
      <c r="A795" s="15" t="s">
        <v>78</v>
      </c>
      <c r="B795" s="15">
        <v>3728.125</v>
      </c>
      <c r="C795" s="15">
        <v>38.479999999999997</v>
      </c>
      <c r="D795" s="15">
        <v>22.157</v>
      </c>
      <c r="E795" s="15">
        <v>2.274</v>
      </c>
      <c r="F795" s="15">
        <v>169.79900000000001</v>
      </c>
      <c r="G795" s="15">
        <v>2.8119999999999998</v>
      </c>
      <c r="H795" s="15">
        <v>7.0970000000000004</v>
      </c>
      <c r="I795" s="15">
        <v>3.3969999999999998</v>
      </c>
      <c r="J795" s="15">
        <v>352.286</v>
      </c>
      <c r="K795" s="15">
        <v>410.92399999999998</v>
      </c>
      <c r="L795" s="15">
        <v>0.01</v>
      </c>
      <c r="M795" s="15">
        <v>1E-3</v>
      </c>
      <c r="N795" s="15">
        <v>100</v>
      </c>
      <c r="O795" s="15">
        <v>0.29499999999999998</v>
      </c>
      <c r="P795" s="15">
        <v>0.441</v>
      </c>
      <c r="Q795" s="15">
        <v>0.16900000000000001</v>
      </c>
      <c r="R795" s="15">
        <v>0.72499999999999998</v>
      </c>
      <c r="S795" s="15">
        <v>0.34200000000000003</v>
      </c>
      <c r="T795" s="15"/>
      <c r="U795" s="15" t="s">
        <v>33</v>
      </c>
      <c r="V795" s="15" t="s">
        <v>30</v>
      </c>
      <c r="W795" s="15">
        <v>3</v>
      </c>
      <c r="X795" s="15"/>
      <c r="Y795" s="12">
        <f t="shared" si="26"/>
        <v>0.46399999999999997</v>
      </c>
      <c r="Z795" s="15">
        <v>-0.14600000000000002</v>
      </c>
    </row>
    <row r="796" spans="1:26" x14ac:dyDescent="0.2">
      <c r="A796" s="15" t="s">
        <v>78</v>
      </c>
      <c r="B796" s="15">
        <v>3728.25</v>
      </c>
      <c r="C796" s="15">
        <v>33.359000000000002</v>
      </c>
      <c r="D796" s="15">
        <v>22.152000000000001</v>
      </c>
      <c r="E796" s="15">
        <v>2.1709999999999998</v>
      </c>
      <c r="F796" s="15">
        <v>167.06800000000001</v>
      </c>
      <c r="G796" s="15">
        <v>2.8109999999999999</v>
      </c>
      <c r="H796" s="15">
        <v>6.7919999999999998</v>
      </c>
      <c r="I796" s="15">
        <v>3.4169999999999998</v>
      </c>
      <c r="J796" s="15">
        <v>487.26</v>
      </c>
      <c r="K796" s="15">
        <v>569.71699999999998</v>
      </c>
      <c r="L796" s="15">
        <v>0.01</v>
      </c>
      <c r="M796" s="15">
        <v>1E-3</v>
      </c>
      <c r="N796" s="15">
        <v>100</v>
      </c>
      <c r="O796" s="15">
        <v>0.22900000000000001</v>
      </c>
      <c r="P796" s="15">
        <v>0.45500000000000002</v>
      </c>
      <c r="Q796" s="15">
        <v>0.125</v>
      </c>
      <c r="R796" s="15">
        <v>0.72</v>
      </c>
      <c r="S796" s="15">
        <v>0.31</v>
      </c>
      <c r="T796" s="15"/>
      <c r="U796" s="15" t="s">
        <v>33</v>
      </c>
      <c r="V796" s="15" t="s">
        <v>30</v>
      </c>
      <c r="W796" s="15">
        <v>3</v>
      </c>
      <c r="X796" s="15"/>
      <c r="Y796" s="12">
        <f t="shared" si="26"/>
        <v>0.35399999999999998</v>
      </c>
      <c r="Z796" s="15">
        <v>-0.22600000000000001</v>
      </c>
    </row>
    <row r="797" spans="1:26" x14ac:dyDescent="0.2">
      <c r="A797" s="15" t="s">
        <v>78</v>
      </c>
      <c r="B797" s="15">
        <v>3728.375</v>
      </c>
      <c r="C797" s="15">
        <v>33.463000000000001</v>
      </c>
      <c r="D797" s="15">
        <v>22.181000000000001</v>
      </c>
      <c r="E797" s="15">
        <v>2.085</v>
      </c>
      <c r="F797" s="15">
        <v>167.16900000000001</v>
      </c>
      <c r="G797" s="15">
        <v>2.8090000000000002</v>
      </c>
      <c r="H797" s="15">
        <v>6.4630000000000001</v>
      </c>
      <c r="I797" s="15">
        <v>3.4649999999999999</v>
      </c>
      <c r="J797" s="15">
        <v>633.82299999999998</v>
      </c>
      <c r="K797" s="15">
        <v>742.14499999999998</v>
      </c>
      <c r="L797" s="15">
        <v>0.01</v>
      </c>
      <c r="M797" s="15">
        <v>1E-3</v>
      </c>
      <c r="N797" s="15">
        <v>100</v>
      </c>
      <c r="O797" s="15">
        <v>0.20699999999999999</v>
      </c>
      <c r="P797" s="15">
        <v>0.48199999999999998</v>
      </c>
      <c r="Q797" s="15">
        <v>0.109</v>
      </c>
      <c r="R797" s="15">
        <v>0.70699999999999996</v>
      </c>
      <c r="S797" s="15">
        <v>0.26400000000000001</v>
      </c>
      <c r="T797" s="15"/>
      <c r="U797" s="15" t="s">
        <v>33</v>
      </c>
      <c r="V797" s="15" t="s">
        <v>30</v>
      </c>
      <c r="W797" s="15">
        <v>3</v>
      </c>
      <c r="X797" s="15"/>
      <c r="Y797" s="12">
        <f t="shared" si="26"/>
        <v>0.316</v>
      </c>
      <c r="Z797" s="15">
        <v>-0.27500000000000002</v>
      </c>
    </row>
    <row r="798" spans="1:26" x14ac:dyDescent="0.2">
      <c r="A798" s="15" t="s">
        <v>78</v>
      </c>
      <c r="B798" s="15">
        <v>3730</v>
      </c>
      <c r="C798" s="15">
        <v>53.731000000000002</v>
      </c>
      <c r="D798" s="15">
        <v>22.411999999999999</v>
      </c>
      <c r="E798" s="15">
        <v>3.2170000000000001</v>
      </c>
      <c r="F798" s="15">
        <v>181.976</v>
      </c>
      <c r="G798" s="15">
        <v>2.8149999999999999</v>
      </c>
      <c r="H798" s="15">
        <v>7.0229999999999997</v>
      </c>
      <c r="I798" s="15">
        <v>3.7170000000000001</v>
      </c>
      <c r="J798" s="15">
        <v>413.81799999999998</v>
      </c>
      <c r="K798" s="15">
        <v>483.315</v>
      </c>
      <c r="L798" s="15">
        <v>0.01</v>
      </c>
      <c r="M798" s="15">
        <v>1E-3</v>
      </c>
      <c r="N798" s="15">
        <v>100</v>
      </c>
      <c r="O798" s="15">
        <v>0.434</v>
      </c>
      <c r="P798" s="15">
        <v>0.70499999999999996</v>
      </c>
      <c r="Q798" s="15">
        <v>0.29099999999999998</v>
      </c>
      <c r="R798" s="15">
        <v>0.73299999999999998</v>
      </c>
      <c r="S798" s="15">
        <v>0.35699999999999998</v>
      </c>
      <c r="T798" s="15"/>
      <c r="U798" s="15" t="s">
        <v>33</v>
      </c>
      <c r="V798" s="15" t="s">
        <v>30</v>
      </c>
      <c r="W798" s="15">
        <v>5</v>
      </c>
      <c r="X798" s="15"/>
      <c r="Y798" s="12">
        <f t="shared" si="26"/>
        <v>0.72499999999999998</v>
      </c>
      <c r="Z798" s="15">
        <v>-0.27099999999999996</v>
      </c>
    </row>
    <row r="799" spans="1:26" x14ac:dyDescent="0.2">
      <c r="A799" s="15" t="s">
        <v>78</v>
      </c>
      <c r="B799" s="15">
        <v>3730.125</v>
      </c>
      <c r="C799" s="15">
        <v>50.773000000000003</v>
      </c>
      <c r="D799" s="15">
        <v>22.638000000000002</v>
      </c>
      <c r="E799" s="15">
        <v>2.7250000000000001</v>
      </c>
      <c r="F799" s="15">
        <v>186.43600000000001</v>
      </c>
      <c r="G799" s="15">
        <v>2.82</v>
      </c>
      <c r="H799" s="15">
        <v>6.5410000000000004</v>
      </c>
      <c r="I799" s="15">
        <v>3.569</v>
      </c>
      <c r="J799" s="15">
        <v>385.35599999999999</v>
      </c>
      <c r="K799" s="15">
        <v>449.83100000000002</v>
      </c>
      <c r="L799" s="15">
        <v>0.01</v>
      </c>
      <c r="M799" s="15">
        <v>1E-3</v>
      </c>
      <c r="N799" s="15">
        <v>100</v>
      </c>
      <c r="O799" s="15">
        <v>0.40400000000000003</v>
      </c>
      <c r="P799" s="15">
        <v>0.623</v>
      </c>
      <c r="Q799" s="15">
        <v>0.35399999999999998</v>
      </c>
      <c r="R799" s="15">
        <v>0.77400000000000002</v>
      </c>
      <c r="S799" s="15">
        <v>0.28399999999999997</v>
      </c>
      <c r="T799" s="15"/>
      <c r="U799" s="15" t="s">
        <v>33</v>
      </c>
      <c r="V799" s="15" t="s">
        <v>30</v>
      </c>
      <c r="W799" s="15">
        <v>5</v>
      </c>
      <c r="X799" s="15"/>
      <c r="Y799" s="12">
        <f t="shared" si="26"/>
        <v>0.75800000000000001</v>
      </c>
      <c r="Z799" s="15">
        <v>-0.21899999999999997</v>
      </c>
    </row>
    <row r="800" spans="1:26" x14ac:dyDescent="0.2">
      <c r="A800" s="15" t="s">
        <v>78</v>
      </c>
      <c r="B800" s="15">
        <v>3730.25</v>
      </c>
      <c r="C800" s="15">
        <v>48.488</v>
      </c>
      <c r="D800" s="15">
        <v>22.888000000000002</v>
      </c>
      <c r="E800" s="15">
        <v>2.3479999999999999</v>
      </c>
      <c r="F800" s="15">
        <v>189.07</v>
      </c>
      <c r="G800" s="15">
        <v>2.8220000000000001</v>
      </c>
      <c r="H800" s="15">
        <v>6.194</v>
      </c>
      <c r="I800" s="15">
        <v>3.3679999999999999</v>
      </c>
      <c r="J800" s="15">
        <v>343.94600000000003</v>
      </c>
      <c r="K800" s="15">
        <v>401.11399999999998</v>
      </c>
      <c r="L800" s="15">
        <v>0.01</v>
      </c>
      <c r="M800" s="15">
        <v>1E-3</v>
      </c>
      <c r="N800" s="15">
        <v>100</v>
      </c>
      <c r="O800" s="15">
        <v>0.377</v>
      </c>
      <c r="P800" s="15">
        <v>0.48699999999999999</v>
      </c>
      <c r="Q800" s="15">
        <v>0.40100000000000002</v>
      </c>
      <c r="R800" s="15">
        <v>0.80100000000000005</v>
      </c>
      <c r="S800" s="15">
        <v>0.22600000000000001</v>
      </c>
      <c r="T800" s="15"/>
      <c r="U800" s="15" t="s">
        <v>33</v>
      </c>
      <c r="V800" s="15" t="s">
        <v>30</v>
      </c>
      <c r="W800" s="15">
        <v>5</v>
      </c>
      <c r="X800" s="15"/>
      <c r="Y800" s="12">
        <f t="shared" si="26"/>
        <v>0.77800000000000002</v>
      </c>
      <c r="Z800" s="15">
        <v>-0.10999999999999999</v>
      </c>
    </row>
    <row r="801" spans="1:26" x14ac:dyDescent="0.2">
      <c r="A801" s="15" t="s">
        <v>78</v>
      </c>
      <c r="B801" s="15">
        <v>3730.375</v>
      </c>
      <c r="C801" s="15">
        <v>45.796999999999997</v>
      </c>
      <c r="D801" s="15">
        <v>23.108000000000001</v>
      </c>
      <c r="E801" s="15">
        <v>2.1219999999999999</v>
      </c>
      <c r="F801" s="15">
        <v>188.291</v>
      </c>
      <c r="G801" s="15">
        <v>2.8210000000000002</v>
      </c>
      <c r="H801" s="15">
        <v>5.98</v>
      </c>
      <c r="I801" s="15">
        <v>3.198</v>
      </c>
      <c r="J801" s="15">
        <v>306.79399999999998</v>
      </c>
      <c r="K801" s="15">
        <v>357.404</v>
      </c>
      <c r="L801" s="15">
        <v>0.01</v>
      </c>
      <c r="M801" s="15">
        <v>1E-3</v>
      </c>
      <c r="N801" s="15">
        <v>100</v>
      </c>
      <c r="O801" s="15">
        <v>0.35</v>
      </c>
      <c r="P801" s="15">
        <v>0.34899999999999998</v>
      </c>
      <c r="Q801" s="15">
        <v>0.41</v>
      </c>
      <c r="R801" s="15">
        <v>0.80300000000000005</v>
      </c>
      <c r="S801" s="15">
        <v>0.187</v>
      </c>
      <c r="T801" s="15"/>
      <c r="U801" s="15" t="s">
        <v>33</v>
      </c>
      <c r="V801" s="15" t="s">
        <v>30</v>
      </c>
      <c r="W801" s="15">
        <v>5</v>
      </c>
      <c r="X801" s="15"/>
      <c r="Y801" s="12">
        <f t="shared" si="26"/>
        <v>0.76</v>
      </c>
      <c r="Z801" s="15">
        <v>1.0000000000000009E-3</v>
      </c>
    </row>
    <row r="802" spans="1:26" x14ac:dyDescent="0.2">
      <c r="A802" s="15" t="s">
        <v>78</v>
      </c>
      <c r="B802" s="15">
        <v>3730.5</v>
      </c>
      <c r="C802" s="15">
        <v>40.826000000000001</v>
      </c>
      <c r="D802" s="15">
        <v>23.280999999999999</v>
      </c>
      <c r="E802" s="15">
        <v>1.9490000000000001</v>
      </c>
      <c r="F802" s="15">
        <v>183.917</v>
      </c>
      <c r="G802" s="15">
        <v>2.8180000000000001</v>
      </c>
      <c r="H802" s="15">
        <v>5.8220000000000001</v>
      </c>
      <c r="I802" s="15">
        <v>3.1179999999999999</v>
      </c>
      <c r="J802" s="15">
        <v>290.65899999999999</v>
      </c>
      <c r="K802" s="15">
        <v>338.42200000000003</v>
      </c>
      <c r="L802" s="15">
        <v>0.01</v>
      </c>
      <c r="M802" s="15">
        <v>1E-3</v>
      </c>
      <c r="N802" s="15">
        <v>100</v>
      </c>
      <c r="O802" s="15">
        <v>0.307</v>
      </c>
      <c r="P802" s="15">
        <v>0.26</v>
      </c>
      <c r="Q802" s="15">
        <v>0.37</v>
      </c>
      <c r="R802" s="15">
        <v>0.78500000000000003</v>
      </c>
      <c r="S802" s="15">
        <v>0.16</v>
      </c>
      <c r="T802" s="15"/>
      <c r="U802" s="15" t="s">
        <v>33</v>
      </c>
      <c r="V802" s="15" t="s">
        <v>30</v>
      </c>
      <c r="W802" s="15">
        <v>5</v>
      </c>
      <c r="X802" s="15"/>
      <c r="Y802" s="12">
        <f t="shared" si="26"/>
        <v>0.67700000000000005</v>
      </c>
      <c r="Z802" s="15">
        <v>4.6999999999999986E-2</v>
      </c>
    </row>
    <row r="803" spans="1:26" x14ac:dyDescent="0.2">
      <c r="A803" s="15" t="s">
        <v>78</v>
      </c>
      <c r="B803" s="15">
        <v>3730.625</v>
      </c>
      <c r="C803" s="15">
        <v>34.085999999999999</v>
      </c>
      <c r="D803" s="15">
        <v>23.390999999999998</v>
      </c>
      <c r="E803" s="15">
        <v>1.754</v>
      </c>
      <c r="F803" s="15">
        <v>177.58</v>
      </c>
      <c r="G803" s="15">
        <v>2.8159999999999998</v>
      </c>
      <c r="H803" s="15">
        <v>5.6390000000000002</v>
      </c>
      <c r="I803" s="15">
        <v>3.1240000000000001</v>
      </c>
      <c r="J803" s="15">
        <v>329.15199999999999</v>
      </c>
      <c r="K803" s="15">
        <v>383.70800000000003</v>
      </c>
      <c r="L803" s="15">
        <v>0.01</v>
      </c>
      <c r="M803" s="15">
        <v>1E-3</v>
      </c>
      <c r="N803" s="15">
        <v>100</v>
      </c>
      <c r="O803" s="15">
        <v>0.24399999999999999</v>
      </c>
      <c r="P803" s="15">
        <v>0.23699999999999999</v>
      </c>
      <c r="Q803" s="15">
        <v>0.29299999999999998</v>
      </c>
      <c r="R803" s="15">
        <v>0.76500000000000001</v>
      </c>
      <c r="S803" s="15">
        <v>0.13500000000000001</v>
      </c>
      <c r="T803" s="15"/>
      <c r="U803" s="15" t="s">
        <v>33</v>
      </c>
      <c r="V803" s="15" t="s">
        <v>30</v>
      </c>
      <c r="W803" s="15">
        <v>5</v>
      </c>
      <c r="X803" s="15"/>
      <c r="Y803" s="12">
        <f t="shared" si="26"/>
        <v>0.53699999999999992</v>
      </c>
      <c r="Z803" s="15">
        <v>7.0000000000000062E-3</v>
      </c>
    </row>
    <row r="804" spans="1:26" x14ac:dyDescent="0.2">
      <c r="A804" s="15" t="s">
        <v>78</v>
      </c>
      <c r="B804" s="15">
        <v>3730.75</v>
      </c>
      <c r="C804" s="15">
        <v>28.72</v>
      </c>
      <c r="D804" s="15">
        <v>23.413</v>
      </c>
      <c r="E804" s="15">
        <v>1.5720000000000001</v>
      </c>
      <c r="F804" s="15">
        <v>171.369</v>
      </c>
      <c r="G804" s="15">
        <v>2.8159999999999998</v>
      </c>
      <c r="H804" s="15">
        <v>5.4119999999999999</v>
      </c>
      <c r="I804" s="15">
        <v>3.169</v>
      </c>
      <c r="J804" s="15">
        <v>462.55</v>
      </c>
      <c r="K804" s="15">
        <v>540.64700000000005</v>
      </c>
      <c r="L804" s="15">
        <v>0.01</v>
      </c>
      <c r="M804" s="15">
        <v>1E-3</v>
      </c>
      <c r="N804" s="15">
        <v>100</v>
      </c>
      <c r="O804" s="15">
        <v>0.18099999999999999</v>
      </c>
      <c r="P804" s="15">
        <v>0.25900000000000001</v>
      </c>
      <c r="Q804" s="15">
        <v>0.20499999999999999</v>
      </c>
      <c r="R804" s="15">
        <v>0.75800000000000001</v>
      </c>
      <c r="S804" s="15">
        <v>0.105</v>
      </c>
      <c r="T804" s="15"/>
      <c r="U804" s="15" t="s">
        <v>33</v>
      </c>
      <c r="V804" s="15" t="s">
        <v>30</v>
      </c>
      <c r="W804" s="15">
        <v>5</v>
      </c>
      <c r="X804" s="15"/>
      <c r="Y804" s="12">
        <f t="shared" si="26"/>
        <v>0.38600000000000001</v>
      </c>
      <c r="Z804" s="15">
        <v>-7.8000000000000014E-2</v>
      </c>
    </row>
    <row r="805" spans="1:26" x14ac:dyDescent="0.2">
      <c r="A805" s="15" t="s">
        <v>78</v>
      </c>
      <c r="B805" s="15">
        <v>3730.875</v>
      </c>
      <c r="C805" s="15">
        <v>26.524999999999999</v>
      </c>
      <c r="D805" s="15">
        <v>23.337</v>
      </c>
      <c r="E805" s="15">
        <v>1.46</v>
      </c>
      <c r="F805" s="15">
        <v>166.66300000000001</v>
      </c>
      <c r="G805" s="15">
        <v>2.8180000000000001</v>
      </c>
      <c r="H805" s="15">
        <v>5.1790000000000003</v>
      </c>
      <c r="I805" s="15">
        <v>3.2010000000000001</v>
      </c>
      <c r="J805" s="15">
        <v>678.25800000000004</v>
      </c>
      <c r="K805" s="15">
        <v>794.42100000000005</v>
      </c>
      <c r="L805" s="15">
        <v>0.01</v>
      </c>
      <c r="M805" s="15">
        <v>1E-3</v>
      </c>
      <c r="N805" s="15">
        <v>100</v>
      </c>
      <c r="O805" s="15">
        <v>0.14299999999999999</v>
      </c>
      <c r="P805" s="15">
        <v>0.28699999999999998</v>
      </c>
      <c r="Q805" s="15">
        <v>0.13</v>
      </c>
      <c r="R805" s="15">
        <v>0.76800000000000002</v>
      </c>
      <c r="S805" s="15">
        <v>7.0999999999999994E-2</v>
      </c>
      <c r="T805" s="15"/>
      <c r="U805" s="15" t="s">
        <v>33</v>
      </c>
      <c r="V805" s="15" t="s">
        <v>30</v>
      </c>
      <c r="W805" s="15">
        <v>5</v>
      </c>
      <c r="X805" s="15"/>
      <c r="Y805" s="12">
        <f t="shared" si="26"/>
        <v>0.27300000000000002</v>
      </c>
      <c r="Z805" s="15">
        <v>-0.14399999999999999</v>
      </c>
    </row>
    <row r="806" spans="1:26" x14ac:dyDescent="0.2">
      <c r="A806" s="15" t="s">
        <v>78</v>
      </c>
      <c r="B806" s="15">
        <v>3731</v>
      </c>
      <c r="C806" s="15">
        <v>26.158999999999999</v>
      </c>
      <c r="D806" s="15">
        <v>23.178000000000001</v>
      </c>
      <c r="E806" s="15">
        <v>1.403</v>
      </c>
      <c r="F806" s="15">
        <v>164.02600000000001</v>
      </c>
      <c r="G806" s="15">
        <v>2.8239999999999998</v>
      </c>
      <c r="H806" s="15">
        <v>5.0129999999999999</v>
      </c>
      <c r="I806" s="15">
        <v>3.194</v>
      </c>
      <c r="J806" s="15">
        <v>884.04399999999998</v>
      </c>
      <c r="K806" s="15">
        <v>1036.5229999999999</v>
      </c>
      <c r="L806" s="15">
        <v>0.01</v>
      </c>
      <c r="M806" s="15">
        <v>1E-3</v>
      </c>
      <c r="N806" s="15">
        <v>100</v>
      </c>
      <c r="O806" s="15">
        <v>0.13200000000000001</v>
      </c>
      <c r="P806" s="15">
        <v>0.29399999999999998</v>
      </c>
      <c r="Q806" s="15">
        <v>8.1000000000000003E-2</v>
      </c>
      <c r="R806" s="15">
        <v>0.80400000000000005</v>
      </c>
      <c r="S806" s="15">
        <v>4.2999999999999997E-2</v>
      </c>
      <c r="T806" s="15"/>
      <c r="U806" s="15" t="s">
        <v>33</v>
      </c>
      <c r="V806" s="15" t="s">
        <v>30</v>
      </c>
      <c r="W806" s="15">
        <v>5</v>
      </c>
      <c r="X806" s="15"/>
      <c r="Y806" s="12">
        <f t="shared" si="26"/>
        <v>0.21300000000000002</v>
      </c>
      <c r="Z806" s="15">
        <v>-0.16199999999999998</v>
      </c>
    </row>
    <row r="807" spans="1:26" x14ac:dyDescent="0.2">
      <c r="A807" s="15" t="s">
        <v>78</v>
      </c>
      <c r="B807" s="15">
        <v>3731.125</v>
      </c>
      <c r="C807" s="15">
        <v>25.658999999999999</v>
      </c>
      <c r="D807" s="15">
        <v>22.971</v>
      </c>
      <c r="E807" s="15">
        <v>1.365</v>
      </c>
      <c r="F807" s="15">
        <v>163.09200000000001</v>
      </c>
      <c r="G807" s="15">
        <v>2.8340000000000001</v>
      </c>
      <c r="H807" s="15">
        <v>4.9870000000000001</v>
      </c>
      <c r="I807" s="15">
        <v>3.1560000000000001</v>
      </c>
      <c r="J807" s="15">
        <v>952.42100000000005</v>
      </c>
      <c r="K807" s="15">
        <v>1116.9649999999999</v>
      </c>
      <c r="L807" s="15">
        <v>0.01</v>
      </c>
      <c r="M807" s="15">
        <v>1E-3</v>
      </c>
      <c r="N807" s="15">
        <v>100</v>
      </c>
      <c r="O807" s="15">
        <v>0.127</v>
      </c>
      <c r="P807" s="15">
        <v>0.27500000000000002</v>
      </c>
      <c r="Q807" s="15">
        <v>5.8000000000000003E-2</v>
      </c>
      <c r="R807" s="15">
        <v>0.874</v>
      </c>
      <c r="S807" s="15">
        <v>3.1E-2</v>
      </c>
      <c r="T807" s="15"/>
      <c r="U807" s="15" t="s">
        <v>33</v>
      </c>
      <c r="V807" s="15" t="s">
        <v>30</v>
      </c>
      <c r="W807" s="15">
        <v>5</v>
      </c>
      <c r="X807" s="15"/>
      <c r="Y807" s="12">
        <f t="shared" si="26"/>
        <v>0.185</v>
      </c>
      <c r="Z807" s="15">
        <v>-0.14800000000000002</v>
      </c>
    </row>
    <row r="808" spans="1:26" x14ac:dyDescent="0.2">
      <c r="A808" s="15" t="s">
        <v>78</v>
      </c>
      <c r="B808" s="15">
        <v>3731.25</v>
      </c>
      <c r="C808" s="15">
        <v>25.288</v>
      </c>
      <c r="D808" s="15">
        <v>22.765000000000001</v>
      </c>
      <c r="E808" s="15">
        <v>1.337</v>
      </c>
      <c r="F808" s="15">
        <v>163.14599999999999</v>
      </c>
      <c r="G808" s="15">
        <v>2.8420000000000001</v>
      </c>
      <c r="H808" s="15">
        <v>5.1520000000000001</v>
      </c>
      <c r="I808" s="15">
        <v>3.105</v>
      </c>
      <c r="J808" s="15">
        <v>860.49900000000002</v>
      </c>
      <c r="K808" s="15">
        <v>1008.822</v>
      </c>
      <c r="L808" s="15">
        <v>0.01</v>
      </c>
      <c r="M808" s="15">
        <v>1E-3</v>
      </c>
      <c r="N808" s="15">
        <v>100</v>
      </c>
      <c r="O808" s="15">
        <v>0.122</v>
      </c>
      <c r="P808" s="15">
        <v>0.24099999999999999</v>
      </c>
      <c r="Q808" s="15">
        <v>5.2999999999999999E-2</v>
      </c>
      <c r="R808" s="15">
        <v>0.94699999999999995</v>
      </c>
      <c r="S808" s="15">
        <v>4.3999999999999997E-2</v>
      </c>
      <c r="T808" s="15"/>
      <c r="U808" s="15" t="s">
        <v>33</v>
      </c>
      <c r="V808" s="15" t="s">
        <v>30</v>
      </c>
      <c r="W808" s="15">
        <v>5</v>
      </c>
      <c r="X808" s="15"/>
      <c r="Y808" s="12">
        <f t="shared" si="26"/>
        <v>0.17499999999999999</v>
      </c>
      <c r="Z808" s="15">
        <v>-0.11899999999999999</v>
      </c>
    </row>
    <row r="809" spans="1:26" x14ac:dyDescent="0.2">
      <c r="A809" s="15" t="s">
        <v>78</v>
      </c>
      <c r="B809" s="15">
        <v>3731.375</v>
      </c>
      <c r="C809" s="15">
        <v>27.350999999999999</v>
      </c>
      <c r="D809" s="15">
        <v>22.606999999999999</v>
      </c>
      <c r="E809" s="15">
        <v>1.349</v>
      </c>
      <c r="F809" s="15">
        <v>164.51300000000001</v>
      </c>
      <c r="G809" s="15">
        <v>2.839</v>
      </c>
      <c r="H809" s="15">
        <v>5.5330000000000004</v>
      </c>
      <c r="I809" s="15">
        <v>3.1080000000000001</v>
      </c>
      <c r="J809" s="15">
        <v>702.01900000000001</v>
      </c>
      <c r="K809" s="15">
        <v>822.375</v>
      </c>
      <c r="L809" s="15">
        <v>0.01</v>
      </c>
      <c r="M809" s="15">
        <v>1E-3</v>
      </c>
      <c r="N809" s="15">
        <v>100</v>
      </c>
      <c r="O809" s="15">
        <v>0.13300000000000001</v>
      </c>
      <c r="P809" s="15">
        <v>0.22600000000000001</v>
      </c>
      <c r="Q809" s="15">
        <v>6.5000000000000002E-2</v>
      </c>
      <c r="R809" s="15">
        <v>0.96</v>
      </c>
      <c r="S809" s="15">
        <v>8.5999999999999993E-2</v>
      </c>
      <c r="T809" s="15"/>
      <c r="U809" s="15" t="s">
        <v>33</v>
      </c>
      <c r="V809" s="15" t="s">
        <v>30</v>
      </c>
      <c r="W809" s="15">
        <v>5</v>
      </c>
      <c r="X809" s="15"/>
      <c r="Y809" s="12">
        <f t="shared" si="26"/>
        <v>0.19800000000000001</v>
      </c>
      <c r="Z809" s="15">
        <v>-9.2999999999999999E-2</v>
      </c>
    </row>
    <row r="810" spans="1:26" x14ac:dyDescent="0.2">
      <c r="A810" s="15" t="s">
        <v>78</v>
      </c>
      <c r="B810" s="15">
        <v>3731.5</v>
      </c>
      <c r="C810" s="15">
        <v>34.031999999999996</v>
      </c>
      <c r="D810" s="15">
        <v>22.527000000000001</v>
      </c>
      <c r="E810" s="15">
        <v>1.47</v>
      </c>
      <c r="F810" s="15">
        <v>167.98500000000001</v>
      </c>
      <c r="G810" s="15">
        <v>2.827</v>
      </c>
      <c r="H810" s="15">
        <v>6.09</v>
      </c>
      <c r="I810" s="15">
        <v>3.1789999999999998</v>
      </c>
      <c r="J810" s="15">
        <v>551.44399999999996</v>
      </c>
      <c r="K810" s="15">
        <v>645.22900000000004</v>
      </c>
      <c r="L810" s="15">
        <v>0.01</v>
      </c>
      <c r="M810" s="15">
        <v>1E-3</v>
      </c>
      <c r="N810" s="15">
        <v>100</v>
      </c>
      <c r="O810" s="15">
        <v>0.184</v>
      </c>
      <c r="P810" s="15">
        <v>0.25800000000000001</v>
      </c>
      <c r="Q810" s="15">
        <v>0.10100000000000001</v>
      </c>
      <c r="R810" s="15">
        <v>0.89200000000000002</v>
      </c>
      <c r="S810" s="15">
        <v>0.156</v>
      </c>
      <c r="T810" s="15"/>
      <c r="U810" s="15" t="s">
        <v>33</v>
      </c>
      <c r="V810" s="15" t="s">
        <v>30</v>
      </c>
      <c r="W810" s="15">
        <v>5</v>
      </c>
      <c r="X810" s="15"/>
      <c r="Y810" s="12">
        <f t="shared" si="26"/>
        <v>0.28500000000000003</v>
      </c>
      <c r="Z810" s="15">
        <v>-7.400000000000001E-2</v>
      </c>
    </row>
    <row r="811" spans="1:26" x14ac:dyDescent="0.2">
      <c r="A811" s="15" t="s">
        <v>78</v>
      </c>
      <c r="B811" s="15">
        <v>3731.625</v>
      </c>
      <c r="C811" s="15">
        <v>46.77</v>
      </c>
      <c r="D811" s="15">
        <v>22.509</v>
      </c>
      <c r="E811" s="15">
        <v>1.92</v>
      </c>
      <c r="F811" s="15">
        <v>173.87899999999999</v>
      </c>
      <c r="G811" s="15">
        <v>2.8119999999999998</v>
      </c>
      <c r="H811" s="15">
        <v>6.7240000000000002</v>
      </c>
      <c r="I811" s="15">
        <v>3.2839999999999998</v>
      </c>
      <c r="J811" s="15">
        <v>420.904</v>
      </c>
      <c r="K811" s="15">
        <v>491.65199999999999</v>
      </c>
      <c r="L811" s="15">
        <v>0.01</v>
      </c>
      <c r="M811" s="15">
        <v>1E-3</v>
      </c>
      <c r="N811" s="15">
        <v>100</v>
      </c>
      <c r="O811" s="15">
        <v>0.29199999999999998</v>
      </c>
      <c r="P811" s="15">
        <v>0.32700000000000001</v>
      </c>
      <c r="Q811" s="15">
        <v>0.17</v>
      </c>
      <c r="R811" s="15">
        <v>0.77700000000000002</v>
      </c>
      <c r="S811" s="15">
        <v>0.24399999999999999</v>
      </c>
      <c r="T811" s="15"/>
      <c r="U811" s="15" t="s">
        <v>33</v>
      </c>
      <c r="V811" s="15" t="s">
        <v>30</v>
      </c>
      <c r="W811" s="15">
        <v>5</v>
      </c>
      <c r="X811" s="15"/>
      <c r="Y811" s="12">
        <f t="shared" si="26"/>
        <v>0.46199999999999997</v>
      </c>
      <c r="Z811" s="15">
        <v>-3.5000000000000031E-2</v>
      </c>
    </row>
    <row r="812" spans="1:26" x14ac:dyDescent="0.2">
      <c r="A812" s="15" t="s">
        <v>78</v>
      </c>
      <c r="B812" s="15">
        <v>3731.75</v>
      </c>
      <c r="C812" s="15">
        <v>64.046000000000006</v>
      </c>
      <c r="D812" s="15">
        <v>22.506</v>
      </c>
      <c r="E812" s="15">
        <v>2.706</v>
      </c>
      <c r="F812" s="15">
        <v>181.97499999999999</v>
      </c>
      <c r="G812" s="15">
        <v>2.8</v>
      </c>
      <c r="H812" s="15">
        <v>7.3579999999999997</v>
      </c>
      <c r="I812" s="15">
        <v>3.4449999999999998</v>
      </c>
      <c r="J812" s="15">
        <v>303.18799999999999</v>
      </c>
      <c r="K812" s="15">
        <v>353.16300000000001</v>
      </c>
      <c r="L812" s="15">
        <v>0.01</v>
      </c>
      <c r="M812" s="15">
        <v>1E-3</v>
      </c>
      <c r="N812" s="15">
        <v>100</v>
      </c>
      <c r="O812" s="15">
        <v>0.45500000000000002</v>
      </c>
      <c r="P812" s="15">
        <v>0.432</v>
      </c>
      <c r="Q812" s="15">
        <v>0.27</v>
      </c>
      <c r="R812" s="15">
        <v>0.66700000000000004</v>
      </c>
      <c r="S812" s="15">
        <v>0.33600000000000002</v>
      </c>
      <c r="T812" s="15"/>
      <c r="U812" s="15" t="s">
        <v>33</v>
      </c>
      <c r="V812" s="15" t="s">
        <v>30</v>
      </c>
      <c r="W812" s="15">
        <v>5</v>
      </c>
      <c r="X812" s="15"/>
      <c r="Y812" s="12">
        <f t="shared" si="26"/>
        <v>0.72500000000000009</v>
      </c>
      <c r="Z812" s="15">
        <v>2.300000000000002E-2</v>
      </c>
    </row>
    <row r="813" spans="1:26" x14ac:dyDescent="0.2">
      <c r="A813" s="15" t="s">
        <v>79</v>
      </c>
      <c r="B813" s="15">
        <v>3382.5</v>
      </c>
      <c r="C813" s="15">
        <v>25.370999999999999</v>
      </c>
      <c r="D813" s="15">
        <v>23.503</v>
      </c>
      <c r="E813" s="15">
        <v>2.0129999999999999</v>
      </c>
      <c r="F813" s="15">
        <v>159.47499999999999</v>
      </c>
      <c r="G813" s="15">
        <v>2.8140000000000001</v>
      </c>
      <c r="H813" s="15">
        <v>1.9810000000000001</v>
      </c>
      <c r="I813" s="15">
        <v>3.6059999999999999</v>
      </c>
      <c r="J813" s="15">
        <v>933.59400000000005</v>
      </c>
      <c r="K813" s="15">
        <v>964.923</v>
      </c>
      <c r="L813" s="15">
        <v>0.01</v>
      </c>
      <c r="M813" s="15">
        <v>1E-3</v>
      </c>
      <c r="N813" s="15">
        <v>100</v>
      </c>
      <c r="O813" s="15">
        <v>9.7000000000000003E-2</v>
      </c>
      <c r="P813" s="15">
        <v>0.55900000000000005</v>
      </c>
      <c r="Q813" s="15">
        <v>0.109</v>
      </c>
      <c r="R813" s="15">
        <v>0.65100000000000002</v>
      </c>
      <c r="S813" s="15">
        <v>8.5000000000000006E-2</v>
      </c>
      <c r="T813" s="15"/>
      <c r="U813" s="15" t="s">
        <v>33</v>
      </c>
      <c r="V813" s="15" t="s">
        <v>30</v>
      </c>
      <c r="W813" s="15">
        <v>8</v>
      </c>
      <c r="X813" s="15"/>
      <c r="Y813" s="12">
        <f t="shared" si="26"/>
        <v>0.20600000000000002</v>
      </c>
      <c r="Z813" s="15">
        <v>-0.46200000000000008</v>
      </c>
    </row>
    <row r="814" spans="1:26" x14ac:dyDescent="0.2">
      <c r="A814" s="15" t="s">
        <v>79</v>
      </c>
      <c r="B814" s="15">
        <v>3382.625</v>
      </c>
      <c r="C814" s="15">
        <v>26.13</v>
      </c>
      <c r="D814" s="15">
        <v>23.434000000000001</v>
      </c>
      <c r="E814" s="15">
        <v>2.1669999999999998</v>
      </c>
      <c r="F814" s="15">
        <v>156.506</v>
      </c>
      <c r="G814" s="15">
        <v>2.8050000000000002</v>
      </c>
      <c r="H814" s="15">
        <v>2.0259999999999998</v>
      </c>
      <c r="I814" s="15">
        <v>3.4020000000000001</v>
      </c>
      <c r="J814" s="15">
        <v>1030.5519999999999</v>
      </c>
      <c r="K814" s="15">
        <v>1069.018</v>
      </c>
      <c r="L814" s="15">
        <v>0.01</v>
      </c>
      <c r="M814" s="15">
        <v>1E-3</v>
      </c>
      <c r="N814" s="15">
        <v>100</v>
      </c>
      <c r="O814" s="15">
        <v>0.105</v>
      </c>
      <c r="P814" s="15">
        <v>0.46100000000000002</v>
      </c>
      <c r="Q814" s="15">
        <v>8.1000000000000003E-2</v>
      </c>
      <c r="R814" s="15">
        <v>0.627</v>
      </c>
      <c r="S814" s="15">
        <v>8.8999999999999996E-2</v>
      </c>
      <c r="T814" s="15"/>
      <c r="U814" s="15" t="s">
        <v>33</v>
      </c>
      <c r="V814" s="15" t="s">
        <v>30</v>
      </c>
      <c r="W814" s="15">
        <v>8</v>
      </c>
      <c r="X814" s="15"/>
      <c r="Y814" s="12">
        <f t="shared" si="26"/>
        <v>0.186</v>
      </c>
      <c r="Z814" s="15">
        <v>-0.35600000000000004</v>
      </c>
    </row>
    <row r="815" spans="1:26" x14ac:dyDescent="0.2">
      <c r="A815" s="15" t="s">
        <v>79</v>
      </c>
      <c r="B815" s="15">
        <v>3382.75</v>
      </c>
      <c r="C815" s="15">
        <v>31.077000000000002</v>
      </c>
      <c r="D815" s="15">
        <v>23.350999999999999</v>
      </c>
      <c r="E815" s="15">
        <v>2.6110000000000002</v>
      </c>
      <c r="F815" s="15">
        <v>155.363</v>
      </c>
      <c r="G815" s="15">
        <v>2.8010000000000002</v>
      </c>
      <c r="H815" s="15">
        <v>2.206</v>
      </c>
      <c r="I815" s="15">
        <v>3.198</v>
      </c>
      <c r="J815" s="15">
        <v>913.25800000000004</v>
      </c>
      <c r="K815" s="15">
        <v>976.77700000000004</v>
      </c>
      <c r="L815" s="15">
        <v>0.01</v>
      </c>
      <c r="M815" s="15">
        <v>1E-3</v>
      </c>
      <c r="N815" s="15">
        <v>100</v>
      </c>
      <c r="O815" s="15">
        <v>0.14199999999999999</v>
      </c>
      <c r="P815" s="15">
        <v>0.36499999999999999</v>
      </c>
      <c r="Q815" s="15">
        <v>7.0999999999999994E-2</v>
      </c>
      <c r="R815" s="15">
        <v>0.61699999999999999</v>
      </c>
      <c r="S815" s="15">
        <v>0.10299999999999999</v>
      </c>
      <c r="T815" s="15"/>
      <c r="U815" s="15" t="s">
        <v>33</v>
      </c>
      <c r="V815" s="15" t="s">
        <v>30</v>
      </c>
      <c r="W815" s="15">
        <v>8</v>
      </c>
      <c r="X815" s="15"/>
      <c r="Y815" s="12">
        <f t="shared" si="26"/>
        <v>0.21299999999999997</v>
      </c>
      <c r="Z815" s="15">
        <v>-0.223</v>
      </c>
    </row>
    <row r="816" spans="1:26" x14ac:dyDescent="0.2">
      <c r="A816" s="15" t="s">
        <v>79</v>
      </c>
      <c r="B816" s="15">
        <v>3382.875</v>
      </c>
      <c r="C816" s="15">
        <v>39.08</v>
      </c>
      <c r="D816" s="15">
        <v>23.263000000000002</v>
      </c>
      <c r="E816" s="15">
        <v>3.1179999999999999</v>
      </c>
      <c r="F816" s="15">
        <v>155.82400000000001</v>
      </c>
      <c r="G816" s="15">
        <v>2.802</v>
      </c>
      <c r="H816" s="15">
        <v>2.6779999999999999</v>
      </c>
      <c r="I816" s="15">
        <v>3.081</v>
      </c>
      <c r="J816" s="15">
        <v>675.68499999999995</v>
      </c>
      <c r="K816" s="15">
        <v>751.21600000000001</v>
      </c>
      <c r="L816" s="15">
        <v>0.01</v>
      </c>
      <c r="M816" s="15">
        <v>1E-3</v>
      </c>
      <c r="N816" s="15">
        <v>100</v>
      </c>
      <c r="O816" s="15">
        <v>0.2</v>
      </c>
      <c r="P816" s="15">
        <v>0.313</v>
      </c>
      <c r="Q816" s="15">
        <v>7.6999999999999999E-2</v>
      </c>
      <c r="R816" s="15">
        <v>0.621</v>
      </c>
      <c r="S816" s="15">
        <v>0.13800000000000001</v>
      </c>
      <c r="T816" s="15"/>
      <c r="U816" s="15" t="s">
        <v>33</v>
      </c>
      <c r="V816" s="15" t="s">
        <v>30</v>
      </c>
      <c r="W816" s="15">
        <v>8</v>
      </c>
      <c r="X816" s="15"/>
      <c r="Y816" s="12">
        <f t="shared" si="26"/>
        <v>0.27700000000000002</v>
      </c>
      <c r="Z816" s="15">
        <v>-0.11299999999999999</v>
      </c>
    </row>
    <row r="817" spans="1:26" x14ac:dyDescent="0.2">
      <c r="A817" s="15" t="s">
        <v>79</v>
      </c>
      <c r="B817" s="15">
        <v>3383</v>
      </c>
      <c r="C817" s="15">
        <v>48.252000000000002</v>
      </c>
      <c r="D817" s="15">
        <v>23.202000000000002</v>
      </c>
      <c r="E817" s="15">
        <v>3.3980000000000001</v>
      </c>
      <c r="F817" s="15">
        <v>157.99100000000001</v>
      </c>
      <c r="G817" s="15">
        <v>2.8090000000000002</v>
      </c>
      <c r="H817" s="15">
        <v>3.4489999999999998</v>
      </c>
      <c r="I817" s="15">
        <v>3.0779999999999998</v>
      </c>
      <c r="J817" s="15">
        <v>464.815</v>
      </c>
      <c r="K817" s="15">
        <v>530.53399999999999</v>
      </c>
      <c r="L817" s="15">
        <v>0.01</v>
      </c>
      <c r="M817" s="15">
        <v>1E-3</v>
      </c>
      <c r="N817" s="15">
        <v>100</v>
      </c>
      <c r="O817" s="15">
        <v>0.26600000000000001</v>
      </c>
      <c r="P817" s="15">
        <v>0.313</v>
      </c>
      <c r="Q817" s="15">
        <v>9.9000000000000005E-2</v>
      </c>
      <c r="R817" s="15">
        <v>0.64</v>
      </c>
      <c r="S817" s="15">
        <v>0.19500000000000001</v>
      </c>
      <c r="T817" s="15"/>
      <c r="U817" s="15" t="s">
        <v>33</v>
      </c>
      <c r="V817" s="15" t="s">
        <v>30</v>
      </c>
      <c r="W817" s="15">
        <v>8</v>
      </c>
      <c r="X817" s="15"/>
      <c r="Y817" s="12">
        <f t="shared" si="26"/>
        <v>0.36499999999999999</v>
      </c>
      <c r="Z817" s="15">
        <v>-4.6999999999999986E-2</v>
      </c>
    </row>
    <row r="818" spans="1:26" x14ac:dyDescent="0.2">
      <c r="A818" s="15" t="s">
        <v>79</v>
      </c>
      <c r="B818" s="15">
        <v>3383.875</v>
      </c>
      <c r="C818" s="15">
        <v>45.945</v>
      </c>
      <c r="D818" s="15">
        <v>23.367999999999999</v>
      </c>
      <c r="E818" s="15">
        <v>3.2949999999999999</v>
      </c>
      <c r="F818" s="15">
        <v>168.77199999999999</v>
      </c>
      <c r="G818" s="15">
        <v>2.802</v>
      </c>
      <c r="H818" s="15">
        <v>3.6909999999999998</v>
      </c>
      <c r="I818" s="15">
        <v>3.2810000000000001</v>
      </c>
      <c r="J818" s="15">
        <v>291.35899999999998</v>
      </c>
      <c r="K818" s="15">
        <v>315.08600000000001</v>
      </c>
      <c r="L818" s="15">
        <v>0.01</v>
      </c>
      <c r="M818" s="15">
        <v>1E-3</v>
      </c>
      <c r="N818" s="15">
        <v>100</v>
      </c>
      <c r="O818" s="15">
        <v>0.24099999999999999</v>
      </c>
      <c r="P818" s="15">
        <v>0.40899999999999997</v>
      </c>
      <c r="Q818" s="15">
        <v>0.20100000000000001</v>
      </c>
      <c r="R818" s="15">
        <v>0.62</v>
      </c>
      <c r="S818" s="15">
        <v>0.20399999999999999</v>
      </c>
      <c r="T818" s="15"/>
      <c r="U818" s="15" t="s">
        <v>33</v>
      </c>
      <c r="V818" s="15" t="s">
        <v>30</v>
      </c>
      <c r="W818" s="15">
        <v>10</v>
      </c>
      <c r="X818" s="15"/>
      <c r="Y818" s="12">
        <f t="shared" si="26"/>
        <v>0.442</v>
      </c>
      <c r="Z818" s="15">
        <v>-0.16799999999999998</v>
      </c>
    </row>
    <row r="819" spans="1:26" x14ac:dyDescent="0.2">
      <c r="A819" s="15" t="s">
        <v>79</v>
      </c>
      <c r="B819" s="15">
        <v>3384</v>
      </c>
      <c r="C819" s="15">
        <v>39.064999999999998</v>
      </c>
      <c r="D819" s="15">
        <v>23.359000000000002</v>
      </c>
      <c r="E819" s="15">
        <v>2.7559999999999998</v>
      </c>
      <c r="F819" s="15">
        <v>165.66900000000001</v>
      </c>
      <c r="G819" s="15">
        <v>2.8010000000000002</v>
      </c>
      <c r="H819" s="15">
        <v>3.2170000000000001</v>
      </c>
      <c r="I819" s="15">
        <v>3.282</v>
      </c>
      <c r="J819" s="15">
        <v>315.39299999999997</v>
      </c>
      <c r="K819" s="15">
        <v>344.46600000000001</v>
      </c>
      <c r="L819" s="15">
        <v>0.01</v>
      </c>
      <c r="M819" s="15">
        <v>1E-3</v>
      </c>
      <c r="N819" s="15">
        <v>100</v>
      </c>
      <c r="O819" s="15">
        <v>0.19500000000000001</v>
      </c>
      <c r="P819" s="15">
        <v>0.40899999999999997</v>
      </c>
      <c r="Q819" s="15">
        <v>0.17299999999999999</v>
      </c>
      <c r="R819" s="15">
        <v>0.61799999999999999</v>
      </c>
      <c r="S819" s="15">
        <v>0.17100000000000001</v>
      </c>
      <c r="T819" s="15"/>
      <c r="U819" s="15" t="s">
        <v>33</v>
      </c>
      <c r="V819" s="15" t="s">
        <v>30</v>
      </c>
      <c r="W819" s="15">
        <v>10</v>
      </c>
      <c r="X819" s="15"/>
      <c r="Y819" s="12">
        <f t="shared" si="26"/>
        <v>0.36799999999999999</v>
      </c>
      <c r="Z819" s="15">
        <v>-0.21399999999999997</v>
      </c>
    </row>
    <row r="820" spans="1:26" x14ac:dyDescent="0.2">
      <c r="A820" s="15" t="s">
        <v>79</v>
      </c>
      <c r="B820" s="15">
        <v>3384.125</v>
      </c>
      <c r="C820" s="15">
        <v>38.081000000000003</v>
      </c>
      <c r="D820" s="15">
        <v>23.283000000000001</v>
      </c>
      <c r="E820" s="15">
        <v>2.621</v>
      </c>
      <c r="F820" s="15">
        <v>166.34299999999999</v>
      </c>
      <c r="G820" s="15">
        <v>2.806</v>
      </c>
      <c r="H820" s="15">
        <v>2.8959999999999999</v>
      </c>
      <c r="I820" s="15">
        <v>3.2669999999999999</v>
      </c>
      <c r="J820" s="15">
        <v>308.89999999999998</v>
      </c>
      <c r="K820" s="15">
        <v>344.15199999999999</v>
      </c>
      <c r="L820" s="15">
        <v>0.01</v>
      </c>
      <c r="M820" s="15">
        <v>1E-3</v>
      </c>
      <c r="N820" s="15">
        <v>100</v>
      </c>
      <c r="O820" s="15">
        <v>0.19</v>
      </c>
      <c r="P820" s="15">
        <v>0.40100000000000002</v>
      </c>
      <c r="Q820" s="15">
        <v>0.182</v>
      </c>
      <c r="R820" s="15">
        <v>0.63200000000000001</v>
      </c>
      <c r="S820" s="15">
        <v>0.14899999999999999</v>
      </c>
      <c r="T820" s="15"/>
      <c r="U820" s="15" t="s">
        <v>33</v>
      </c>
      <c r="V820" s="15" t="s">
        <v>30</v>
      </c>
      <c r="W820" s="15">
        <v>10</v>
      </c>
      <c r="X820" s="15"/>
      <c r="Y820" s="12">
        <f t="shared" si="26"/>
        <v>0.372</v>
      </c>
      <c r="Z820" s="15">
        <v>-0.21100000000000002</v>
      </c>
    </row>
    <row r="821" spans="1:26" x14ac:dyDescent="0.2">
      <c r="A821" s="15" t="s">
        <v>79</v>
      </c>
      <c r="B821" s="15">
        <v>3384.25</v>
      </c>
      <c r="C821" s="15">
        <v>41.981999999999999</v>
      </c>
      <c r="D821" s="15">
        <v>23.225999999999999</v>
      </c>
      <c r="E821" s="15">
        <v>2.85</v>
      </c>
      <c r="F821" s="15">
        <v>170.60300000000001</v>
      </c>
      <c r="G821" s="15">
        <v>2.8109999999999999</v>
      </c>
      <c r="H821" s="15">
        <v>2.746</v>
      </c>
      <c r="I821" s="15">
        <v>3.2109999999999999</v>
      </c>
      <c r="J821" s="15">
        <v>274.14800000000002</v>
      </c>
      <c r="K821" s="15">
        <v>313.52999999999997</v>
      </c>
      <c r="L821" s="15">
        <v>0.01</v>
      </c>
      <c r="M821" s="15">
        <v>1E-3</v>
      </c>
      <c r="N821" s="15">
        <v>100</v>
      </c>
      <c r="O821" s="15">
        <v>0.219</v>
      </c>
      <c r="P821" s="15">
        <v>0.373</v>
      </c>
      <c r="Q821" s="15">
        <v>0.22500000000000001</v>
      </c>
      <c r="R821" s="15">
        <v>0.64500000000000002</v>
      </c>
      <c r="S821" s="15">
        <v>0.14000000000000001</v>
      </c>
      <c r="T821" s="15"/>
      <c r="U821" s="15" t="s">
        <v>33</v>
      </c>
      <c r="V821" s="15" t="s">
        <v>30</v>
      </c>
      <c r="W821" s="15">
        <v>10</v>
      </c>
      <c r="X821" s="15"/>
      <c r="Y821" s="12">
        <f t="shared" si="26"/>
        <v>0.44400000000000001</v>
      </c>
      <c r="Z821" s="15">
        <v>-0.154</v>
      </c>
    </row>
    <row r="822" spans="1:26" x14ac:dyDescent="0.2">
      <c r="A822" s="15" t="s">
        <v>79</v>
      </c>
      <c r="B822" s="15">
        <v>3384.375</v>
      </c>
      <c r="C822" s="15">
        <v>47.805999999999997</v>
      </c>
      <c r="D822" s="15">
        <v>23.266999999999999</v>
      </c>
      <c r="E822" s="15">
        <v>3.3919999999999999</v>
      </c>
      <c r="F822" s="15">
        <v>175.499</v>
      </c>
      <c r="G822" s="15">
        <v>2.8140000000000001</v>
      </c>
      <c r="H822" s="15">
        <v>2.774</v>
      </c>
      <c r="I822" s="15">
        <v>3.1309999999999998</v>
      </c>
      <c r="J822" s="15">
        <v>228.20400000000001</v>
      </c>
      <c r="K822" s="15">
        <v>267.93900000000002</v>
      </c>
      <c r="L822" s="15">
        <v>0.01</v>
      </c>
      <c r="M822" s="15">
        <v>1E-3</v>
      </c>
      <c r="N822" s="15">
        <v>100</v>
      </c>
      <c r="O822" s="15">
        <v>0.26100000000000001</v>
      </c>
      <c r="P822" s="15">
        <v>0.33600000000000002</v>
      </c>
      <c r="Q822" s="15">
        <v>0.27100000000000002</v>
      </c>
      <c r="R822" s="15">
        <v>0.65300000000000002</v>
      </c>
      <c r="S822" s="15">
        <v>0.14299999999999999</v>
      </c>
      <c r="T822" s="15"/>
      <c r="U822" s="15" t="s">
        <v>33</v>
      </c>
      <c r="V822" s="15" t="s">
        <v>30</v>
      </c>
      <c r="W822" s="15">
        <v>10</v>
      </c>
      <c r="X822" s="15"/>
      <c r="Y822" s="12">
        <f t="shared" si="26"/>
        <v>0.53200000000000003</v>
      </c>
      <c r="Z822" s="15">
        <v>-7.5000000000000011E-2</v>
      </c>
    </row>
    <row r="823" spans="1:26" x14ac:dyDescent="0.2">
      <c r="A823" s="15" t="s">
        <v>79</v>
      </c>
      <c r="B823" s="15">
        <v>3384.5</v>
      </c>
      <c r="C823" s="15">
        <v>52.322000000000003</v>
      </c>
      <c r="D823" s="15">
        <v>23.387</v>
      </c>
      <c r="E823" s="15">
        <v>4</v>
      </c>
      <c r="F823" s="15">
        <v>178.17400000000001</v>
      </c>
      <c r="G823" s="15">
        <v>2.8159999999999998</v>
      </c>
      <c r="H823" s="15">
        <v>3.0369999999999999</v>
      </c>
      <c r="I823" s="15">
        <v>3.11</v>
      </c>
      <c r="J823" s="15">
        <v>190.48</v>
      </c>
      <c r="K823" s="15">
        <v>227.58</v>
      </c>
      <c r="L823" s="15">
        <v>0.01</v>
      </c>
      <c r="M823" s="15">
        <v>1E-3</v>
      </c>
      <c r="N823" s="15">
        <v>100</v>
      </c>
      <c r="O823" s="15">
        <v>0.29199999999999998</v>
      </c>
      <c r="P823" s="15">
        <v>0.32900000000000001</v>
      </c>
      <c r="Q823" s="15">
        <v>0.29499999999999998</v>
      </c>
      <c r="R823" s="15">
        <v>0.65800000000000003</v>
      </c>
      <c r="S823" s="15">
        <v>0.16400000000000001</v>
      </c>
      <c r="T823" s="15"/>
      <c r="U823" s="15" t="s">
        <v>33</v>
      </c>
      <c r="V823" s="15" t="s">
        <v>30</v>
      </c>
      <c r="W823" s="15">
        <v>10</v>
      </c>
      <c r="X823" s="15"/>
      <c r="Y823" s="12">
        <f t="shared" si="26"/>
        <v>0.58699999999999997</v>
      </c>
      <c r="Z823" s="15">
        <v>-3.7000000000000033E-2</v>
      </c>
    </row>
    <row r="824" spans="1:26" x14ac:dyDescent="0.2">
      <c r="A824" s="15" t="s">
        <v>79</v>
      </c>
      <c r="B824" s="15">
        <v>3384.625</v>
      </c>
      <c r="C824" s="15">
        <v>54.188000000000002</v>
      </c>
      <c r="D824" s="15">
        <v>23.463000000000001</v>
      </c>
      <c r="E824" s="15">
        <v>4.399</v>
      </c>
      <c r="F824" s="15">
        <v>176.90199999999999</v>
      </c>
      <c r="G824" s="15">
        <v>2.819</v>
      </c>
      <c r="H824" s="15">
        <v>3.7360000000000002</v>
      </c>
      <c r="I824" s="15">
        <v>3.153</v>
      </c>
      <c r="J824" s="15">
        <v>165.84</v>
      </c>
      <c r="K824" s="15">
        <v>199.554</v>
      </c>
      <c r="L824" s="15">
        <v>0.01</v>
      </c>
      <c r="M824" s="15">
        <v>1E-3</v>
      </c>
      <c r="N824" s="15">
        <v>100</v>
      </c>
      <c r="O824" s="15">
        <v>0.30399999999999999</v>
      </c>
      <c r="P824" s="15">
        <v>0.33600000000000002</v>
      </c>
      <c r="Q824" s="15">
        <v>0.28000000000000003</v>
      </c>
      <c r="R824" s="15">
        <v>0.66600000000000004</v>
      </c>
      <c r="S824" s="15">
        <v>0.216</v>
      </c>
      <c r="T824" s="15"/>
      <c r="U824" s="15" t="s">
        <v>33</v>
      </c>
      <c r="V824" s="15" t="s">
        <v>30</v>
      </c>
      <c r="W824" s="15">
        <v>10</v>
      </c>
      <c r="X824" s="15"/>
      <c r="Y824" s="12">
        <f t="shared" si="26"/>
        <v>0.58400000000000007</v>
      </c>
      <c r="Z824" s="15">
        <v>-3.2000000000000028E-2</v>
      </c>
    </row>
    <row r="825" spans="1:26" x14ac:dyDescent="0.2">
      <c r="A825" s="15" t="s">
        <v>79</v>
      </c>
      <c r="B825" s="15">
        <v>3384.75</v>
      </c>
      <c r="C825" s="15">
        <v>54.055999999999997</v>
      </c>
      <c r="D825" s="15">
        <v>23.419</v>
      </c>
      <c r="E825" s="15">
        <v>4.6559999999999997</v>
      </c>
      <c r="F825" s="15">
        <v>171.96799999999999</v>
      </c>
      <c r="G825" s="15">
        <v>2.8210000000000002</v>
      </c>
      <c r="H825" s="15">
        <v>4.97</v>
      </c>
      <c r="I825" s="15">
        <v>2.8039999999999998</v>
      </c>
      <c r="J825" s="15">
        <v>147.52500000000001</v>
      </c>
      <c r="K825" s="15">
        <v>178.66900000000001</v>
      </c>
      <c r="L825" s="15">
        <v>0.01</v>
      </c>
      <c r="M825" s="15">
        <v>1E-3</v>
      </c>
      <c r="N825" s="15">
        <v>100</v>
      </c>
      <c r="O825" s="15">
        <v>0.30399999999999999</v>
      </c>
      <c r="P825" s="15">
        <v>0.17599999999999999</v>
      </c>
      <c r="Q825" s="15">
        <v>0.23300000000000001</v>
      </c>
      <c r="R825" s="15">
        <v>0.67200000000000004</v>
      </c>
      <c r="S825" s="15">
        <v>0.30599999999999999</v>
      </c>
      <c r="T825" s="15"/>
      <c r="U825" s="15" t="s">
        <v>33</v>
      </c>
      <c r="V825" s="15" t="s">
        <v>30</v>
      </c>
      <c r="W825" s="15">
        <v>10</v>
      </c>
      <c r="X825" s="15"/>
      <c r="Y825" s="12">
        <f t="shared" si="26"/>
        <v>0.53700000000000003</v>
      </c>
      <c r="Z825" s="15">
        <v>0.128</v>
      </c>
    </row>
    <row r="826" spans="1:26" x14ac:dyDescent="0.2">
      <c r="A826" s="15" t="s">
        <v>79</v>
      </c>
      <c r="B826" s="15">
        <v>3384.875</v>
      </c>
      <c r="C826" s="15">
        <v>55.965000000000003</v>
      </c>
      <c r="D826" s="15">
        <v>23.31</v>
      </c>
      <c r="E826" s="15">
        <v>5.1239999999999997</v>
      </c>
      <c r="F826" s="15">
        <v>169.995</v>
      </c>
      <c r="G826" s="15">
        <v>2.823</v>
      </c>
      <c r="H826" s="15">
        <v>6.49</v>
      </c>
      <c r="I826" s="15">
        <v>2.6880000000000002</v>
      </c>
      <c r="J826" s="15">
        <v>125.337</v>
      </c>
      <c r="K826" s="15">
        <v>153.81299999999999</v>
      </c>
      <c r="L826" s="15">
        <v>0.01</v>
      </c>
      <c r="M826" s="15">
        <v>1E-3</v>
      </c>
      <c r="N826" s="15">
        <v>100</v>
      </c>
      <c r="O826" s="15">
        <v>0.32200000000000001</v>
      </c>
      <c r="P826" s="15">
        <v>0.12</v>
      </c>
      <c r="Q826" s="15">
        <v>0.219</v>
      </c>
      <c r="R826" s="15">
        <v>0.67400000000000004</v>
      </c>
      <c r="S826" s="15">
        <v>0.41399999999999998</v>
      </c>
      <c r="T826" s="15"/>
      <c r="U826" s="15" t="s">
        <v>33</v>
      </c>
      <c r="V826" s="15" t="s">
        <v>30</v>
      </c>
      <c r="W826" s="15">
        <v>10</v>
      </c>
      <c r="X826" s="15"/>
      <c r="Y826" s="12">
        <f t="shared" si="26"/>
        <v>0.54100000000000004</v>
      </c>
      <c r="Z826" s="15">
        <v>0.20200000000000001</v>
      </c>
    </row>
    <row r="827" spans="1:26" x14ac:dyDescent="0.2">
      <c r="A827" s="15" t="s">
        <v>79</v>
      </c>
      <c r="B827" s="15">
        <v>3385</v>
      </c>
      <c r="C827" s="15">
        <v>65.566000000000003</v>
      </c>
      <c r="D827" s="15">
        <v>23.187000000000001</v>
      </c>
      <c r="E827" s="15">
        <v>5.8090000000000002</v>
      </c>
      <c r="F827" s="15">
        <v>175.30099999999999</v>
      </c>
      <c r="G827" s="15">
        <v>2.8079999999999998</v>
      </c>
      <c r="H827" s="15">
        <v>7.931</v>
      </c>
      <c r="I827" s="15">
        <v>2.5710000000000002</v>
      </c>
      <c r="J827" s="15">
        <v>96.861000000000004</v>
      </c>
      <c r="K827" s="15">
        <v>120.69499999999999</v>
      </c>
      <c r="L827" s="15">
        <v>0.01</v>
      </c>
      <c r="M827" s="15">
        <v>1E-3</v>
      </c>
      <c r="N827" s="15">
        <v>100</v>
      </c>
      <c r="O827" s="15">
        <v>0.39800000000000002</v>
      </c>
      <c r="P827" s="15">
        <v>6.4000000000000001E-2</v>
      </c>
      <c r="Q827" s="15">
        <v>0.27600000000000002</v>
      </c>
      <c r="R827" s="15">
        <v>0.624</v>
      </c>
      <c r="S827" s="15">
        <v>0.51600000000000001</v>
      </c>
      <c r="T827" s="15"/>
      <c r="U827" s="15" t="s">
        <v>33</v>
      </c>
      <c r="V827" s="15" t="s">
        <v>30</v>
      </c>
      <c r="W827" s="15">
        <v>10</v>
      </c>
      <c r="X827" s="15"/>
      <c r="Y827" s="12">
        <f t="shared" si="26"/>
        <v>0.67400000000000004</v>
      </c>
      <c r="Z827" s="15">
        <v>0.33400000000000002</v>
      </c>
    </row>
    <row r="828" spans="1:26" x14ac:dyDescent="0.2">
      <c r="A828" s="15" t="s">
        <v>79</v>
      </c>
      <c r="B828" s="15">
        <v>3385.125</v>
      </c>
      <c r="C828" s="15">
        <v>87.204999999999998</v>
      </c>
      <c r="D828" s="15">
        <v>23.151</v>
      </c>
      <c r="E828" s="15">
        <v>6.3940000000000001</v>
      </c>
      <c r="F828" s="15">
        <v>187.7</v>
      </c>
      <c r="G828" s="15">
        <v>2.7480000000000002</v>
      </c>
      <c r="H828" s="15">
        <v>9.0739999999999998</v>
      </c>
      <c r="I828" s="15">
        <v>2.46</v>
      </c>
      <c r="J828" s="15">
        <v>68.965999999999994</v>
      </c>
      <c r="K828" s="15">
        <v>86.314999999999998</v>
      </c>
      <c r="L828" s="15">
        <v>0.01</v>
      </c>
      <c r="M828" s="15">
        <v>1E-3</v>
      </c>
      <c r="N828" s="15">
        <v>100</v>
      </c>
      <c r="O828" s="15">
        <v>0.55700000000000005</v>
      </c>
      <c r="P828" s="15">
        <v>1.2999999999999999E-2</v>
      </c>
      <c r="Q828" s="15">
        <v>0.40400000000000003</v>
      </c>
      <c r="R828" s="15">
        <v>0.46800000000000003</v>
      </c>
      <c r="S828" s="15">
        <v>0.59699999999999998</v>
      </c>
      <c r="T828" s="15"/>
      <c r="U828" s="15" t="s">
        <v>33</v>
      </c>
      <c r="V828" s="15" t="s">
        <v>30</v>
      </c>
      <c r="W828" s="15">
        <v>10</v>
      </c>
      <c r="X828" s="15"/>
      <c r="Y828" s="12">
        <f t="shared" si="26"/>
        <v>0.96100000000000008</v>
      </c>
      <c r="Z828" s="15">
        <v>0.54400000000000004</v>
      </c>
    </row>
    <row r="829" spans="1:26" x14ac:dyDescent="0.2">
      <c r="A829" s="15" t="s">
        <v>80</v>
      </c>
      <c r="B829" s="15">
        <v>3439.5</v>
      </c>
      <c r="C829" s="15">
        <v>50.579000000000001</v>
      </c>
      <c r="D829" s="15">
        <v>22.986000000000001</v>
      </c>
      <c r="E829" s="15">
        <v>4.4859999999999998</v>
      </c>
      <c r="F829" s="15">
        <v>157.411</v>
      </c>
      <c r="G829" s="15">
        <v>2.778</v>
      </c>
      <c r="H829" s="15">
        <v>8.8190000000000008</v>
      </c>
      <c r="I829" s="15">
        <v>3.0409999999999999</v>
      </c>
      <c r="J829" s="15">
        <v>366.387</v>
      </c>
      <c r="K829" s="15">
        <v>670.11199999999997</v>
      </c>
      <c r="L829" s="15">
        <v>0.01</v>
      </c>
      <c r="M829" s="15">
        <v>1E-3</v>
      </c>
      <c r="N829" s="15">
        <v>100</v>
      </c>
      <c r="O829" s="15">
        <v>0.309</v>
      </c>
      <c r="P829" s="15">
        <v>0.16600000000000001</v>
      </c>
      <c r="Q829" s="15">
        <v>9.1999999999999998E-2</v>
      </c>
      <c r="R829" s="15">
        <v>0.60399999999999998</v>
      </c>
      <c r="S829" s="15">
        <v>0.69699999999999995</v>
      </c>
      <c r="T829" s="15"/>
      <c r="U829" s="15" t="s">
        <v>22</v>
      </c>
      <c r="V829" s="15" t="s">
        <v>30</v>
      </c>
      <c r="W829" s="15">
        <v>2</v>
      </c>
      <c r="X829" s="15"/>
      <c r="Y829" s="12">
        <f t="shared" si="26"/>
        <v>0.40100000000000002</v>
      </c>
      <c r="Z829" s="15">
        <v>0.14299999999999999</v>
      </c>
    </row>
    <row r="830" spans="1:26" x14ac:dyDescent="0.2">
      <c r="A830" s="15" t="s">
        <v>80</v>
      </c>
      <c r="B830" s="15">
        <v>3439.625</v>
      </c>
      <c r="C830" s="15">
        <v>30.186</v>
      </c>
      <c r="D830" s="15">
        <v>22.986999999999998</v>
      </c>
      <c r="E830" s="15">
        <v>2.798</v>
      </c>
      <c r="F830" s="15">
        <v>154.47399999999999</v>
      </c>
      <c r="G830" s="15">
        <v>2.7770000000000001</v>
      </c>
      <c r="H830" s="15">
        <v>8.1649999999999991</v>
      </c>
      <c r="I830" s="15">
        <v>3.1339999999999999</v>
      </c>
      <c r="J830" s="15">
        <v>430.024</v>
      </c>
      <c r="K830" s="15">
        <v>814.22</v>
      </c>
      <c r="L830" s="15">
        <v>0.01</v>
      </c>
      <c r="M830" s="15">
        <v>1E-3</v>
      </c>
      <c r="N830" s="15">
        <v>100</v>
      </c>
      <c r="O830" s="15">
        <v>0.153</v>
      </c>
      <c r="P830" s="15">
        <v>0.20399999999999999</v>
      </c>
      <c r="Q830" s="15">
        <v>4.4999999999999998E-2</v>
      </c>
      <c r="R830" s="15">
        <v>0.60199999999999998</v>
      </c>
      <c r="S830" s="15">
        <v>0.65300000000000002</v>
      </c>
      <c r="T830" s="15" t="s">
        <v>23</v>
      </c>
      <c r="U830" s="15" t="s">
        <v>22</v>
      </c>
      <c r="V830" s="15" t="s">
        <v>30</v>
      </c>
      <c r="W830" s="15">
        <v>2</v>
      </c>
      <c r="X830" s="15"/>
      <c r="Y830" s="12">
        <f t="shared" si="26"/>
        <v>0.19800000000000001</v>
      </c>
      <c r="Z830" s="15">
        <v>-5.099999999999999E-2</v>
      </c>
    </row>
    <row r="831" spans="1:26" x14ac:dyDescent="0.2">
      <c r="A831" s="15" t="s">
        <v>80</v>
      </c>
      <c r="B831" s="15">
        <v>3439.75</v>
      </c>
      <c r="C831" s="15">
        <v>20.073</v>
      </c>
      <c r="D831" s="15">
        <v>22.998000000000001</v>
      </c>
      <c r="E831" s="15">
        <v>1.7270000000000001</v>
      </c>
      <c r="F831" s="15">
        <v>152.643</v>
      </c>
      <c r="G831" s="15">
        <v>2.7730000000000001</v>
      </c>
      <c r="H831" s="15">
        <v>7.1639999999999997</v>
      </c>
      <c r="I831" s="15">
        <v>3.2610000000000001</v>
      </c>
      <c r="J831" s="15">
        <v>433.47</v>
      </c>
      <c r="K831" s="15">
        <v>824.82</v>
      </c>
      <c r="L831" s="15">
        <v>0.01</v>
      </c>
      <c r="M831" s="15">
        <v>1E-3</v>
      </c>
      <c r="N831" s="15">
        <v>100</v>
      </c>
      <c r="O831" s="15">
        <v>6.5000000000000002E-2</v>
      </c>
      <c r="P831" s="15">
        <v>0.25800000000000001</v>
      </c>
      <c r="Q831" s="15">
        <v>1.2999999999999999E-2</v>
      </c>
      <c r="R831" s="15">
        <v>0.59299999999999997</v>
      </c>
      <c r="S831" s="15">
        <v>0.57699999999999996</v>
      </c>
      <c r="T831" s="15" t="s">
        <v>23</v>
      </c>
      <c r="U831" s="15" t="s">
        <v>22</v>
      </c>
      <c r="V831" s="15" t="s">
        <v>30</v>
      </c>
      <c r="W831" s="15">
        <v>2</v>
      </c>
      <c r="X831" s="15"/>
      <c r="Y831" s="12">
        <f t="shared" si="26"/>
        <v>7.8E-2</v>
      </c>
      <c r="Z831" s="15">
        <v>-0.193</v>
      </c>
    </row>
    <row r="832" spans="1:26" x14ac:dyDescent="0.2">
      <c r="A832" s="15" t="s">
        <v>80</v>
      </c>
      <c r="B832" s="15">
        <v>3439.875</v>
      </c>
      <c r="C832" s="15">
        <v>17.672000000000001</v>
      </c>
      <c r="D832" s="15">
        <v>23.010999999999999</v>
      </c>
      <c r="E832" s="15">
        <v>1.3959999999999999</v>
      </c>
      <c r="F832" s="15">
        <v>152.13</v>
      </c>
      <c r="G832" s="15">
        <v>2.7650000000000001</v>
      </c>
      <c r="H832" s="15">
        <v>6.0380000000000003</v>
      </c>
      <c r="I832" s="15">
        <v>3.399</v>
      </c>
      <c r="J832" s="15">
        <v>392.63799999999998</v>
      </c>
      <c r="K832" s="15">
        <v>733.22</v>
      </c>
      <c r="L832" s="15">
        <v>2.7959999999999998</v>
      </c>
      <c r="M832" s="15">
        <v>0.01</v>
      </c>
      <c r="N832" s="15">
        <v>41.46</v>
      </c>
      <c r="O832" s="15">
        <v>3.6999999999999998E-2</v>
      </c>
      <c r="P832" s="15">
        <v>0.32</v>
      </c>
      <c r="Q832" s="15">
        <v>2E-3</v>
      </c>
      <c r="R832" s="15">
        <v>0.57399999999999995</v>
      </c>
      <c r="S832" s="15">
        <v>0.48699999999999999</v>
      </c>
      <c r="T832" s="15" t="s">
        <v>23</v>
      </c>
      <c r="U832" s="15" t="s">
        <v>22</v>
      </c>
      <c r="V832" s="15" t="s">
        <v>30</v>
      </c>
      <c r="W832" s="15">
        <v>2</v>
      </c>
      <c r="X832" s="15"/>
      <c r="Y832" s="12">
        <f t="shared" si="26"/>
        <v>3.9E-2</v>
      </c>
      <c r="Z832" s="15">
        <v>-0.28300000000000003</v>
      </c>
    </row>
    <row r="833" spans="1:26" x14ac:dyDescent="0.2">
      <c r="A833" s="15" t="s">
        <v>80</v>
      </c>
      <c r="B833" s="15">
        <v>3440</v>
      </c>
      <c r="C833" s="15">
        <v>18.239000000000001</v>
      </c>
      <c r="D833" s="15">
        <v>23.018000000000001</v>
      </c>
      <c r="E833" s="15">
        <v>1.359</v>
      </c>
      <c r="F833" s="15">
        <v>152.423</v>
      </c>
      <c r="G833" s="15">
        <v>2.7549999999999999</v>
      </c>
      <c r="H833" s="15">
        <v>5.1779999999999999</v>
      </c>
      <c r="I833" s="15">
        <v>3.5169999999999999</v>
      </c>
      <c r="J833" s="15">
        <v>348.173</v>
      </c>
      <c r="K833" s="15">
        <v>634.00099999999998</v>
      </c>
      <c r="L833" s="15">
        <v>1.982</v>
      </c>
      <c r="M833" s="15">
        <v>0.01</v>
      </c>
      <c r="N833" s="15">
        <v>55.241999999999997</v>
      </c>
      <c r="O833" s="15">
        <v>3.6999999999999998E-2</v>
      </c>
      <c r="P833" s="15">
        <v>0.375</v>
      </c>
      <c r="Q833" s="15">
        <v>4.0000000000000001E-3</v>
      </c>
      <c r="R833" s="15">
        <v>0.55000000000000004</v>
      </c>
      <c r="S833" s="15">
        <v>0.41299999999999998</v>
      </c>
      <c r="T833" s="15" t="s">
        <v>23</v>
      </c>
      <c r="U833" s="15" t="s">
        <v>22</v>
      </c>
      <c r="V833" s="15" t="s">
        <v>30</v>
      </c>
      <c r="W833" s="15">
        <v>2</v>
      </c>
      <c r="X833" s="15"/>
      <c r="Y833" s="12">
        <f t="shared" si="26"/>
        <v>4.0999999999999995E-2</v>
      </c>
      <c r="Z833" s="15">
        <v>-0.33800000000000002</v>
      </c>
    </row>
    <row r="834" spans="1:26" x14ac:dyDescent="0.2">
      <c r="A834" s="15" t="s">
        <v>80</v>
      </c>
      <c r="B834" s="15">
        <v>3440.125</v>
      </c>
      <c r="C834" s="15">
        <v>20.273</v>
      </c>
      <c r="D834" s="15">
        <v>23.027000000000001</v>
      </c>
      <c r="E834" s="15">
        <v>1.3580000000000001</v>
      </c>
      <c r="F834" s="15">
        <v>153.21600000000001</v>
      </c>
      <c r="G834" s="15">
        <v>2.7440000000000002</v>
      </c>
      <c r="H834" s="15">
        <v>4.71</v>
      </c>
      <c r="I834" s="15">
        <v>3.5779999999999998</v>
      </c>
      <c r="J834" s="15">
        <v>313.26299999999998</v>
      </c>
      <c r="K834" s="15">
        <v>558.08600000000001</v>
      </c>
      <c r="L834" s="15">
        <v>1.109</v>
      </c>
      <c r="M834" s="15">
        <v>0.01</v>
      </c>
      <c r="N834" s="15">
        <v>95.34</v>
      </c>
      <c r="O834" s="15">
        <v>4.9000000000000002E-2</v>
      </c>
      <c r="P834" s="15">
        <v>0.40799999999999997</v>
      </c>
      <c r="Q834" s="15">
        <v>1.4E-2</v>
      </c>
      <c r="R834" s="15">
        <v>0.52200000000000002</v>
      </c>
      <c r="S834" s="15">
        <v>0.36899999999999999</v>
      </c>
      <c r="T834" s="15" t="s">
        <v>23</v>
      </c>
      <c r="U834" s="15" t="s">
        <v>22</v>
      </c>
      <c r="V834" s="15" t="s">
        <v>30</v>
      </c>
      <c r="W834" s="15">
        <v>2</v>
      </c>
      <c r="X834" s="15"/>
      <c r="Y834" s="12">
        <f t="shared" si="26"/>
        <v>6.3E-2</v>
      </c>
      <c r="Z834" s="15">
        <v>-0.35899999999999999</v>
      </c>
    </row>
    <row r="835" spans="1:26" x14ac:dyDescent="0.2">
      <c r="A835" s="15" t="s">
        <v>80</v>
      </c>
      <c r="B835" s="15">
        <v>3440.25</v>
      </c>
      <c r="C835" s="15">
        <v>22.327000000000002</v>
      </c>
      <c r="D835" s="15">
        <v>23.024000000000001</v>
      </c>
      <c r="E835" s="15">
        <v>1.3620000000000001</v>
      </c>
      <c r="F835" s="15">
        <v>154.08699999999999</v>
      </c>
      <c r="G835" s="15">
        <v>2.734</v>
      </c>
      <c r="H835" s="15">
        <v>4.6109999999999998</v>
      </c>
      <c r="I835" s="15">
        <v>3.5609999999999999</v>
      </c>
      <c r="J835" s="15">
        <v>289.67500000000001</v>
      </c>
      <c r="K835" s="15">
        <v>507.03199999999998</v>
      </c>
      <c r="L835" s="15">
        <v>0.01</v>
      </c>
      <c r="M835" s="15">
        <v>1E-3</v>
      </c>
      <c r="N835" s="15">
        <v>100</v>
      </c>
      <c r="O835" s="15">
        <v>6.4000000000000001E-2</v>
      </c>
      <c r="P835" s="15">
        <v>0.40699999999999997</v>
      </c>
      <c r="Q835" s="15">
        <v>2.7E-2</v>
      </c>
      <c r="R835" s="15">
        <v>0.496</v>
      </c>
      <c r="S835" s="15">
        <v>0.35499999999999998</v>
      </c>
      <c r="T835" s="15" t="s">
        <v>23</v>
      </c>
      <c r="U835" s="15" t="s">
        <v>22</v>
      </c>
      <c r="V835" s="15" t="s">
        <v>30</v>
      </c>
      <c r="W835" s="15">
        <v>2</v>
      </c>
      <c r="X835" s="15"/>
      <c r="Y835" s="12">
        <f t="shared" ref="Y835:Y898" si="27">O835+Q835</f>
        <v>9.0999999999999998E-2</v>
      </c>
      <c r="Z835" s="15">
        <v>-0.34299999999999997</v>
      </c>
    </row>
    <row r="836" spans="1:26" x14ac:dyDescent="0.2">
      <c r="A836" s="15" t="s">
        <v>80</v>
      </c>
      <c r="B836" s="15">
        <v>3440.375</v>
      </c>
      <c r="C836" s="15">
        <v>23.335000000000001</v>
      </c>
      <c r="D836" s="15">
        <v>23.02</v>
      </c>
      <c r="E836" s="15">
        <v>1.375</v>
      </c>
      <c r="F836" s="15">
        <v>154.89099999999999</v>
      </c>
      <c r="G836" s="15">
        <v>2.7309999999999999</v>
      </c>
      <c r="H836" s="15">
        <v>4.7629999999999999</v>
      </c>
      <c r="I836" s="15">
        <v>3.4790000000000001</v>
      </c>
      <c r="J836" s="15">
        <v>274.91500000000002</v>
      </c>
      <c r="K836" s="15">
        <v>474.68799999999999</v>
      </c>
      <c r="L836" s="15">
        <v>0.01</v>
      </c>
      <c r="M836" s="15">
        <v>1E-3</v>
      </c>
      <c r="N836" s="15">
        <v>100</v>
      </c>
      <c r="O836" s="15">
        <v>7.2999999999999995E-2</v>
      </c>
      <c r="P836" s="15">
        <v>0.376</v>
      </c>
      <c r="Q836" s="15">
        <v>0.04</v>
      </c>
      <c r="R836" s="15">
        <v>0.48499999999999999</v>
      </c>
      <c r="S836" s="15">
        <v>0.36299999999999999</v>
      </c>
      <c r="T836" s="15" t="s">
        <v>23</v>
      </c>
      <c r="U836" s="15" t="s">
        <v>22</v>
      </c>
      <c r="V836" s="15" t="s">
        <v>30</v>
      </c>
      <c r="W836" s="15">
        <v>2</v>
      </c>
      <c r="X836" s="15"/>
      <c r="Y836" s="12">
        <f t="shared" si="27"/>
        <v>0.11299999999999999</v>
      </c>
      <c r="Z836" s="15">
        <v>-0.30299999999999999</v>
      </c>
    </row>
    <row r="837" spans="1:26" x14ac:dyDescent="0.2">
      <c r="A837" s="15" t="s">
        <v>80</v>
      </c>
      <c r="B837" s="15">
        <v>3440.5</v>
      </c>
      <c r="C837" s="15">
        <v>22.905999999999999</v>
      </c>
      <c r="D837" s="15">
        <v>23.016999999999999</v>
      </c>
      <c r="E837" s="15">
        <v>1.3939999999999999</v>
      </c>
      <c r="F837" s="15">
        <v>155.62899999999999</v>
      </c>
      <c r="G837" s="15">
        <v>2.734</v>
      </c>
      <c r="H837" s="15">
        <v>5.0140000000000002</v>
      </c>
      <c r="I837" s="15">
        <v>3.3839999999999999</v>
      </c>
      <c r="J837" s="15">
        <v>267.399</v>
      </c>
      <c r="K837" s="15">
        <v>458.56299999999999</v>
      </c>
      <c r="L837" s="15">
        <v>0.01</v>
      </c>
      <c r="M837" s="15">
        <v>1E-3</v>
      </c>
      <c r="N837" s="15">
        <v>100</v>
      </c>
      <c r="O837" s="15">
        <v>7.1999999999999995E-2</v>
      </c>
      <c r="P837" s="15">
        <v>0.33400000000000002</v>
      </c>
      <c r="Q837" s="15">
        <v>5.1999999999999998E-2</v>
      </c>
      <c r="R837" s="15">
        <v>0.49</v>
      </c>
      <c r="S837" s="15">
        <v>0.38200000000000001</v>
      </c>
      <c r="T837" s="15" t="s">
        <v>23</v>
      </c>
      <c r="U837" s="15" t="s">
        <v>22</v>
      </c>
      <c r="V837" s="15" t="s">
        <v>30</v>
      </c>
      <c r="W837" s="15">
        <v>2</v>
      </c>
      <c r="X837" s="15"/>
      <c r="Y837" s="12">
        <f t="shared" si="27"/>
        <v>0.124</v>
      </c>
      <c r="Z837" s="15">
        <v>-0.26200000000000001</v>
      </c>
    </row>
    <row r="838" spans="1:26" x14ac:dyDescent="0.2">
      <c r="A838" s="15" t="s">
        <v>80</v>
      </c>
      <c r="B838" s="15">
        <v>3440.625</v>
      </c>
      <c r="C838" s="15">
        <v>21.55</v>
      </c>
      <c r="D838" s="15">
        <v>23.024999999999999</v>
      </c>
      <c r="E838" s="15">
        <v>1.41</v>
      </c>
      <c r="F838" s="15">
        <v>156.345</v>
      </c>
      <c r="G838" s="15">
        <v>2.742</v>
      </c>
      <c r="H838" s="15">
        <v>5.2839999999999998</v>
      </c>
      <c r="I838" s="15">
        <v>3.3330000000000002</v>
      </c>
      <c r="J838" s="15">
        <v>262.673</v>
      </c>
      <c r="K838" s="15">
        <v>450.48099999999999</v>
      </c>
      <c r="L838" s="15">
        <v>1.1160000000000001</v>
      </c>
      <c r="M838" s="15">
        <v>0.01</v>
      </c>
      <c r="N838" s="15">
        <v>88.835999999999999</v>
      </c>
      <c r="O838" s="15">
        <v>6.3E-2</v>
      </c>
      <c r="P838" s="15">
        <v>0.307</v>
      </c>
      <c r="Q838" s="15">
        <v>6.3E-2</v>
      </c>
      <c r="R838" s="15">
        <v>0.50700000000000001</v>
      </c>
      <c r="S838" s="15">
        <v>0.40300000000000002</v>
      </c>
      <c r="T838" s="15" t="s">
        <v>23</v>
      </c>
      <c r="U838" s="15" t="s">
        <v>22</v>
      </c>
      <c r="V838" s="15" t="s">
        <v>30</v>
      </c>
      <c r="W838" s="15">
        <v>2</v>
      </c>
      <c r="X838" s="15"/>
      <c r="Y838" s="12">
        <f t="shared" si="27"/>
        <v>0.126</v>
      </c>
      <c r="Z838" s="15">
        <v>-0.24399999999999999</v>
      </c>
    </row>
    <row r="839" spans="1:26" x14ac:dyDescent="0.2">
      <c r="A839" s="15" t="s">
        <v>80</v>
      </c>
      <c r="B839" s="15">
        <v>3440.75</v>
      </c>
      <c r="C839" s="15">
        <v>19.800999999999998</v>
      </c>
      <c r="D839" s="15">
        <v>23.032</v>
      </c>
      <c r="E839" s="15">
        <v>1.4119999999999999</v>
      </c>
      <c r="F839" s="15">
        <v>156.994</v>
      </c>
      <c r="G839" s="15">
        <v>2.7509999999999999</v>
      </c>
      <c r="H839" s="15">
        <v>5.44</v>
      </c>
      <c r="I839" s="15">
        <v>3.3460000000000001</v>
      </c>
      <c r="J839" s="15">
        <v>255.965</v>
      </c>
      <c r="K839" s="15">
        <v>440.755</v>
      </c>
      <c r="L839" s="15">
        <v>1.1020000000000001</v>
      </c>
      <c r="M839" s="15">
        <v>0.01</v>
      </c>
      <c r="N839" s="15">
        <v>90.74</v>
      </c>
      <c r="O839" s="15">
        <v>5.0999999999999997E-2</v>
      </c>
      <c r="P839" s="15">
        <v>0.307</v>
      </c>
      <c r="Q839" s="15">
        <v>7.2999999999999995E-2</v>
      </c>
      <c r="R839" s="15">
        <v>0.53</v>
      </c>
      <c r="S839" s="15">
        <v>0.41799999999999998</v>
      </c>
      <c r="T839" s="15" t="s">
        <v>23</v>
      </c>
      <c r="U839" s="15" t="s">
        <v>22</v>
      </c>
      <c r="V839" s="15" t="s">
        <v>30</v>
      </c>
      <c r="W839" s="15">
        <v>2</v>
      </c>
      <c r="X839" s="15"/>
      <c r="Y839" s="12">
        <f t="shared" si="27"/>
        <v>0.124</v>
      </c>
      <c r="Z839" s="15">
        <v>-0.25600000000000001</v>
      </c>
    </row>
    <row r="840" spans="1:26" x14ac:dyDescent="0.2">
      <c r="A840" s="15" t="s">
        <v>80</v>
      </c>
      <c r="B840" s="15">
        <v>3440.875</v>
      </c>
      <c r="C840" s="15">
        <v>18.042000000000002</v>
      </c>
      <c r="D840" s="15">
        <v>23.039000000000001</v>
      </c>
      <c r="E840" s="15">
        <v>1.3839999999999999</v>
      </c>
      <c r="F840" s="15">
        <v>157.54599999999999</v>
      </c>
      <c r="G840" s="15">
        <v>2.7570000000000001</v>
      </c>
      <c r="H840" s="15">
        <v>5.4589999999999996</v>
      </c>
      <c r="I840" s="15">
        <v>3.41</v>
      </c>
      <c r="J840" s="15">
        <v>244.672</v>
      </c>
      <c r="K840" s="15">
        <v>423.48500000000001</v>
      </c>
      <c r="L840" s="15">
        <v>1.093</v>
      </c>
      <c r="M840" s="15">
        <v>0.01</v>
      </c>
      <c r="N840" s="15">
        <v>94.542000000000002</v>
      </c>
      <c r="O840" s="15">
        <v>3.7999999999999999E-2</v>
      </c>
      <c r="P840" s="15">
        <v>0.33100000000000002</v>
      </c>
      <c r="Q840" s="15">
        <v>8.2000000000000003E-2</v>
      </c>
      <c r="R840" s="15">
        <v>0.54700000000000004</v>
      </c>
      <c r="S840" s="15">
        <v>0.42199999999999999</v>
      </c>
      <c r="T840" s="15" t="s">
        <v>23</v>
      </c>
      <c r="U840" s="15" t="s">
        <v>22</v>
      </c>
      <c r="V840" s="15" t="s">
        <v>30</v>
      </c>
      <c r="W840" s="15">
        <v>2</v>
      </c>
      <c r="X840" s="15"/>
      <c r="Y840" s="12">
        <f t="shared" si="27"/>
        <v>0.12</v>
      </c>
      <c r="Z840" s="15">
        <v>-0.29300000000000004</v>
      </c>
    </row>
    <row r="841" spans="1:26" x14ac:dyDescent="0.2">
      <c r="A841" s="15" t="s">
        <v>80</v>
      </c>
      <c r="B841" s="15">
        <v>3441</v>
      </c>
      <c r="C841" s="15">
        <v>16.564</v>
      </c>
      <c r="D841" s="15">
        <v>23.033000000000001</v>
      </c>
      <c r="E841" s="15">
        <v>1.3420000000000001</v>
      </c>
      <c r="F841" s="15">
        <v>157.87</v>
      </c>
      <c r="G841" s="15">
        <v>2.758</v>
      </c>
      <c r="H841" s="15">
        <v>5.343</v>
      </c>
      <c r="I841" s="15">
        <v>3.4969999999999999</v>
      </c>
      <c r="J841" s="15">
        <v>230.554</v>
      </c>
      <c r="K841" s="15">
        <v>400.44200000000001</v>
      </c>
      <c r="L841" s="15">
        <v>1.1040000000000001</v>
      </c>
      <c r="M841" s="15">
        <v>0.01</v>
      </c>
      <c r="N841" s="15">
        <v>99.736000000000004</v>
      </c>
      <c r="O841" s="15">
        <v>2.7E-2</v>
      </c>
      <c r="P841" s="15">
        <v>0.36899999999999999</v>
      </c>
      <c r="Q841" s="15">
        <v>8.6999999999999994E-2</v>
      </c>
      <c r="R841" s="15">
        <v>0.55200000000000005</v>
      </c>
      <c r="S841" s="15">
        <v>0.41399999999999998</v>
      </c>
      <c r="T841" s="15" t="s">
        <v>23</v>
      </c>
      <c r="U841" s="15" t="s">
        <v>22</v>
      </c>
      <c r="V841" s="15" t="s">
        <v>30</v>
      </c>
      <c r="W841" s="15">
        <v>2</v>
      </c>
      <c r="X841" s="15"/>
      <c r="Y841" s="12">
        <f t="shared" si="27"/>
        <v>0.11399999999999999</v>
      </c>
      <c r="Z841" s="15">
        <v>-0.34199999999999997</v>
      </c>
    </row>
    <row r="842" spans="1:26" x14ac:dyDescent="0.2">
      <c r="A842" s="15" t="s">
        <v>81</v>
      </c>
      <c r="B842" s="15">
        <v>3400.125</v>
      </c>
      <c r="C842" s="15">
        <v>16.87</v>
      </c>
      <c r="D842" s="15">
        <v>21.943000000000001</v>
      </c>
      <c r="E842" s="15">
        <v>2.4529999999999998</v>
      </c>
      <c r="F842" s="15">
        <v>165.69900000000001</v>
      </c>
      <c r="G842" s="15">
        <v>2.9009999999999998</v>
      </c>
      <c r="H842" s="15">
        <v>2.71</v>
      </c>
      <c r="I842" s="15">
        <v>4.0819999999999999</v>
      </c>
      <c r="J842" s="15">
        <v>17310.428</v>
      </c>
      <c r="K842" s="15">
        <v>28954.842000000001</v>
      </c>
      <c r="L842" s="15">
        <v>0.39400000000000002</v>
      </c>
      <c r="M842" s="15">
        <v>0.1</v>
      </c>
      <c r="N842" s="15">
        <v>100</v>
      </c>
      <c r="O842" s="15">
        <v>4.5999999999999999E-2</v>
      </c>
      <c r="P842" s="15">
        <v>0.42</v>
      </c>
      <c r="Q842" s="15">
        <v>0.189</v>
      </c>
      <c r="R842" s="15">
        <v>0.877</v>
      </c>
      <c r="S842" s="15">
        <v>8.2000000000000003E-2</v>
      </c>
      <c r="T842" s="15"/>
      <c r="U842" s="15" t="s">
        <v>33</v>
      </c>
      <c r="V842" s="15" t="s">
        <v>30</v>
      </c>
      <c r="W842" s="15">
        <v>9</v>
      </c>
      <c r="X842" s="15"/>
      <c r="Y842" s="12">
        <f t="shared" si="27"/>
        <v>0.23499999999999999</v>
      </c>
      <c r="Z842" s="15">
        <v>-0.374</v>
      </c>
    </row>
    <row r="843" spans="1:26" x14ac:dyDescent="0.2">
      <c r="A843" s="15" t="s">
        <v>81</v>
      </c>
      <c r="B843" s="15">
        <v>3400.25</v>
      </c>
      <c r="C843" s="15">
        <v>16.576000000000001</v>
      </c>
      <c r="D843" s="15">
        <v>21.957999999999998</v>
      </c>
      <c r="E843" s="15">
        <v>2.4849999999999999</v>
      </c>
      <c r="F843" s="15">
        <v>165.17599999999999</v>
      </c>
      <c r="G843" s="15">
        <v>2.899</v>
      </c>
      <c r="H843" s="15">
        <v>2.504</v>
      </c>
      <c r="I843" s="15">
        <v>3.69</v>
      </c>
      <c r="J843" s="15">
        <v>18043.780999999999</v>
      </c>
      <c r="K843" s="15">
        <v>30493.973000000002</v>
      </c>
      <c r="L843" s="15">
        <v>0.36699999999999999</v>
      </c>
      <c r="M843" s="15">
        <v>0.1</v>
      </c>
      <c r="N843" s="15">
        <v>100</v>
      </c>
      <c r="O843" s="15">
        <v>4.3999999999999997E-2</v>
      </c>
      <c r="P843" s="15">
        <v>0.30199999999999999</v>
      </c>
      <c r="Q843" s="15">
        <v>0.183</v>
      </c>
      <c r="R843" s="15">
        <v>0.872</v>
      </c>
      <c r="S843" s="15">
        <v>7.0999999999999994E-2</v>
      </c>
      <c r="T843" s="15"/>
      <c r="U843" s="15" t="s">
        <v>33</v>
      </c>
      <c r="V843" s="15" t="s">
        <v>30</v>
      </c>
      <c r="W843" s="15">
        <v>9</v>
      </c>
      <c r="X843" s="15"/>
      <c r="Y843" s="12">
        <f t="shared" si="27"/>
        <v>0.22699999999999998</v>
      </c>
      <c r="Z843" s="15">
        <v>-0.25800000000000001</v>
      </c>
    </row>
    <row r="844" spans="1:26" x14ac:dyDescent="0.2">
      <c r="A844" s="15" t="s">
        <v>81</v>
      </c>
      <c r="B844" s="15">
        <v>3400.375</v>
      </c>
      <c r="C844" s="15">
        <v>18.600999999999999</v>
      </c>
      <c r="D844" s="15">
        <v>21.969000000000001</v>
      </c>
      <c r="E844" s="15">
        <v>2.5129999999999999</v>
      </c>
      <c r="F844" s="15">
        <v>169.8</v>
      </c>
      <c r="G844" s="15">
        <v>2.903</v>
      </c>
      <c r="H844" s="15">
        <v>2.5339999999999998</v>
      </c>
      <c r="I844" s="15">
        <v>3.5950000000000002</v>
      </c>
      <c r="J844" s="15">
        <v>12849.331</v>
      </c>
      <c r="K844" s="15">
        <v>21388.898000000001</v>
      </c>
      <c r="L844" s="15">
        <v>0.35399999999999998</v>
      </c>
      <c r="M844" s="15">
        <v>0.1</v>
      </c>
      <c r="N844" s="15">
        <v>100</v>
      </c>
      <c r="O844" s="15">
        <v>0.06</v>
      </c>
      <c r="P844" s="15">
        <v>0.27400000000000002</v>
      </c>
      <c r="Q844" s="15">
        <v>0.23499999999999999</v>
      </c>
      <c r="R844" s="15">
        <v>0.88200000000000001</v>
      </c>
      <c r="S844" s="15">
        <v>7.1999999999999995E-2</v>
      </c>
      <c r="T844" s="15"/>
      <c r="U844" s="15" t="s">
        <v>33</v>
      </c>
      <c r="V844" s="15" t="s">
        <v>30</v>
      </c>
      <c r="W844" s="15">
        <v>9</v>
      </c>
      <c r="X844" s="15"/>
      <c r="Y844" s="12">
        <f t="shared" si="27"/>
        <v>0.29499999999999998</v>
      </c>
      <c r="Z844" s="15">
        <v>-0.21400000000000002</v>
      </c>
    </row>
    <row r="845" spans="1:26" x14ac:dyDescent="0.2">
      <c r="A845" s="15" t="s">
        <v>83</v>
      </c>
      <c r="B845" s="15">
        <v>3800.5</v>
      </c>
      <c r="C845" s="15">
        <v>40.19</v>
      </c>
      <c r="D845" s="15">
        <v>22.091999999999999</v>
      </c>
      <c r="E845" s="15">
        <v>2.1419999999999999</v>
      </c>
      <c r="F845" s="15">
        <v>172.03700000000001</v>
      </c>
      <c r="G845" s="15">
        <v>2.7959999999999998</v>
      </c>
      <c r="H845" s="15">
        <v>8.1170000000000009</v>
      </c>
      <c r="I845" s="15">
        <v>3.3090000000000002</v>
      </c>
      <c r="J845" s="15">
        <v>370.74900000000002</v>
      </c>
      <c r="K845" s="15">
        <v>425.79899999999998</v>
      </c>
      <c r="L845" s="15">
        <v>6.01</v>
      </c>
      <c r="M845" s="15">
        <v>5.1999999999999998E-2</v>
      </c>
      <c r="N845" s="15">
        <v>18.513999999999999</v>
      </c>
      <c r="O845" s="15">
        <v>0.18</v>
      </c>
      <c r="P845" s="15">
        <v>0.64300000000000002</v>
      </c>
      <c r="Q845" s="15">
        <v>0.26</v>
      </c>
      <c r="R845" s="15">
        <v>0.68</v>
      </c>
      <c r="S845" s="15">
        <v>0.14799999999999999</v>
      </c>
      <c r="T845" s="15" t="s">
        <v>23</v>
      </c>
      <c r="U845" s="15" t="s">
        <v>22</v>
      </c>
      <c r="V845" s="15" t="s">
        <v>30</v>
      </c>
      <c r="W845" s="15">
        <v>2</v>
      </c>
      <c r="X845" s="15"/>
      <c r="Y845" s="12">
        <f t="shared" si="27"/>
        <v>0.44</v>
      </c>
      <c r="Z845" s="15">
        <v>-0.46300000000000002</v>
      </c>
    </row>
    <row r="846" spans="1:26" x14ac:dyDescent="0.2">
      <c r="A846" s="15" t="s">
        <v>83</v>
      </c>
      <c r="B846" s="15">
        <v>3800.625</v>
      </c>
      <c r="C846" s="15">
        <v>31.532</v>
      </c>
      <c r="D846" s="15">
        <v>22.079000000000001</v>
      </c>
      <c r="E846" s="15">
        <v>1.633</v>
      </c>
      <c r="F846" s="15">
        <v>170.709</v>
      </c>
      <c r="G846" s="15">
        <v>2.7949999999999999</v>
      </c>
      <c r="H846" s="15">
        <v>6.4509999999999996</v>
      </c>
      <c r="I846" s="15">
        <v>3.3420000000000001</v>
      </c>
      <c r="J846" s="15">
        <v>319.16899999999998</v>
      </c>
      <c r="K846" s="15">
        <v>366.00900000000001</v>
      </c>
      <c r="L846" s="15">
        <v>3.8479999999999999</v>
      </c>
      <c r="M846" s="15">
        <v>0.01</v>
      </c>
      <c r="N846" s="15">
        <v>30.423999999999999</v>
      </c>
      <c r="O846" s="15">
        <v>0.114</v>
      </c>
      <c r="P846" s="15">
        <v>0.68200000000000005</v>
      </c>
      <c r="Q846" s="15">
        <v>0.246</v>
      </c>
      <c r="R846" s="15">
        <v>0.66300000000000003</v>
      </c>
      <c r="S846" s="15">
        <v>7.6999999999999999E-2</v>
      </c>
      <c r="T846" s="15" t="s">
        <v>23</v>
      </c>
      <c r="U846" s="15" t="s">
        <v>22</v>
      </c>
      <c r="V846" s="15" t="s">
        <v>30</v>
      </c>
      <c r="W846" s="15">
        <v>2</v>
      </c>
      <c r="X846" s="15"/>
      <c r="Y846" s="12">
        <f t="shared" si="27"/>
        <v>0.36</v>
      </c>
      <c r="Z846" s="15">
        <v>-0.56800000000000006</v>
      </c>
    </row>
    <row r="847" spans="1:26" x14ac:dyDescent="0.2">
      <c r="A847" s="15" t="s">
        <v>83</v>
      </c>
      <c r="B847" s="15">
        <v>3800.75</v>
      </c>
      <c r="C847" s="15">
        <v>25.963999999999999</v>
      </c>
      <c r="D847" s="15">
        <v>22.065999999999999</v>
      </c>
      <c r="E847" s="15">
        <v>1.327</v>
      </c>
      <c r="F847" s="15">
        <v>170.90299999999999</v>
      </c>
      <c r="G847" s="15">
        <v>2.79</v>
      </c>
      <c r="H847" s="15">
        <v>5.3280000000000003</v>
      </c>
      <c r="I847" s="15">
        <v>3.3769999999999998</v>
      </c>
      <c r="J847" s="15">
        <v>246.84100000000001</v>
      </c>
      <c r="K847" s="15">
        <v>282.34100000000001</v>
      </c>
      <c r="L847" s="15">
        <v>3.0569999999999999</v>
      </c>
      <c r="M847" s="15">
        <v>0.01</v>
      </c>
      <c r="N847" s="15">
        <v>42.189</v>
      </c>
      <c r="O847" s="15">
        <v>6.9000000000000006E-2</v>
      </c>
      <c r="P847" s="15">
        <v>0.71799999999999997</v>
      </c>
      <c r="Q847" s="15">
        <v>0.25600000000000001</v>
      </c>
      <c r="R847" s="15">
        <v>0.625</v>
      </c>
      <c r="S847" s="15">
        <v>0.03</v>
      </c>
      <c r="T847" s="15" t="s">
        <v>23</v>
      </c>
      <c r="U847" s="15" t="s">
        <v>22</v>
      </c>
      <c r="V847" s="15" t="s">
        <v>30</v>
      </c>
      <c r="W847" s="15">
        <v>2</v>
      </c>
      <c r="X847" s="15"/>
      <c r="Y847" s="12">
        <f t="shared" si="27"/>
        <v>0.32500000000000001</v>
      </c>
      <c r="Z847" s="15">
        <v>-0.64900000000000002</v>
      </c>
    </row>
    <row r="848" spans="1:26" x14ac:dyDescent="0.2">
      <c r="A848" s="15" t="s">
        <v>83</v>
      </c>
      <c r="B848" s="15">
        <v>3800.875</v>
      </c>
      <c r="C848" s="15">
        <v>21.815999999999999</v>
      </c>
      <c r="D848" s="15">
        <v>22.01</v>
      </c>
      <c r="E848" s="15">
        <v>1.081</v>
      </c>
      <c r="F848" s="15">
        <v>172.10400000000001</v>
      </c>
      <c r="G848" s="15">
        <v>2.7829999999999999</v>
      </c>
      <c r="H848" s="15">
        <v>4.6470000000000002</v>
      </c>
      <c r="I848" s="15">
        <v>3.399</v>
      </c>
      <c r="J848" s="15">
        <v>188.98699999999999</v>
      </c>
      <c r="K848" s="15">
        <v>215.30199999999999</v>
      </c>
      <c r="L848" s="15">
        <v>2.4830000000000001</v>
      </c>
      <c r="M848" s="15">
        <v>0.01</v>
      </c>
      <c r="N848" s="15">
        <v>59.749000000000002</v>
      </c>
      <c r="O848" s="15">
        <v>3.9E-2</v>
      </c>
      <c r="P848" s="15">
        <v>0.73299999999999998</v>
      </c>
      <c r="Q848" s="15">
        <v>0.27700000000000002</v>
      </c>
      <c r="R848" s="15">
        <v>0.58199999999999996</v>
      </c>
      <c r="S848" s="15">
        <v>7.0000000000000001E-3</v>
      </c>
      <c r="T848" s="15" t="s">
        <v>23</v>
      </c>
      <c r="U848" s="15" t="s">
        <v>22</v>
      </c>
      <c r="V848" s="15" t="s">
        <v>30</v>
      </c>
      <c r="W848" s="15">
        <v>2</v>
      </c>
      <c r="X848" s="15"/>
      <c r="Y848" s="12">
        <f t="shared" si="27"/>
        <v>0.316</v>
      </c>
      <c r="Z848" s="15">
        <v>-0.69399999999999995</v>
      </c>
    </row>
    <row r="849" spans="1:26" x14ac:dyDescent="0.2">
      <c r="A849" s="15" t="s">
        <v>83</v>
      </c>
      <c r="B849" s="15">
        <v>3801</v>
      </c>
      <c r="C849" s="15">
        <v>19.763000000000002</v>
      </c>
      <c r="D849" s="15">
        <v>21.946999999999999</v>
      </c>
      <c r="E849" s="15">
        <v>0.91</v>
      </c>
      <c r="F849" s="15">
        <v>173.26300000000001</v>
      </c>
      <c r="G849" s="15">
        <v>2.778</v>
      </c>
      <c r="H849" s="15">
        <v>4.4980000000000002</v>
      </c>
      <c r="I849" s="15">
        <v>3.3969999999999998</v>
      </c>
      <c r="J849" s="15">
        <v>150.42500000000001</v>
      </c>
      <c r="K849" s="15">
        <v>170.751</v>
      </c>
      <c r="L849" s="15">
        <v>2.552</v>
      </c>
      <c r="M849" s="15">
        <v>0.01</v>
      </c>
      <c r="N849" s="15">
        <v>65.460999999999999</v>
      </c>
      <c r="O849" s="15">
        <v>2.8000000000000001E-2</v>
      </c>
      <c r="P849" s="15">
        <v>0.71699999999999997</v>
      </c>
      <c r="Q849" s="15">
        <v>0.29199999999999998</v>
      </c>
      <c r="R849" s="15">
        <v>0.56299999999999994</v>
      </c>
      <c r="S849" s="15">
        <v>7.0000000000000001E-3</v>
      </c>
      <c r="T849" s="15" t="s">
        <v>23</v>
      </c>
      <c r="U849" s="15" t="s">
        <v>22</v>
      </c>
      <c r="V849" s="15" t="s">
        <v>30</v>
      </c>
      <c r="W849" s="15">
        <v>2</v>
      </c>
      <c r="X849" s="15"/>
      <c r="Y849" s="12">
        <f t="shared" si="27"/>
        <v>0.32</v>
      </c>
      <c r="Z849" s="15">
        <v>-0.68899999999999995</v>
      </c>
    </row>
    <row r="850" spans="1:26" x14ac:dyDescent="0.2">
      <c r="A850" s="15" t="s">
        <v>83</v>
      </c>
      <c r="B850" s="15">
        <v>3801.125</v>
      </c>
      <c r="C850" s="15">
        <v>19.725999999999999</v>
      </c>
      <c r="D850" s="15">
        <v>21.919</v>
      </c>
      <c r="E850" s="15">
        <v>0.88300000000000001</v>
      </c>
      <c r="F850" s="15">
        <v>173.65299999999999</v>
      </c>
      <c r="G850" s="15">
        <v>2.7789999999999999</v>
      </c>
      <c r="H850" s="15">
        <v>4.7619999999999996</v>
      </c>
      <c r="I850" s="15">
        <v>3.3639999999999999</v>
      </c>
      <c r="J850" s="15">
        <v>124.81399999999999</v>
      </c>
      <c r="K850" s="15">
        <v>141.23599999999999</v>
      </c>
      <c r="L850" s="15">
        <v>2.548</v>
      </c>
      <c r="M850" s="15">
        <v>0.01</v>
      </c>
      <c r="N850" s="15">
        <v>69.745000000000005</v>
      </c>
      <c r="O850" s="15">
        <v>2.9000000000000001E-2</v>
      </c>
      <c r="P850" s="15">
        <v>0.67400000000000004</v>
      </c>
      <c r="Q850" s="15">
        <v>0.29299999999999998</v>
      </c>
      <c r="R850" s="15">
        <v>0.57999999999999996</v>
      </c>
      <c r="S850" s="15">
        <v>2.1000000000000001E-2</v>
      </c>
      <c r="T850" s="15" t="s">
        <v>23</v>
      </c>
      <c r="U850" s="15" t="s">
        <v>22</v>
      </c>
      <c r="V850" s="15" t="s">
        <v>30</v>
      </c>
      <c r="W850" s="15">
        <v>2</v>
      </c>
      <c r="X850" s="15"/>
      <c r="Y850" s="12">
        <f t="shared" si="27"/>
        <v>0.32200000000000001</v>
      </c>
      <c r="Z850" s="15">
        <v>-0.64500000000000002</v>
      </c>
    </row>
    <row r="851" spans="1:26" x14ac:dyDescent="0.2">
      <c r="A851" s="15" t="s">
        <v>83</v>
      </c>
      <c r="B851" s="15">
        <v>3801.25</v>
      </c>
      <c r="C851" s="15">
        <v>20.074000000000002</v>
      </c>
      <c r="D851" s="15">
        <v>21.937000000000001</v>
      </c>
      <c r="E851" s="15">
        <v>0.91500000000000004</v>
      </c>
      <c r="F851" s="15">
        <v>173.18299999999999</v>
      </c>
      <c r="G851" s="15">
        <v>2.7839999999999998</v>
      </c>
      <c r="H851" s="15">
        <v>5.1120000000000001</v>
      </c>
      <c r="I851" s="15">
        <v>3.319</v>
      </c>
      <c r="J851" s="15">
        <v>108.84399999999999</v>
      </c>
      <c r="K851" s="15">
        <v>122.79300000000001</v>
      </c>
      <c r="L851" s="15">
        <v>2.673</v>
      </c>
      <c r="M851" s="15">
        <v>0.01</v>
      </c>
      <c r="N851" s="15">
        <v>72.703000000000003</v>
      </c>
      <c r="O851" s="15">
        <v>3.1E-2</v>
      </c>
      <c r="P851" s="15">
        <v>0.622</v>
      </c>
      <c r="Q851" s="15">
        <v>0.28100000000000003</v>
      </c>
      <c r="R851" s="15">
        <v>0.60899999999999999</v>
      </c>
      <c r="S851" s="15">
        <v>4.4999999999999998E-2</v>
      </c>
      <c r="T851" s="15" t="s">
        <v>23</v>
      </c>
      <c r="U851" s="15" t="s">
        <v>22</v>
      </c>
      <c r="V851" s="15" t="s">
        <v>30</v>
      </c>
      <c r="W851" s="15">
        <v>2</v>
      </c>
      <c r="X851" s="15"/>
      <c r="Y851" s="12">
        <f t="shared" si="27"/>
        <v>0.31200000000000006</v>
      </c>
      <c r="Z851" s="15">
        <v>-0.59099999999999997</v>
      </c>
    </row>
    <row r="852" spans="1:26" x14ac:dyDescent="0.2">
      <c r="A852" s="15" t="s">
        <v>83</v>
      </c>
      <c r="B852" s="15">
        <v>3801.375</v>
      </c>
      <c r="C852" s="15">
        <v>20.096</v>
      </c>
      <c r="D852" s="15">
        <v>21.974</v>
      </c>
      <c r="E852" s="15">
        <v>0.91500000000000004</v>
      </c>
      <c r="F852" s="15">
        <v>172.00899999999999</v>
      </c>
      <c r="G852" s="15">
        <v>2.7869999999999999</v>
      </c>
      <c r="H852" s="15">
        <v>5.8259999999999996</v>
      </c>
      <c r="I852" s="15">
        <v>3.2759999999999998</v>
      </c>
      <c r="J852" s="15">
        <v>97.474999999999994</v>
      </c>
      <c r="K852" s="15">
        <v>109.746</v>
      </c>
      <c r="L852" s="15">
        <v>3.56</v>
      </c>
      <c r="M852" s="15">
        <v>0.01</v>
      </c>
      <c r="N852" s="15">
        <v>57.462000000000003</v>
      </c>
      <c r="O852" s="15">
        <v>0.03</v>
      </c>
      <c r="P852" s="15">
        <v>0.57499999999999996</v>
      </c>
      <c r="Q852" s="15">
        <v>0.25800000000000001</v>
      </c>
      <c r="R852" s="15">
        <v>0.61699999999999999</v>
      </c>
      <c r="S852" s="15">
        <v>8.6999999999999994E-2</v>
      </c>
      <c r="T852" s="15" t="s">
        <v>23</v>
      </c>
      <c r="U852" s="15" t="s">
        <v>22</v>
      </c>
      <c r="V852" s="15" t="s">
        <v>30</v>
      </c>
      <c r="W852" s="15">
        <v>2</v>
      </c>
      <c r="X852" s="15"/>
      <c r="Y852" s="12">
        <f t="shared" si="27"/>
        <v>0.28800000000000003</v>
      </c>
      <c r="Z852" s="15">
        <v>-0.54499999999999993</v>
      </c>
    </row>
    <row r="853" spans="1:26" x14ac:dyDescent="0.2">
      <c r="A853" s="15" t="s">
        <v>83</v>
      </c>
      <c r="B853" s="15">
        <v>3801.5</v>
      </c>
      <c r="C853" s="15">
        <v>19.888000000000002</v>
      </c>
      <c r="D853" s="15">
        <v>21.981999999999999</v>
      </c>
      <c r="E853" s="15">
        <v>0.94599999999999995</v>
      </c>
      <c r="F853" s="15">
        <v>170.44200000000001</v>
      </c>
      <c r="G853" s="15">
        <v>2.7850000000000001</v>
      </c>
      <c r="H853" s="15">
        <v>6.9720000000000004</v>
      </c>
      <c r="I853" s="15">
        <v>3.2410000000000001</v>
      </c>
      <c r="J853" s="15">
        <v>86.757000000000005</v>
      </c>
      <c r="K853" s="15">
        <v>97.488</v>
      </c>
      <c r="L853" s="15">
        <v>4.5</v>
      </c>
      <c r="M853" s="15">
        <v>1.4E-2</v>
      </c>
      <c r="N853" s="15">
        <v>47.012999999999998</v>
      </c>
      <c r="O853" s="15">
        <v>2.4E-2</v>
      </c>
      <c r="P853" s="15">
        <v>0.53800000000000003</v>
      </c>
      <c r="Q853" s="15">
        <v>0.23100000000000001</v>
      </c>
      <c r="R853" s="15">
        <v>0.58799999999999997</v>
      </c>
      <c r="S853" s="15">
        <v>0.13800000000000001</v>
      </c>
      <c r="T853" s="15" t="s">
        <v>23</v>
      </c>
      <c r="U853" s="15" t="s">
        <v>22</v>
      </c>
      <c r="V853" s="15" t="s">
        <v>30</v>
      </c>
      <c r="W853" s="15">
        <v>2</v>
      </c>
      <c r="X853" s="15"/>
      <c r="Y853" s="12">
        <f t="shared" si="27"/>
        <v>0.255</v>
      </c>
      <c r="Z853" s="15">
        <v>-0.51400000000000001</v>
      </c>
    </row>
    <row r="854" spans="1:26" x14ac:dyDescent="0.2">
      <c r="A854" s="15" t="s">
        <v>83</v>
      </c>
      <c r="B854" s="15">
        <v>3801.625</v>
      </c>
      <c r="C854" s="15">
        <v>18.47</v>
      </c>
      <c r="D854" s="15">
        <v>21.99</v>
      </c>
      <c r="E854" s="15">
        <v>0.90300000000000002</v>
      </c>
      <c r="F854" s="15">
        <v>168.96199999999999</v>
      </c>
      <c r="G854" s="15">
        <v>2.7770000000000001</v>
      </c>
      <c r="H854" s="15">
        <v>7.9</v>
      </c>
      <c r="I854" s="15">
        <v>3.2130000000000001</v>
      </c>
      <c r="J854" s="15">
        <v>76.198999999999998</v>
      </c>
      <c r="K854" s="15">
        <v>85.429000000000002</v>
      </c>
      <c r="L854" s="15">
        <v>5.5060000000000002</v>
      </c>
      <c r="M854" s="15">
        <v>3.2000000000000001E-2</v>
      </c>
      <c r="N854" s="15">
        <v>40.743000000000002</v>
      </c>
      <c r="O854" s="15">
        <v>1.0999999999999999E-2</v>
      </c>
      <c r="P854" s="15">
        <v>0.50800000000000001</v>
      </c>
      <c r="Q854" s="15">
        <v>0.20899999999999999</v>
      </c>
      <c r="R854" s="15">
        <v>0.52900000000000003</v>
      </c>
      <c r="S854" s="15">
        <v>0.17799999999999999</v>
      </c>
      <c r="T854" s="15" t="s">
        <v>23</v>
      </c>
      <c r="U854" s="15" t="s">
        <v>22</v>
      </c>
      <c r="V854" s="15" t="s">
        <v>30</v>
      </c>
      <c r="W854" s="15">
        <v>2</v>
      </c>
      <c r="X854" s="15"/>
      <c r="Y854" s="12">
        <f t="shared" si="27"/>
        <v>0.22</v>
      </c>
      <c r="Z854" s="15">
        <v>-0.497</v>
      </c>
    </row>
    <row r="855" spans="1:26" x14ac:dyDescent="0.2">
      <c r="A855" s="15" t="s">
        <v>83</v>
      </c>
      <c r="B855" s="15">
        <v>3801.75</v>
      </c>
      <c r="C855" s="15">
        <v>16.773</v>
      </c>
      <c r="D855" s="15">
        <v>22.027999999999999</v>
      </c>
      <c r="E855" s="15">
        <v>0.79100000000000004</v>
      </c>
      <c r="F855" s="15">
        <v>168.071</v>
      </c>
      <c r="G855" s="15">
        <v>2.7669999999999999</v>
      </c>
      <c r="H855" s="15">
        <v>8.5280000000000005</v>
      </c>
      <c r="I855" s="15">
        <v>3.1930000000000001</v>
      </c>
      <c r="J855" s="15">
        <v>66.986999999999995</v>
      </c>
      <c r="K855" s="15">
        <v>74.872</v>
      </c>
      <c r="L855" s="15">
        <v>6.3319999999999999</v>
      </c>
      <c r="M855" s="15">
        <v>5.7000000000000002E-2</v>
      </c>
      <c r="N855" s="15">
        <v>36.664000000000001</v>
      </c>
      <c r="O855" s="15">
        <v>1E-3</v>
      </c>
      <c r="P855" s="15">
        <v>0.49099999999999999</v>
      </c>
      <c r="Q855" s="15">
        <v>0.20200000000000001</v>
      </c>
      <c r="R855" s="15">
        <v>0.45700000000000002</v>
      </c>
      <c r="S855" s="15">
        <v>0.20499999999999999</v>
      </c>
      <c r="T855" s="15" t="s">
        <v>23</v>
      </c>
      <c r="U855" s="15" t="s">
        <v>22</v>
      </c>
      <c r="V855" s="15" t="s">
        <v>30</v>
      </c>
      <c r="W855" s="15">
        <v>2</v>
      </c>
      <c r="X855" s="15"/>
      <c r="Y855" s="12">
        <f t="shared" si="27"/>
        <v>0.20300000000000001</v>
      </c>
      <c r="Z855" s="15">
        <v>-0.49</v>
      </c>
    </row>
    <row r="856" spans="1:26" x14ac:dyDescent="0.2">
      <c r="A856" s="15" t="s">
        <v>83</v>
      </c>
      <c r="B856" s="15">
        <v>3801.875</v>
      </c>
      <c r="C856" s="15">
        <v>16.59</v>
      </c>
      <c r="D856" s="15">
        <v>21.986999999999998</v>
      </c>
      <c r="E856" s="15">
        <v>0.72499999999999998</v>
      </c>
      <c r="F856" s="15">
        <v>168.48400000000001</v>
      </c>
      <c r="G856" s="15">
        <v>2.7549999999999999</v>
      </c>
      <c r="H856" s="15">
        <v>8.99</v>
      </c>
      <c r="I856" s="15">
        <v>3.1869999999999998</v>
      </c>
      <c r="J856" s="15">
        <v>60.648000000000003</v>
      </c>
      <c r="K856" s="15">
        <v>67.588999999999999</v>
      </c>
      <c r="L856" s="15">
        <v>6.58</v>
      </c>
      <c r="M856" s="15">
        <v>6.8000000000000005E-2</v>
      </c>
      <c r="N856" s="15">
        <v>37.274000000000001</v>
      </c>
      <c r="O856" s="15">
        <v>3.0000000000000001E-3</v>
      </c>
      <c r="P856" s="15">
        <v>0.49</v>
      </c>
      <c r="Q856" s="15">
        <v>0.216</v>
      </c>
      <c r="R856" s="15">
        <v>0.373</v>
      </c>
      <c r="S856" s="15">
        <v>0.224</v>
      </c>
      <c r="T856" s="15" t="s">
        <v>23</v>
      </c>
      <c r="U856" s="15" t="s">
        <v>22</v>
      </c>
      <c r="V856" s="15" t="s">
        <v>30</v>
      </c>
      <c r="W856" s="15">
        <v>2</v>
      </c>
      <c r="X856" s="15"/>
      <c r="Y856" s="12">
        <f t="shared" si="27"/>
        <v>0.219</v>
      </c>
      <c r="Z856" s="15">
        <v>-0.48699999999999999</v>
      </c>
    </row>
    <row r="857" spans="1:26" x14ac:dyDescent="0.2">
      <c r="A857" s="15" t="s">
        <v>83</v>
      </c>
      <c r="B857" s="15">
        <v>3802</v>
      </c>
      <c r="C857" s="15">
        <v>17.489999999999998</v>
      </c>
      <c r="D857" s="15">
        <v>21.943000000000001</v>
      </c>
      <c r="E857" s="15">
        <v>0.78700000000000003</v>
      </c>
      <c r="F857" s="15">
        <v>169.947</v>
      </c>
      <c r="G857" s="15">
        <v>2.742</v>
      </c>
      <c r="H857" s="15">
        <v>9.2780000000000005</v>
      </c>
      <c r="I857" s="15">
        <v>3.194</v>
      </c>
      <c r="J857" s="15">
        <v>56.027999999999999</v>
      </c>
      <c r="K857" s="15">
        <v>62.317999999999998</v>
      </c>
      <c r="L857" s="15">
        <v>7.4009999999999998</v>
      </c>
      <c r="M857" s="15">
        <v>0.112</v>
      </c>
      <c r="N857" s="15">
        <v>34.274000000000001</v>
      </c>
      <c r="O857" s="15">
        <v>8.9999999999999993E-3</v>
      </c>
      <c r="P857" s="15">
        <v>0.502</v>
      </c>
      <c r="Q857" s="15">
        <v>0.24099999999999999</v>
      </c>
      <c r="R857" s="15">
        <v>0.29499999999999998</v>
      </c>
      <c r="S857" s="15">
        <v>0.23599999999999999</v>
      </c>
      <c r="T857" s="15" t="s">
        <v>23</v>
      </c>
      <c r="U857" s="15" t="s">
        <v>22</v>
      </c>
      <c r="V857" s="15" t="s">
        <v>30</v>
      </c>
      <c r="W857" s="15">
        <v>2</v>
      </c>
      <c r="X857" s="15"/>
      <c r="Y857" s="12">
        <f t="shared" si="27"/>
        <v>0.25</v>
      </c>
      <c r="Z857" s="15">
        <v>-0.49299999999999999</v>
      </c>
    </row>
    <row r="858" spans="1:26" x14ac:dyDescent="0.2">
      <c r="A858" s="15" t="s">
        <v>83</v>
      </c>
      <c r="B858" s="15">
        <v>3802.125</v>
      </c>
      <c r="C858" s="15">
        <v>17.734999999999999</v>
      </c>
      <c r="D858" s="15">
        <v>21.821000000000002</v>
      </c>
      <c r="E858" s="15">
        <v>0.82799999999999996</v>
      </c>
      <c r="F858" s="15">
        <v>171.45500000000001</v>
      </c>
      <c r="G858" s="15">
        <v>2.7330000000000001</v>
      </c>
      <c r="H858" s="15">
        <v>9.4160000000000004</v>
      </c>
      <c r="I858" s="15">
        <v>3.2109999999999999</v>
      </c>
      <c r="J858" s="15">
        <v>52.259</v>
      </c>
      <c r="K858" s="15">
        <v>58.021000000000001</v>
      </c>
      <c r="L858" s="15">
        <v>7.4450000000000003</v>
      </c>
      <c r="M858" s="15">
        <v>0.115</v>
      </c>
      <c r="N858" s="15">
        <v>34.771999999999998</v>
      </c>
      <c r="O858" s="15">
        <v>8.9999999999999993E-3</v>
      </c>
      <c r="P858" s="15">
        <v>0.52200000000000002</v>
      </c>
      <c r="Q858" s="15">
        <v>0.26300000000000001</v>
      </c>
      <c r="R858" s="15">
        <v>0.247</v>
      </c>
      <c r="S858" s="15">
        <v>0.24</v>
      </c>
      <c r="T858" s="15" t="s">
        <v>23</v>
      </c>
      <c r="U858" s="15" t="s">
        <v>22</v>
      </c>
      <c r="V858" s="15" t="s">
        <v>30</v>
      </c>
      <c r="W858" s="15">
        <v>2</v>
      </c>
      <c r="X858" s="15"/>
      <c r="Y858" s="12">
        <f t="shared" si="27"/>
        <v>0.27200000000000002</v>
      </c>
      <c r="Z858" s="15">
        <v>-0.51300000000000001</v>
      </c>
    </row>
    <row r="859" spans="1:26" x14ac:dyDescent="0.2">
      <c r="A859" s="15" t="s">
        <v>83</v>
      </c>
      <c r="B859" s="15">
        <v>3802.25</v>
      </c>
      <c r="C859" s="15">
        <v>17.300999999999998</v>
      </c>
      <c r="D859" s="15">
        <v>21.736999999999998</v>
      </c>
      <c r="E859" s="15">
        <v>0.77400000000000002</v>
      </c>
      <c r="F859" s="15">
        <v>172.23</v>
      </c>
      <c r="G859" s="15">
        <v>2.7290000000000001</v>
      </c>
      <c r="H859" s="15">
        <v>9.4489999999999998</v>
      </c>
      <c r="I859" s="15">
        <v>3.2290000000000001</v>
      </c>
      <c r="J859" s="15">
        <v>49.518000000000001</v>
      </c>
      <c r="K859" s="15">
        <v>54.877000000000002</v>
      </c>
      <c r="L859" s="15">
        <v>7.5010000000000003</v>
      </c>
      <c r="M859" s="15">
        <v>0.11899999999999999</v>
      </c>
      <c r="N859" s="15">
        <v>35.514000000000003</v>
      </c>
      <c r="O859" s="15">
        <v>8.9999999999999993E-3</v>
      </c>
      <c r="P859" s="15">
        <v>0.53700000000000003</v>
      </c>
      <c r="Q859" s="15">
        <v>0.27300000000000002</v>
      </c>
      <c r="R859" s="15">
        <v>0.23200000000000001</v>
      </c>
      <c r="S859" s="15">
        <v>0.24</v>
      </c>
      <c r="T859" s="15" t="s">
        <v>23</v>
      </c>
      <c r="U859" s="15" t="s">
        <v>22</v>
      </c>
      <c r="V859" s="15" t="s">
        <v>30</v>
      </c>
      <c r="W859" s="15">
        <v>2</v>
      </c>
      <c r="X859" s="15"/>
      <c r="Y859" s="12">
        <f t="shared" si="27"/>
        <v>0.28200000000000003</v>
      </c>
      <c r="Z859" s="15">
        <v>-0.52800000000000002</v>
      </c>
    </row>
    <row r="860" spans="1:26" x14ac:dyDescent="0.2">
      <c r="A860" s="15" t="s">
        <v>83</v>
      </c>
      <c r="B860" s="15">
        <v>3802.375</v>
      </c>
      <c r="C860" s="15">
        <v>17.995000000000001</v>
      </c>
      <c r="D860" s="15">
        <v>21.667999999999999</v>
      </c>
      <c r="E860" s="15">
        <v>0.76300000000000001</v>
      </c>
      <c r="F860" s="15">
        <v>172.48599999999999</v>
      </c>
      <c r="G860" s="15">
        <v>2.73</v>
      </c>
      <c r="H860" s="15">
        <v>9.3670000000000009</v>
      </c>
      <c r="I860" s="15">
        <v>3.2330000000000001</v>
      </c>
      <c r="J860" s="15">
        <v>47.667999999999999</v>
      </c>
      <c r="K860" s="15">
        <v>52.753999999999998</v>
      </c>
      <c r="L860" s="15">
        <v>7.468</v>
      </c>
      <c r="M860" s="15">
        <v>0.11600000000000001</v>
      </c>
      <c r="N860" s="15">
        <v>36.261000000000003</v>
      </c>
      <c r="O860" s="15">
        <v>1.7999999999999999E-2</v>
      </c>
      <c r="P860" s="15">
        <v>0.53300000000000003</v>
      </c>
      <c r="Q860" s="15">
        <v>0.27700000000000002</v>
      </c>
      <c r="R860" s="15">
        <v>0.251</v>
      </c>
      <c r="S860" s="15">
        <v>0.23400000000000001</v>
      </c>
      <c r="T860" s="15" t="s">
        <v>23</v>
      </c>
      <c r="U860" s="15" t="s">
        <v>22</v>
      </c>
      <c r="V860" s="15" t="s">
        <v>30</v>
      </c>
      <c r="W860" s="15">
        <v>2</v>
      </c>
      <c r="X860" s="15"/>
      <c r="Y860" s="12">
        <f t="shared" si="27"/>
        <v>0.29500000000000004</v>
      </c>
      <c r="Z860" s="15">
        <v>-0.51500000000000001</v>
      </c>
    </row>
    <row r="861" spans="1:26" x14ac:dyDescent="0.2">
      <c r="A861" s="15" t="s">
        <v>83</v>
      </c>
      <c r="B861" s="15">
        <v>3802.5</v>
      </c>
      <c r="C861" s="15">
        <v>19.731000000000002</v>
      </c>
      <c r="D861" s="15">
        <v>21.686</v>
      </c>
      <c r="E861" s="15">
        <v>0.87</v>
      </c>
      <c r="F861" s="15">
        <v>172.60499999999999</v>
      </c>
      <c r="G861" s="15">
        <v>2.7360000000000002</v>
      </c>
      <c r="H861" s="15">
        <v>9.1590000000000007</v>
      </c>
      <c r="I861" s="15">
        <v>3.2149999999999999</v>
      </c>
      <c r="J861" s="15">
        <v>46.906999999999996</v>
      </c>
      <c r="K861" s="15">
        <v>51.872</v>
      </c>
      <c r="L861" s="15">
        <v>7.4160000000000004</v>
      </c>
      <c r="M861" s="15">
        <v>0.113</v>
      </c>
      <c r="N861" s="15">
        <v>36.539000000000001</v>
      </c>
      <c r="O861" s="15">
        <v>2.9000000000000001E-2</v>
      </c>
      <c r="P861" s="15">
        <v>0.50600000000000001</v>
      </c>
      <c r="Q861" s="15">
        <v>0.27900000000000003</v>
      </c>
      <c r="R861" s="15">
        <v>0.29699999999999999</v>
      </c>
      <c r="S861" s="15">
        <v>0.223</v>
      </c>
      <c r="T861" s="15" t="s">
        <v>23</v>
      </c>
      <c r="U861" s="15" t="s">
        <v>22</v>
      </c>
      <c r="V861" s="15" t="s">
        <v>30</v>
      </c>
      <c r="W861" s="15">
        <v>2</v>
      </c>
      <c r="X861" s="15"/>
      <c r="Y861" s="12">
        <f t="shared" si="27"/>
        <v>0.30800000000000005</v>
      </c>
      <c r="Z861" s="15">
        <v>-0.47699999999999998</v>
      </c>
    </row>
    <row r="862" spans="1:26" x14ac:dyDescent="0.2">
      <c r="A862" s="15" t="s">
        <v>83</v>
      </c>
      <c r="B862" s="15">
        <v>3802.625</v>
      </c>
      <c r="C862" s="15">
        <v>20.204999999999998</v>
      </c>
      <c r="D862" s="15">
        <v>21.797999999999998</v>
      </c>
      <c r="E862" s="15">
        <v>0.95</v>
      </c>
      <c r="F862" s="15">
        <v>172.703</v>
      </c>
      <c r="G862" s="15">
        <v>2.7440000000000002</v>
      </c>
      <c r="H862" s="15">
        <v>8.9009999999999998</v>
      </c>
      <c r="I862" s="15">
        <v>3.1850000000000001</v>
      </c>
      <c r="J862" s="15">
        <v>47.094000000000001</v>
      </c>
      <c r="K862" s="15">
        <v>52.051000000000002</v>
      </c>
      <c r="L862" s="15">
        <v>7.1950000000000003</v>
      </c>
      <c r="M862" s="15">
        <v>0.1</v>
      </c>
      <c r="N862" s="15">
        <v>37.232999999999997</v>
      </c>
      <c r="O862" s="15">
        <v>2.8000000000000001E-2</v>
      </c>
      <c r="P862" s="15">
        <v>0.47299999999999998</v>
      </c>
      <c r="Q862" s="15">
        <v>0.27900000000000003</v>
      </c>
      <c r="R862" s="15">
        <v>0.34799999999999998</v>
      </c>
      <c r="S862" s="15">
        <v>0.21099999999999999</v>
      </c>
      <c r="T862" s="15" t="s">
        <v>23</v>
      </c>
      <c r="U862" s="15" t="s">
        <v>22</v>
      </c>
      <c r="V862" s="15" t="s">
        <v>30</v>
      </c>
      <c r="W862" s="15">
        <v>2</v>
      </c>
      <c r="X862" s="15"/>
      <c r="Y862" s="12">
        <f t="shared" si="27"/>
        <v>0.30700000000000005</v>
      </c>
      <c r="Z862" s="15">
        <v>-0.44499999999999995</v>
      </c>
    </row>
    <row r="863" spans="1:26" x14ac:dyDescent="0.2">
      <c r="A863" s="15" t="s">
        <v>83</v>
      </c>
      <c r="B863" s="15">
        <v>3802.75</v>
      </c>
      <c r="C863" s="15">
        <v>19.123999999999999</v>
      </c>
      <c r="D863" s="15">
        <v>21.881</v>
      </c>
      <c r="E863" s="15">
        <v>0.89500000000000002</v>
      </c>
      <c r="F863" s="15">
        <v>172.57400000000001</v>
      </c>
      <c r="G863" s="15">
        <v>2.7509999999999999</v>
      </c>
      <c r="H863" s="15">
        <v>8.6809999999999992</v>
      </c>
      <c r="I863" s="15">
        <v>3.1579999999999999</v>
      </c>
      <c r="J863" s="15">
        <v>47.939</v>
      </c>
      <c r="K863" s="15">
        <v>52.988</v>
      </c>
      <c r="L863" s="15">
        <v>6.42</v>
      </c>
      <c r="M863" s="15">
        <v>0.06</v>
      </c>
      <c r="N863" s="15">
        <v>40.503</v>
      </c>
      <c r="O863" s="15">
        <v>2.1000000000000001E-2</v>
      </c>
      <c r="P863" s="15">
        <v>0.44700000000000001</v>
      </c>
      <c r="Q863" s="15">
        <v>0.27400000000000002</v>
      </c>
      <c r="R863" s="15">
        <v>0.378</v>
      </c>
      <c r="S863" s="15">
        <v>0.20200000000000001</v>
      </c>
      <c r="T863" s="15" t="s">
        <v>23</v>
      </c>
      <c r="U863" s="15" t="s">
        <v>22</v>
      </c>
      <c r="V863" s="15" t="s">
        <v>30</v>
      </c>
      <c r="W863" s="15">
        <v>2</v>
      </c>
      <c r="X863" s="15"/>
      <c r="Y863" s="12">
        <f t="shared" si="27"/>
        <v>0.29500000000000004</v>
      </c>
      <c r="Z863" s="15">
        <v>-0.42599999999999999</v>
      </c>
    </row>
    <row r="864" spans="1:26" x14ac:dyDescent="0.2">
      <c r="A864" s="15" t="s">
        <v>83</v>
      </c>
      <c r="B864" s="15">
        <v>3802.875</v>
      </c>
      <c r="C864" s="15">
        <v>18.635000000000002</v>
      </c>
      <c r="D864" s="15">
        <v>21.82</v>
      </c>
      <c r="E864" s="15">
        <v>0.82799999999999996</v>
      </c>
      <c r="F864" s="15">
        <v>172.096</v>
      </c>
      <c r="G864" s="15">
        <v>2.7509999999999999</v>
      </c>
      <c r="H864" s="15">
        <v>8.5419999999999998</v>
      </c>
      <c r="I864" s="15">
        <v>3.145</v>
      </c>
      <c r="J864" s="15">
        <v>48.905000000000001</v>
      </c>
      <c r="K864" s="15">
        <v>54.08</v>
      </c>
      <c r="L864" s="15">
        <v>6.4089999999999998</v>
      </c>
      <c r="M864" s="15">
        <v>0.06</v>
      </c>
      <c r="N864" s="15">
        <v>39.796999999999997</v>
      </c>
      <c r="O864" s="15">
        <v>2.1000000000000001E-2</v>
      </c>
      <c r="P864" s="15">
        <v>0.436</v>
      </c>
      <c r="Q864" s="15">
        <v>0.26500000000000001</v>
      </c>
      <c r="R864" s="15">
        <v>0.376</v>
      </c>
      <c r="S864" s="15">
        <v>0.19600000000000001</v>
      </c>
      <c r="T864" s="15" t="s">
        <v>23</v>
      </c>
      <c r="U864" s="15" t="s">
        <v>22</v>
      </c>
      <c r="V864" s="15" t="s">
        <v>30</v>
      </c>
      <c r="W864" s="15">
        <v>2</v>
      </c>
      <c r="X864" s="15"/>
      <c r="Y864" s="12">
        <f t="shared" si="27"/>
        <v>0.28600000000000003</v>
      </c>
      <c r="Z864" s="15">
        <v>-0.41499999999999998</v>
      </c>
    </row>
    <row r="865" spans="1:26" x14ac:dyDescent="0.2">
      <c r="A865" s="15" t="s">
        <v>83</v>
      </c>
      <c r="B865" s="15">
        <v>3803</v>
      </c>
      <c r="C865" s="15">
        <v>19.593</v>
      </c>
      <c r="D865" s="15">
        <v>21.646999999999998</v>
      </c>
      <c r="E865" s="15">
        <v>0.84599999999999997</v>
      </c>
      <c r="F865" s="15">
        <v>171.46</v>
      </c>
      <c r="G865" s="15">
        <v>2.75</v>
      </c>
      <c r="H865" s="15">
        <v>8.4309999999999992</v>
      </c>
      <c r="I865" s="15">
        <v>3.141</v>
      </c>
      <c r="J865" s="15">
        <v>50.148000000000003</v>
      </c>
      <c r="K865" s="15">
        <v>55.433</v>
      </c>
      <c r="L865" s="15">
        <v>6.3819999999999997</v>
      </c>
      <c r="M865" s="15">
        <v>5.8999999999999997E-2</v>
      </c>
      <c r="N865" s="15">
        <v>38.792999999999999</v>
      </c>
      <c r="O865" s="15">
        <v>0.03</v>
      </c>
      <c r="P865" s="15">
        <v>0.433</v>
      </c>
      <c r="Q865" s="15">
        <v>0.25600000000000001</v>
      </c>
      <c r="R865" s="15">
        <v>0.38200000000000001</v>
      </c>
      <c r="S865" s="15">
        <v>0.191</v>
      </c>
      <c r="T865" s="15" t="s">
        <v>23</v>
      </c>
      <c r="U865" s="15" t="s">
        <v>22</v>
      </c>
      <c r="V865" s="15" t="s">
        <v>30</v>
      </c>
      <c r="W865" s="15">
        <v>2</v>
      </c>
      <c r="X865" s="15"/>
      <c r="Y865" s="12">
        <f t="shared" si="27"/>
        <v>0.28600000000000003</v>
      </c>
      <c r="Z865" s="15">
        <v>-0.40300000000000002</v>
      </c>
    </row>
    <row r="866" spans="1:26" x14ac:dyDescent="0.2">
      <c r="A866" s="15" t="s">
        <v>83</v>
      </c>
      <c r="B866" s="15">
        <v>3803.125</v>
      </c>
      <c r="C866" s="15">
        <v>20.797000000000001</v>
      </c>
      <c r="D866" s="15">
        <v>21.728000000000002</v>
      </c>
      <c r="E866" s="15">
        <v>0.96499999999999997</v>
      </c>
      <c r="F866" s="15">
        <v>171.07400000000001</v>
      </c>
      <c r="G866" s="15">
        <v>2.754</v>
      </c>
      <c r="H866" s="15">
        <v>8.3689999999999998</v>
      </c>
      <c r="I866" s="15">
        <v>3.1419999999999999</v>
      </c>
      <c r="J866" s="15">
        <v>52.709000000000003</v>
      </c>
      <c r="K866" s="15">
        <v>58.296999999999997</v>
      </c>
      <c r="L866" s="15">
        <v>6.3579999999999997</v>
      </c>
      <c r="M866" s="15">
        <v>5.8000000000000003E-2</v>
      </c>
      <c r="N866" s="15">
        <v>37.851999999999997</v>
      </c>
      <c r="O866" s="15">
        <v>3.5000000000000003E-2</v>
      </c>
      <c r="P866" s="15">
        <v>0.437</v>
      </c>
      <c r="Q866" s="15">
        <v>0.253</v>
      </c>
      <c r="R866" s="15">
        <v>0.42299999999999999</v>
      </c>
      <c r="S866" s="15">
        <v>0.192</v>
      </c>
      <c r="T866" s="15" t="s">
        <v>23</v>
      </c>
      <c r="U866" s="15" t="s">
        <v>22</v>
      </c>
      <c r="V866" s="15" t="s">
        <v>30</v>
      </c>
      <c r="W866" s="15">
        <v>2</v>
      </c>
      <c r="X866" s="15"/>
      <c r="Y866" s="12">
        <f t="shared" si="27"/>
        <v>0.28800000000000003</v>
      </c>
      <c r="Z866" s="15">
        <v>-0.40200000000000002</v>
      </c>
    </row>
    <row r="867" spans="1:26" x14ac:dyDescent="0.2">
      <c r="A867" s="15" t="s">
        <v>83</v>
      </c>
      <c r="B867" s="15">
        <v>3803.25</v>
      </c>
      <c r="C867" s="15">
        <v>20.042999999999999</v>
      </c>
      <c r="D867" s="15">
        <v>21.614999999999998</v>
      </c>
      <c r="E867" s="15">
        <v>0.96699999999999997</v>
      </c>
      <c r="F867" s="15">
        <v>171.351</v>
      </c>
      <c r="G867" s="15">
        <v>2.7639999999999998</v>
      </c>
      <c r="H867" s="15">
        <v>8.5180000000000007</v>
      </c>
      <c r="I867" s="15">
        <v>3.149</v>
      </c>
      <c r="J867" s="15">
        <v>57.104999999999997</v>
      </c>
      <c r="K867" s="15">
        <v>63.241</v>
      </c>
      <c r="L867" s="15">
        <v>6.3369999999999997</v>
      </c>
      <c r="M867" s="15">
        <v>5.7000000000000002E-2</v>
      </c>
      <c r="N867" s="15">
        <v>37.154000000000003</v>
      </c>
      <c r="O867" s="15">
        <v>2.5999999999999999E-2</v>
      </c>
      <c r="P867" s="15">
        <v>0.44700000000000001</v>
      </c>
      <c r="Q867" s="15">
        <v>0.26</v>
      </c>
      <c r="R867" s="15">
        <v>0.49099999999999999</v>
      </c>
      <c r="S867" s="15">
        <v>0.19600000000000001</v>
      </c>
      <c r="T867" s="15" t="s">
        <v>23</v>
      </c>
      <c r="U867" s="15" t="s">
        <v>22</v>
      </c>
      <c r="V867" s="15" t="s">
        <v>30</v>
      </c>
      <c r="W867" s="15">
        <v>2</v>
      </c>
      <c r="X867" s="15"/>
      <c r="Y867" s="12">
        <f t="shared" si="27"/>
        <v>0.28600000000000003</v>
      </c>
      <c r="Z867" s="15">
        <v>-0.42099999999999999</v>
      </c>
    </row>
    <row r="868" spans="1:26" x14ac:dyDescent="0.2">
      <c r="A868" s="15" t="s">
        <v>83</v>
      </c>
      <c r="B868" s="15">
        <v>3803.375</v>
      </c>
      <c r="C868" s="15">
        <v>18.606000000000002</v>
      </c>
      <c r="D868" s="15">
        <v>21.585999999999999</v>
      </c>
      <c r="E868" s="15">
        <v>0.84199999999999997</v>
      </c>
      <c r="F868" s="15">
        <v>171.905</v>
      </c>
      <c r="G868" s="15">
        <v>2.774</v>
      </c>
      <c r="H868" s="15">
        <v>8.5079999999999991</v>
      </c>
      <c r="I868" s="15">
        <v>3.1589999999999998</v>
      </c>
      <c r="J868" s="15">
        <v>63.637999999999998</v>
      </c>
      <c r="K868" s="15">
        <v>70.536000000000001</v>
      </c>
      <c r="L868" s="15">
        <v>6.3040000000000003</v>
      </c>
      <c r="M868" s="15">
        <v>5.6000000000000001E-2</v>
      </c>
      <c r="N868" s="15">
        <v>35.841000000000001</v>
      </c>
      <c r="O868" s="15">
        <v>0.02</v>
      </c>
      <c r="P868" s="15">
        <v>0.45900000000000002</v>
      </c>
      <c r="Q868" s="15">
        <v>0.26600000000000001</v>
      </c>
      <c r="R868" s="15">
        <v>0.55100000000000005</v>
      </c>
      <c r="S868" s="15">
        <v>0.187</v>
      </c>
      <c r="T868" s="15" t="s">
        <v>23</v>
      </c>
      <c r="U868" s="15" t="s">
        <v>22</v>
      </c>
      <c r="V868" s="15" t="s">
        <v>30</v>
      </c>
      <c r="W868" s="15">
        <v>2</v>
      </c>
      <c r="X868" s="15"/>
      <c r="Y868" s="12">
        <f t="shared" si="27"/>
        <v>0.28600000000000003</v>
      </c>
      <c r="Z868" s="15">
        <v>-0.439</v>
      </c>
    </row>
    <row r="869" spans="1:26" x14ac:dyDescent="0.2">
      <c r="A869" s="15" t="s">
        <v>83</v>
      </c>
      <c r="B869" s="15">
        <v>3803.5</v>
      </c>
      <c r="C869" s="15">
        <v>19.387</v>
      </c>
      <c r="D869" s="15">
        <v>21.616</v>
      </c>
      <c r="E869" s="15">
        <v>0.80800000000000005</v>
      </c>
      <c r="F869" s="15">
        <v>171.935</v>
      </c>
      <c r="G869" s="15">
        <v>2.7810000000000001</v>
      </c>
      <c r="H869" s="15">
        <v>8.0109999999999992</v>
      </c>
      <c r="I869" s="15">
        <v>3.1709999999999998</v>
      </c>
      <c r="J869" s="15">
        <v>73.701999999999998</v>
      </c>
      <c r="K869" s="15">
        <v>81.804000000000002</v>
      </c>
      <c r="L869" s="15">
        <v>6.0730000000000004</v>
      </c>
      <c r="M869" s="15">
        <v>4.9000000000000002E-2</v>
      </c>
      <c r="N869" s="15">
        <v>35.904000000000003</v>
      </c>
      <c r="O869" s="15">
        <v>3.3000000000000002E-2</v>
      </c>
      <c r="P869" s="15">
        <v>0.47099999999999997</v>
      </c>
      <c r="Q869" s="15">
        <v>0.25900000000000001</v>
      </c>
      <c r="R869" s="15">
        <v>0.58899999999999997</v>
      </c>
      <c r="S869" s="15">
        <v>0.161</v>
      </c>
      <c r="T869" s="15" t="s">
        <v>23</v>
      </c>
      <c r="U869" s="15" t="s">
        <v>22</v>
      </c>
      <c r="V869" s="15" t="s">
        <v>30</v>
      </c>
      <c r="W869" s="15">
        <v>2</v>
      </c>
      <c r="X869" s="15"/>
      <c r="Y869" s="12">
        <f t="shared" si="27"/>
        <v>0.29200000000000004</v>
      </c>
      <c r="Z869" s="15">
        <v>-0.43799999999999994</v>
      </c>
    </row>
    <row r="870" spans="1:26" x14ac:dyDescent="0.2">
      <c r="A870" s="15" t="s">
        <v>83</v>
      </c>
      <c r="B870" s="15">
        <v>3803.625</v>
      </c>
      <c r="C870" s="15">
        <v>21.890999999999998</v>
      </c>
      <c r="D870" s="15">
        <v>21.666</v>
      </c>
      <c r="E870" s="15">
        <v>0.94499999999999995</v>
      </c>
      <c r="F870" s="15">
        <v>170.768</v>
      </c>
      <c r="G870" s="15">
        <v>2.7839999999999998</v>
      </c>
      <c r="H870" s="15">
        <v>7.391</v>
      </c>
      <c r="I870" s="15">
        <v>3.1789999999999998</v>
      </c>
      <c r="J870" s="15">
        <v>87.74</v>
      </c>
      <c r="K870" s="15">
        <v>97.650999999999996</v>
      </c>
      <c r="L870" s="15">
        <v>5.1950000000000003</v>
      </c>
      <c r="M870" s="15">
        <v>2.4E-2</v>
      </c>
      <c r="N870" s="15">
        <v>38.723999999999997</v>
      </c>
      <c r="O870" s="15">
        <v>0.05</v>
      </c>
      <c r="P870" s="15">
        <v>0.47799999999999998</v>
      </c>
      <c r="Q870" s="15">
        <v>0.23200000000000001</v>
      </c>
      <c r="R870" s="15">
        <v>0.60099999999999998</v>
      </c>
      <c r="S870" s="15">
        <v>0.13200000000000001</v>
      </c>
      <c r="T870" s="15" t="s">
        <v>23</v>
      </c>
      <c r="U870" s="15" t="s">
        <v>22</v>
      </c>
      <c r="V870" s="15" t="s">
        <v>30</v>
      </c>
      <c r="W870" s="15">
        <v>2</v>
      </c>
      <c r="X870" s="15"/>
      <c r="Y870" s="12">
        <f t="shared" si="27"/>
        <v>0.28200000000000003</v>
      </c>
      <c r="Z870" s="15">
        <v>-0.42799999999999999</v>
      </c>
    </row>
    <row r="871" spans="1:26" x14ac:dyDescent="0.2">
      <c r="A871" s="15" t="s">
        <v>83</v>
      </c>
      <c r="B871" s="15">
        <v>3803.75</v>
      </c>
      <c r="C871" s="15">
        <v>22.963999999999999</v>
      </c>
      <c r="D871" s="15">
        <v>21.756</v>
      </c>
      <c r="E871" s="15">
        <v>1.0669999999999999</v>
      </c>
      <c r="F871" s="15">
        <v>168.64599999999999</v>
      </c>
      <c r="G871" s="15">
        <v>2.7839999999999998</v>
      </c>
      <c r="H871" s="15">
        <v>6.8070000000000004</v>
      </c>
      <c r="I871" s="15">
        <v>3.18</v>
      </c>
      <c r="J871" s="15">
        <v>99.471999999999994</v>
      </c>
      <c r="K871" s="15">
        <v>111.197</v>
      </c>
      <c r="L871" s="15">
        <v>5.0209999999999999</v>
      </c>
      <c r="M871" s="15">
        <v>2.1000000000000001E-2</v>
      </c>
      <c r="N871" s="15">
        <v>38.017000000000003</v>
      </c>
      <c r="O871" s="15">
        <v>5.3999999999999999E-2</v>
      </c>
      <c r="P871" s="15">
        <v>0.47599999999999998</v>
      </c>
      <c r="Q871" s="15">
        <v>0.193</v>
      </c>
      <c r="R871" s="15">
        <v>0.60399999999999998</v>
      </c>
      <c r="S871" s="15">
        <v>0.1</v>
      </c>
      <c r="T871" s="15" t="s">
        <v>23</v>
      </c>
      <c r="U871" s="15" t="s">
        <v>22</v>
      </c>
      <c r="V871" s="15" t="s">
        <v>30</v>
      </c>
      <c r="W871" s="15">
        <v>2</v>
      </c>
      <c r="X871" s="15"/>
      <c r="Y871" s="12">
        <f t="shared" si="27"/>
        <v>0.247</v>
      </c>
      <c r="Z871" s="15">
        <v>-0.42199999999999999</v>
      </c>
    </row>
    <row r="872" spans="1:26" x14ac:dyDescent="0.2">
      <c r="A872" s="15" t="s">
        <v>83</v>
      </c>
      <c r="B872" s="15">
        <v>3803.875</v>
      </c>
      <c r="C872" s="15">
        <v>22.245999999999999</v>
      </c>
      <c r="D872" s="15">
        <v>21.859000000000002</v>
      </c>
      <c r="E872" s="15">
        <v>1.032</v>
      </c>
      <c r="F872" s="15">
        <v>166.19399999999999</v>
      </c>
      <c r="G872" s="15">
        <v>2.7850000000000001</v>
      </c>
      <c r="H872" s="15">
        <v>6.0110000000000001</v>
      </c>
      <c r="I872" s="15">
        <v>3.1739999999999999</v>
      </c>
      <c r="J872" s="15">
        <v>106.645</v>
      </c>
      <c r="K872" s="15">
        <v>119.551</v>
      </c>
      <c r="L872" s="15">
        <v>4.1189999999999998</v>
      </c>
      <c r="M872" s="15">
        <v>0.01</v>
      </c>
      <c r="N872" s="15">
        <v>45.625999999999998</v>
      </c>
      <c r="O872" s="15">
        <v>4.9000000000000002E-2</v>
      </c>
      <c r="P872" s="15">
        <v>0.47099999999999997</v>
      </c>
      <c r="Q872" s="15">
        <v>0.153</v>
      </c>
      <c r="R872" s="15">
        <v>0.621</v>
      </c>
      <c r="S872" s="15">
        <v>6.0999999999999999E-2</v>
      </c>
      <c r="T872" s="15" t="s">
        <v>23</v>
      </c>
      <c r="U872" s="15" t="s">
        <v>22</v>
      </c>
      <c r="V872" s="15" t="s">
        <v>30</v>
      </c>
      <c r="W872" s="15">
        <v>2</v>
      </c>
      <c r="X872" s="15"/>
      <c r="Y872" s="12">
        <f t="shared" si="27"/>
        <v>0.20200000000000001</v>
      </c>
      <c r="Z872" s="15">
        <v>-0.42199999999999999</v>
      </c>
    </row>
    <row r="873" spans="1:26" x14ac:dyDescent="0.2">
      <c r="A873" s="15" t="s">
        <v>83</v>
      </c>
      <c r="B873" s="15">
        <v>3804</v>
      </c>
      <c r="C873" s="15">
        <v>22.001000000000001</v>
      </c>
      <c r="D873" s="15">
        <v>21.934999999999999</v>
      </c>
      <c r="E873" s="15">
        <v>0.97799999999999998</v>
      </c>
      <c r="F873" s="15">
        <v>164.19399999999999</v>
      </c>
      <c r="G873" s="15">
        <v>2.79</v>
      </c>
      <c r="H873" s="15">
        <v>5.1879999999999997</v>
      </c>
      <c r="I873" s="15">
        <v>3.1739999999999999</v>
      </c>
      <c r="J873" s="15">
        <v>110.754</v>
      </c>
      <c r="K873" s="15">
        <v>124.438</v>
      </c>
      <c r="L873" s="15">
        <v>3.1749999999999998</v>
      </c>
      <c r="M873" s="15">
        <v>0.01</v>
      </c>
      <c r="N873" s="15">
        <v>58.667000000000002</v>
      </c>
      <c r="O873" s="15">
        <v>0.05</v>
      </c>
      <c r="P873" s="15">
        <v>0.47599999999999998</v>
      </c>
      <c r="Q873" s="15">
        <v>0.123</v>
      </c>
      <c r="R873" s="15">
        <v>0.66200000000000003</v>
      </c>
      <c r="S873" s="15">
        <v>2.9000000000000001E-2</v>
      </c>
      <c r="T873" s="15" t="s">
        <v>23</v>
      </c>
      <c r="U873" s="15" t="s">
        <v>22</v>
      </c>
      <c r="V873" s="15" t="s">
        <v>30</v>
      </c>
      <c r="W873" s="15">
        <v>2</v>
      </c>
      <c r="X873" s="15"/>
      <c r="Y873" s="12">
        <f t="shared" si="27"/>
        <v>0.17299999999999999</v>
      </c>
      <c r="Z873" s="15">
        <v>-0.42599999999999999</v>
      </c>
    </row>
    <row r="874" spans="1:26" x14ac:dyDescent="0.2">
      <c r="A874" s="15" t="s">
        <v>83</v>
      </c>
      <c r="B874" s="15">
        <v>3804.125</v>
      </c>
      <c r="C874" s="15">
        <v>22.844000000000001</v>
      </c>
      <c r="D874" s="15">
        <v>21.957000000000001</v>
      </c>
      <c r="E874" s="15">
        <v>1.02</v>
      </c>
      <c r="F874" s="15">
        <v>162.92500000000001</v>
      </c>
      <c r="G874" s="15">
        <v>2.798</v>
      </c>
      <c r="H874" s="15">
        <v>4.8280000000000003</v>
      </c>
      <c r="I874" s="15">
        <v>3.1850000000000001</v>
      </c>
      <c r="J874" s="15">
        <v>112.249</v>
      </c>
      <c r="K874" s="15">
        <v>126.372</v>
      </c>
      <c r="L874" s="15">
        <v>2.331</v>
      </c>
      <c r="M874" s="15">
        <v>0.01</v>
      </c>
      <c r="N874" s="15">
        <v>77.998999999999995</v>
      </c>
      <c r="O874" s="15">
        <v>5.7000000000000002E-2</v>
      </c>
      <c r="P874" s="15">
        <v>0.49099999999999999</v>
      </c>
      <c r="Q874" s="15">
        <v>0.105</v>
      </c>
      <c r="R874" s="15">
        <v>0.71599999999999997</v>
      </c>
      <c r="S874" s="15">
        <v>1.7000000000000001E-2</v>
      </c>
      <c r="T874" s="15" t="s">
        <v>23</v>
      </c>
      <c r="U874" s="15" t="s">
        <v>22</v>
      </c>
      <c r="V874" s="15" t="s">
        <v>30</v>
      </c>
      <c r="W874" s="15">
        <v>2</v>
      </c>
      <c r="X874" s="15"/>
      <c r="Y874" s="12">
        <f t="shared" si="27"/>
        <v>0.16200000000000001</v>
      </c>
      <c r="Z874" s="15">
        <v>-0.434</v>
      </c>
    </row>
    <row r="875" spans="1:26" x14ac:dyDescent="0.2">
      <c r="A875" s="15" t="s">
        <v>83</v>
      </c>
      <c r="B875" s="15">
        <v>3804.25</v>
      </c>
      <c r="C875" s="15">
        <v>23.303000000000001</v>
      </c>
      <c r="D875" s="15">
        <v>21.911999999999999</v>
      </c>
      <c r="E875" s="15">
        <v>1.0920000000000001</v>
      </c>
      <c r="F875" s="15">
        <v>162.191</v>
      </c>
      <c r="G875" s="15">
        <v>2.806</v>
      </c>
      <c r="H875" s="15">
        <v>4.7670000000000003</v>
      </c>
      <c r="I875" s="15">
        <v>3.2</v>
      </c>
      <c r="J875" s="15">
        <v>112.41200000000001</v>
      </c>
      <c r="K875" s="15">
        <v>126.72499999999999</v>
      </c>
      <c r="L875" s="15">
        <v>2.2989999999999999</v>
      </c>
      <c r="M875" s="15">
        <v>0.01</v>
      </c>
      <c r="N875" s="15">
        <v>78.992000000000004</v>
      </c>
      <c r="O875" s="15">
        <v>5.6000000000000001E-2</v>
      </c>
      <c r="P875" s="15">
        <v>0.505</v>
      </c>
      <c r="Q875" s="15">
        <v>9.0999999999999998E-2</v>
      </c>
      <c r="R875" s="15">
        <v>0.75700000000000001</v>
      </c>
      <c r="S875" s="15">
        <v>1.2999999999999999E-2</v>
      </c>
      <c r="T875" s="15" t="s">
        <v>23</v>
      </c>
      <c r="U875" s="15" t="s">
        <v>22</v>
      </c>
      <c r="V875" s="15" t="s">
        <v>30</v>
      </c>
      <c r="W875" s="15">
        <v>2</v>
      </c>
      <c r="X875" s="15"/>
      <c r="Y875" s="12">
        <f t="shared" si="27"/>
        <v>0.14699999999999999</v>
      </c>
      <c r="Z875" s="15">
        <v>-0.44900000000000001</v>
      </c>
    </row>
    <row r="876" spans="1:26" x14ac:dyDescent="0.2">
      <c r="A876" s="15" t="s">
        <v>83</v>
      </c>
      <c r="B876" s="15">
        <v>3804.375</v>
      </c>
      <c r="C876" s="15">
        <v>22.228999999999999</v>
      </c>
      <c r="D876" s="15">
        <v>21.859000000000002</v>
      </c>
      <c r="E876" s="15">
        <v>1.0580000000000001</v>
      </c>
      <c r="F876" s="15">
        <v>161.358</v>
      </c>
      <c r="G876" s="15">
        <v>2.8090000000000002</v>
      </c>
      <c r="H876" s="15">
        <v>4.601</v>
      </c>
      <c r="I876" s="15">
        <v>3.2069999999999999</v>
      </c>
      <c r="J876" s="15">
        <v>113.904</v>
      </c>
      <c r="K876" s="15">
        <v>128.47200000000001</v>
      </c>
      <c r="L876" s="15">
        <v>2.3069999999999999</v>
      </c>
      <c r="M876" s="15">
        <v>0.01</v>
      </c>
      <c r="N876" s="15">
        <v>78.165999999999997</v>
      </c>
      <c r="O876" s="15">
        <v>4.5999999999999999E-2</v>
      </c>
      <c r="P876" s="15">
        <v>0.51100000000000001</v>
      </c>
      <c r="Q876" s="15">
        <v>7.2999999999999995E-2</v>
      </c>
      <c r="R876" s="15">
        <v>0.77500000000000002</v>
      </c>
      <c r="S876" s="15">
        <v>5.0000000000000001E-3</v>
      </c>
      <c r="T876" s="15" t="s">
        <v>23</v>
      </c>
      <c r="U876" s="15" t="s">
        <v>22</v>
      </c>
      <c r="V876" s="15" t="s">
        <v>30</v>
      </c>
      <c r="W876" s="15">
        <v>2</v>
      </c>
      <c r="X876" s="15"/>
      <c r="Y876" s="12">
        <f t="shared" si="27"/>
        <v>0.11899999999999999</v>
      </c>
      <c r="Z876" s="15">
        <v>-0.46500000000000002</v>
      </c>
    </row>
    <row r="877" spans="1:26" x14ac:dyDescent="0.2">
      <c r="A877" s="15" t="s">
        <v>83</v>
      </c>
      <c r="B877" s="15">
        <v>3804.5</v>
      </c>
      <c r="C877" s="15">
        <v>20.972999999999999</v>
      </c>
      <c r="D877" s="15">
        <v>21.847000000000001</v>
      </c>
      <c r="E877" s="15">
        <v>0.97899999999999998</v>
      </c>
      <c r="F877" s="15">
        <v>159.94</v>
      </c>
      <c r="G877" s="15">
        <v>2.8109999999999999</v>
      </c>
      <c r="H877" s="15">
        <v>4.4470000000000001</v>
      </c>
      <c r="I877" s="15">
        <v>3.2090000000000001</v>
      </c>
      <c r="J877" s="15">
        <v>117.223</v>
      </c>
      <c r="K877" s="15">
        <v>132.37700000000001</v>
      </c>
      <c r="L877" s="15">
        <v>2.331</v>
      </c>
      <c r="M877" s="15">
        <v>0.01</v>
      </c>
      <c r="N877" s="15">
        <v>76.265000000000001</v>
      </c>
      <c r="O877" s="15">
        <v>3.9E-2</v>
      </c>
      <c r="P877" s="15">
        <v>0.51400000000000001</v>
      </c>
      <c r="Q877" s="15">
        <v>4.5999999999999999E-2</v>
      </c>
      <c r="R877" s="15">
        <v>0.78900000000000003</v>
      </c>
      <c r="S877" s="15">
        <v>2E-3</v>
      </c>
      <c r="T877" s="15" t="s">
        <v>23</v>
      </c>
      <c r="U877" s="15" t="s">
        <v>22</v>
      </c>
      <c r="V877" s="15" t="s">
        <v>30</v>
      </c>
      <c r="W877" s="15">
        <v>2</v>
      </c>
      <c r="X877" s="15"/>
      <c r="Y877" s="12">
        <f t="shared" si="27"/>
        <v>8.4999999999999992E-2</v>
      </c>
      <c r="Z877" s="15">
        <v>-0.47500000000000003</v>
      </c>
    </row>
    <row r="878" spans="1:26" x14ac:dyDescent="0.2">
      <c r="A878" s="15" t="s">
        <v>83</v>
      </c>
      <c r="B878" s="15">
        <v>3804.625</v>
      </c>
      <c r="C878" s="15">
        <v>20.995999999999999</v>
      </c>
      <c r="D878" s="15">
        <v>22.003</v>
      </c>
      <c r="E878" s="15">
        <v>0.89100000000000001</v>
      </c>
      <c r="F878" s="15">
        <v>158.11699999999999</v>
      </c>
      <c r="G878" s="15">
        <v>2.8130000000000002</v>
      </c>
      <c r="H878" s="15">
        <v>4.556</v>
      </c>
      <c r="I878" s="15">
        <v>3.2120000000000002</v>
      </c>
      <c r="J878" s="15">
        <v>119.54</v>
      </c>
      <c r="K878" s="15">
        <v>135.26400000000001</v>
      </c>
      <c r="L878" s="15">
        <v>2.2959999999999998</v>
      </c>
      <c r="M878" s="15">
        <v>0.01</v>
      </c>
      <c r="N878" s="15">
        <v>77.066000000000003</v>
      </c>
      <c r="O878" s="15">
        <v>4.5999999999999999E-2</v>
      </c>
      <c r="P878" s="15">
        <v>0.51700000000000002</v>
      </c>
      <c r="Q878" s="15">
        <v>1.7000000000000001E-2</v>
      </c>
      <c r="R878" s="15">
        <v>0.8</v>
      </c>
      <c r="S878" s="15">
        <v>1.2999999999999999E-2</v>
      </c>
      <c r="T878" s="15" t="s">
        <v>23</v>
      </c>
      <c r="U878" s="15" t="s">
        <v>22</v>
      </c>
      <c r="V878" s="15" t="s">
        <v>30</v>
      </c>
      <c r="W878" s="15">
        <v>2</v>
      </c>
      <c r="X878" s="15"/>
      <c r="Y878" s="12">
        <f t="shared" si="27"/>
        <v>6.3E-2</v>
      </c>
      <c r="Z878" s="15">
        <v>-0.47100000000000003</v>
      </c>
    </row>
    <row r="879" spans="1:26" x14ac:dyDescent="0.2">
      <c r="A879" s="15" t="s">
        <v>83</v>
      </c>
      <c r="B879" s="15">
        <v>3804.75</v>
      </c>
      <c r="C879" s="15">
        <v>23.327999999999999</v>
      </c>
      <c r="D879" s="15">
        <v>22.172999999999998</v>
      </c>
      <c r="E879" s="15">
        <v>0.95299999999999996</v>
      </c>
      <c r="F879" s="15">
        <v>156.77199999999999</v>
      </c>
      <c r="G879" s="15">
        <v>2.8140000000000001</v>
      </c>
      <c r="H879" s="15">
        <v>5.0060000000000002</v>
      </c>
      <c r="I879" s="15">
        <v>3.2160000000000002</v>
      </c>
      <c r="J879" s="15">
        <v>119.788</v>
      </c>
      <c r="K879" s="15">
        <v>135.74199999999999</v>
      </c>
      <c r="L879" s="15">
        <v>2.3540000000000001</v>
      </c>
      <c r="M879" s="15">
        <v>0.01</v>
      </c>
      <c r="N879" s="15">
        <v>76.084999999999994</v>
      </c>
      <c r="O879" s="15">
        <v>7.0999999999999994E-2</v>
      </c>
      <c r="P879" s="15">
        <v>0.52400000000000002</v>
      </c>
      <c r="Q879" s="15">
        <v>1E-3</v>
      </c>
      <c r="R879" s="15">
        <v>0.79900000000000004</v>
      </c>
      <c r="S879" s="15">
        <v>3.6999999999999998E-2</v>
      </c>
      <c r="T879" s="15" t="s">
        <v>23</v>
      </c>
      <c r="U879" s="15" t="s">
        <v>22</v>
      </c>
      <c r="V879" s="15" t="s">
        <v>30</v>
      </c>
      <c r="W879" s="15">
        <v>2</v>
      </c>
      <c r="X879" s="15"/>
      <c r="Y879" s="12">
        <f t="shared" si="27"/>
        <v>7.1999999999999995E-2</v>
      </c>
      <c r="Z879" s="15">
        <v>-0.45300000000000001</v>
      </c>
    </row>
    <row r="880" spans="1:26" x14ac:dyDescent="0.2">
      <c r="A880" s="15" t="s">
        <v>83</v>
      </c>
      <c r="B880" s="15">
        <v>3804.875</v>
      </c>
      <c r="C880" s="15">
        <v>26.771000000000001</v>
      </c>
      <c r="D880" s="15">
        <v>22.292000000000002</v>
      </c>
      <c r="E880" s="15">
        <v>1.131</v>
      </c>
      <c r="F880" s="15">
        <v>156.65700000000001</v>
      </c>
      <c r="G880" s="15">
        <v>2.8119999999999998</v>
      </c>
      <c r="H880" s="15">
        <v>5.593</v>
      </c>
      <c r="I880" s="15">
        <v>3.2250000000000001</v>
      </c>
      <c r="J880" s="15">
        <v>120.247</v>
      </c>
      <c r="K880" s="15">
        <v>136.31899999999999</v>
      </c>
      <c r="L880" s="15">
        <v>3.004</v>
      </c>
      <c r="M880" s="15">
        <v>0.01</v>
      </c>
      <c r="N880" s="15">
        <v>58.817</v>
      </c>
      <c r="O880" s="15">
        <v>9.8000000000000004E-2</v>
      </c>
      <c r="P880" s="15">
        <v>0.53700000000000003</v>
      </c>
      <c r="Q880" s="15">
        <v>8.9999999999999993E-3</v>
      </c>
      <c r="R880" s="15">
        <v>0.78300000000000003</v>
      </c>
      <c r="S880" s="15">
        <v>6.5000000000000002E-2</v>
      </c>
      <c r="T880" s="15" t="s">
        <v>23</v>
      </c>
      <c r="U880" s="15" t="s">
        <v>22</v>
      </c>
      <c r="V880" s="15" t="s">
        <v>30</v>
      </c>
      <c r="W880" s="15">
        <v>2</v>
      </c>
      <c r="X880" s="15"/>
      <c r="Y880" s="12">
        <f t="shared" si="27"/>
        <v>0.107</v>
      </c>
      <c r="Z880" s="15">
        <v>-0.43900000000000006</v>
      </c>
    </row>
    <row r="881" spans="1:26" x14ac:dyDescent="0.2">
      <c r="A881" s="15" t="s">
        <v>83</v>
      </c>
      <c r="B881" s="15">
        <v>3805</v>
      </c>
      <c r="C881" s="15">
        <v>29.309000000000001</v>
      </c>
      <c r="D881" s="15">
        <v>22.391999999999999</v>
      </c>
      <c r="E881" s="15">
        <v>1.2529999999999999</v>
      </c>
      <c r="F881" s="15">
        <v>158.10599999999999</v>
      </c>
      <c r="G881" s="15">
        <v>2.8090000000000002</v>
      </c>
      <c r="H881" s="15">
        <v>6.12</v>
      </c>
      <c r="I881" s="15">
        <v>3.24</v>
      </c>
      <c r="J881" s="15">
        <v>125.393</v>
      </c>
      <c r="K881" s="15">
        <v>142.07300000000001</v>
      </c>
      <c r="L881" s="15">
        <v>3.1259999999999999</v>
      </c>
      <c r="M881" s="15">
        <v>0.01</v>
      </c>
      <c r="N881" s="15">
        <v>56.314999999999998</v>
      </c>
      <c r="O881" s="15">
        <v>0.12</v>
      </c>
      <c r="P881" s="15">
        <v>0.55600000000000005</v>
      </c>
      <c r="Q881" s="15">
        <v>4.1000000000000002E-2</v>
      </c>
      <c r="R881" s="15">
        <v>0.75800000000000001</v>
      </c>
      <c r="S881" s="15">
        <v>8.7999999999999995E-2</v>
      </c>
      <c r="T881" s="15" t="s">
        <v>23</v>
      </c>
      <c r="U881" s="15" t="s">
        <v>22</v>
      </c>
      <c r="V881" s="15" t="s">
        <v>30</v>
      </c>
      <c r="W881" s="15">
        <v>2</v>
      </c>
      <c r="X881" s="15"/>
      <c r="Y881" s="12">
        <f t="shared" si="27"/>
        <v>0.161</v>
      </c>
      <c r="Z881" s="15">
        <v>-0.43600000000000005</v>
      </c>
    </row>
    <row r="882" spans="1:26" x14ac:dyDescent="0.2">
      <c r="A882" s="15" t="s">
        <v>83</v>
      </c>
      <c r="B882" s="15">
        <v>3805.125</v>
      </c>
      <c r="C882" s="15">
        <v>31.606999999999999</v>
      </c>
      <c r="D882" s="15">
        <v>22.509</v>
      </c>
      <c r="E882" s="15">
        <v>1.3919999999999999</v>
      </c>
      <c r="F882" s="15">
        <v>160.50299999999999</v>
      </c>
      <c r="G882" s="15">
        <v>2.8039999999999998</v>
      </c>
      <c r="H882" s="15">
        <v>6.5250000000000004</v>
      </c>
      <c r="I882" s="15">
        <v>3.258</v>
      </c>
      <c r="J882" s="15">
        <v>139.27000000000001</v>
      </c>
      <c r="K882" s="15">
        <v>157.643</v>
      </c>
      <c r="L882" s="15">
        <v>3.83</v>
      </c>
      <c r="M882" s="15">
        <v>0.01</v>
      </c>
      <c r="N882" s="15">
        <v>43.438000000000002</v>
      </c>
      <c r="O882" s="15">
        <v>0.13700000000000001</v>
      </c>
      <c r="P882" s="15">
        <v>0.57199999999999995</v>
      </c>
      <c r="Q882" s="15">
        <v>8.3000000000000004E-2</v>
      </c>
      <c r="R882" s="15">
        <v>0.73199999999999998</v>
      </c>
      <c r="S882" s="15">
        <v>0.105</v>
      </c>
      <c r="T882" s="15" t="s">
        <v>23</v>
      </c>
      <c r="U882" s="15" t="s">
        <v>22</v>
      </c>
      <c r="V882" s="15" t="s">
        <v>30</v>
      </c>
      <c r="W882" s="15">
        <v>2</v>
      </c>
      <c r="X882" s="15"/>
      <c r="Y882" s="12">
        <f t="shared" si="27"/>
        <v>0.22000000000000003</v>
      </c>
      <c r="Z882" s="15">
        <v>-0.43499999999999994</v>
      </c>
    </row>
    <row r="883" spans="1:26" x14ac:dyDescent="0.2">
      <c r="A883" s="15" t="s">
        <v>83</v>
      </c>
      <c r="B883" s="15">
        <v>3805.25</v>
      </c>
      <c r="C883" s="15">
        <v>33.012</v>
      </c>
      <c r="D883" s="15">
        <v>22.655999999999999</v>
      </c>
      <c r="E883" s="15">
        <v>1.478</v>
      </c>
      <c r="F883" s="15">
        <v>163.07400000000001</v>
      </c>
      <c r="G883" s="15">
        <v>2.802</v>
      </c>
      <c r="H883" s="15">
        <v>6.7919999999999998</v>
      </c>
      <c r="I883" s="15">
        <v>3.2629999999999999</v>
      </c>
      <c r="J883" s="15">
        <v>165.05600000000001</v>
      </c>
      <c r="K883" s="15">
        <v>186.67400000000001</v>
      </c>
      <c r="L883" s="15">
        <v>3.8029999999999999</v>
      </c>
      <c r="M883" s="15">
        <v>0.01</v>
      </c>
      <c r="N883" s="15">
        <v>41.51</v>
      </c>
      <c r="O883" s="15">
        <v>0.14699999999999999</v>
      </c>
      <c r="P883" s="15">
        <v>0.56499999999999995</v>
      </c>
      <c r="Q883" s="15">
        <v>0.123</v>
      </c>
      <c r="R883" s="15">
        <v>0.71799999999999997</v>
      </c>
      <c r="S883" s="15">
        <v>0.11600000000000001</v>
      </c>
      <c r="T883" s="15" t="s">
        <v>23</v>
      </c>
      <c r="U883" s="15" t="s">
        <v>22</v>
      </c>
      <c r="V883" s="15" t="s">
        <v>30</v>
      </c>
      <c r="W883" s="15">
        <v>2</v>
      </c>
      <c r="X883" s="15"/>
      <c r="Y883" s="12">
        <f t="shared" si="27"/>
        <v>0.27</v>
      </c>
      <c r="Z883" s="15">
        <v>-0.41799999999999993</v>
      </c>
    </row>
    <row r="884" spans="1:26" x14ac:dyDescent="0.2">
      <c r="A884" s="15" t="s">
        <v>83</v>
      </c>
      <c r="B884" s="15">
        <v>3805.375</v>
      </c>
      <c r="C884" s="15">
        <v>33.664999999999999</v>
      </c>
      <c r="D884" s="15">
        <v>22.501000000000001</v>
      </c>
      <c r="E884" s="15">
        <v>1.5229999999999999</v>
      </c>
      <c r="F884" s="15">
        <v>164.792</v>
      </c>
      <c r="G884" s="15">
        <v>2.8</v>
      </c>
      <c r="H884" s="15">
        <v>6.944</v>
      </c>
      <c r="I884" s="15">
        <v>3.2389999999999999</v>
      </c>
      <c r="J884" s="15">
        <v>206.21100000000001</v>
      </c>
      <c r="K884" s="15">
        <v>233.26499999999999</v>
      </c>
      <c r="L884" s="15">
        <v>3.8119999999999998</v>
      </c>
      <c r="M884" s="15">
        <v>0.01</v>
      </c>
      <c r="N884" s="15">
        <v>36.923000000000002</v>
      </c>
      <c r="O884" s="15">
        <v>0.152</v>
      </c>
      <c r="P884" s="15">
        <v>0.52500000000000002</v>
      </c>
      <c r="Q884" s="15">
        <v>0.14399999999999999</v>
      </c>
      <c r="R884" s="15">
        <v>0.70199999999999996</v>
      </c>
      <c r="S884" s="15">
        <v>0.125</v>
      </c>
      <c r="T884" s="15" t="s">
        <v>23</v>
      </c>
      <c r="U884" s="15" t="s">
        <v>22</v>
      </c>
      <c r="V884" s="15" t="s">
        <v>30</v>
      </c>
      <c r="W884" s="15">
        <v>2</v>
      </c>
      <c r="X884" s="15"/>
      <c r="Y884" s="12">
        <f t="shared" si="27"/>
        <v>0.29599999999999999</v>
      </c>
      <c r="Z884" s="15">
        <v>-0.373</v>
      </c>
    </row>
    <row r="885" spans="1:26" x14ac:dyDescent="0.2">
      <c r="A885" s="15" t="s">
        <v>83</v>
      </c>
      <c r="B885" s="15">
        <v>3805.5</v>
      </c>
      <c r="C885" s="15">
        <v>34.037999999999997</v>
      </c>
      <c r="D885" s="15">
        <v>22.248000000000001</v>
      </c>
      <c r="E885" s="15">
        <v>1.4930000000000001</v>
      </c>
      <c r="F885" s="15">
        <v>165.13</v>
      </c>
      <c r="G885" s="15">
        <v>2.7970000000000002</v>
      </c>
      <c r="H885" s="15">
        <v>7.2039999999999997</v>
      </c>
      <c r="I885" s="15">
        <v>3.1859999999999999</v>
      </c>
      <c r="J885" s="15">
        <v>253.87899999999999</v>
      </c>
      <c r="K885" s="15">
        <v>287.64999999999998</v>
      </c>
      <c r="L885" s="15">
        <v>3.9750000000000001</v>
      </c>
      <c r="M885" s="15">
        <v>1.0999999999999999E-2</v>
      </c>
      <c r="N885" s="15">
        <v>31.94</v>
      </c>
      <c r="O885" s="15">
        <v>0.16200000000000001</v>
      </c>
      <c r="P885" s="15">
        <v>0.45600000000000002</v>
      </c>
      <c r="Q885" s="15">
        <v>0.14399999999999999</v>
      </c>
      <c r="R885" s="15">
        <v>0.67200000000000004</v>
      </c>
      <c r="S885" s="15">
        <v>0.14799999999999999</v>
      </c>
      <c r="T885" s="15" t="s">
        <v>23</v>
      </c>
      <c r="U885" s="15" t="s">
        <v>22</v>
      </c>
      <c r="V885" s="15" t="s">
        <v>30</v>
      </c>
      <c r="W885" s="15">
        <v>2</v>
      </c>
      <c r="X885" s="15"/>
      <c r="Y885" s="12">
        <f t="shared" si="27"/>
        <v>0.30599999999999999</v>
      </c>
      <c r="Z885" s="15">
        <v>-0.29400000000000004</v>
      </c>
    </row>
    <row r="886" spans="1:26" x14ac:dyDescent="0.2">
      <c r="A886" s="15" t="s">
        <v>83</v>
      </c>
      <c r="B886" s="15">
        <v>3805.625</v>
      </c>
      <c r="C886" s="15">
        <v>36.512</v>
      </c>
      <c r="D886" s="15">
        <v>22.004000000000001</v>
      </c>
      <c r="E886" s="15">
        <v>1.4119999999999999</v>
      </c>
      <c r="F886" s="15">
        <v>164.596</v>
      </c>
      <c r="G886" s="15">
        <v>2.79</v>
      </c>
      <c r="H886" s="15">
        <v>8.0470000000000006</v>
      </c>
      <c r="I886" s="15">
        <v>3.1179999999999999</v>
      </c>
      <c r="J886" s="15">
        <v>284.47800000000001</v>
      </c>
      <c r="K886" s="15">
        <v>323.22899999999998</v>
      </c>
      <c r="L886" s="15">
        <v>4.8049999999999997</v>
      </c>
      <c r="M886" s="15">
        <v>1.7000000000000001E-2</v>
      </c>
      <c r="N886" s="15">
        <v>25.335999999999999</v>
      </c>
      <c r="O886" s="15">
        <v>0.20499999999999999</v>
      </c>
      <c r="P886" s="15">
        <v>0.38</v>
      </c>
      <c r="Q886" s="15">
        <v>0.13600000000000001</v>
      </c>
      <c r="R886" s="15">
        <v>0.62</v>
      </c>
      <c r="S886" s="15">
        <v>0.20799999999999999</v>
      </c>
      <c r="T886" s="15" t="s">
        <v>23</v>
      </c>
      <c r="U886" s="15" t="s">
        <v>22</v>
      </c>
      <c r="V886" s="15" t="s">
        <v>30</v>
      </c>
      <c r="W886" s="15">
        <v>2</v>
      </c>
      <c r="X886" s="15"/>
      <c r="Y886" s="12">
        <f t="shared" si="27"/>
        <v>0.34099999999999997</v>
      </c>
      <c r="Z886" s="15">
        <v>-0.17500000000000002</v>
      </c>
    </row>
    <row r="887" spans="1:26" x14ac:dyDescent="0.2">
      <c r="A887" s="15" t="s">
        <v>83</v>
      </c>
      <c r="B887" s="15">
        <v>3805.75</v>
      </c>
      <c r="C887" s="15">
        <v>45.677999999999997</v>
      </c>
      <c r="D887" s="15">
        <v>21.98</v>
      </c>
      <c r="E887" s="15">
        <v>1.629</v>
      </c>
      <c r="F887" s="15">
        <v>164.28</v>
      </c>
      <c r="G887" s="15">
        <v>2.7810000000000001</v>
      </c>
      <c r="H887" s="15">
        <v>9.9700000000000006</v>
      </c>
      <c r="I887" s="15">
        <v>3.056</v>
      </c>
      <c r="J887" s="15">
        <v>278.50299999999999</v>
      </c>
      <c r="K887" s="15">
        <v>317.108</v>
      </c>
      <c r="L887" s="15">
        <v>5.74</v>
      </c>
      <c r="M887" s="15">
        <v>4.9000000000000002E-2</v>
      </c>
      <c r="N887" s="15">
        <v>21.661999999999999</v>
      </c>
      <c r="O887" s="15">
        <v>0.30199999999999999</v>
      </c>
      <c r="P887" s="15">
        <v>0.318</v>
      </c>
      <c r="Q887" s="15">
        <v>0.13600000000000001</v>
      </c>
      <c r="R887" s="15">
        <v>0.54600000000000004</v>
      </c>
      <c r="S887" s="15">
        <v>0.312</v>
      </c>
      <c r="T887" s="15" t="s">
        <v>23</v>
      </c>
      <c r="U887" s="15" t="s">
        <v>22</v>
      </c>
      <c r="V887" s="15" t="s">
        <v>30</v>
      </c>
      <c r="W887" s="15">
        <v>2</v>
      </c>
      <c r="X887" s="15"/>
      <c r="Y887" s="12">
        <f t="shared" si="27"/>
        <v>0.438</v>
      </c>
      <c r="Z887" s="15">
        <v>-1.6000000000000014E-2</v>
      </c>
    </row>
    <row r="888" spans="1:26" x14ac:dyDescent="0.2">
      <c r="A888" s="15" t="s">
        <v>83</v>
      </c>
      <c r="B888" s="15">
        <v>3805.875</v>
      </c>
      <c r="C888" s="15">
        <v>59.734999999999999</v>
      </c>
      <c r="D888" s="15">
        <v>22.036000000000001</v>
      </c>
      <c r="E888" s="15">
        <v>2.2509999999999999</v>
      </c>
      <c r="F888" s="15">
        <v>164.84</v>
      </c>
      <c r="G888" s="15">
        <v>2.7669999999999999</v>
      </c>
      <c r="H888" s="15">
        <v>12.503</v>
      </c>
      <c r="I888" s="15">
        <v>3.0190000000000001</v>
      </c>
      <c r="J888" s="15">
        <v>252.48400000000001</v>
      </c>
      <c r="K888" s="15">
        <v>287.90199999999999</v>
      </c>
      <c r="L888" s="15">
        <v>6.6120000000000001</v>
      </c>
      <c r="M888" s="15">
        <v>0.13200000000000001</v>
      </c>
      <c r="N888" s="15">
        <v>30.611999999999998</v>
      </c>
      <c r="O888" s="15">
        <v>0.42199999999999999</v>
      </c>
      <c r="P888" s="15">
        <v>0.29099999999999998</v>
      </c>
      <c r="Q888" s="15">
        <v>0.154</v>
      </c>
      <c r="R888" s="15">
        <v>0.44900000000000001</v>
      </c>
      <c r="S888" s="15">
        <v>0.43</v>
      </c>
      <c r="T888" s="15" t="s">
        <v>23</v>
      </c>
      <c r="U888" s="15" t="s">
        <v>22</v>
      </c>
      <c r="V888" s="15" t="s">
        <v>30</v>
      </c>
      <c r="W888" s="15">
        <v>2</v>
      </c>
      <c r="X888" s="15"/>
      <c r="Y888" s="12">
        <f t="shared" si="27"/>
        <v>0.57599999999999996</v>
      </c>
      <c r="Z888" s="15">
        <v>0.13100000000000001</v>
      </c>
    </row>
    <row r="889" spans="1:26" x14ac:dyDescent="0.2">
      <c r="A889" s="15" t="s">
        <v>84</v>
      </c>
      <c r="B889" s="15">
        <v>3926.625</v>
      </c>
      <c r="C889" s="15">
        <v>53.124000000000002</v>
      </c>
      <c r="D889" s="15">
        <v>21.827000000000002</v>
      </c>
      <c r="E889" s="15">
        <v>2.839</v>
      </c>
      <c r="F889" s="15">
        <v>160.89400000000001</v>
      </c>
      <c r="G889" s="15">
        <v>2.7930000000000001</v>
      </c>
      <c r="H889" s="15">
        <v>8.8350000000000009</v>
      </c>
      <c r="I889" s="15">
        <v>2.8889999999999998</v>
      </c>
      <c r="J889" s="15">
        <v>962.98299999999995</v>
      </c>
      <c r="K889" s="15">
        <v>1075.287</v>
      </c>
      <c r="L889" s="15">
        <v>0.01</v>
      </c>
      <c r="M889" s="15">
        <v>1E-3</v>
      </c>
      <c r="N889" s="15">
        <v>100</v>
      </c>
      <c r="O889" s="15">
        <v>0.33</v>
      </c>
      <c r="P889" s="15">
        <v>0.14599999999999999</v>
      </c>
      <c r="Q889" s="15">
        <v>0.21299999999999999</v>
      </c>
      <c r="R889" s="15">
        <v>0.92600000000000005</v>
      </c>
      <c r="S889" s="15">
        <v>0.55500000000000005</v>
      </c>
      <c r="T889" s="15"/>
      <c r="U889" s="15" t="s">
        <v>33</v>
      </c>
      <c r="V889" s="15" t="s">
        <v>30</v>
      </c>
      <c r="W889" s="15">
        <v>10</v>
      </c>
      <c r="X889" s="15"/>
      <c r="Y889" s="12">
        <f t="shared" si="27"/>
        <v>0.54300000000000004</v>
      </c>
      <c r="Z889" s="15">
        <v>0.18400000000000002</v>
      </c>
    </row>
    <row r="890" spans="1:26" x14ac:dyDescent="0.2">
      <c r="A890" s="15" t="s">
        <v>84</v>
      </c>
      <c r="B890" s="15">
        <v>3926.75</v>
      </c>
      <c r="C890" s="15">
        <v>40.478000000000002</v>
      </c>
      <c r="D890" s="15">
        <v>21.843</v>
      </c>
      <c r="E890" s="15">
        <v>3.3170000000000002</v>
      </c>
      <c r="F890" s="15">
        <v>161.446</v>
      </c>
      <c r="G890" s="15">
        <v>2.7890000000000001</v>
      </c>
      <c r="H890" s="15">
        <v>8.5129999999999999</v>
      </c>
      <c r="I890" s="15">
        <v>2.8929999999999998</v>
      </c>
      <c r="J890" s="15">
        <v>1051.836</v>
      </c>
      <c r="K890" s="15">
        <v>1174.58</v>
      </c>
      <c r="L890" s="15">
        <v>0.01</v>
      </c>
      <c r="M890" s="15">
        <v>1E-3</v>
      </c>
      <c r="N890" s="15">
        <v>100</v>
      </c>
      <c r="O890" s="15">
        <v>0.20200000000000001</v>
      </c>
      <c r="P890" s="15">
        <v>0.14899999999999999</v>
      </c>
      <c r="Q890" s="15">
        <v>0.22500000000000001</v>
      </c>
      <c r="R890" s="15">
        <v>0.90400000000000003</v>
      </c>
      <c r="S890" s="15">
        <v>0.52300000000000002</v>
      </c>
      <c r="T890" s="15"/>
      <c r="U890" s="15" t="s">
        <v>33</v>
      </c>
      <c r="V890" s="15" t="s">
        <v>30</v>
      </c>
      <c r="W890" s="15">
        <v>10</v>
      </c>
      <c r="X890" s="15"/>
      <c r="Y890" s="12">
        <f t="shared" si="27"/>
        <v>0.42700000000000005</v>
      </c>
      <c r="Z890" s="15">
        <v>5.3000000000000019E-2</v>
      </c>
    </row>
    <row r="891" spans="1:26" x14ac:dyDescent="0.2">
      <c r="A891" s="15" t="s">
        <v>84</v>
      </c>
      <c r="B891" s="15">
        <v>3926.875</v>
      </c>
      <c r="C891" s="15">
        <v>36.247999999999998</v>
      </c>
      <c r="D891" s="15">
        <v>21.893000000000001</v>
      </c>
      <c r="E891" s="15">
        <v>3.726</v>
      </c>
      <c r="F891" s="15">
        <v>163.10599999999999</v>
      </c>
      <c r="G891" s="15">
        <v>2.79</v>
      </c>
      <c r="H891" s="15">
        <v>8.1630000000000003</v>
      </c>
      <c r="I891" s="15">
        <v>2.895</v>
      </c>
      <c r="J891" s="15">
        <v>928.3</v>
      </c>
      <c r="K891" s="15">
        <v>1036.7380000000001</v>
      </c>
      <c r="L891" s="15">
        <v>0.01</v>
      </c>
      <c r="M891" s="15">
        <v>1E-3</v>
      </c>
      <c r="N891" s="15">
        <v>100</v>
      </c>
      <c r="O891" s="15">
        <v>0.14699999999999999</v>
      </c>
      <c r="P891" s="15">
        <v>0.151</v>
      </c>
      <c r="Q891" s="15">
        <v>0.27</v>
      </c>
      <c r="R891" s="15">
        <v>0.90400000000000003</v>
      </c>
      <c r="S891" s="15">
        <v>0.49199999999999999</v>
      </c>
      <c r="T891" s="15"/>
      <c r="U891" s="15" t="s">
        <v>33</v>
      </c>
      <c r="V891" s="15" t="s">
        <v>30</v>
      </c>
      <c r="W891" s="15">
        <v>10</v>
      </c>
      <c r="X891" s="15"/>
      <c r="Y891" s="12">
        <f t="shared" si="27"/>
        <v>0.41700000000000004</v>
      </c>
      <c r="Z891" s="15">
        <v>-4.0000000000000036E-3</v>
      </c>
    </row>
    <row r="892" spans="1:26" x14ac:dyDescent="0.2">
      <c r="A892" s="15" t="s">
        <v>84</v>
      </c>
      <c r="B892" s="15">
        <v>3927</v>
      </c>
      <c r="C892" s="15">
        <v>39.238999999999997</v>
      </c>
      <c r="D892" s="15">
        <v>21.972999999999999</v>
      </c>
      <c r="E892" s="15">
        <v>4.0890000000000004</v>
      </c>
      <c r="F892" s="15">
        <v>165.78700000000001</v>
      </c>
      <c r="G892" s="15">
        <v>2.7930000000000001</v>
      </c>
      <c r="H892" s="15">
        <v>7.7160000000000002</v>
      </c>
      <c r="I892" s="15">
        <v>2.8929999999999998</v>
      </c>
      <c r="J892" s="15">
        <v>768.41300000000001</v>
      </c>
      <c r="K892" s="15">
        <v>858.20100000000002</v>
      </c>
      <c r="L892" s="15">
        <v>0.01</v>
      </c>
      <c r="M892" s="15">
        <v>1E-3</v>
      </c>
      <c r="N892" s="15">
        <v>100</v>
      </c>
      <c r="O892" s="15">
        <v>0.161</v>
      </c>
      <c r="P892" s="15">
        <v>0.15</v>
      </c>
      <c r="Q892" s="15">
        <v>0.34899999999999998</v>
      </c>
      <c r="R892" s="15">
        <v>0.91700000000000004</v>
      </c>
      <c r="S892" s="15">
        <v>0.45200000000000001</v>
      </c>
      <c r="T892" s="15"/>
      <c r="U892" s="15" t="s">
        <v>33</v>
      </c>
      <c r="V892" s="15" t="s">
        <v>30</v>
      </c>
      <c r="W892" s="15">
        <v>10</v>
      </c>
      <c r="X892" s="15"/>
      <c r="Y892" s="12">
        <f t="shared" si="27"/>
        <v>0.51</v>
      </c>
      <c r="Z892" s="15">
        <v>1.100000000000001E-2</v>
      </c>
    </row>
    <row r="893" spans="1:26" x14ac:dyDescent="0.2">
      <c r="A893" s="15" t="s">
        <v>84</v>
      </c>
      <c r="B893" s="15">
        <v>3927.125</v>
      </c>
      <c r="C893" s="15">
        <v>52.884999999999998</v>
      </c>
      <c r="D893" s="15">
        <v>22.071000000000002</v>
      </c>
      <c r="E893" s="15">
        <v>4.4509999999999996</v>
      </c>
      <c r="F893" s="15">
        <v>169.06399999999999</v>
      </c>
      <c r="G893" s="15">
        <v>2.7919999999999998</v>
      </c>
      <c r="H893" s="15">
        <v>7.3680000000000003</v>
      </c>
      <c r="I893" s="15">
        <v>2.8860000000000001</v>
      </c>
      <c r="J893" s="15">
        <v>621.76499999999999</v>
      </c>
      <c r="K893" s="15">
        <v>694.42200000000003</v>
      </c>
      <c r="L893" s="15">
        <v>0.01</v>
      </c>
      <c r="M893" s="15">
        <v>1E-3</v>
      </c>
      <c r="N893" s="15">
        <v>100</v>
      </c>
      <c r="O893" s="15">
        <v>0.26800000000000002</v>
      </c>
      <c r="P893" s="15">
        <v>0.14599999999999999</v>
      </c>
      <c r="Q893" s="15">
        <v>0.44800000000000001</v>
      </c>
      <c r="R893" s="15">
        <v>0.91600000000000004</v>
      </c>
      <c r="S893" s="15">
        <v>0.41899999999999998</v>
      </c>
      <c r="T893" s="15"/>
      <c r="U893" s="15" t="s">
        <v>33</v>
      </c>
      <c r="V893" s="15" t="s">
        <v>30</v>
      </c>
      <c r="W893" s="15">
        <v>10</v>
      </c>
      <c r="X893" s="15"/>
      <c r="Y893" s="12">
        <f t="shared" si="27"/>
        <v>0.71599999999999997</v>
      </c>
      <c r="Z893" s="15">
        <v>0.12200000000000003</v>
      </c>
    </row>
    <row r="894" spans="1:26" x14ac:dyDescent="0.2">
      <c r="A894" s="15" t="s">
        <v>84</v>
      </c>
      <c r="B894" s="15">
        <v>3927.25</v>
      </c>
      <c r="C894" s="15">
        <v>82.119</v>
      </c>
      <c r="D894" s="15">
        <v>22.158000000000001</v>
      </c>
      <c r="E894" s="15">
        <v>4.7270000000000003</v>
      </c>
      <c r="F894" s="15">
        <v>171.94200000000001</v>
      </c>
      <c r="G894" s="15">
        <v>2.7829999999999999</v>
      </c>
      <c r="H894" s="15">
        <v>7.43</v>
      </c>
      <c r="I894" s="15">
        <v>2.8759999999999999</v>
      </c>
      <c r="J894" s="15">
        <v>451.21600000000001</v>
      </c>
      <c r="K894" s="15">
        <v>503.94400000000002</v>
      </c>
      <c r="L894" s="15">
        <v>0.01</v>
      </c>
      <c r="M894" s="15">
        <v>1E-3</v>
      </c>
      <c r="N894" s="15">
        <v>100</v>
      </c>
      <c r="O894" s="15">
        <v>0.50900000000000001</v>
      </c>
      <c r="P894" s="15">
        <v>0.14000000000000001</v>
      </c>
      <c r="Q894" s="15">
        <v>0.54200000000000004</v>
      </c>
      <c r="R894" s="15">
        <v>0.879</v>
      </c>
      <c r="S894" s="15">
        <v>0.41699999999999998</v>
      </c>
      <c r="T894" s="15"/>
      <c r="U894" s="15" t="s">
        <v>33</v>
      </c>
      <c r="V894" s="15" t="s">
        <v>30</v>
      </c>
      <c r="W894" s="15">
        <v>10</v>
      </c>
      <c r="X894" s="15"/>
      <c r="Y894" s="12">
        <f t="shared" si="27"/>
        <v>1.0510000000000002</v>
      </c>
      <c r="Z894" s="15">
        <v>0.36899999999999999</v>
      </c>
    </row>
    <row r="895" spans="1:26" x14ac:dyDescent="0.2">
      <c r="A895" s="15" t="s">
        <v>84</v>
      </c>
      <c r="B895" s="15">
        <v>3928</v>
      </c>
      <c r="C895" s="15">
        <v>76.53</v>
      </c>
      <c r="D895" s="15">
        <v>22.216000000000001</v>
      </c>
      <c r="E895" s="15">
        <v>2.3980000000000001</v>
      </c>
      <c r="F895" s="15">
        <v>173.87700000000001</v>
      </c>
      <c r="G895" s="15">
        <v>2.718</v>
      </c>
      <c r="H895" s="15">
        <v>10.579000000000001</v>
      </c>
      <c r="I895" s="15">
        <v>3.1629999999999998</v>
      </c>
      <c r="J895" s="15">
        <v>294.80399999999997</v>
      </c>
      <c r="K895" s="15">
        <v>329.2</v>
      </c>
      <c r="L895" s="15">
        <v>0.01</v>
      </c>
      <c r="M895" s="15">
        <v>1E-3</v>
      </c>
      <c r="N895" s="15">
        <v>100</v>
      </c>
      <c r="O895" s="15">
        <v>0.54400000000000004</v>
      </c>
      <c r="P895" s="15">
        <v>0.32400000000000001</v>
      </c>
      <c r="Q895" s="15">
        <v>0.61099999999999999</v>
      </c>
      <c r="R895" s="15">
        <v>0.53700000000000003</v>
      </c>
      <c r="S895" s="15">
        <v>0.71299999999999997</v>
      </c>
      <c r="T895" s="15"/>
      <c r="U895" s="15" t="s">
        <v>33</v>
      </c>
      <c r="V895" s="15" t="s">
        <v>30</v>
      </c>
      <c r="W895" s="15">
        <v>12</v>
      </c>
      <c r="X895" s="15"/>
      <c r="Y895" s="12">
        <f t="shared" si="27"/>
        <v>1.155</v>
      </c>
      <c r="Z895" s="15">
        <v>0.22000000000000003</v>
      </c>
    </row>
    <row r="896" spans="1:26" x14ac:dyDescent="0.2">
      <c r="A896" s="15" t="s">
        <v>84</v>
      </c>
      <c r="B896" s="15">
        <v>3928.125</v>
      </c>
      <c r="C896" s="15">
        <v>70.945999999999998</v>
      </c>
      <c r="D896" s="15">
        <v>22.259</v>
      </c>
      <c r="E896" s="15">
        <v>2.0259999999999998</v>
      </c>
      <c r="F896" s="15">
        <v>175.29300000000001</v>
      </c>
      <c r="G896" s="15">
        <v>2.7269999999999999</v>
      </c>
      <c r="H896" s="15">
        <v>10.103</v>
      </c>
      <c r="I896" s="15">
        <v>3.24</v>
      </c>
      <c r="J896" s="15">
        <v>393.86700000000002</v>
      </c>
      <c r="K896" s="15">
        <v>439.858</v>
      </c>
      <c r="L896" s="15">
        <v>0.01</v>
      </c>
      <c r="M896" s="15">
        <v>1E-3</v>
      </c>
      <c r="N896" s="15">
        <v>100</v>
      </c>
      <c r="O896" s="15">
        <v>0.47</v>
      </c>
      <c r="P896" s="15">
        <v>0.378</v>
      </c>
      <c r="Q896" s="15">
        <v>0.65700000000000003</v>
      </c>
      <c r="R896" s="15">
        <v>0.58099999999999996</v>
      </c>
      <c r="S896" s="15">
        <v>0.67200000000000004</v>
      </c>
      <c r="T896" s="15"/>
      <c r="U896" s="15" t="s">
        <v>33</v>
      </c>
      <c r="V896" s="15" t="s">
        <v>30</v>
      </c>
      <c r="W896" s="15">
        <v>12</v>
      </c>
      <c r="X896" s="15"/>
      <c r="Y896" s="12">
        <f t="shared" si="27"/>
        <v>1.127</v>
      </c>
      <c r="Z896" s="15">
        <v>9.1999999999999971E-2</v>
      </c>
    </row>
    <row r="897" spans="1:27" x14ac:dyDescent="0.2">
      <c r="A897" s="15" t="s">
        <v>84</v>
      </c>
      <c r="B897" s="15">
        <v>3928.25</v>
      </c>
      <c r="C897" s="15">
        <v>70.475999999999999</v>
      </c>
      <c r="D897" s="15">
        <v>22.257000000000001</v>
      </c>
      <c r="E897" s="15">
        <v>1.7989999999999999</v>
      </c>
      <c r="F897" s="15">
        <v>175.22399999999999</v>
      </c>
      <c r="G897" s="15">
        <v>2.7360000000000002</v>
      </c>
      <c r="H897" s="15">
        <v>9.4909999999999997</v>
      </c>
      <c r="I897" s="15">
        <v>3.2989999999999999</v>
      </c>
      <c r="J897" s="15">
        <v>449.07</v>
      </c>
      <c r="K897" s="15">
        <v>501.56599999999997</v>
      </c>
      <c r="L897" s="15">
        <v>0.01</v>
      </c>
      <c r="M897" s="15">
        <v>1E-3</v>
      </c>
      <c r="N897" s="15">
        <v>100</v>
      </c>
      <c r="O897" s="15">
        <v>0.45600000000000002</v>
      </c>
      <c r="P897" s="15">
        <v>0.42099999999999999</v>
      </c>
      <c r="Q897" s="15">
        <v>0.66400000000000003</v>
      </c>
      <c r="R897" s="15">
        <v>0.626</v>
      </c>
      <c r="S897" s="15">
        <v>0.61899999999999999</v>
      </c>
      <c r="T897" s="15"/>
      <c r="U897" s="15" t="s">
        <v>33</v>
      </c>
      <c r="V897" s="15" t="s">
        <v>30</v>
      </c>
      <c r="W897" s="15">
        <v>12</v>
      </c>
      <c r="X897" s="15"/>
      <c r="Y897" s="12">
        <f t="shared" si="27"/>
        <v>1.1200000000000001</v>
      </c>
      <c r="Z897" s="15">
        <v>3.5000000000000031E-2</v>
      </c>
    </row>
    <row r="898" spans="1:27" x14ac:dyDescent="0.2">
      <c r="A898" s="15" t="s">
        <v>84</v>
      </c>
      <c r="B898" s="15">
        <v>3928.375</v>
      </c>
      <c r="C898" s="15">
        <v>69.915000000000006</v>
      </c>
      <c r="D898" s="15">
        <v>22.198</v>
      </c>
      <c r="E898" s="15">
        <v>1.7090000000000001</v>
      </c>
      <c r="F898" s="15">
        <v>173.262</v>
      </c>
      <c r="G898" s="15">
        <v>2.7429999999999999</v>
      </c>
      <c r="H898" s="15">
        <v>8.8780000000000001</v>
      </c>
      <c r="I898" s="15">
        <v>3.3340000000000001</v>
      </c>
      <c r="J898" s="15">
        <v>448.12599999999998</v>
      </c>
      <c r="K898" s="15">
        <v>500.52199999999999</v>
      </c>
      <c r="L898" s="15">
        <v>0.01</v>
      </c>
      <c r="M898" s="15">
        <v>1E-3</v>
      </c>
      <c r="N898" s="15">
        <v>100</v>
      </c>
      <c r="O898" s="15">
        <v>0.45100000000000001</v>
      </c>
      <c r="P898" s="15">
        <v>0.44900000000000001</v>
      </c>
      <c r="Q898" s="15">
        <v>0.61399999999999999</v>
      </c>
      <c r="R898" s="15">
        <v>0.66300000000000003</v>
      </c>
      <c r="S898" s="15">
        <v>0.56200000000000006</v>
      </c>
      <c r="T898" s="15"/>
      <c r="U898" s="15" t="s">
        <v>33</v>
      </c>
      <c r="V898" s="15" t="s">
        <v>30</v>
      </c>
      <c r="W898" s="15">
        <v>12</v>
      </c>
      <c r="X898" s="15"/>
      <c r="Y898" s="12">
        <f t="shared" si="27"/>
        <v>1.0649999999999999</v>
      </c>
      <c r="Z898" s="15">
        <v>2.0000000000000018E-3</v>
      </c>
    </row>
    <row r="899" spans="1:27" x14ac:dyDescent="0.2">
      <c r="A899" s="15" t="s">
        <v>84</v>
      </c>
      <c r="B899" s="15">
        <v>3928.5</v>
      </c>
      <c r="C899" s="15">
        <v>68.498999999999995</v>
      </c>
      <c r="D899" s="15">
        <v>22.109000000000002</v>
      </c>
      <c r="E899" s="15">
        <v>1.7450000000000001</v>
      </c>
      <c r="F899" s="15">
        <v>170.31100000000001</v>
      </c>
      <c r="G899" s="15">
        <v>2.746</v>
      </c>
      <c r="H899" s="15">
        <v>8.4469999999999992</v>
      </c>
      <c r="I899" s="15">
        <v>3.34</v>
      </c>
      <c r="J899" s="15">
        <v>460.39299999999997</v>
      </c>
      <c r="K899" s="15">
        <v>514.21199999999999</v>
      </c>
      <c r="L899" s="15">
        <v>0.01</v>
      </c>
      <c r="M899" s="15">
        <v>1E-3</v>
      </c>
      <c r="N899" s="15">
        <v>100</v>
      </c>
      <c r="O899" s="15">
        <v>0.44</v>
      </c>
      <c r="P899" s="15">
        <v>0.45700000000000002</v>
      </c>
      <c r="Q899" s="15">
        <v>0.52700000000000002</v>
      </c>
      <c r="R899" s="15">
        <v>0.68200000000000005</v>
      </c>
      <c r="S899" s="15">
        <v>0.51900000000000002</v>
      </c>
      <c r="T899" s="15"/>
      <c r="U899" s="15" t="s">
        <v>33</v>
      </c>
      <c r="V899" s="15" t="s">
        <v>30</v>
      </c>
      <c r="W899" s="15">
        <v>12</v>
      </c>
      <c r="X899" s="15"/>
      <c r="Y899" s="12">
        <f t="shared" ref="Y899:Y962" si="28">O899+Q899</f>
        <v>0.96700000000000008</v>
      </c>
      <c r="Z899" s="15">
        <v>-1.7000000000000015E-2</v>
      </c>
    </row>
    <row r="900" spans="1:27" x14ac:dyDescent="0.2">
      <c r="A900" s="15" t="s">
        <v>84</v>
      </c>
      <c r="B900" s="15">
        <v>3928.625</v>
      </c>
      <c r="C900" s="15">
        <v>60.692999999999998</v>
      </c>
      <c r="D900" s="15">
        <v>22.024000000000001</v>
      </c>
      <c r="E900" s="15">
        <v>1.9470000000000001</v>
      </c>
      <c r="F900" s="15">
        <v>167.46700000000001</v>
      </c>
      <c r="G900" s="15">
        <v>2.75</v>
      </c>
      <c r="H900" s="15">
        <v>8.2620000000000005</v>
      </c>
      <c r="I900" s="15">
        <v>3.3220000000000001</v>
      </c>
      <c r="J900" s="15">
        <v>485.54199999999997</v>
      </c>
      <c r="K900" s="15">
        <v>542.26599999999996</v>
      </c>
      <c r="L900" s="15">
        <v>0.01</v>
      </c>
      <c r="M900" s="15">
        <v>1E-3</v>
      </c>
      <c r="N900" s="15">
        <v>100</v>
      </c>
      <c r="O900" s="15">
        <v>0.379</v>
      </c>
      <c r="P900" s="15">
        <v>0.44800000000000001</v>
      </c>
      <c r="Q900" s="15">
        <v>0.436</v>
      </c>
      <c r="R900" s="15">
        <v>0.70099999999999996</v>
      </c>
      <c r="S900" s="15">
        <v>0.498</v>
      </c>
      <c r="T900" s="15"/>
      <c r="U900" s="15" t="s">
        <v>33</v>
      </c>
      <c r="V900" s="15" t="s">
        <v>30</v>
      </c>
      <c r="W900" s="15">
        <v>12</v>
      </c>
      <c r="X900" s="15"/>
      <c r="Y900" s="12">
        <f t="shared" si="28"/>
        <v>0.81499999999999995</v>
      </c>
      <c r="Z900" s="15">
        <v>-6.9000000000000006E-2</v>
      </c>
    </row>
    <row r="901" spans="1:27" x14ac:dyDescent="0.2">
      <c r="A901" s="15" t="s">
        <v>84</v>
      </c>
      <c r="B901" s="15">
        <v>3928.75</v>
      </c>
      <c r="C901" s="15">
        <v>51.146000000000001</v>
      </c>
      <c r="D901" s="15">
        <v>21.969000000000001</v>
      </c>
      <c r="E901" s="15">
        <v>2.298</v>
      </c>
      <c r="F901" s="15">
        <v>165.63499999999999</v>
      </c>
      <c r="G901" s="15">
        <v>2.7549999999999999</v>
      </c>
      <c r="H901" s="15">
        <v>8.2439999999999998</v>
      </c>
      <c r="I901" s="15">
        <v>3.2829999999999999</v>
      </c>
      <c r="J901" s="15">
        <v>509.35500000000002</v>
      </c>
      <c r="K901" s="15">
        <v>568.75</v>
      </c>
      <c r="L901" s="15">
        <v>0.01</v>
      </c>
      <c r="M901" s="15">
        <v>1E-3</v>
      </c>
      <c r="N901" s="15">
        <v>100</v>
      </c>
      <c r="O901" s="15">
        <v>0.29399999999999998</v>
      </c>
      <c r="P901" s="15">
        <v>0.42399999999999999</v>
      </c>
      <c r="Q901" s="15">
        <v>0.372</v>
      </c>
      <c r="R901" s="15">
        <v>0.72499999999999998</v>
      </c>
      <c r="S901" s="15">
        <v>0.49299999999999999</v>
      </c>
      <c r="T901" s="15"/>
      <c r="U901" s="15" t="s">
        <v>33</v>
      </c>
      <c r="V901" s="15" t="s">
        <v>30</v>
      </c>
      <c r="W901" s="15">
        <v>12</v>
      </c>
      <c r="X901" s="15"/>
      <c r="Y901" s="12">
        <f t="shared" si="28"/>
        <v>0.66599999999999993</v>
      </c>
      <c r="Z901" s="15">
        <v>-0.13</v>
      </c>
    </row>
    <row r="902" spans="1:27" x14ac:dyDescent="0.2">
      <c r="A902" s="15" t="s">
        <v>84</v>
      </c>
      <c r="B902" s="15">
        <v>3928.875</v>
      </c>
      <c r="C902" s="15">
        <v>54.116</v>
      </c>
      <c r="D902" s="15">
        <v>21.954000000000001</v>
      </c>
      <c r="E902" s="15">
        <v>2.6309999999999998</v>
      </c>
      <c r="F902" s="15">
        <v>165.12799999999999</v>
      </c>
      <c r="G902" s="15">
        <v>2.7629999999999999</v>
      </c>
      <c r="H902" s="15">
        <v>8.2940000000000005</v>
      </c>
      <c r="I902" s="15">
        <v>3.2250000000000001</v>
      </c>
      <c r="J902" s="15">
        <v>518.96600000000001</v>
      </c>
      <c r="K902" s="15">
        <v>579.17100000000005</v>
      </c>
      <c r="L902" s="15">
        <v>0.01</v>
      </c>
      <c r="M902" s="15">
        <v>1E-3</v>
      </c>
      <c r="N902" s="15">
        <v>100</v>
      </c>
      <c r="O902" s="15">
        <v>0.29899999999999999</v>
      </c>
      <c r="P902" s="15">
        <v>0.38600000000000001</v>
      </c>
      <c r="Q902" s="15">
        <v>0.34799999999999998</v>
      </c>
      <c r="R902" s="15">
        <v>0.76200000000000001</v>
      </c>
      <c r="S902" s="15">
        <v>0.496</v>
      </c>
      <c r="T902" s="15"/>
      <c r="U902" s="15" t="s">
        <v>33</v>
      </c>
      <c r="V902" s="15" t="s">
        <v>30</v>
      </c>
      <c r="W902" s="15">
        <v>12</v>
      </c>
      <c r="X902" s="15"/>
      <c r="Y902" s="12">
        <f t="shared" si="28"/>
        <v>0.64700000000000002</v>
      </c>
      <c r="Z902" s="15">
        <v>-8.7000000000000022E-2</v>
      </c>
    </row>
    <row r="903" spans="1:27" x14ac:dyDescent="0.2">
      <c r="A903" s="15" t="s">
        <v>84</v>
      </c>
      <c r="B903" s="15">
        <v>3929</v>
      </c>
      <c r="C903" s="15">
        <v>63.418999999999997</v>
      </c>
      <c r="D903" s="15">
        <v>21.97</v>
      </c>
      <c r="E903" s="15">
        <v>2.8290000000000002</v>
      </c>
      <c r="F903" s="15">
        <v>165.678</v>
      </c>
      <c r="G903" s="15">
        <v>2.774</v>
      </c>
      <c r="H903" s="15">
        <v>8.4049999999999994</v>
      </c>
      <c r="I903" s="15">
        <v>3.1539999999999999</v>
      </c>
      <c r="J903" s="15">
        <v>505.35700000000003</v>
      </c>
      <c r="K903" s="15">
        <v>563.48099999999999</v>
      </c>
      <c r="L903" s="15">
        <v>0.01</v>
      </c>
      <c r="M903" s="15">
        <v>1E-3</v>
      </c>
      <c r="N903" s="15">
        <v>100</v>
      </c>
      <c r="O903" s="15">
        <v>0.373</v>
      </c>
      <c r="P903" s="15">
        <v>0.33900000000000002</v>
      </c>
      <c r="Q903" s="15">
        <v>0.35899999999999999</v>
      </c>
      <c r="R903" s="15">
        <v>0.81399999999999995</v>
      </c>
      <c r="S903" s="15">
        <v>0.505</v>
      </c>
      <c r="T903" s="15"/>
      <c r="U903" s="15" t="s">
        <v>33</v>
      </c>
      <c r="V903" s="15" t="s">
        <v>30</v>
      </c>
      <c r="W903" s="15">
        <v>12</v>
      </c>
      <c r="X903" s="15"/>
      <c r="Y903" s="12">
        <f t="shared" si="28"/>
        <v>0.73199999999999998</v>
      </c>
      <c r="Z903" s="15">
        <v>3.3999999999999975E-2</v>
      </c>
      <c r="AA903" s="6">
        <v>540</v>
      </c>
    </row>
    <row r="904" spans="1:27" x14ac:dyDescent="0.2">
      <c r="A904" s="15" t="s">
        <v>81</v>
      </c>
      <c r="B904" s="15">
        <v>3394.375</v>
      </c>
      <c r="C904" s="15">
        <v>24.154</v>
      </c>
      <c r="D904" s="15">
        <v>22.1</v>
      </c>
      <c r="E904" s="15">
        <v>3.0329999999999999</v>
      </c>
      <c r="F904" s="15">
        <v>150.69399999999999</v>
      </c>
      <c r="G904" s="15">
        <v>2.7970000000000002</v>
      </c>
      <c r="H904" s="15">
        <v>6.8170000000000002</v>
      </c>
      <c r="I904" s="15">
        <v>3.5379999999999998</v>
      </c>
      <c r="J904" s="15">
        <v>353.899</v>
      </c>
      <c r="K904" s="15">
        <v>405.084</v>
      </c>
      <c r="L904" s="15">
        <v>0.91900000000000004</v>
      </c>
      <c r="M904" s="15">
        <v>0.1</v>
      </c>
      <c r="N904" s="15">
        <v>100</v>
      </c>
      <c r="O904" s="15">
        <v>0.104</v>
      </c>
      <c r="P904" s="15">
        <v>0.25600000000000001</v>
      </c>
      <c r="Q904" s="15">
        <v>1.9E-2</v>
      </c>
      <c r="R904" s="15">
        <v>0.621</v>
      </c>
      <c r="S904" s="15">
        <v>0.311</v>
      </c>
      <c r="T904" s="15"/>
      <c r="U904" s="15" t="s">
        <v>22</v>
      </c>
      <c r="V904" s="15" t="s">
        <v>102</v>
      </c>
      <c r="W904" s="15">
        <v>3</v>
      </c>
      <c r="X904" s="15" t="s">
        <v>85</v>
      </c>
      <c r="Y904" s="12">
        <f t="shared" si="28"/>
        <v>0.123</v>
      </c>
      <c r="Z904" s="15">
        <f t="shared" ref="Z904:Z907" si="29">O904-P904</f>
        <v>-0.15200000000000002</v>
      </c>
    </row>
    <row r="905" spans="1:27" x14ac:dyDescent="0.2">
      <c r="A905" s="15" t="s">
        <v>81</v>
      </c>
      <c r="B905" s="15">
        <v>3394.5</v>
      </c>
      <c r="C905" s="15">
        <v>26.315999999999999</v>
      </c>
      <c r="D905" s="15">
        <v>22.053000000000001</v>
      </c>
      <c r="E905" s="15">
        <v>3.0939999999999999</v>
      </c>
      <c r="F905" s="15">
        <v>150.18299999999999</v>
      </c>
      <c r="G905" s="15">
        <v>2.8029999999999999</v>
      </c>
      <c r="H905" s="15">
        <v>6.4219999999999997</v>
      </c>
      <c r="I905" s="15">
        <v>3.5470000000000002</v>
      </c>
      <c r="J905" s="15">
        <v>444.30799999999999</v>
      </c>
      <c r="K905" s="15">
        <v>519.78399999999999</v>
      </c>
      <c r="L905" s="15">
        <v>0.79500000000000004</v>
      </c>
      <c r="M905" s="15">
        <v>0.1</v>
      </c>
      <c r="N905" s="15">
        <v>100</v>
      </c>
      <c r="O905" s="15">
        <v>0.121</v>
      </c>
      <c r="P905" s="15">
        <v>0.25900000000000001</v>
      </c>
      <c r="Q905" s="15">
        <v>1.2999999999999999E-2</v>
      </c>
      <c r="R905" s="15">
        <v>0.63500000000000001</v>
      </c>
      <c r="S905" s="15">
        <v>0.28899999999999998</v>
      </c>
      <c r="T905" s="15"/>
      <c r="U905" s="15" t="s">
        <v>22</v>
      </c>
      <c r="V905" s="15" t="s">
        <v>102</v>
      </c>
      <c r="W905" s="15">
        <v>3</v>
      </c>
      <c r="X905" s="15" t="s">
        <v>85</v>
      </c>
      <c r="Y905" s="12">
        <f t="shared" si="28"/>
        <v>0.13400000000000001</v>
      </c>
      <c r="Z905" s="15">
        <f t="shared" si="29"/>
        <v>-0.13800000000000001</v>
      </c>
    </row>
    <row r="906" spans="1:27" x14ac:dyDescent="0.2">
      <c r="A906" s="15" t="s">
        <v>81</v>
      </c>
      <c r="B906" s="15">
        <v>3394.625</v>
      </c>
      <c r="C906" s="15">
        <v>29.291</v>
      </c>
      <c r="D906" s="15">
        <v>22.045999999999999</v>
      </c>
      <c r="E906" s="15">
        <v>3.1480000000000001</v>
      </c>
      <c r="F906" s="15">
        <v>149.53299999999999</v>
      </c>
      <c r="G906" s="15">
        <v>2.8090000000000002</v>
      </c>
      <c r="H906" s="15">
        <v>6.1239999999999997</v>
      </c>
      <c r="I906" s="15">
        <v>3.7090000000000001</v>
      </c>
      <c r="J906" s="15">
        <v>578.56600000000003</v>
      </c>
      <c r="K906" s="15">
        <v>683.33500000000004</v>
      </c>
      <c r="L906" s="15">
        <v>0.67100000000000004</v>
      </c>
      <c r="M906" s="15">
        <v>0.1</v>
      </c>
      <c r="N906" s="15">
        <v>100</v>
      </c>
      <c r="O906" s="15">
        <v>0.14399999999999999</v>
      </c>
      <c r="P906" s="15">
        <v>0.308</v>
      </c>
      <c r="Q906" s="15">
        <v>5.0000000000000001E-3</v>
      </c>
      <c r="R906" s="15">
        <v>0.65</v>
      </c>
      <c r="S906" s="15">
        <v>0.27200000000000002</v>
      </c>
      <c r="T906" s="15"/>
      <c r="U906" s="15" t="s">
        <v>22</v>
      </c>
      <c r="V906" s="15" t="s">
        <v>102</v>
      </c>
      <c r="W906" s="15">
        <v>3</v>
      </c>
      <c r="X906" s="15" t="s">
        <v>85</v>
      </c>
      <c r="Y906" s="12">
        <f t="shared" si="28"/>
        <v>0.14899999999999999</v>
      </c>
      <c r="Z906" s="15">
        <f t="shared" si="29"/>
        <v>-0.16400000000000001</v>
      </c>
    </row>
    <row r="907" spans="1:27" x14ac:dyDescent="0.2">
      <c r="A907" s="15" t="s">
        <v>81</v>
      </c>
      <c r="B907" s="15">
        <v>3394.75</v>
      </c>
      <c r="C907" s="15">
        <v>31.488</v>
      </c>
      <c r="D907" s="15">
        <v>22.056999999999999</v>
      </c>
      <c r="E907" s="15">
        <v>3.218</v>
      </c>
      <c r="F907" s="15">
        <v>149.06100000000001</v>
      </c>
      <c r="G907" s="15">
        <v>2.8180000000000001</v>
      </c>
      <c r="H907" s="15">
        <v>6.0650000000000004</v>
      </c>
      <c r="I907" s="15">
        <v>4.1210000000000004</v>
      </c>
      <c r="J907" s="15">
        <v>705.995</v>
      </c>
      <c r="K907" s="15">
        <v>820.83799999999997</v>
      </c>
      <c r="L907" s="15">
        <v>0.55700000000000005</v>
      </c>
      <c r="M907" s="15">
        <v>0.1</v>
      </c>
      <c r="N907" s="15">
        <v>100</v>
      </c>
      <c r="O907" s="15">
        <v>0.16200000000000001</v>
      </c>
      <c r="P907" s="15">
        <v>0.432</v>
      </c>
      <c r="Q907" s="15">
        <v>0</v>
      </c>
      <c r="R907" s="15">
        <v>0.67200000000000004</v>
      </c>
      <c r="S907" s="15">
        <v>0.26900000000000002</v>
      </c>
      <c r="T907" s="15"/>
      <c r="U907" s="15" t="s">
        <v>22</v>
      </c>
      <c r="V907" s="15" t="s">
        <v>102</v>
      </c>
      <c r="W907" s="15">
        <v>3</v>
      </c>
      <c r="X907" s="15" t="s">
        <v>85</v>
      </c>
      <c r="Y907" s="12">
        <f t="shared" si="28"/>
        <v>0.16200000000000001</v>
      </c>
      <c r="Z907" s="15">
        <f t="shared" si="29"/>
        <v>-0.27</v>
      </c>
    </row>
    <row r="908" spans="1:27" x14ac:dyDescent="0.2">
      <c r="A908" s="16" t="s">
        <v>74</v>
      </c>
      <c r="B908" s="16">
        <v>3807.625</v>
      </c>
      <c r="C908" s="16">
        <v>36.718000000000004</v>
      </c>
      <c r="D908" s="16">
        <v>23.826000000000001</v>
      </c>
      <c r="E908" s="16">
        <v>2.0459999999999998</v>
      </c>
      <c r="F908" s="16">
        <v>182.71</v>
      </c>
      <c r="G908" s="16">
        <v>2.851</v>
      </c>
      <c r="H908" s="16">
        <v>7.72</v>
      </c>
      <c r="I908" s="16">
        <v>3.1760000000000002</v>
      </c>
      <c r="J908" s="16">
        <v>361.23099999999999</v>
      </c>
      <c r="K908" s="16">
        <v>290.26499999999999</v>
      </c>
      <c r="L908" s="16">
        <v>0.01</v>
      </c>
      <c r="M908" s="16">
        <v>1E-3</v>
      </c>
      <c r="N908" s="16">
        <v>100</v>
      </c>
      <c r="O908" s="16">
        <v>0.16700000000000001</v>
      </c>
      <c r="P908" s="16">
        <v>0.30499999999999999</v>
      </c>
      <c r="Q908" s="16">
        <v>0.28599999999999998</v>
      </c>
      <c r="R908" s="16">
        <v>0.77400000000000002</v>
      </c>
      <c r="S908" s="16">
        <v>0.27100000000000002</v>
      </c>
      <c r="T908" s="16"/>
      <c r="U908" s="16" t="s">
        <v>33</v>
      </c>
      <c r="V908" s="16" t="s">
        <v>100</v>
      </c>
      <c r="W908" s="16">
        <v>12</v>
      </c>
      <c r="X908" s="16" t="s">
        <v>85</v>
      </c>
      <c r="Y908" s="12">
        <f t="shared" si="28"/>
        <v>0.45299999999999996</v>
      </c>
      <c r="Z908" s="16">
        <v>-0.13799999999999998</v>
      </c>
    </row>
    <row r="909" spans="1:27" x14ac:dyDescent="0.2">
      <c r="A909" s="16" t="s">
        <v>74</v>
      </c>
      <c r="B909" s="16">
        <v>3807.75</v>
      </c>
      <c r="C909" s="16">
        <v>45.832000000000001</v>
      </c>
      <c r="D909" s="16">
        <v>23.763000000000002</v>
      </c>
      <c r="E909" s="16">
        <v>2.1349999999999998</v>
      </c>
      <c r="F909" s="16">
        <v>203.40899999999999</v>
      </c>
      <c r="G909" s="16">
        <v>2.8210000000000002</v>
      </c>
      <c r="H909" s="16">
        <v>7.9249999999999998</v>
      </c>
      <c r="I909" s="16">
        <v>3.3260000000000001</v>
      </c>
      <c r="J909" s="16">
        <v>239.42500000000001</v>
      </c>
      <c r="K909" s="16">
        <v>189.244</v>
      </c>
      <c r="L909" s="16">
        <v>0.01</v>
      </c>
      <c r="M909" s="16">
        <v>1E-3</v>
      </c>
      <c r="N909" s="16">
        <v>100</v>
      </c>
      <c r="O909" s="16">
        <v>0.24299999999999999</v>
      </c>
      <c r="P909" s="16">
        <v>0.37</v>
      </c>
      <c r="Q909" s="16">
        <v>0.47799999999999998</v>
      </c>
      <c r="R909" s="16">
        <v>0.70799999999999996</v>
      </c>
      <c r="S909" s="16">
        <v>0.29199999999999998</v>
      </c>
      <c r="T909" s="16"/>
      <c r="U909" s="16" t="s">
        <v>33</v>
      </c>
      <c r="V909" s="16" t="s">
        <v>100</v>
      </c>
      <c r="W909" s="16">
        <v>12</v>
      </c>
      <c r="X909" s="16" t="s">
        <v>85</v>
      </c>
      <c r="Y909" s="12">
        <f t="shared" si="28"/>
        <v>0.72099999999999997</v>
      </c>
      <c r="Z909" s="16">
        <v>-0.127</v>
      </c>
    </row>
    <row r="910" spans="1:27" x14ac:dyDescent="0.2">
      <c r="A910" s="16" t="s">
        <v>74</v>
      </c>
      <c r="B910" s="16">
        <v>3807.875</v>
      </c>
      <c r="C910" s="16">
        <v>60.804000000000002</v>
      </c>
      <c r="D910" s="16">
        <v>23.733000000000001</v>
      </c>
      <c r="E910" s="16">
        <v>2.794</v>
      </c>
      <c r="F910" s="16">
        <v>216.32900000000001</v>
      </c>
      <c r="G910" s="16">
        <v>2.79</v>
      </c>
      <c r="H910" s="16">
        <v>8.7469999999999999</v>
      </c>
      <c r="I910" s="16">
        <v>3.5609999999999999</v>
      </c>
      <c r="J910" s="16">
        <v>157.47</v>
      </c>
      <c r="K910" s="16">
        <v>123.99299999999999</v>
      </c>
      <c r="L910" s="16">
        <v>0.01</v>
      </c>
      <c r="M910" s="16">
        <v>1E-3</v>
      </c>
      <c r="N910" s="16">
        <v>100</v>
      </c>
      <c r="O910" s="16">
        <v>0.35499999999999998</v>
      </c>
      <c r="P910" s="16">
        <v>0.45100000000000001</v>
      </c>
      <c r="Q910" s="16">
        <v>0.58399999999999996</v>
      </c>
      <c r="R910" s="16">
        <v>0.64700000000000002</v>
      </c>
      <c r="S910" s="16">
        <v>0.35099999999999998</v>
      </c>
      <c r="T910" s="16"/>
      <c r="U910" s="16" t="s">
        <v>33</v>
      </c>
      <c r="V910" s="16" t="s">
        <v>100</v>
      </c>
      <c r="W910" s="16">
        <v>12</v>
      </c>
      <c r="X910" s="16" t="s">
        <v>85</v>
      </c>
      <c r="Y910" s="12">
        <f t="shared" si="28"/>
        <v>0.93899999999999995</v>
      </c>
      <c r="Z910" s="16">
        <v>-9.600000000000003E-2</v>
      </c>
    </row>
    <row r="911" spans="1:27" x14ac:dyDescent="0.2">
      <c r="A911" s="16" t="s">
        <v>74</v>
      </c>
      <c r="B911" s="16">
        <v>3808</v>
      </c>
      <c r="C911" s="16">
        <v>76.652000000000001</v>
      </c>
      <c r="D911" s="16">
        <v>23.757000000000001</v>
      </c>
      <c r="E911" s="16">
        <v>3.7549999999999999</v>
      </c>
      <c r="F911" s="16">
        <v>216.61099999999999</v>
      </c>
      <c r="G911" s="16">
        <v>2.7770000000000001</v>
      </c>
      <c r="H911" s="16">
        <v>9.8019999999999996</v>
      </c>
      <c r="I911" s="16">
        <v>3.645</v>
      </c>
      <c r="J911" s="16">
        <v>124.756</v>
      </c>
      <c r="K911" s="16">
        <v>98.956999999999994</v>
      </c>
      <c r="L911" s="16">
        <v>0.01</v>
      </c>
      <c r="M911" s="16">
        <v>1E-3</v>
      </c>
      <c r="N911" s="16">
        <v>100</v>
      </c>
      <c r="O911" s="16">
        <v>0.46400000000000002</v>
      </c>
      <c r="P911" s="16">
        <v>0.46800000000000003</v>
      </c>
      <c r="Q911" s="16">
        <v>0.57199999999999995</v>
      </c>
      <c r="R911" s="16">
        <v>0.627</v>
      </c>
      <c r="S911" s="16">
        <v>0.42299999999999999</v>
      </c>
      <c r="T911" s="16"/>
      <c r="U911" s="16" t="s">
        <v>33</v>
      </c>
      <c r="V911" s="16" t="s">
        <v>100</v>
      </c>
      <c r="W911" s="16">
        <v>12</v>
      </c>
      <c r="X911" s="16" t="s">
        <v>85</v>
      </c>
      <c r="Y911" s="12">
        <f t="shared" si="28"/>
        <v>1.036</v>
      </c>
      <c r="Z911" s="16">
        <v>-4.0000000000000036E-3</v>
      </c>
    </row>
    <row r="912" spans="1:27" x14ac:dyDescent="0.2">
      <c r="A912" s="16" t="s">
        <v>74</v>
      </c>
      <c r="B912" s="16">
        <v>3808.125</v>
      </c>
      <c r="C912" s="16">
        <v>85.715999999999994</v>
      </c>
      <c r="D912" s="16">
        <v>23.809000000000001</v>
      </c>
      <c r="E912" s="16">
        <v>4.3890000000000002</v>
      </c>
      <c r="F912" s="16">
        <v>208.92099999999999</v>
      </c>
      <c r="G912" s="16">
        <v>2.7850000000000001</v>
      </c>
      <c r="H912" s="16">
        <v>10.95</v>
      </c>
      <c r="I912" s="16">
        <v>3.512</v>
      </c>
      <c r="J912" s="16">
        <v>117.928</v>
      </c>
      <c r="K912" s="16">
        <v>94.350999999999999</v>
      </c>
      <c r="L912" s="16">
        <v>0.01</v>
      </c>
      <c r="M912" s="16">
        <v>1E-3</v>
      </c>
      <c r="N912" s="16">
        <v>100</v>
      </c>
      <c r="O912" s="16">
        <v>0.51500000000000001</v>
      </c>
      <c r="P912" s="16">
        <v>0.40400000000000003</v>
      </c>
      <c r="Q912" s="16">
        <v>0.48199999999999998</v>
      </c>
      <c r="R912" s="16">
        <v>0.64800000000000002</v>
      </c>
      <c r="S912" s="16">
        <v>0.501</v>
      </c>
      <c r="T912" s="16"/>
      <c r="U912" s="16" t="s">
        <v>33</v>
      </c>
      <c r="V912" s="16" t="s">
        <v>100</v>
      </c>
      <c r="W912" s="16">
        <v>12</v>
      </c>
      <c r="X912" s="16" t="s">
        <v>85</v>
      </c>
      <c r="Y912" s="12">
        <f t="shared" si="28"/>
        <v>0.997</v>
      </c>
      <c r="Z912" s="16">
        <v>0.11099999999999999</v>
      </c>
    </row>
    <row r="913" spans="1:26" x14ac:dyDescent="0.2">
      <c r="A913" s="16" t="s">
        <v>74</v>
      </c>
      <c r="B913" s="16">
        <v>3808.25</v>
      </c>
      <c r="C913" s="16">
        <v>83.314999999999998</v>
      </c>
      <c r="D913" s="16">
        <v>23.879000000000001</v>
      </c>
      <c r="E913" s="16">
        <v>4.6139999999999999</v>
      </c>
      <c r="F913" s="16">
        <v>193.88300000000001</v>
      </c>
      <c r="G913" s="16">
        <v>2.8029999999999999</v>
      </c>
      <c r="H913" s="16">
        <v>12.186999999999999</v>
      </c>
      <c r="I913" s="16">
        <v>3.2080000000000002</v>
      </c>
      <c r="J913" s="16">
        <v>126.895</v>
      </c>
      <c r="K913" s="16">
        <v>101.914</v>
      </c>
      <c r="L913" s="16">
        <v>0.01</v>
      </c>
      <c r="M913" s="16">
        <v>1E-3</v>
      </c>
      <c r="N913" s="16">
        <v>100</v>
      </c>
      <c r="O913" s="16">
        <v>0.48899999999999999</v>
      </c>
      <c r="P913" s="16">
        <v>0.28699999999999998</v>
      </c>
      <c r="Q913" s="16">
        <v>0.32900000000000001</v>
      </c>
      <c r="R913" s="16">
        <v>0.68600000000000005</v>
      </c>
      <c r="S913" s="16">
        <v>0.57899999999999996</v>
      </c>
      <c r="T913" s="16"/>
      <c r="U913" s="16" t="s">
        <v>33</v>
      </c>
      <c r="V913" s="16" t="s">
        <v>100</v>
      </c>
      <c r="W913" s="16">
        <v>12</v>
      </c>
      <c r="X913" s="16" t="s">
        <v>85</v>
      </c>
      <c r="Y913" s="12">
        <f t="shared" si="28"/>
        <v>0.81800000000000006</v>
      </c>
      <c r="Z913" s="16">
        <v>0.20200000000000001</v>
      </c>
    </row>
    <row r="914" spans="1:26" x14ac:dyDescent="0.2">
      <c r="A914" s="16" t="s">
        <v>74</v>
      </c>
      <c r="B914" s="16">
        <v>3808.375</v>
      </c>
      <c r="C914" s="16">
        <v>74.671000000000006</v>
      </c>
      <c r="D914" s="16">
        <v>23.937999999999999</v>
      </c>
      <c r="E914" s="16">
        <v>5.0780000000000003</v>
      </c>
      <c r="F914" s="16">
        <v>177.18</v>
      </c>
      <c r="G914" s="16">
        <v>2.8159999999999998</v>
      </c>
      <c r="H914" s="16">
        <v>12.986000000000001</v>
      </c>
      <c r="I914" s="16">
        <v>2.9350000000000001</v>
      </c>
      <c r="J914" s="16">
        <v>146.369</v>
      </c>
      <c r="K914" s="16">
        <v>116.84699999999999</v>
      </c>
      <c r="L914" s="16">
        <v>0.01</v>
      </c>
      <c r="M914" s="16">
        <v>1E-3</v>
      </c>
      <c r="N914" s="16">
        <v>100</v>
      </c>
      <c r="O914" s="16">
        <v>0.42699999999999999</v>
      </c>
      <c r="P914" s="16">
        <v>0.19400000000000001</v>
      </c>
      <c r="Q914" s="16">
        <v>0.17499999999999999</v>
      </c>
      <c r="R914" s="16">
        <v>0.70799999999999996</v>
      </c>
      <c r="S914" s="16">
        <v>0.622</v>
      </c>
      <c r="T914" s="16"/>
      <c r="U914" s="16" t="s">
        <v>33</v>
      </c>
      <c r="V914" s="16" t="s">
        <v>100</v>
      </c>
      <c r="W914" s="16">
        <v>12</v>
      </c>
      <c r="X914" s="16" t="s">
        <v>85</v>
      </c>
      <c r="Y914" s="12">
        <f t="shared" si="28"/>
        <v>0.60199999999999998</v>
      </c>
      <c r="Z914" s="16">
        <v>0.23299999999999998</v>
      </c>
    </row>
    <row r="915" spans="1:26" x14ac:dyDescent="0.2">
      <c r="A915" s="16" t="s">
        <v>74</v>
      </c>
      <c r="B915" s="16">
        <v>3808.5</v>
      </c>
      <c r="C915" s="16">
        <v>67.59</v>
      </c>
      <c r="D915" s="16">
        <v>23.956</v>
      </c>
      <c r="E915" s="16">
        <v>5.6029999999999998</v>
      </c>
      <c r="F915" s="16">
        <v>167.71299999999999</v>
      </c>
      <c r="G915" s="16">
        <v>2.8119999999999998</v>
      </c>
      <c r="H915" s="16">
        <v>12.911</v>
      </c>
      <c r="I915" s="16">
        <v>2.8639999999999999</v>
      </c>
      <c r="J915" s="16">
        <v>168.32</v>
      </c>
      <c r="K915" s="16">
        <v>132.53200000000001</v>
      </c>
      <c r="L915" s="16">
        <v>0.01</v>
      </c>
      <c r="M915" s="16">
        <v>1E-3</v>
      </c>
      <c r="N915" s="16">
        <v>100</v>
      </c>
      <c r="O915" s="16">
        <v>0.38300000000000001</v>
      </c>
      <c r="P915" s="16">
        <v>0.17699999999999999</v>
      </c>
      <c r="Q915" s="16">
        <v>0.1</v>
      </c>
      <c r="R915" s="16">
        <v>0.69199999999999995</v>
      </c>
      <c r="S915" s="16">
        <v>0.61099999999999999</v>
      </c>
      <c r="T915" s="16"/>
      <c r="U915" s="16" t="s">
        <v>33</v>
      </c>
      <c r="V915" s="16" t="s">
        <v>100</v>
      </c>
      <c r="W915" s="16">
        <v>12</v>
      </c>
      <c r="X915" s="16" t="s">
        <v>85</v>
      </c>
      <c r="Y915" s="12">
        <f t="shared" si="28"/>
        <v>0.48299999999999998</v>
      </c>
      <c r="Z915" s="16">
        <v>0.20600000000000002</v>
      </c>
    </row>
    <row r="916" spans="1:26" x14ac:dyDescent="0.2">
      <c r="A916" s="16" t="s">
        <v>74</v>
      </c>
      <c r="B916" s="16">
        <v>3808.625</v>
      </c>
      <c r="C916" s="16">
        <v>66.790999999999997</v>
      </c>
      <c r="D916" s="16">
        <v>23.893999999999998</v>
      </c>
      <c r="E916" s="16">
        <v>5.8739999999999997</v>
      </c>
      <c r="F916" s="16">
        <v>168.87299999999999</v>
      </c>
      <c r="G916" s="16">
        <v>2.79</v>
      </c>
      <c r="H916" s="16">
        <v>12.349</v>
      </c>
      <c r="I916" s="16">
        <v>2.9340000000000002</v>
      </c>
      <c r="J916" s="16">
        <v>183.38300000000001</v>
      </c>
      <c r="K916" s="16">
        <v>141.97900000000001</v>
      </c>
      <c r="L916" s="16">
        <v>0.01</v>
      </c>
      <c r="M916" s="16">
        <v>1E-3</v>
      </c>
      <c r="N916" s="16">
        <v>100</v>
      </c>
      <c r="O916" s="16">
        <v>0.38100000000000001</v>
      </c>
      <c r="P916" s="16">
        <v>0.20200000000000001</v>
      </c>
      <c r="Q916" s="16">
        <v>0.11700000000000001</v>
      </c>
      <c r="R916" s="16">
        <v>0.63900000000000001</v>
      </c>
      <c r="S916" s="16">
        <v>0.57699999999999996</v>
      </c>
      <c r="T916" s="16"/>
      <c r="U916" s="16" t="s">
        <v>33</v>
      </c>
      <c r="V916" s="16" t="s">
        <v>100</v>
      </c>
      <c r="W916" s="16">
        <v>12</v>
      </c>
      <c r="X916" s="16" t="s">
        <v>85</v>
      </c>
      <c r="Y916" s="12">
        <f t="shared" si="28"/>
        <v>0.498</v>
      </c>
      <c r="Z916" s="16">
        <v>0.17899999999999999</v>
      </c>
    </row>
    <row r="917" spans="1:26" x14ac:dyDescent="0.2">
      <c r="A917" s="16" t="s">
        <v>74</v>
      </c>
      <c r="B917" s="16">
        <v>3808.75</v>
      </c>
      <c r="C917" s="16">
        <v>69.150999999999996</v>
      </c>
      <c r="D917" s="16">
        <v>23.841999999999999</v>
      </c>
      <c r="E917" s="16">
        <v>5.9740000000000002</v>
      </c>
      <c r="F917" s="16">
        <v>172.72300000000001</v>
      </c>
      <c r="G917" s="16">
        <v>2.7589999999999999</v>
      </c>
      <c r="H917" s="16">
        <v>12.081</v>
      </c>
      <c r="I917" s="16">
        <v>2.968</v>
      </c>
      <c r="J917" s="16">
        <v>191.767</v>
      </c>
      <c r="K917" s="16">
        <v>146.464</v>
      </c>
      <c r="L917" s="16">
        <v>0.01</v>
      </c>
      <c r="M917" s="16">
        <v>1E-3</v>
      </c>
      <c r="N917" s="16">
        <v>100</v>
      </c>
      <c r="O917" s="16">
        <v>0.39700000000000002</v>
      </c>
      <c r="P917" s="16">
        <v>0.21199999999999999</v>
      </c>
      <c r="Q917" s="16">
        <v>0.15</v>
      </c>
      <c r="R917" s="16">
        <v>0.57399999999999995</v>
      </c>
      <c r="S917" s="16">
        <v>0.56200000000000006</v>
      </c>
      <c r="T917" s="16"/>
      <c r="U917" s="16" t="s">
        <v>33</v>
      </c>
      <c r="V917" s="16" t="s">
        <v>100</v>
      </c>
      <c r="W917" s="16">
        <v>12</v>
      </c>
      <c r="X917" s="16" t="s">
        <v>85</v>
      </c>
      <c r="Y917" s="12">
        <f t="shared" si="28"/>
        <v>0.54700000000000004</v>
      </c>
      <c r="Z917" s="16">
        <v>0.18500000000000003</v>
      </c>
    </row>
    <row r="918" spans="1:26" x14ac:dyDescent="0.2">
      <c r="A918" s="16" t="s">
        <v>74</v>
      </c>
      <c r="B918" s="16">
        <v>3808.875</v>
      </c>
      <c r="C918" s="16">
        <v>69.893000000000001</v>
      </c>
      <c r="D918" s="16">
        <v>23.939</v>
      </c>
      <c r="E918" s="16">
        <v>6.0570000000000004</v>
      </c>
      <c r="F918" s="16">
        <v>173.99299999999999</v>
      </c>
      <c r="G918" s="16">
        <v>2.7349999999999999</v>
      </c>
      <c r="H918" s="16">
        <v>12.07</v>
      </c>
      <c r="I918" s="16">
        <v>2.956</v>
      </c>
      <c r="J918" s="16">
        <v>201.18</v>
      </c>
      <c r="K918" s="16">
        <v>152.61699999999999</v>
      </c>
      <c r="L918" s="16">
        <v>0.01</v>
      </c>
      <c r="M918" s="16">
        <v>1E-3</v>
      </c>
      <c r="N918" s="16">
        <v>100</v>
      </c>
      <c r="O918" s="16">
        <v>0.39300000000000002</v>
      </c>
      <c r="P918" s="16">
        <v>0.20699999999999999</v>
      </c>
      <c r="Q918" s="16">
        <v>0.156</v>
      </c>
      <c r="R918" s="16">
        <v>0.53100000000000003</v>
      </c>
      <c r="S918" s="16">
        <v>0.55600000000000005</v>
      </c>
      <c r="T918" s="16"/>
      <c r="U918" s="16" t="s">
        <v>33</v>
      </c>
      <c r="V918" s="16" t="s">
        <v>100</v>
      </c>
      <c r="W918" s="16">
        <v>12</v>
      </c>
      <c r="X918" s="16" t="s">
        <v>85</v>
      </c>
      <c r="Y918" s="12">
        <f t="shared" si="28"/>
        <v>0.54900000000000004</v>
      </c>
      <c r="Z918" s="16">
        <v>0.18600000000000003</v>
      </c>
    </row>
    <row r="919" spans="1:26" x14ac:dyDescent="0.2">
      <c r="A919" s="16" t="s">
        <v>74</v>
      </c>
      <c r="B919" s="16">
        <v>3809</v>
      </c>
      <c r="C919" s="16">
        <v>64.23</v>
      </c>
      <c r="D919" s="16">
        <v>24.02</v>
      </c>
      <c r="E919" s="16">
        <v>5.9790000000000001</v>
      </c>
      <c r="F919" s="16">
        <v>171.714</v>
      </c>
      <c r="G919" s="16">
        <v>2.7349999999999999</v>
      </c>
      <c r="H919" s="16">
        <v>11.686999999999999</v>
      </c>
      <c r="I919" s="16">
        <v>2.9470000000000001</v>
      </c>
      <c r="J919" s="16">
        <v>225.149</v>
      </c>
      <c r="K919" s="16">
        <v>170.91399999999999</v>
      </c>
      <c r="L919" s="16">
        <v>0.01</v>
      </c>
      <c r="M919" s="16">
        <v>1E-3</v>
      </c>
      <c r="N919" s="16">
        <v>100</v>
      </c>
      <c r="O919" s="16">
        <v>0.34499999999999997</v>
      </c>
      <c r="P919" s="16">
        <v>0.20399999999999999</v>
      </c>
      <c r="Q919" s="16">
        <v>0.13200000000000001</v>
      </c>
      <c r="R919" s="16">
        <v>0.54300000000000004</v>
      </c>
      <c r="S919" s="16">
        <v>0.52400000000000002</v>
      </c>
      <c r="T919" s="16"/>
      <c r="U919" s="16" t="s">
        <v>33</v>
      </c>
      <c r="V919" s="16" t="s">
        <v>100</v>
      </c>
      <c r="W919" s="16">
        <v>12</v>
      </c>
      <c r="X919" s="16" t="s">
        <v>85</v>
      </c>
      <c r="Y919" s="12">
        <f t="shared" si="28"/>
        <v>0.47699999999999998</v>
      </c>
      <c r="Z919" s="16">
        <v>0.14099999999999999</v>
      </c>
    </row>
    <row r="920" spans="1:26" x14ac:dyDescent="0.2">
      <c r="A920" s="16" t="s">
        <v>74</v>
      </c>
      <c r="B920" s="16">
        <v>3809.125</v>
      </c>
      <c r="C920" s="16">
        <v>54.103999999999999</v>
      </c>
      <c r="D920" s="16">
        <v>24.045999999999999</v>
      </c>
      <c r="E920" s="16">
        <v>5.6029999999999998</v>
      </c>
      <c r="F920" s="16">
        <v>168.33199999999999</v>
      </c>
      <c r="G920" s="16">
        <v>2.7639999999999998</v>
      </c>
      <c r="H920" s="16">
        <v>10.776</v>
      </c>
      <c r="I920" s="16">
        <v>2.95</v>
      </c>
      <c r="J920" s="16">
        <v>264.11900000000003</v>
      </c>
      <c r="K920" s="16">
        <v>200.13800000000001</v>
      </c>
      <c r="L920" s="16">
        <v>0.01</v>
      </c>
      <c r="M920" s="16">
        <v>1E-3</v>
      </c>
      <c r="N920" s="16">
        <v>100</v>
      </c>
      <c r="O920" s="16">
        <v>0.27</v>
      </c>
      <c r="P920" s="16">
        <v>0.20599999999999999</v>
      </c>
      <c r="Q920" s="16">
        <v>0.10199999999999999</v>
      </c>
      <c r="R920" s="16">
        <v>0.61099999999999999</v>
      </c>
      <c r="S920" s="16">
        <v>0.46100000000000002</v>
      </c>
      <c r="T920" s="16"/>
      <c r="U920" s="16" t="s">
        <v>33</v>
      </c>
      <c r="V920" s="16" t="s">
        <v>100</v>
      </c>
      <c r="W920" s="16">
        <v>12</v>
      </c>
      <c r="X920" s="16" t="s">
        <v>85</v>
      </c>
      <c r="Y920" s="12">
        <f t="shared" si="28"/>
        <v>0.372</v>
      </c>
      <c r="Z920" s="16">
        <v>6.4000000000000029E-2</v>
      </c>
    </row>
    <row r="921" spans="1:26" x14ac:dyDescent="0.2">
      <c r="A921" s="16" t="s">
        <v>74</v>
      </c>
      <c r="B921" s="16">
        <v>3809.25</v>
      </c>
      <c r="C921" s="16">
        <v>44.308</v>
      </c>
      <c r="D921" s="16">
        <v>24.02</v>
      </c>
      <c r="E921" s="16">
        <v>5.0659999999999998</v>
      </c>
      <c r="F921" s="16">
        <v>166.99700000000001</v>
      </c>
      <c r="G921" s="16">
        <v>2.8039999999999998</v>
      </c>
      <c r="H921" s="16">
        <v>9.7080000000000002</v>
      </c>
      <c r="I921" s="16">
        <v>2.956</v>
      </c>
      <c r="J921" s="16">
        <v>296.64800000000002</v>
      </c>
      <c r="K921" s="16">
        <v>222.08199999999999</v>
      </c>
      <c r="L921" s="16">
        <v>0.01</v>
      </c>
      <c r="M921" s="16">
        <v>1E-3</v>
      </c>
      <c r="N921" s="16">
        <v>100</v>
      </c>
      <c r="O921" s="16">
        <v>0.20599999999999999</v>
      </c>
      <c r="P921" s="16">
        <v>0.20899999999999999</v>
      </c>
      <c r="Q921" s="16">
        <v>0.107</v>
      </c>
      <c r="R921" s="16">
        <v>0.68200000000000005</v>
      </c>
      <c r="S921" s="16">
        <v>0.39300000000000002</v>
      </c>
      <c r="T921" s="16"/>
      <c r="U921" s="16" t="s">
        <v>33</v>
      </c>
      <c r="V921" s="16" t="s">
        <v>100</v>
      </c>
      <c r="W921" s="16">
        <v>12</v>
      </c>
      <c r="X921" s="16" t="s">
        <v>85</v>
      </c>
      <c r="Y921" s="12">
        <f t="shared" si="28"/>
        <v>0.313</v>
      </c>
      <c r="Z921" s="16">
        <v>-3.0000000000000027E-3</v>
      </c>
    </row>
    <row r="922" spans="1:26" x14ac:dyDescent="0.2">
      <c r="A922" s="16" t="s">
        <v>74</v>
      </c>
      <c r="B922" s="16">
        <v>3809.375</v>
      </c>
      <c r="C922" s="16">
        <v>40.866999999999997</v>
      </c>
      <c r="D922" s="16">
        <v>23.936</v>
      </c>
      <c r="E922" s="16">
        <v>4.9160000000000004</v>
      </c>
      <c r="F922" s="16">
        <v>175.62100000000001</v>
      </c>
      <c r="G922" s="16">
        <v>2.8010000000000002</v>
      </c>
      <c r="H922" s="16">
        <v>8.9870000000000001</v>
      </c>
      <c r="I922" s="16">
        <v>2.9740000000000002</v>
      </c>
      <c r="J922" s="16">
        <v>283.084</v>
      </c>
      <c r="K922" s="16">
        <v>207.04499999999999</v>
      </c>
      <c r="L922" s="16">
        <v>0.01</v>
      </c>
      <c r="M922" s="16">
        <v>1E-3</v>
      </c>
      <c r="N922" s="16">
        <v>100</v>
      </c>
      <c r="O922" s="16">
        <v>0.19400000000000001</v>
      </c>
      <c r="P922" s="16">
        <v>0.21199999999999999</v>
      </c>
      <c r="Q922" s="16">
        <v>0.21199999999999999</v>
      </c>
      <c r="R922" s="16">
        <v>0.65100000000000002</v>
      </c>
      <c r="S922" s="16">
        <v>0.35</v>
      </c>
      <c r="T922" s="16"/>
      <c r="U922" s="16" t="s">
        <v>33</v>
      </c>
      <c r="V922" s="16" t="s">
        <v>100</v>
      </c>
      <c r="W922" s="16">
        <v>12</v>
      </c>
      <c r="X922" s="16" t="s">
        <v>85</v>
      </c>
      <c r="Y922" s="12">
        <f t="shared" si="28"/>
        <v>0.40600000000000003</v>
      </c>
      <c r="Z922" s="16">
        <v>-1.7999999999999988E-2</v>
      </c>
    </row>
    <row r="923" spans="1:26" x14ac:dyDescent="0.2">
      <c r="A923" s="16" t="s">
        <v>74</v>
      </c>
      <c r="B923" s="16">
        <v>3809.5</v>
      </c>
      <c r="C923" s="16">
        <v>47.374000000000002</v>
      </c>
      <c r="D923" s="16">
        <v>23.922000000000001</v>
      </c>
      <c r="E923" s="16">
        <v>5.0590000000000002</v>
      </c>
      <c r="F923" s="16">
        <v>194.63</v>
      </c>
      <c r="G923" s="16">
        <v>2.738</v>
      </c>
      <c r="H923" s="16">
        <v>8.7129999999999992</v>
      </c>
      <c r="I923" s="16">
        <v>2.9380000000000002</v>
      </c>
      <c r="J923" s="16">
        <v>221.96100000000001</v>
      </c>
      <c r="K923" s="16">
        <v>157.119</v>
      </c>
      <c r="L923" s="16">
        <v>0.01</v>
      </c>
      <c r="M923" s="16">
        <v>1E-3</v>
      </c>
      <c r="N923" s="16">
        <v>100</v>
      </c>
      <c r="O923" s="16">
        <v>0.26100000000000001</v>
      </c>
      <c r="P923" s="16">
        <v>0.186</v>
      </c>
      <c r="Q923" s="16">
        <v>0.40899999999999997</v>
      </c>
      <c r="R923" s="16">
        <v>0.501</v>
      </c>
      <c r="S923" s="16">
        <v>0.33800000000000002</v>
      </c>
      <c r="T923" s="16"/>
      <c r="U923" s="16" t="s">
        <v>33</v>
      </c>
      <c r="V923" s="16" t="s">
        <v>100</v>
      </c>
      <c r="W923" s="16">
        <v>12</v>
      </c>
      <c r="X923" s="16" t="s">
        <v>85</v>
      </c>
      <c r="Y923" s="12">
        <f t="shared" si="28"/>
        <v>0.66999999999999993</v>
      </c>
      <c r="Z923" s="16">
        <v>7.5000000000000011E-2</v>
      </c>
    </row>
    <row r="924" spans="1:26" x14ac:dyDescent="0.2">
      <c r="A924" s="16" t="s">
        <v>79</v>
      </c>
      <c r="B924" s="16">
        <v>3378.25</v>
      </c>
      <c r="C924" s="16">
        <v>75.353999999999999</v>
      </c>
      <c r="D924" s="16">
        <v>23.49</v>
      </c>
      <c r="E924" s="16">
        <v>3.24</v>
      </c>
      <c r="F924" s="16">
        <v>172.06700000000001</v>
      </c>
      <c r="G924" s="16">
        <v>2.7189999999999999</v>
      </c>
      <c r="H924" s="16">
        <v>8.4700000000000006</v>
      </c>
      <c r="I924" s="16">
        <v>2.91</v>
      </c>
      <c r="J924" s="16">
        <v>193.762</v>
      </c>
      <c r="K924" s="16">
        <v>208.554</v>
      </c>
      <c r="L924" s="16">
        <v>0.01</v>
      </c>
      <c r="M924" s="16">
        <v>1E-3</v>
      </c>
      <c r="N924" s="16">
        <v>100</v>
      </c>
      <c r="O924" s="16">
        <v>0.44900000000000001</v>
      </c>
      <c r="P924" s="16">
        <v>0.23599999999999999</v>
      </c>
      <c r="Q924" s="16">
        <v>0.23400000000000001</v>
      </c>
      <c r="R924" s="16">
        <v>0.39800000000000002</v>
      </c>
      <c r="S924" s="16">
        <v>0.54100000000000004</v>
      </c>
      <c r="T924" s="16"/>
      <c r="U924" s="16" t="s">
        <v>33</v>
      </c>
      <c r="V924" s="16" t="s">
        <v>100</v>
      </c>
      <c r="W924" s="16">
        <v>4</v>
      </c>
      <c r="X924" s="16" t="s">
        <v>85</v>
      </c>
      <c r="Y924" s="12">
        <f t="shared" si="28"/>
        <v>0.68300000000000005</v>
      </c>
      <c r="Z924" s="16">
        <v>0.21300000000000002</v>
      </c>
    </row>
    <row r="925" spans="1:26" x14ac:dyDescent="0.2">
      <c r="A925" s="16" t="s">
        <v>79</v>
      </c>
      <c r="B925" s="16">
        <v>3378.375</v>
      </c>
      <c r="C925" s="16">
        <v>60.34</v>
      </c>
      <c r="D925" s="16">
        <v>23.440999999999999</v>
      </c>
      <c r="E925" s="16">
        <v>2.0070000000000001</v>
      </c>
      <c r="F925" s="16">
        <v>169.16800000000001</v>
      </c>
      <c r="G925" s="16">
        <v>2.726</v>
      </c>
      <c r="H925" s="16">
        <v>7.0209999999999999</v>
      </c>
      <c r="I925" s="16">
        <v>3.0510000000000002</v>
      </c>
      <c r="J925" s="16">
        <v>287.07499999999999</v>
      </c>
      <c r="K925" s="16">
        <v>317.29599999999999</v>
      </c>
      <c r="L925" s="16">
        <v>0.01</v>
      </c>
      <c r="M925" s="16">
        <v>1E-3</v>
      </c>
      <c r="N925" s="16">
        <v>100</v>
      </c>
      <c r="O925" s="16">
        <v>0.34100000000000003</v>
      </c>
      <c r="P925" s="16">
        <v>0.30199999999999999</v>
      </c>
      <c r="Q925" s="16">
        <v>0.20300000000000001</v>
      </c>
      <c r="R925" s="16">
        <v>0.41699999999999998</v>
      </c>
      <c r="S925" s="16">
        <v>0.434</v>
      </c>
      <c r="T925" s="16"/>
      <c r="U925" s="16" t="s">
        <v>33</v>
      </c>
      <c r="V925" s="16" t="s">
        <v>100</v>
      </c>
      <c r="W925" s="16">
        <v>4</v>
      </c>
      <c r="X925" s="16" t="s">
        <v>85</v>
      </c>
      <c r="Y925" s="12">
        <f t="shared" si="28"/>
        <v>0.54400000000000004</v>
      </c>
      <c r="Z925" s="16">
        <v>3.9000000000000035E-2</v>
      </c>
    </row>
    <row r="926" spans="1:26" x14ac:dyDescent="0.2">
      <c r="A926" s="16" t="s">
        <v>79</v>
      </c>
      <c r="B926" s="16">
        <v>3378.5</v>
      </c>
      <c r="C926" s="16">
        <v>44.744</v>
      </c>
      <c r="D926" s="16">
        <v>23.481999999999999</v>
      </c>
      <c r="E926" s="16">
        <v>1.276</v>
      </c>
      <c r="F926" s="16">
        <v>163.94499999999999</v>
      </c>
      <c r="G926" s="16">
        <v>2.7370000000000001</v>
      </c>
      <c r="H926" s="16">
        <v>4.944</v>
      </c>
      <c r="I926" s="16">
        <v>3.137</v>
      </c>
      <c r="J926" s="16">
        <v>494.88600000000002</v>
      </c>
      <c r="K926" s="16">
        <v>558.18600000000004</v>
      </c>
      <c r="L926" s="16">
        <v>0.01</v>
      </c>
      <c r="M926" s="16">
        <v>1E-3</v>
      </c>
      <c r="N926" s="16">
        <v>100</v>
      </c>
      <c r="O926" s="16">
        <v>0.23</v>
      </c>
      <c r="P926" s="16">
        <v>0.34</v>
      </c>
      <c r="Q926" s="16">
        <v>0.151</v>
      </c>
      <c r="R926" s="16">
        <v>0.44800000000000001</v>
      </c>
      <c r="S926" s="16">
        <v>0.28699999999999998</v>
      </c>
      <c r="T926" s="16"/>
      <c r="U926" s="16" t="s">
        <v>33</v>
      </c>
      <c r="V926" s="16" t="s">
        <v>100</v>
      </c>
      <c r="W926" s="16">
        <v>4</v>
      </c>
      <c r="X926" s="16" t="s">
        <v>85</v>
      </c>
      <c r="Y926" s="12">
        <f t="shared" si="28"/>
        <v>0.38100000000000001</v>
      </c>
      <c r="Z926" s="16">
        <v>-0.11000000000000001</v>
      </c>
    </row>
    <row r="927" spans="1:26" x14ac:dyDescent="0.2">
      <c r="A927" s="16" t="s">
        <v>79</v>
      </c>
      <c r="B927" s="16">
        <v>3378.625</v>
      </c>
      <c r="C927" s="16">
        <v>32.667000000000002</v>
      </c>
      <c r="D927" s="16">
        <v>23.640999999999998</v>
      </c>
      <c r="E927" s="16">
        <v>1.1399999999999999</v>
      </c>
      <c r="F927" s="16">
        <v>158.05699999999999</v>
      </c>
      <c r="G927" s="16">
        <v>2.7519999999999998</v>
      </c>
      <c r="H927" s="16">
        <v>3.1579999999999999</v>
      </c>
      <c r="I927" s="16">
        <v>3.1389999999999998</v>
      </c>
      <c r="J927" s="16">
        <v>830.96699999999998</v>
      </c>
      <c r="K927" s="16">
        <v>936.66600000000005</v>
      </c>
      <c r="L927" s="16">
        <v>0.01</v>
      </c>
      <c r="M927" s="16">
        <v>1E-3</v>
      </c>
      <c r="N927" s="16">
        <v>100</v>
      </c>
      <c r="O927" s="16">
        <v>0.14499999999999999</v>
      </c>
      <c r="P927" s="16">
        <v>0.33900000000000002</v>
      </c>
      <c r="Q927" s="16">
        <v>9.5000000000000001E-2</v>
      </c>
      <c r="R927" s="16">
        <v>0.5</v>
      </c>
      <c r="S927" s="16">
        <v>0.16400000000000001</v>
      </c>
      <c r="T927" s="16"/>
      <c r="U927" s="16" t="s">
        <v>33</v>
      </c>
      <c r="V927" s="16" t="s">
        <v>100</v>
      </c>
      <c r="W927" s="16">
        <v>4</v>
      </c>
      <c r="X927" s="16" t="s">
        <v>85</v>
      </c>
      <c r="Y927" s="12">
        <f t="shared" si="28"/>
        <v>0.24</v>
      </c>
      <c r="Z927" s="16">
        <v>-0.19400000000000003</v>
      </c>
    </row>
    <row r="928" spans="1:26" x14ac:dyDescent="0.2">
      <c r="A928" s="16" t="s">
        <v>79</v>
      </c>
      <c r="B928" s="16">
        <v>3378.75</v>
      </c>
      <c r="C928" s="16">
        <v>25.381</v>
      </c>
      <c r="D928" s="16">
        <v>23.751000000000001</v>
      </c>
      <c r="E928" s="16">
        <v>1.2350000000000001</v>
      </c>
      <c r="F928" s="16">
        <v>154.268</v>
      </c>
      <c r="G928" s="16">
        <v>2.827</v>
      </c>
      <c r="H928" s="16">
        <v>2.2000000000000002</v>
      </c>
      <c r="I928" s="16">
        <v>3.0880000000000001</v>
      </c>
      <c r="J928" s="16">
        <v>1251.2629999999999</v>
      </c>
      <c r="K928" s="16">
        <v>1396.123</v>
      </c>
      <c r="L928" s="16">
        <v>0.01</v>
      </c>
      <c r="M928" s="16">
        <v>1E-3</v>
      </c>
      <c r="N928" s="16">
        <v>100</v>
      </c>
      <c r="O928" s="16">
        <v>9.5000000000000001E-2</v>
      </c>
      <c r="P928" s="16">
        <v>0.314</v>
      </c>
      <c r="Q928" s="16">
        <v>5.8999999999999997E-2</v>
      </c>
      <c r="R928" s="16">
        <v>0.69399999999999995</v>
      </c>
      <c r="S928" s="16">
        <v>9.8000000000000004E-2</v>
      </c>
      <c r="T928" s="16"/>
      <c r="U928" s="16" t="s">
        <v>33</v>
      </c>
      <c r="V928" s="16" t="s">
        <v>100</v>
      </c>
      <c r="W928" s="16">
        <v>4</v>
      </c>
      <c r="X928" s="16" t="s">
        <v>85</v>
      </c>
      <c r="Y928" s="12">
        <f t="shared" si="28"/>
        <v>0.154</v>
      </c>
      <c r="Z928" s="16">
        <v>-0.219</v>
      </c>
    </row>
    <row r="929" spans="1:26" x14ac:dyDescent="0.2">
      <c r="A929" s="16" t="s">
        <v>79</v>
      </c>
      <c r="B929" s="16">
        <v>3378.875</v>
      </c>
      <c r="C929" s="16">
        <v>22.218</v>
      </c>
      <c r="D929" s="16">
        <v>23.640999999999998</v>
      </c>
      <c r="E929" s="16">
        <v>1.34</v>
      </c>
      <c r="F929" s="16">
        <v>152.75200000000001</v>
      </c>
      <c r="G929" s="16">
        <v>2.859</v>
      </c>
      <c r="H929" s="16">
        <v>1.796</v>
      </c>
      <c r="I929" s="16">
        <v>3.0169999999999999</v>
      </c>
      <c r="J929" s="16">
        <v>1740.374</v>
      </c>
      <c r="K929" s="16">
        <v>1960.7840000000001</v>
      </c>
      <c r="L929" s="16">
        <v>0.01</v>
      </c>
      <c r="M929" s="16">
        <v>1E-3</v>
      </c>
      <c r="N929" s="16">
        <v>100</v>
      </c>
      <c r="O929" s="16">
        <v>7.2999999999999995E-2</v>
      </c>
      <c r="P929" s="16">
        <v>0.3</v>
      </c>
      <c r="Q929" s="16">
        <v>4.4999999999999998E-2</v>
      </c>
      <c r="R929" s="16">
        <v>0.77700000000000002</v>
      </c>
      <c r="S929" s="16">
        <v>7.0999999999999994E-2</v>
      </c>
      <c r="T929" s="16"/>
      <c r="U929" s="16" t="s">
        <v>33</v>
      </c>
      <c r="V929" s="16" t="s">
        <v>100</v>
      </c>
      <c r="W929" s="16">
        <v>4</v>
      </c>
      <c r="X929" s="16" t="s">
        <v>85</v>
      </c>
      <c r="Y929" s="12">
        <f t="shared" si="28"/>
        <v>0.11799999999999999</v>
      </c>
      <c r="Z929" s="16">
        <v>-0.22699999999999998</v>
      </c>
    </row>
    <row r="930" spans="1:26" x14ac:dyDescent="0.2">
      <c r="A930" s="16" t="s">
        <v>79</v>
      </c>
      <c r="B930" s="16">
        <v>3379</v>
      </c>
      <c r="C930" s="16">
        <v>21.071000000000002</v>
      </c>
      <c r="D930" s="16">
        <v>23.504000000000001</v>
      </c>
      <c r="E930" s="16">
        <v>1.389</v>
      </c>
      <c r="F930" s="16">
        <v>152.05799999999999</v>
      </c>
      <c r="G930" s="16">
        <v>2.8740000000000001</v>
      </c>
      <c r="H930" s="16">
        <v>1.7070000000000001</v>
      </c>
      <c r="I930" s="16">
        <v>3.5230000000000001</v>
      </c>
      <c r="J930" s="16">
        <v>2408.6970000000001</v>
      </c>
      <c r="K930" s="16">
        <v>2892.712</v>
      </c>
      <c r="L930" s="16">
        <v>0.01</v>
      </c>
      <c r="M930" s="16">
        <v>1E-3</v>
      </c>
      <c r="N930" s="16">
        <v>100</v>
      </c>
      <c r="O930" s="16">
        <v>6.5000000000000002E-2</v>
      </c>
      <c r="P930" s="16">
        <v>0.53900000000000003</v>
      </c>
      <c r="Q930" s="16">
        <v>3.7999999999999999E-2</v>
      </c>
      <c r="R930" s="16">
        <v>0.81899999999999995</v>
      </c>
      <c r="S930" s="16">
        <v>6.5000000000000002E-2</v>
      </c>
      <c r="T930" s="16"/>
      <c r="U930" s="16" t="s">
        <v>33</v>
      </c>
      <c r="V930" s="16" t="s">
        <v>100</v>
      </c>
      <c r="W930" s="16">
        <v>4</v>
      </c>
      <c r="X930" s="16" t="s">
        <v>85</v>
      </c>
      <c r="Y930" s="12">
        <f t="shared" si="28"/>
        <v>0.10300000000000001</v>
      </c>
      <c r="Z930" s="16">
        <v>-0.47400000000000003</v>
      </c>
    </row>
    <row r="931" spans="1:26" x14ac:dyDescent="0.2">
      <c r="A931" s="16" t="s">
        <v>80</v>
      </c>
      <c r="B931" s="16">
        <v>3451.5</v>
      </c>
      <c r="C931" s="16">
        <v>65.816000000000003</v>
      </c>
      <c r="D931" s="16">
        <v>22.709</v>
      </c>
      <c r="E931" s="16">
        <v>4.2869999999999999</v>
      </c>
      <c r="F931" s="16">
        <v>207.26</v>
      </c>
      <c r="G931" s="16">
        <v>2.8279999999999998</v>
      </c>
      <c r="H931" s="16">
        <v>5.0069999999999997</v>
      </c>
      <c r="I931" s="16">
        <v>3.8330000000000002</v>
      </c>
      <c r="J931" s="16">
        <v>298.18900000000002</v>
      </c>
      <c r="K931" s="16">
        <v>421.39699999999999</v>
      </c>
      <c r="L931" s="16">
        <v>0.01</v>
      </c>
      <c r="M931" s="16">
        <v>1E-3</v>
      </c>
      <c r="N931" s="16">
        <v>100</v>
      </c>
      <c r="O931" s="16">
        <v>0.39</v>
      </c>
      <c r="P931" s="16">
        <v>0.52400000000000002</v>
      </c>
      <c r="Q931" s="16">
        <v>0.82299999999999995</v>
      </c>
      <c r="R931" s="16">
        <v>0.73</v>
      </c>
      <c r="S931" s="16">
        <v>0.38900000000000001</v>
      </c>
      <c r="T931" s="16"/>
      <c r="U931" s="16" t="s">
        <v>33</v>
      </c>
      <c r="V931" s="16" t="s">
        <v>101</v>
      </c>
      <c r="W931" s="16">
        <v>8</v>
      </c>
      <c r="X931" s="16" t="s">
        <v>32</v>
      </c>
      <c r="Y931" s="12">
        <f t="shared" si="28"/>
        <v>1.2130000000000001</v>
      </c>
      <c r="Z931" s="16">
        <v>-0.13400000000000001</v>
      </c>
    </row>
    <row r="932" spans="1:26" x14ac:dyDescent="0.2">
      <c r="A932" s="16" t="s">
        <v>80</v>
      </c>
      <c r="B932" s="16">
        <v>3451.625</v>
      </c>
      <c r="C932" s="16">
        <v>56.636000000000003</v>
      </c>
      <c r="D932" s="16">
        <v>22.707000000000001</v>
      </c>
      <c r="E932" s="16">
        <v>3.97</v>
      </c>
      <c r="F932" s="16">
        <v>213.74600000000001</v>
      </c>
      <c r="G932" s="16">
        <v>2.8260000000000001</v>
      </c>
      <c r="H932" s="16">
        <v>4.6429999999999998</v>
      </c>
      <c r="I932" s="16">
        <v>3.7480000000000002</v>
      </c>
      <c r="J932" s="16">
        <v>325.06</v>
      </c>
      <c r="K932" s="16">
        <v>472.35599999999999</v>
      </c>
      <c r="L932" s="16">
        <v>0.01</v>
      </c>
      <c r="M932" s="16">
        <v>1E-3</v>
      </c>
      <c r="N932" s="16">
        <v>100</v>
      </c>
      <c r="O932" s="16">
        <v>0.32800000000000001</v>
      </c>
      <c r="P932" s="16">
        <v>0.498</v>
      </c>
      <c r="Q932" s="16">
        <v>0.92800000000000005</v>
      </c>
      <c r="R932" s="16">
        <v>0.72699999999999998</v>
      </c>
      <c r="S932" s="16">
        <v>0.36199999999999999</v>
      </c>
      <c r="T932" s="16"/>
      <c r="U932" s="16" t="s">
        <v>33</v>
      </c>
      <c r="V932" s="16" t="s">
        <v>101</v>
      </c>
      <c r="W932" s="16">
        <v>8</v>
      </c>
      <c r="X932" s="16" t="s">
        <v>32</v>
      </c>
      <c r="Y932" s="12">
        <f t="shared" si="28"/>
        <v>1.256</v>
      </c>
      <c r="Z932" s="16">
        <v>-0.16999999999999998</v>
      </c>
    </row>
    <row r="933" spans="1:26" x14ac:dyDescent="0.2">
      <c r="A933" s="16" t="s">
        <v>80</v>
      </c>
      <c r="B933" s="16">
        <v>3451.75</v>
      </c>
      <c r="C933" s="16">
        <v>51.848999999999997</v>
      </c>
      <c r="D933" s="16">
        <v>22.79</v>
      </c>
      <c r="E933" s="16">
        <v>3.782</v>
      </c>
      <c r="F933" s="16">
        <v>215.87799999999999</v>
      </c>
      <c r="G933" s="16">
        <v>2.8170000000000002</v>
      </c>
      <c r="H933" s="16">
        <v>4.2439999999999998</v>
      </c>
      <c r="I933" s="16">
        <v>3.6030000000000002</v>
      </c>
      <c r="J933" s="16">
        <v>322.81</v>
      </c>
      <c r="K933" s="16">
        <v>456.55799999999999</v>
      </c>
      <c r="L933" s="16">
        <v>0.01</v>
      </c>
      <c r="M933" s="16">
        <v>1E-3</v>
      </c>
      <c r="N933" s="16">
        <v>100</v>
      </c>
      <c r="O933" s="16">
        <v>0.28699999999999998</v>
      </c>
      <c r="P933" s="16">
        <v>0.438</v>
      </c>
      <c r="Q933" s="16">
        <v>0.97399999999999998</v>
      </c>
      <c r="R933" s="16">
        <v>0.70799999999999996</v>
      </c>
      <c r="S933" s="16">
        <v>0.33</v>
      </c>
      <c r="T933" s="16"/>
      <c r="U933" s="16" t="s">
        <v>33</v>
      </c>
      <c r="V933" s="16" t="s">
        <v>101</v>
      </c>
      <c r="W933" s="16">
        <v>8</v>
      </c>
      <c r="X933" s="16" t="s">
        <v>32</v>
      </c>
      <c r="Y933" s="12">
        <f t="shared" si="28"/>
        <v>1.2609999999999999</v>
      </c>
      <c r="Z933" s="16">
        <v>-0.15100000000000002</v>
      </c>
    </row>
    <row r="934" spans="1:26" x14ac:dyDescent="0.2">
      <c r="A934" s="16" t="s">
        <v>80</v>
      </c>
      <c r="B934" s="16">
        <v>3451.875</v>
      </c>
      <c r="C934" s="16">
        <v>54.837000000000003</v>
      </c>
      <c r="D934" s="16">
        <v>22.887</v>
      </c>
      <c r="E934" s="16">
        <v>3.67</v>
      </c>
      <c r="F934" s="16">
        <v>213.42099999999999</v>
      </c>
      <c r="G934" s="16">
        <v>2.8010000000000002</v>
      </c>
      <c r="H934" s="16">
        <v>3.9580000000000002</v>
      </c>
      <c r="I934" s="16">
        <v>3.3969999999999998</v>
      </c>
      <c r="J934" s="16">
        <v>295.56</v>
      </c>
      <c r="K934" s="16">
        <v>381.77</v>
      </c>
      <c r="L934" s="16">
        <v>0.01</v>
      </c>
      <c r="M934" s="16">
        <v>1E-3</v>
      </c>
      <c r="N934" s="16">
        <v>100</v>
      </c>
      <c r="O934" s="16">
        <v>0.29799999999999999</v>
      </c>
      <c r="P934" s="16">
        <v>0.35</v>
      </c>
      <c r="Q934" s="16">
        <v>0.95</v>
      </c>
      <c r="R934" s="16">
        <v>0.67100000000000004</v>
      </c>
      <c r="S934" s="16">
        <v>0.30399999999999999</v>
      </c>
      <c r="T934" s="16"/>
      <c r="U934" s="16" t="s">
        <v>33</v>
      </c>
      <c r="V934" s="16" t="s">
        <v>101</v>
      </c>
      <c r="W934" s="16">
        <v>8</v>
      </c>
      <c r="X934" s="16" t="s">
        <v>32</v>
      </c>
      <c r="Y934" s="12">
        <f t="shared" si="28"/>
        <v>1.248</v>
      </c>
      <c r="Z934" s="16">
        <v>-5.1999999999999991E-2</v>
      </c>
    </row>
    <row r="935" spans="1:26" x14ac:dyDescent="0.2">
      <c r="A935" s="16" t="s">
        <v>80</v>
      </c>
      <c r="B935" s="16">
        <v>3452</v>
      </c>
      <c r="C935" s="16">
        <v>62.924999999999997</v>
      </c>
      <c r="D935" s="16">
        <v>23.085000000000001</v>
      </c>
      <c r="E935" s="16">
        <v>3.49</v>
      </c>
      <c r="F935" s="16">
        <v>206.12</v>
      </c>
      <c r="G935" s="16">
        <v>2.7759999999999998</v>
      </c>
      <c r="H935" s="16">
        <v>3.8610000000000002</v>
      </c>
      <c r="I935" s="16">
        <v>3.3079999999999998</v>
      </c>
      <c r="J935" s="16">
        <v>258.45100000000002</v>
      </c>
      <c r="K935" s="16">
        <v>287.39499999999998</v>
      </c>
      <c r="L935" s="16">
        <v>0.01</v>
      </c>
      <c r="M935" s="16">
        <v>1E-3</v>
      </c>
      <c r="N935" s="16">
        <v>100</v>
      </c>
      <c r="O935" s="16">
        <v>0.34899999999999998</v>
      </c>
      <c r="P935" s="16">
        <v>0.29899999999999999</v>
      </c>
      <c r="Q935" s="16">
        <v>0.85299999999999998</v>
      </c>
      <c r="R935" s="16">
        <v>0.61099999999999999</v>
      </c>
      <c r="S935" s="16">
        <v>0.29399999999999998</v>
      </c>
      <c r="T935" s="16"/>
      <c r="U935" s="16" t="s">
        <v>33</v>
      </c>
      <c r="V935" s="16" t="s">
        <v>101</v>
      </c>
      <c r="W935" s="16">
        <v>8</v>
      </c>
      <c r="X935" s="16" t="s">
        <v>32</v>
      </c>
      <c r="Y935" s="12">
        <f t="shared" si="28"/>
        <v>1.202</v>
      </c>
      <c r="Z935" s="16">
        <v>4.9999999999999989E-2</v>
      </c>
    </row>
    <row r="936" spans="1:26" x14ac:dyDescent="0.2">
      <c r="A936" s="16" t="s">
        <v>80</v>
      </c>
      <c r="B936" s="16">
        <v>3452.125</v>
      </c>
      <c r="C936" s="16">
        <v>69.019000000000005</v>
      </c>
      <c r="D936" s="16">
        <v>23.013000000000002</v>
      </c>
      <c r="E936" s="16">
        <v>3.3490000000000002</v>
      </c>
      <c r="F936" s="16">
        <v>196.84100000000001</v>
      </c>
      <c r="G936" s="16">
        <v>2.742</v>
      </c>
      <c r="H936" s="16">
        <v>4.0919999999999996</v>
      </c>
      <c r="I936" s="16">
        <v>3.218</v>
      </c>
      <c r="J936" s="16">
        <v>236.71700000000001</v>
      </c>
      <c r="K936" s="16">
        <v>222.541</v>
      </c>
      <c r="L936" s="16">
        <v>0.01</v>
      </c>
      <c r="M936" s="16">
        <v>1E-3</v>
      </c>
      <c r="N936" s="16">
        <v>100</v>
      </c>
      <c r="O936" s="16">
        <v>0.39600000000000002</v>
      </c>
      <c r="P936" s="16">
        <v>0.25800000000000001</v>
      </c>
      <c r="Q936" s="16">
        <v>0.71599999999999997</v>
      </c>
      <c r="R936" s="16">
        <v>0.52900000000000003</v>
      </c>
      <c r="S936" s="16">
        <v>0.307</v>
      </c>
      <c r="T936" s="16"/>
      <c r="U936" s="16" t="s">
        <v>33</v>
      </c>
      <c r="V936" s="16" t="s">
        <v>101</v>
      </c>
      <c r="W936" s="16">
        <v>8</v>
      </c>
      <c r="X936" s="16" t="s">
        <v>32</v>
      </c>
      <c r="Y936" s="12">
        <f t="shared" si="28"/>
        <v>1.1120000000000001</v>
      </c>
      <c r="Z936" s="16">
        <v>0.13800000000000001</v>
      </c>
    </row>
    <row r="937" spans="1:26" x14ac:dyDescent="0.2">
      <c r="A937" s="16" t="s">
        <v>80</v>
      </c>
      <c r="B937" s="16">
        <v>3452.25</v>
      </c>
      <c r="C937" s="16">
        <v>70.608000000000004</v>
      </c>
      <c r="D937" s="16">
        <v>22.827999999999999</v>
      </c>
      <c r="E937" s="16">
        <v>3.2770000000000001</v>
      </c>
      <c r="F937" s="16">
        <v>187.43899999999999</v>
      </c>
      <c r="G937" s="16">
        <v>2.7</v>
      </c>
      <c r="H937" s="16">
        <v>4.7119999999999997</v>
      </c>
      <c r="I937" s="16">
        <v>3.1579999999999999</v>
      </c>
      <c r="J937" s="16">
        <v>240.78100000000001</v>
      </c>
      <c r="K937" s="16">
        <v>196.50200000000001</v>
      </c>
      <c r="L937" s="16">
        <v>0.01</v>
      </c>
      <c r="M937" s="16">
        <v>1E-3</v>
      </c>
      <c r="N937" s="16">
        <v>100</v>
      </c>
      <c r="O937" s="16">
        <v>0.41399999999999998</v>
      </c>
      <c r="P937" s="16">
        <v>0.22800000000000001</v>
      </c>
      <c r="Q937" s="16">
        <v>0.57199999999999995</v>
      </c>
      <c r="R937" s="16">
        <v>0.42499999999999999</v>
      </c>
      <c r="S937" s="16">
        <v>0.35099999999999998</v>
      </c>
      <c r="T937" s="16"/>
      <c r="U937" s="16" t="s">
        <v>33</v>
      </c>
      <c r="V937" s="16" t="s">
        <v>101</v>
      </c>
      <c r="W937" s="16">
        <v>8</v>
      </c>
      <c r="X937" s="16" t="s">
        <v>32</v>
      </c>
      <c r="Y937" s="12">
        <f t="shared" si="28"/>
        <v>0.98599999999999999</v>
      </c>
      <c r="Z937" s="16">
        <v>0.18599999999999997</v>
      </c>
    </row>
    <row r="938" spans="1:26" x14ac:dyDescent="0.2">
      <c r="A938" s="16" t="s">
        <v>80</v>
      </c>
      <c r="B938" s="16">
        <v>3452.375</v>
      </c>
      <c r="C938" s="16">
        <v>68.222999999999999</v>
      </c>
      <c r="D938" s="16">
        <v>22.318000000000001</v>
      </c>
      <c r="E938" s="16">
        <v>3.1629999999999998</v>
      </c>
      <c r="F938" s="16">
        <v>181.07400000000001</v>
      </c>
      <c r="G938" s="16">
        <v>2.653</v>
      </c>
      <c r="H938" s="16">
        <v>5.6520000000000001</v>
      </c>
      <c r="I938" s="16">
        <v>3.145</v>
      </c>
      <c r="J938" s="16">
        <v>254.20699999999999</v>
      </c>
      <c r="K938" s="16">
        <v>192.19399999999999</v>
      </c>
      <c r="L938" s="16">
        <v>0.01</v>
      </c>
      <c r="M938" s="16">
        <v>1E-3</v>
      </c>
      <c r="N938" s="16">
        <v>100</v>
      </c>
      <c r="O938" s="16">
        <v>0.40200000000000002</v>
      </c>
      <c r="P938" s="16">
        <v>0.218</v>
      </c>
      <c r="Q938" s="16">
        <v>0.46500000000000002</v>
      </c>
      <c r="R938" s="16">
        <v>0.308</v>
      </c>
      <c r="S938" s="16">
        <v>0.42299999999999999</v>
      </c>
      <c r="T938" s="16"/>
      <c r="U938" s="16" t="s">
        <v>33</v>
      </c>
      <c r="V938" s="16" t="s">
        <v>101</v>
      </c>
      <c r="W938" s="16">
        <v>8</v>
      </c>
      <c r="X938" s="16" t="s">
        <v>32</v>
      </c>
      <c r="Y938" s="12">
        <f t="shared" si="28"/>
        <v>0.86699999999999999</v>
      </c>
      <c r="Z938" s="16">
        <v>0.18400000000000002</v>
      </c>
    </row>
    <row r="939" spans="1:26" x14ac:dyDescent="0.2">
      <c r="A939" s="16" t="s">
        <v>80</v>
      </c>
      <c r="B939" s="16">
        <v>3452.5</v>
      </c>
      <c r="C939" s="16">
        <v>63.401000000000003</v>
      </c>
      <c r="D939" s="16">
        <v>22.105</v>
      </c>
      <c r="E939" s="16">
        <v>3.02</v>
      </c>
      <c r="F939" s="16">
        <v>179.614</v>
      </c>
      <c r="G939" s="16">
        <v>2.6040000000000001</v>
      </c>
      <c r="H939" s="16">
        <v>6.7149999999999999</v>
      </c>
      <c r="I939" s="16">
        <v>3.1789999999999998</v>
      </c>
      <c r="J939" s="16">
        <v>239.86600000000001</v>
      </c>
      <c r="K939" s="16">
        <v>179.124</v>
      </c>
      <c r="L939" s="16">
        <v>0.01</v>
      </c>
      <c r="M939" s="16">
        <v>1E-3</v>
      </c>
      <c r="N939" s="16">
        <v>100</v>
      </c>
      <c r="O939" s="16">
        <v>0.371</v>
      </c>
      <c r="P939" s="16">
        <v>0.22900000000000001</v>
      </c>
      <c r="Q939" s="16">
        <v>0.42699999999999999</v>
      </c>
      <c r="R939" s="16">
        <v>0.184</v>
      </c>
      <c r="S939" s="16">
        <v>0.50700000000000001</v>
      </c>
      <c r="T939" s="16"/>
      <c r="U939" s="16" t="s">
        <v>33</v>
      </c>
      <c r="V939" s="16" t="s">
        <v>101</v>
      </c>
      <c r="W939" s="16">
        <v>8</v>
      </c>
      <c r="X939" s="16" t="s">
        <v>32</v>
      </c>
      <c r="Y939" s="12">
        <f t="shared" si="28"/>
        <v>0.79800000000000004</v>
      </c>
      <c r="Z939" s="16">
        <v>0.14199999999999999</v>
      </c>
    </row>
    <row r="940" spans="1:26" x14ac:dyDescent="0.2">
      <c r="A940" s="16" t="s">
        <v>81</v>
      </c>
      <c r="B940" s="16">
        <v>3397.875</v>
      </c>
      <c r="C940" s="16">
        <v>12.497</v>
      </c>
      <c r="D940" s="16">
        <v>21.84</v>
      </c>
      <c r="E940" s="16">
        <v>2.2200000000000002</v>
      </c>
      <c r="F940" s="16">
        <v>158.08799999999999</v>
      </c>
      <c r="G940" s="16">
        <v>2.9289999999999998</v>
      </c>
      <c r="H940" s="16">
        <v>2.0190000000000001</v>
      </c>
      <c r="I940" s="16">
        <v>4.8360000000000003</v>
      </c>
      <c r="J940" s="16">
        <v>17296.861000000001</v>
      </c>
      <c r="K940" s="16">
        <v>29853.491999999998</v>
      </c>
      <c r="L940" s="16">
        <v>9.0999999999999998E-2</v>
      </c>
      <c r="M940" s="16">
        <v>0.1</v>
      </c>
      <c r="N940" s="16">
        <v>100</v>
      </c>
      <c r="O940" s="16">
        <v>1.2E-2</v>
      </c>
      <c r="P940" s="16">
        <v>0.64700000000000002</v>
      </c>
      <c r="Q940" s="16">
        <v>0.10199999999999999</v>
      </c>
      <c r="R940" s="16">
        <v>0.94599999999999995</v>
      </c>
      <c r="S940" s="16">
        <v>4.3999999999999997E-2</v>
      </c>
      <c r="T940" s="16"/>
      <c r="U940" s="16" t="s">
        <v>33</v>
      </c>
      <c r="V940" s="16" t="s">
        <v>101</v>
      </c>
      <c r="W940" s="16">
        <v>7</v>
      </c>
      <c r="X940" s="16" t="s">
        <v>85</v>
      </c>
      <c r="Y940" s="12">
        <f t="shared" si="28"/>
        <v>0.11399999999999999</v>
      </c>
      <c r="Z940" s="16">
        <v>-0.63500000000000001</v>
      </c>
    </row>
    <row r="941" spans="1:26" x14ac:dyDescent="0.2">
      <c r="A941" s="16" t="s">
        <v>81</v>
      </c>
      <c r="B941" s="16">
        <v>3398</v>
      </c>
      <c r="C941" s="16">
        <v>14.218999999999999</v>
      </c>
      <c r="D941" s="16">
        <v>21.797999999999998</v>
      </c>
      <c r="E941" s="16">
        <v>2.1219999999999999</v>
      </c>
      <c r="F941" s="16">
        <v>160.45400000000001</v>
      </c>
      <c r="G941" s="16">
        <v>2.9380000000000002</v>
      </c>
      <c r="H941" s="16">
        <v>1.4239999999999999</v>
      </c>
      <c r="I941" s="16">
        <v>4.6879999999999997</v>
      </c>
      <c r="J941" s="16">
        <v>7983.41</v>
      </c>
      <c r="K941" s="16">
        <v>12251.191000000001</v>
      </c>
      <c r="L941" s="16">
        <v>9.0999999999999998E-2</v>
      </c>
      <c r="M941" s="16">
        <v>0.1</v>
      </c>
      <c r="N941" s="16">
        <v>100</v>
      </c>
      <c r="O941" s="16">
        <v>2.5000000000000001E-2</v>
      </c>
      <c r="P941" s="16">
        <v>0.60199999999999998</v>
      </c>
      <c r="Q941" s="16">
        <v>0.129</v>
      </c>
      <c r="R941" s="16">
        <v>0.96799999999999997</v>
      </c>
      <c r="S941" s="16">
        <v>1.0999999999999999E-2</v>
      </c>
      <c r="T941" s="16"/>
      <c r="U941" s="16" t="s">
        <v>33</v>
      </c>
      <c r="V941" s="16" t="s">
        <v>101</v>
      </c>
      <c r="W941" s="16">
        <v>7</v>
      </c>
      <c r="X941" s="16" t="s">
        <v>85</v>
      </c>
      <c r="Y941" s="12">
        <f t="shared" si="28"/>
        <v>0.154</v>
      </c>
      <c r="Z941" s="16">
        <v>-0.57699999999999996</v>
      </c>
    </row>
    <row r="942" spans="1:26" x14ac:dyDescent="0.2">
      <c r="A942" s="16" t="s">
        <v>81</v>
      </c>
      <c r="B942" s="16">
        <v>3398.125</v>
      </c>
      <c r="C942" s="16">
        <v>15.5</v>
      </c>
      <c r="D942" s="16">
        <v>21.821000000000002</v>
      </c>
      <c r="E942" s="16">
        <v>2.0099999999999998</v>
      </c>
      <c r="F942" s="16">
        <v>162.66499999999999</v>
      </c>
      <c r="G942" s="16">
        <v>2.9470000000000001</v>
      </c>
      <c r="H942" s="16">
        <v>1.2350000000000001</v>
      </c>
      <c r="I942" s="16">
        <v>4.5839999999999996</v>
      </c>
      <c r="J942" s="16">
        <v>4198.2910000000002</v>
      </c>
      <c r="K942" s="16">
        <v>5332.192</v>
      </c>
      <c r="L942" s="16">
        <v>0.09</v>
      </c>
      <c r="M942" s="16">
        <v>0.1</v>
      </c>
      <c r="N942" s="16">
        <v>100</v>
      </c>
      <c r="O942" s="16">
        <v>3.5999999999999997E-2</v>
      </c>
      <c r="P942" s="16">
        <v>0.57099999999999995</v>
      </c>
      <c r="Q942" s="16">
        <v>0.154</v>
      </c>
      <c r="R942" s="16">
        <v>0.99</v>
      </c>
      <c r="S942" s="16">
        <v>0</v>
      </c>
      <c r="T942" s="16"/>
      <c r="U942" s="16" t="s">
        <v>33</v>
      </c>
      <c r="V942" s="16" t="s">
        <v>101</v>
      </c>
      <c r="W942" s="16">
        <v>7</v>
      </c>
      <c r="X942" s="16" t="s">
        <v>85</v>
      </c>
      <c r="Y942" s="12">
        <f t="shared" si="28"/>
        <v>0.19</v>
      </c>
      <c r="Z942" s="16">
        <v>-0.53499999999999992</v>
      </c>
    </row>
    <row r="943" spans="1:26" x14ac:dyDescent="0.2">
      <c r="A943" s="16" t="s">
        <v>81</v>
      </c>
      <c r="B943" s="16">
        <v>3398.25</v>
      </c>
      <c r="C943" s="16">
        <v>15.526</v>
      </c>
      <c r="D943" s="16">
        <v>21.870999999999999</v>
      </c>
      <c r="E943" s="16">
        <v>1.8759999999999999</v>
      </c>
      <c r="F943" s="16">
        <v>164.65100000000001</v>
      </c>
      <c r="G943" s="16">
        <v>2.9510000000000001</v>
      </c>
      <c r="H943" s="16">
        <v>1.2350000000000001</v>
      </c>
      <c r="I943" s="16">
        <v>4.4779999999999998</v>
      </c>
      <c r="J943" s="16">
        <v>3082.645</v>
      </c>
      <c r="K943" s="16">
        <v>3535.47</v>
      </c>
      <c r="L943" s="16">
        <v>8.8999999999999996E-2</v>
      </c>
      <c r="M943" s="16">
        <v>0.1</v>
      </c>
      <c r="N943" s="16">
        <v>100</v>
      </c>
      <c r="O943" s="16">
        <v>3.5999999999999997E-2</v>
      </c>
      <c r="P943" s="16">
        <v>0.53900000000000003</v>
      </c>
      <c r="Q943" s="16">
        <v>0.17699999999999999</v>
      </c>
      <c r="R943" s="16">
        <v>1</v>
      </c>
      <c r="S943" s="16">
        <v>0</v>
      </c>
      <c r="T943" s="16"/>
      <c r="U943" s="16" t="s">
        <v>33</v>
      </c>
      <c r="V943" s="16" t="s">
        <v>101</v>
      </c>
      <c r="W943" s="16">
        <v>7</v>
      </c>
      <c r="X943" s="16" t="s">
        <v>85</v>
      </c>
      <c r="Y943" s="12">
        <f t="shared" si="28"/>
        <v>0.21299999999999999</v>
      </c>
      <c r="Z943" s="16">
        <v>-0.503</v>
      </c>
    </row>
    <row r="944" spans="1:26" x14ac:dyDescent="0.2">
      <c r="A944" s="16" t="s">
        <v>81</v>
      </c>
      <c r="B944" s="16">
        <v>3398.375</v>
      </c>
      <c r="C944" s="16">
        <v>15.113</v>
      </c>
      <c r="D944" s="16">
        <v>21.901</v>
      </c>
      <c r="E944" s="16">
        <v>1.7669999999999999</v>
      </c>
      <c r="F944" s="16">
        <v>166.40799999999999</v>
      </c>
      <c r="G944" s="16">
        <v>2.9470000000000001</v>
      </c>
      <c r="H944" s="16">
        <v>1.7270000000000001</v>
      </c>
      <c r="I944" s="16">
        <v>4.5590000000000002</v>
      </c>
      <c r="J944" s="16">
        <v>2417.739</v>
      </c>
      <c r="K944" s="16">
        <v>2620.6320000000001</v>
      </c>
      <c r="L944" s="16">
        <v>8.7999999999999995E-2</v>
      </c>
      <c r="M944" s="16">
        <v>0.1</v>
      </c>
      <c r="N944" s="16">
        <v>100</v>
      </c>
      <c r="O944" s="16">
        <v>3.2000000000000001E-2</v>
      </c>
      <c r="P944" s="16">
        <v>0.56299999999999994</v>
      </c>
      <c r="Q944" s="16">
        <v>0.19700000000000001</v>
      </c>
      <c r="R944" s="16">
        <v>0.99</v>
      </c>
      <c r="S944" s="16">
        <v>2.7E-2</v>
      </c>
      <c r="T944" s="16"/>
      <c r="U944" s="16" t="s">
        <v>33</v>
      </c>
      <c r="V944" s="16" t="s">
        <v>101</v>
      </c>
      <c r="W944" s="16">
        <v>7</v>
      </c>
      <c r="X944" s="16" t="s">
        <v>85</v>
      </c>
      <c r="Y944" s="12">
        <f t="shared" si="28"/>
        <v>0.22900000000000001</v>
      </c>
      <c r="Z944" s="16">
        <v>-0.53099999999999992</v>
      </c>
    </row>
    <row r="945" spans="1:26" x14ac:dyDescent="0.2">
      <c r="A945" s="16" t="s">
        <v>81</v>
      </c>
      <c r="B945" s="16">
        <v>3398.5</v>
      </c>
      <c r="C945" s="16">
        <v>15.742000000000001</v>
      </c>
      <c r="D945" s="16">
        <v>21.893000000000001</v>
      </c>
      <c r="E945" s="16">
        <v>1.6990000000000001</v>
      </c>
      <c r="F945" s="16">
        <v>167.767</v>
      </c>
      <c r="G945" s="16">
        <v>2.9369999999999998</v>
      </c>
      <c r="H945" s="16">
        <v>2.5209999999999999</v>
      </c>
      <c r="I945" s="16">
        <v>4.8600000000000003</v>
      </c>
      <c r="J945" s="16">
        <v>1810.57</v>
      </c>
      <c r="K945" s="16">
        <v>1845.9449999999999</v>
      </c>
      <c r="L945" s="16">
        <v>8.6999999999999994E-2</v>
      </c>
      <c r="M945" s="16">
        <v>0.1</v>
      </c>
      <c r="N945" s="16">
        <v>100</v>
      </c>
      <c r="O945" s="16">
        <v>3.6999999999999998E-2</v>
      </c>
      <c r="P945" s="16">
        <v>0.65400000000000003</v>
      </c>
      <c r="Q945" s="16">
        <v>0.21199999999999999</v>
      </c>
      <c r="R945" s="16">
        <v>0.96599999999999997</v>
      </c>
      <c r="S945" s="16">
        <v>7.1999999999999995E-2</v>
      </c>
      <c r="T945" s="16"/>
      <c r="U945" s="16" t="s">
        <v>33</v>
      </c>
      <c r="V945" s="16" t="s">
        <v>101</v>
      </c>
      <c r="W945" s="16">
        <v>7</v>
      </c>
      <c r="X945" s="16" t="s">
        <v>85</v>
      </c>
      <c r="Y945" s="12">
        <f t="shared" si="28"/>
        <v>0.249</v>
      </c>
      <c r="Z945" s="16">
        <v>-0.61699999999999999</v>
      </c>
    </row>
    <row r="946" spans="1:26" x14ac:dyDescent="0.2">
      <c r="A946" s="16" t="s">
        <v>81</v>
      </c>
      <c r="B946" s="16">
        <v>3398.625</v>
      </c>
      <c r="C946" s="16">
        <v>18.074000000000002</v>
      </c>
      <c r="D946" s="16">
        <v>21.861999999999998</v>
      </c>
      <c r="E946" s="16">
        <v>1.659</v>
      </c>
      <c r="F946" s="16">
        <v>168.60300000000001</v>
      </c>
      <c r="G946" s="16">
        <v>2.9289999999999998</v>
      </c>
      <c r="H946" s="16">
        <v>2.94</v>
      </c>
      <c r="I946" s="16">
        <v>5.0209999999999999</v>
      </c>
      <c r="J946" s="16">
        <v>1353.954</v>
      </c>
      <c r="K946" s="16">
        <v>1313.373</v>
      </c>
      <c r="L946" s="16">
        <v>8.6999999999999994E-2</v>
      </c>
      <c r="M946" s="16">
        <v>0.1</v>
      </c>
      <c r="N946" s="16">
        <v>100</v>
      </c>
      <c r="O946" s="16">
        <v>5.6000000000000001E-2</v>
      </c>
      <c r="P946" s="16">
        <v>0.70199999999999996</v>
      </c>
      <c r="Q946" s="16">
        <v>0.222</v>
      </c>
      <c r="R946" s="16">
        <v>0.94599999999999995</v>
      </c>
      <c r="S946" s="16">
        <v>9.5000000000000001E-2</v>
      </c>
      <c r="T946" s="16"/>
      <c r="U946" s="16" t="s">
        <v>33</v>
      </c>
      <c r="V946" s="16" t="s">
        <v>101</v>
      </c>
      <c r="W946" s="16">
        <v>7</v>
      </c>
      <c r="X946" s="16" t="s">
        <v>85</v>
      </c>
      <c r="Y946" s="12">
        <f t="shared" si="28"/>
        <v>0.27800000000000002</v>
      </c>
      <c r="Z946" s="16">
        <v>-0.64599999999999991</v>
      </c>
    </row>
    <row r="947" spans="1:26" x14ac:dyDescent="0.2">
      <c r="A947" s="12" t="s">
        <v>45</v>
      </c>
      <c r="B947" s="12">
        <v>3805.25</v>
      </c>
      <c r="C947" s="12">
        <v>29.105</v>
      </c>
      <c r="D947" s="12">
        <v>22.35</v>
      </c>
      <c r="E947" s="12">
        <v>1.4650000000000001</v>
      </c>
      <c r="F947" s="12">
        <v>167.35499999999999</v>
      </c>
      <c r="G947" s="12">
        <v>2.754</v>
      </c>
      <c r="H947" s="12">
        <v>5.641</v>
      </c>
      <c r="I947" s="12">
        <v>3.0369999999999999</v>
      </c>
      <c r="J947" s="12">
        <v>415.81599999999997</v>
      </c>
      <c r="K947" s="12">
        <v>456.94</v>
      </c>
      <c r="L947" s="12">
        <v>4.0119999999999996</v>
      </c>
      <c r="M947" s="12">
        <v>2.1000000000000001E-2</v>
      </c>
      <c r="N947" s="12">
        <v>20.324000000000002</v>
      </c>
      <c r="O947" s="12">
        <v>7.5999999999999998E-2</v>
      </c>
      <c r="P947" s="12">
        <v>0.65800000000000003</v>
      </c>
      <c r="Q947" s="12">
        <v>0.128</v>
      </c>
      <c r="R947" s="12">
        <v>0.8</v>
      </c>
      <c r="S947" s="12">
        <v>0.128</v>
      </c>
      <c r="T947" s="12" t="s">
        <v>23</v>
      </c>
      <c r="U947" s="12" t="s">
        <v>22</v>
      </c>
      <c r="V947" s="12" t="s">
        <v>90</v>
      </c>
      <c r="W947" s="12">
        <v>1</v>
      </c>
      <c r="Y947" s="12">
        <f t="shared" si="28"/>
        <v>0.20400000000000001</v>
      </c>
      <c r="Z947" s="12">
        <f t="shared" ref="Z947:Z951" si="30">O947-P947</f>
        <v>-0.58200000000000007</v>
      </c>
    </row>
    <row r="948" spans="1:26" x14ac:dyDescent="0.2">
      <c r="A948" s="12" t="s">
        <v>45</v>
      </c>
      <c r="B948" s="12">
        <v>3805.375</v>
      </c>
      <c r="C948" s="12">
        <v>29.6</v>
      </c>
      <c r="D948" s="12">
        <v>22.228000000000002</v>
      </c>
      <c r="E948" s="12">
        <v>1.6</v>
      </c>
      <c r="F948" s="12">
        <v>170.41</v>
      </c>
      <c r="G948" s="12">
        <v>2.74</v>
      </c>
      <c r="H948" s="12">
        <v>6.7679999999999998</v>
      </c>
      <c r="I948" s="12">
        <v>2.9649999999999999</v>
      </c>
      <c r="J948" s="12">
        <v>436.827</v>
      </c>
      <c r="K948" s="12">
        <v>480.029</v>
      </c>
      <c r="L948" s="12">
        <v>4.8099999999999996</v>
      </c>
      <c r="M948" s="12">
        <v>4.5999999999999999E-2</v>
      </c>
      <c r="N948" s="12">
        <v>16.513000000000002</v>
      </c>
      <c r="O948" s="12">
        <v>8.2000000000000003E-2</v>
      </c>
      <c r="P948" s="12">
        <v>0.57599999999999996</v>
      </c>
      <c r="Q948" s="12">
        <v>0.16600000000000001</v>
      </c>
      <c r="R948" s="12">
        <v>0.76700000000000002</v>
      </c>
      <c r="S948" s="12">
        <v>0.18099999999999999</v>
      </c>
      <c r="T948" s="12" t="s">
        <v>23</v>
      </c>
      <c r="U948" s="12" t="s">
        <v>22</v>
      </c>
      <c r="V948" s="12" t="s">
        <v>89</v>
      </c>
      <c r="W948" s="12">
        <v>1</v>
      </c>
      <c r="Y948" s="12">
        <f t="shared" si="28"/>
        <v>0.248</v>
      </c>
      <c r="Z948" s="12">
        <f t="shared" si="30"/>
        <v>-0.49399999999999994</v>
      </c>
    </row>
    <row r="949" spans="1:26" x14ac:dyDescent="0.2">
      <c r="A949" s="12" t="s">
        <v>45</v>
      </c>
      <c r="B949" s="12">
        <v>3805.5</v>
      </c>
      <c r="C949" s="12">
        <v>31.678000000000001</v>
      </c>
      <c r="D949" s="12">
        <v>22.035</v>
      </c>
      <c r="E949" s="12">
        <v>1.7669999999999999</v>
      </c>
      <c r="F949" s="12">
        <v>173.274</v>
      </c>
      <c r="G949" s="12">
        <v>2.7280000000000002</v>
      </c>
      <c r="H949" s="12">
        <v>7.9139999999999997</v>
      </c>
      <c r="I949" s="12">
        <v>2.8679999999999999</v>
      </c>
      <c r="J949" s="12">
        <v>437.64</v>
      </c>
      <c r="K949" s="12">
        <v>480.923</v>
      </c>
      <c r="L949" s="12">
        <v>5.4269999999999996</v>
      </c>
      <c r="M949" s="12">
        <v>7.6999999999999999E-2</v>
      </c>
      <c r="N949" s="12">
        <v>14.554</v>
      </c>
      <c r="O949" s="12">
        <v>0.10100000000000001</v>
      </c>
      <c r="P949" s="12">
        <v>0.47699999999999998</v>
      </c>
      <c r="Q949" s="12">
        <v>0.2</v>
      </c>
      <c r="R949" s="12">
        <v>0.74099999999999999</v>
      </c>
      <c r="S949" s="12">
        <v>0.23300000000000001</v>
      </c>
      <c r="T949" s="12" t="s">
        <v>23</v>
      </c>
      <c r="U949" s="12" t="s">
        <v>22</v>
      </c>
      <c r="V949" s="12" t="s">
        <v>90</v>
      </c>
      <c r="W949" s="12">
        <v>1</v>
      </c>
      <c r="Y949" s="12">
        <f t="shared" si="28"/>
        <v>0.30100000000000005</v>
      </c>
      <c r="Z949" s="12">
        <f t="shared" si="30"/>
        <v>-0.376</v>
      </c>
    </row>
    <row r="950" spans="1:26" x14ac:dyDescent="0.2">
      <c r="A950" s="12" t="s">
        <v>45</v>
      </c>
      <c r="B950" s="12">
        <v>3805.625</v>
      </c>
      <c r="C950" s="12">
        <v>36.231000000000002</v>
      </c>
      <c r="D950" s="12">
        <v>21.986999999999998</v>
      </c>
      <c r="E950" s="12">
        <v>2.1040000000000001</v>
      </c>
      <c r="F950" s="12">
        <v>175.238</v>
      </c>
      <c r="G950" s="12">
        <v>2.7229999999999999</v>
      </c>
      <c r="H950" s="12">
        <v>8.9109999999999996</v>
      </c>
      <c r="I950" s="12">
        <v>2.7989999999999999</v>
      </c>
      <c r="J950" s="12">
        <v>382.95100000000002</v>
      </c>
      <c r="K950" s="12">
        <v>420.82600000000002</v>
      </c>
      <c r="L950" s="12">
        <v>5.6470000000000002</v>
      </c>
      <c r="M950" s="12">
        <v>9.0999999999999998E-2</v>
      </c>
      <c r="N950" s="12">
        <v>14.984999999999999</v>
      </c>
      <c r="O950" s="12">
        <v>0.14000000000000001</v>
      </c>
      <c r="P950" s="12">
        <v>0.39100000000000001</v>
      </c>
      <c r="Q950" s="12">
        <v>0.22800000000000001</v>
      </c>
      <c r="R950" s="12">
        <v>0.73099999999999998</v>
      </c>
      <c r="S950" s="12">
        <v>0.27800000000000002</v>
      </c>
      <c r="T950" s="12" t="s">
        <v>23</v>
      </c>
      <c r="U950" s="12" t="s">
        <v>22</v>
      </c>
      <c r="V950" s="12" t="s">
        <v>89</v>
      </c>
      <c r="W950" s="12">
        <v>1</v>
      </c>
      <c r="Y950" s="12">
        <f t="shared" si="28"/>
        <v>0.36799999999999999</v>
      </c>
      <c r="Z950" s="12">
        <f t="shared" si="30"/>
        <v>-0.251</v>
      </c>
    </row>
    <row r="951" spans="1:26" x14ac:dyDescent="0.2">
      <c r="A951" s="12" t="s">
        <v>45</v>
      </c>
      <c r="B951" s="12">
        <v>3805.75</v>
      </c>
      <c r="C951" s="12">
        <v>44.789000000000001</v>
      </c>
      <c r="D951" s="12">
        <v>22.2</v>
      </c>
      <c r="E951" s="12">
        <v>2.5609999999999999</v>
      </c>
      <c r="F951" s="12">
        <v>178.19499999999999</v>
      </c>
      <c r="G951" s="12">
        <v>2.722</v>
      </c>
      <c r="H951" s="12">
        <v>9.74</v>
      </c>
      <c r="I951" s="12">
        <v>2.677</v>
      </c>
      <c r="J951" s="12">
        <v>305.08199999999999</v>
      </c>
      <c r="K951" s="12">
        <v>335.255</v>
      </c>
      <c r="L951" s="12">
        <v>5.3029999999999999</v>
      </c>
      <c r="M951" s="12">
        <v>7.0999999999999994E-2</v>
      </c>
      <c r="N951" s="12">
        <v>18.027000000000001</v>
      </c>
      <c r="O951" s="12">
        <v>0.21</v>
      </c>
      <c r="P951" s="12">
        <v>0.26100000000000001</v>
      </c>
      <c r="Q951" s="12">
        <v>0.26100000000000001</v>
      </c>
      <c r="R951" s="12">
        <v>0.73299999999999998</v>
      </c>
      <c r="S951" s="12">
        <v>0.313</v>
      </c>
      <c r="T951" s="12" t="s">
        <v>23</v>
      </c>
      <c r="U951" s="12" t="s">
        <v>33</v>
      </c>
      <c r="V951" s="12" t="s">
        <v>90</v>
      </c>
      <c r="W951" s="12">
        <v>1</v>
      </c>
      <c r="Y951" s="12">
        <f t="shared" si="28"/>
        <v>0.47099999999999997</v>
      </c>
      <c r="Z951" s="12">
        <f t="shared" si="30"/>
        <v>-5.1000000000000018E-2</v>
      </c>
    </row>
    <row r="952" spans="1:26" x14ac:dyDescent="0.2">
      <c r="A952" s="15" t="s">
        <v>74</v>
      </c>
      <c r="B952" s="15">
        <v>3801.125</v>
      </c>
      <c r="C952" s="15">
        <v>18.143000000000001</v>
      </c>
      <c r="D952" s="15">
        <v>22.52</v>
      </c>
      <c r="E952" s="15">
        <v>1.952</v>
      </c>
      <c r="F952" s="15">
        <v>165.26400000000001</v>
      </c>
      <c r="G952" s="15">
        <v>2.7029999999999998</v>
      </c>
      <c r="H952" s="15">
        <v>9.8369999999999997</v>
      </c>
      <c r="I952" s="15">
        <v>3</v>
      </c>
      <c r="J952" s="15">
        <v>84.710999999999999</v>
      </c>
      <c r="K952" s="15">
        <v>75.911000000000001</v>
      </c>
      <c r="L952" s="15">
        <v>6.04</v>
      </c>
      <c r="M952" s="15">
        <v>80.337999999999994</v>
      </c>
      <c r="N952" s="15">
        <v>21.323</v>
      </c>
      <c r="O952" s="15">
        <v>1.7000000000000001E-2</v>
      </c>
      <c r="P952" s="15">
        <v>0.24199999999999999</v>
      </c>
      <c r="Q952" s="15">
        <v>7.0000000000000007E-2</v>
      </c>
      <c r="R952" s="15">
        <v>0.46600000000000003</v>
      </c>
      <c r="S952" s="15">
        <v>0.40799999999999997</v>
      </c>
      <c r="T952" s="15" t="s">
        <v>23</v>
      </c>
      <c r="U952" s="15" t="s">
        <v>22</v>
      </c>
      <c r="V952" s="15" t="s">
        <v>90</v>
      </c>
      <c r="W952" s="15">
        <v>3</v>
      </c>
      <c r="X952" s="15" t="s">
        <v>85</v>
      </c>
      <c r="Y952" s="12">
        <f t="shared" si="28"/>
        <v>8.7000000000000008E-2</v>
      </c>
      <c r="Z952" s="15">
        <v>-0.22499999999999998</v>
      </c>
    </row>
    <row r="953" spans="1:26" x14ac:dyDescent="0.2">
      <c r="A953" s="15" t="s">
        <v>74</v>
      </c>
      <c r="B953" s="15">
        <v>3801.25</v>
      </c>
      <c r="C953" s="15">
        <v>18.626000000000001</v>
      </c>
      <c r="D953" s="15">
        <v>22.521000000000001</v>
      </c>
      <c r="E953" s="15">
        <v>1.847</v>
      </c>
      <c r="F953" s="15">
        <v>163.59800000000001</v>
      </c>
      <c r="G953" s="15">
        <v>2.7170000000000001</v>
      </c>
      <c r="H953" s="15">
        <v>9.5660000000000007</v>
      </c>
      <c r="I953" s="15">
        <v>3.238</v>
      </c>
      <c r="J953" s="15">
        <v>88.805000000000007</v>
      </c>
      <c r="K953" s="15">
        <v>78.183000000000007</v>
      </c>
      <c r="L953" s="15">
        <v>5.9039999999999999</v>
      </c>
      <c r="M953" s="15">
        <v>71.378</v>
      </c>
      <c r="N953" s="15">
        <v>22.126000000000001</v>
      </c>
      <c r="O953" s="15">
        <v>0.02</v>
      </c>
      <c r="P953" s="15">
        <v>0.33300000000000002</v>
      </c>
      <c r="Q953" s="15">
        <v>5.3999999999999999E-2</v>
      </c>
      <c r="R953" s="15">
        <v>0.5</v>
      </c>
      <c r="S953" s="15">
        <v>0.39100000000000001</v>
      </c>
      <c r="T953" s="15" t="s">
        <v>23</v>
      </c>
      <c r="U953" s="15" t="s">
        <v>22</v>
      </c>
      <c r="V953" s="15" t="s">
        <v>90</v>
      </c>
      <c r="W953" s="15">
        <v>3</v>
      </c>
      <c r="X953" s="15" t="s">
        <v>85</v>
      </c>
      <c r="Y953" s="12">
        <f t="shared" si="28"/>
        <v>7.3999999999999996E-2</v>
      </c>
      <c r="Z953" s="15">
        <v>-0.313</v>
      </c>
    </row>
    <row r="954" spans="1:26" x14ac:dyDescent="0.2">
      <c r="A954" s="15" t="s">
        <v>74</v>
      </c>
      <c r="B954" s="15">
        <v>3801.375</v>
      </c>
      <c r="C954" s="15">
        <v>18.667999999999999</v>
      </c>
      <c r="D954" s="15">
        <v>22.526</v>
      </c>
      <c r="E954" s="15">
        <v>1.724</v>
      </c>
      <c r="F954" s="15">
        <v>162.346</v>
      </c>
      <c r="G954" s="15">
        <v>2.738</v>
      </c>
      <c r="H954" s="15">
        <v>9.4480000000000004</v>
      </c>
      <c r="I954" s="15">
        <v>3.444</v>
      </c>
      <c r="J954" s="15">
        <v>91.763999999999996</v>
      </c>
      <c r="K954" s="15">
        <v>79.721000000000004</v>
      </c>
      <c r="L954" s="15">
        <v>5.4139999999999997</v>
      </c>
      <c r="M954" s="15">
        <v>45.569000000000003</v>
      </c>
      <c r="N954" s="15">
        <v>24.614000000000001</v>
      </c>
      <c r="O954" s="15">
        <v>0.02</v>
      </c>
      <c r="P954" s="15">
        <v>0.4</v>
      </c>
      <c r="Q954" s="15">
        <v>4.3999999999999997E-2</v>
      </c>
      <c r="R954" s="15">
        <v>0.54400000000000004</v>
      </c>
      <c r="S954" s="15">
        <v>0.38500000000000001</v>
      </c>
      <c r="T954" s="15" t="s">
        <v>23</v>
      </c>
      <c r="U954" s="15" t="s">
        <v>22</v>
      </c>
      <c r="V954" s="15" t="s">
        <v>90</v>
      </c>
      <c r="W954" s="15">
        <v>3</v>
      </c>
      <c r="X954" s="15" t="s">
        <v>85</v>
      </c>
      <c r="Y954" s="12">
        <f t="shared" si="28"/>
        <v>6.4000000000000001E-2</v>
      </c>
      <c r="Z954" s="15">
        <v>-0.38</v>
      </c>
    </row>
    <row r="955" spans="1:26" x14ac:dyDescent="0.2">
      <c r="A955" s="15" t="s">
        <v>74</v>
      </c>
      <c r="B955" s="15">
        <v>3801.5</v>
      </c>
      <c r="C955" s="15">
        <v>18.343</v>
      </c>
      <c r="D955" s="15">
        <v>22.536000000000001</v>
      </c>
      <c r="E955" s="15">
        <v>1.605</v>
      </c>
      <c r="F955" s="15">
        <v>162.33199999999999</v>
      </c>
      <c r="G955" s="15">
        <v>2.754</v>
      </c>
      <c r="H955" s="15">
        <v>9.51</v>
      </c>
      <c r="I955" s="15">
        <v>3.4630000000000001</v>
      </c>
      <c r="J955" s="15">
        <v>93.296999999999997</v>
      </c>
      <c r="K955" s="15">
        <v>80.400000000000006</v>
      </c>
      <c r="L955" s="15">
        <v>5.1379999999999999</v>
      </c>
      <c r="M955" s="15">
        <v>34.718000000000004</v>
      </c>
      <c r="N955" s="15">
        <v>26.068999999999999</v>
      </c>
      <c r="O955" s="15">
        <v>1.7999999999999999E-2</v>
      </c>
      <c r="P955" s="15">
        <v>0.40500000000000003</v>
      </c>
      <c r="Q955" s="15">
        <v>4.7E-2</v>
      </c>
      <c r="R955" s="15">
        <v>0.57299999999999995</v>
      </c>
      <c r="S955" s="15">
        <v>0.39200000000000002</v>
      </c>
      <c r="T955" s="15" t="s">
        <v>23</v>
      </c>
      <c r="U955" s="15" t="s">
        <v>22</v>
      </c>
      <c r="V955" s="15" t="s">
        <v>90</v>
      </c>
      <c r="W955" s="15">
        <v>3</v>
      </c>
      <c r="X955" s="15" t="s">
        <v>85</v>
      </c>
      <c r="Y955" s="12">
        <f t="shared" si="28"/>
        <v>6.5000000000000002E-2</v>
      </c>
      <c r="Z955" s="15">
        <v>-0.38700000000000001</v>
      </c>
    </row>
    <row r="956" spans="1:26" x14ac:dyDescent="0.2">
      <c r="A956" s="15" t="s">
        <v>74</v>
      </c>
      <c r="B956" s="15">
        <v>3801.625</v>
      </c>
      <c r="C956" s="15">
        <v>18.135000000000002</v>
      </c>
      <c r="D956" s="15">
        <v>22.545999999999999</v>
      </c>
      <c r="E956" s="15">
        <v>1.5069999999999999</v>
      </c>
      <c r="F956" s="15">
        <v>163.779</v>
      </c>
      <c r="G956" s="15">
        <v>2.754</v>
      </c>
      <c r="H956" s="15">
        <v>9.7360000000000007</v>
      </c>
      <c r="I956" s="15">
        <v>3.44</v>
      </c>
      <c r="J956" s="15">
        <v>93.153000000000006</v>
      </c>
      <c r="K956" s="15">
        <v>80.134</v>
      </c>
      <c r="L956" s="15">
        <v>4.8550000000000004</v>
      </c>
      <c r="M956" s="15">
        <v>25.907</v>
      </c>
      <c r="N956" s="15">
        <v>27.547000000000001</v>
      </c>
      <c r="O956" s="15">
        <v>1.7000000000000001E-2</v>
      </c>
      <c r="P956" s="15">
        <v>0.39900000000000002</v>
      </c>
      <c r="Q956" s="15">
        <v>6.0999999999999999E-2</v>
      </c>
      <c r="R956" s="15">
        <v>0.56699999999999995</v>
      </c>
      <c r="S956" s="15">
        <v>0.40799999999999997</v>
      </c>
      <c r="T956" s="15" t="s">
        <v>23</v>
      </c>
      <c r="U956" s="15" t="s">
        <v>22</v>
      </c>
      <c r="V956" s="15" t="s">
        <v>90</v>
      </c>
      <c r="W956" s="15">
        <v>3</v>
      </c>
      <c r="X956" s="15" t="s">
        <v>85</v>
      </c>
      <c r="Y956" s="12">
        <f t="shared" si="28"/>
        <v>7.8E-2</v>
      </c>
      <c r="Z956" s="15">
        <v>-0.38200000000000001</v>
      </c>
    </row>
    <row r="957" spans="1:26" x14ac:dyDescent="0.2">
      <c r="A957" s="15" t="s">
        <v>74</v>
      </c>
      <c r="B957" s="15">
        <v>3801.75</v>
      </c>
      <c r="C957" s="15">
        <v>18.175000000000001</v>
      </c>
      <c r="D957" s="15">
        <v>22.55</v>
      </c>
      <c r="E957" s="15">
        <v>1.4350000000000001</v>
      </c>
      <c r="F957" s="15">
        <v>165.34899999999999</v>
      </c>
      <c r="G957" s="15">
        <v>2.74</v>
      </c>
      <c r="H957" s="15">
        <v>10.028</v>
      </c>
      <c r="I957" s="15">
        <v>3.4590000000000001</v>
      </c>
      <c r="J957" s="15">
        <v>91.442999999999998</v>
      </c>
      <c r="K957" s="15">
        <v>79.051000000000002</v>
      </c>
      <c r="L957" s="15">
        <v>5.1070000000000002</v>
      </c>
      <c r="M957" s="15">
        <v>33.676000000000002</v>
      </c>
      <c r="N957" s="15">
        <v>25.751999999999999</v>
      </c>
      <c r="O957" s="15">
        <v>1.7000000000000001E-2</v>
      </c>
      <c r="P957" s="15">
        <v>0.40699999999999997</v>
      </c>
      <c r="Q957" s="15">
        <v>7.5999999999999998E-2</v>
      </c>
      <c r="R957" s="15">
        <v>0.53600000000000003</v>
      </c>
      <c r="S957" s="15">
        <v>0.42699999999999999</v>
      </c>
      <c r="T957" s="15" t="s">
        <v>23</v>
      </c>
      <c r="U957" s="15" t="s">
        <v>22</v>
      </c>
      <c r="V957" s="15" t="s">
        <v>90</v>
      </c>
      <c r="W957" s="15">
        <v>3</v>
      </c>
      <c r="X957" s="15" t="s">
        <v>85</v>
      </c>
      <c r="Y957" s="12">
        <f t="shared" si="28"/>
        <v>9.2999999999999999E-2</v>
      </c>
      <c r="Z957" s="15">
        <v>-0.38999999999999996</v>
      </c>
    </row>
    <row r="958" spans="1:26" x14ac:dyDescent="0.2">
      <c r="A958" s="15" t="s">
        <v>74</v>
      </c>
      <c r="B958" s="15">
        <v>3801.875</v>
      </c>
      <c r="C958" s="15">
        <v>18.361000000000001</v>
      </c>
      <c r="D958" s="15">
        <v>22.553000000000001</v>
      </c>
      <c r="E958" s="15">
        <v>1.395</v>
      </c>
      <c r="F958" s="15">
        <v>166.09200000000001</v>
      </c>
      <c r="G958" s="15">
        <v>2.7250000000000001</v>
      </c>
      <c r="H958" s="15">
        <v>10.254</v>
      </c>
      <c r="I958" s="15">
        <v>3.484</v>
      </c>
      <c r="J958" s="15">
        <v>89.057000000000002</v>
      </c>
      <c r="K958" s="15">
        <v>77.872</v>
      </c>
      <c r="L958" s="15">
        <v>5.3310000000000004</v>
      </c>
      <c r="M958" s="15">
        <v>42.043999999999997</v>
      </c>
      <c r="N958" s="15">
        <v>24.315999999999999</v>
      </c>
      <c r="O958" s="15">
        <v>1.7999999999999999E-2</v>
      </c>
      <c r="P958" s="15">
        <v>0.41799999999999998</v>
      </c>
      <c r="Q958" s="15">
        <v>8.2000000000000003E-2</v>
      </c>
      <c r="R958" s="15">
        <v>0.50700000000000001</v>
      </c>
      <c r="S958" s="15">
        <v>0.44</v>
      </c>
      <c r="T958" s="15" t="s">
        <v>23</v>
      </c>
      <c r="U958" s="15" t="s">
        <v>22</v>
      </c>
      <c r="V958" s="15" t="s">
        <v>90</v>
      </c>
      <c r="W958" s="15">
        <v>3</v>
      </c>
      <c r="X958" s="15" t="s">
        <v>85</v>
      </c>
      <c r="Y958" s="12">
        <f t="shared" si="28"/>
        <v>0.1</v>
      </c>
      <c r="Z958" s="15">
        <v>-0.39999999999999997</v>
      </c>
    </row>
    <row r="959" spans="1:26" x14ac:dyDescent="0.2">
      <c r="A959" s="15" t="s">
        <v>74</v>
      </c>
      <c r="B959" s="15">
        <v>3802</v>
      </c>
      <c r="C959" s="15">
        <v>18.251999999999999</v>
      </c>
      <c r="D959" s="15">
        <v>22.547000000000001</v>
      </c>
      <c r="E959" s="15">
        <v>1.385</v>
      </c>
      <c r="F959" s="15">
        <v>166.119</v>
      </c>
      <c r="G959" s="15">
        <v>2.7210000000000001</v>
      </c>
      <c r="H959" s="15">
        <v>10.343999999999999</v>
      </c>
      <c r="I959" s="15">
        <v>3.53</v>
      </c>
      <c r="J959" s="15">
        <v>87.45</v>
      </c>
      <c r="K959" s="15">
        <v>77.914000000000001</v>
      </c>
      <c r="L959" s="15">
        <v>6.2690000000000001</v>
      </c>
      <c r="M959" s="15">
        <v>97.369</v>
      </c>
      <c r="N959" s="15">
        <v>19.843</v>
      </c>
      <c r="O959" s="15">
        <v>1.7000000000000001E-2</v>
      </c>
      <c r="P959" s="15">
        <v>0.433</v>
      </c>
      <c r="Q959" s="15">
        <v>8.1000000000000003E-2</v>
      </c>
      <c r="R959" s="15">
        <v>0.502</v>
      </c>
      <c r="S959" s="15">
        <v>0.44500000000000001</v>
      </c>
      <c r="T959" s="15" t="s">
        <v>23</v>
      </c>
      <c r="U959" s="15" t="s">
        <v>22</v>
      </c>
      <c r="V959" s="15" t="s">
        <v>90</v>
      </c>
      <c r="W959" s="15">
        <v>3</v>
      </c>
      <c r="X959" s="15" t="s">
        <v>85</v>
      </c>
      <c r="Y959" s="12">
        <f t="shared" si="28"/>
        <v>9.8000000000000004E-2</v>
      </c>
      <c r="Z959" s="15">
        <v>-0.41599999999999998</v>
      </c>
    </row>
    <row r="960" spans="1:26" x14ac:dyDescent="0.2">
      <c r="A960" s="15" t="s">
        <v>74</v>
      </c>
      <c r="B960" s="15">
        <v>3802.125</v>
      </c>
      <c r="C960" s="15">
        <v>17.643000000000001</v>
      </c>
      <c r="D960" s="15">
        <v>22.539000000000001</v>
      </c>
      <c r="E960" s="15">
        <v>1.401</v>
      </c>
      <c r="F960" s="15">
        <v>165.48099999999999</v>
      </c>
      <c r="G960" s="15">
        <v>2.7269999999999999</v>
      </c>
      <c r="H960" s="15">
        <v>10.314</v>
      </c>
      <c r="I960" s="15">
        <v>3.54</v>
      </c>
      <c r="J960" s="15">
        <v>88.046000000000006</v>
      </c>
      <c r="K960" s="15">
        <v>80.481999999999999</v>
      </c>
      <c r="L960" s="15">
        <v>6.1959999999999997</v>
      </c>
      <c r="M960" s="15">
        <v>91.647000000000006</v>
      </c>
      <c r="N960" s="15">
        <v>18.808</v>
      </c>
      <c r="O960" s="15">
        <v>1.2E-2</v>
      </c>
      <c r="P960" s="15">
        <v>0.437</v>
      </c>
      <c r="Q960" s="15">
        <v>7.2999999999999995E-2</v>
      </c>
      <c r="R960" s="15">
        <v>0.51600000000000001</v>
      </c>
      <c r="S960" s="15">
        <v>0.441</v>
      </c>
      <c r="T960" s="15" t="s">
        <v>23</v>
      </c>
      <c r="U960" s="15" t="s">
        <v>22</v>
      </c>
      <c r="V960" s="15" t="s">
        <v>90</v>
      </c>
      <c r="W960" s="15">
        <v>3</v>
      </c>
      <c r="X960" s="15" t="s">
        <v>85</v>
      </c>
      <c r="Y960" s="12">
        <f t="shared" si="28"/>
        <v>8.4999999999999992E-2</v>
      </c>
      <c r="Z960" s="15">
        <v>-0.42499999999999999</v>
      </c>
    </row>
    <row r="961" spans="1:26" x14ac:dyDescent="0.2">
      <c r="A961" s="15" t="s">
        <v>74</v>
      </c>
      <c r="B961" s="15">
        <v>3802.25</v>
      </c>
      <c r="C961" s="15">
        <v>16.998000000000001</v>
      </c>
      <c r="D961" s="15">
        <v>22.536999999999999</v>
      </c>
      <c r="E961" s="15">
        <v>1.4419999999999999</v>
      </c>
      <c r="F961" s="15">
        <v>164.298</v>
      </c>
      <c r="G961" s="15">
        <v>2.7349999999999999</v>
      </c>
      <c r="H961" s="15">
        <v>10.170999999999999</v>
      </c>
      <c r="I961" s="15">
        <v>3.5390000000000001</v>
      </c>
      <c r="J961" s="15">
        <v>91.715999999999994</v>
      </c>
      <c r="K961" s="15">
        <v>86.495000000000005</v>
      </c>
      <c r="L961" s="15">
        <v>6.0940000000000003</v>
      </c>
      <c r="M961" s="15">
        <v>84.11</v>
      </c>
      <c r="N961" s="15">
        <v>18.417000000000002</v>
      </c>
      <c r="O961" s="15">
        <v>8.0000000000000002E-3</v>
      </c>
      <c r="P961" s="15">
        <v>0.438</v>
      </c>
      <c r="Q961" s="15">
        <v>6.2E-2</v>
      </c>
      <c r="R961" s="15">
        <v>0.53400000000000003</v>
      </c>
      <c r="S961" s="15">
        <v>0.43</v>
      </c>
      <c r="T961" s="15" t="s">
        <v>23</v>
      </c>
      <c r="U961" s="15" t="s">
        <v>22</v>
      </c>
      <c r="V961" s="15" t="s">
        <v>90</v>
      </c>
      <c r="W961" s="15">
        <v>3</v>
      </c>
      <c r="X961" s="15" t="s">
        <v>85</v>
      </c>
      <c r="Y961" s="12">
        <f t="shared" si="28"/>
        <v>7.0000000000000007E-2</v>
      </c>
      <c r="Z961" s="15">
        <v>-0.43</v>
      </c>
    </row>
    <row r="962" spans="1:26" x14ac:dyDescent="0.2">
      <c r="A962" s="15" t="s">
        <v>74</v>
      </c>
      <c r="B962" s="15">
        <v>3802.875</v>
      </c>
      <c r="C962" s="15">
        <v>20.675000000000001</v>
      </c>
      <c r="D962" s="15">
        <v>22.58</v>
      </c>
      <c r="E962" s="15">
        <v>2.1859999999999999</v>
      </c>
      <c r="F962" s="15">
        <v>158.483</v>
      </c>
      <c r="G962" s="15">
        <v>2.7829999999999999</v>
      </c>
      <c r="H962" s="15">
        <v>9.2379999999999995</v>
      </c>
      <c r="I962" s="15">
        <v>3.452</v>
      </c>
      <c r="J962" s="15">
        <v>175.31200000000001</v>
      </c>
      <c r="K962" s="15">
        <v>196.42099999999999</v>
      </c>
      <c r="L962" s="15">
        <v>3.7280000000000002</v>
      </c>
      <c r="M962" s="15">
        <v>6.5880000000000001</v>
      </c>
      <c r="N962" s="15">
        <v>19.079000000000001</v>
      </c>
      <c r="O962" s="15">
        <v>3.5999999999999997E-2</v>
      </c>
      <c r="P962" s="15">
        <v>0.39600000000000002</v>
      </c>
      <c r="Q962" s="15">
        <v>5.0000000000000001E-3</v>
      </c>
      <c r="R962" s="15">
        <v>0.63800000000000001</v>
      </c>
      <c r="S962" s="15">
        <v>0.371</v>
      </c>
      <c r="T962" s="15" t="s">
        <v>23</v>
      </c>
      <c r="U962" s="15" t="s">
        <v>22</v>
      </c>
      <c r="V962" s="15" t="s">
        <v>90</v>
      </c>
      <c r="W962" s="15">
        <v>5</v>
      </c>
      <c r="X962" s="15" t="s">
        <v>85</v>
      </c>
      <c r="Y962" s="12">
        <f t="shared" si="28"/>
        <v>4.0999999999999995E-2</v>
      </c>
      <c r="Z962" s="15">
        <v>-0.36000000000000004</v>
      </c>
    </row>
    <row r="963" spans="1:26" x14ac:dyDescent="0.2">
      <c r="A963" s="15" t="s">
        <v>74</v>
      </c>
      <c r="B963" s="15">
        <v>3803</v>
      </c>
      <c r="C963" s="15">
        <v>21.123000000000001</v>
      </c>
      <c r="D963" s="15">
        <v>22.58</v>
      </c>
      <c r="E963" s="15">
        <v>2.242</v>
      </c>
      <c r="F963" s="15">
        <v>157.917</v>
      </c>
      <c r="G963" s="15">
        <v>2.786</v>
      </c>
      <c r="H963" s="15">
        <v>9.298</v>
      </c>
      <c r="I963" s="15">
        <v>3.363</v>
      </c>
      <c r="J963" s="15">
        <v>191.77500000000001</v>
      </c>
      <c r="K963" s="15">
        <v>219.67599999999999</v>
      </c>
      <c r="L963" s="15">
        <v>3.597</v>
      </c>
      <c r="M963" s="15">
        <v>5.476</v>
      </c>
      <c r="N963" s="15">
        <v>17.38</v>
      </c>
      <c r="O963" s="15">
        <v>3.7999999999999999E-2</v>
      </c>
      <c r="P963" s="15">
        <v>0.36199999999999999</v>
      </c>
      <c r="Q963" s="15">
        <v>1E-3</v>
      </c>
      <c r="R963" s="15">
        <v>0.64400000000000002</v>
      </c>
      <c r="S963" s="15">
        <v>0.373</v>
      </c>
      <c r="T963" s="15" t="s">
        <v>23</v>
      </c>
      <c r="U963" s="15" t="s">
        <v>22</v>
      </c>
      <c r="V963" s="15" t="s">
        <v>90</v>
      </c>
      <c r="W963" s="15">
        <v>5</v>
      </c>
      <c r="X963" s="15" t="s">
        <v>85</v>
      </c>
      <c r="Y963" s="12">
        <f t="shared" ref="Y963:Y1026" si="31">O963+Q963</f>
        <v>3.9E-2</v>
      </c>
      <c r="Z963" s="15">
        <v>-0.32400000000000001</v>
      </c>
    </row>
    <row r="964" spans="1:26" x14ac:dyDescent="0.2">
      <c r="A964" s="15" t="s">
        <v>74</v>
      </c>
      <c r="B964" s="15">
        <v>3803.125</v>
      </c>
      <c r="C964" s="15">
        <v>20.661999999999999</v>
      </c>
      <c r="D964" s="15">
        <v>22.571999999999999</v>
      </c>
      <c r="E964" s="15">
        <v>2.254</v>
      </c>
      <c r="F964" s="15">
        <v>158.434</v>
      </c>
      <c r="G964" s="15">
        <v>2.7890000000000001</v>
      </c>
      <c r="H964" s="15">
        <v>9.1349999999999998</v>
      </c>
      <c r="I964" s="15">
        <v>3.2879999999999998</v>
      </c>
      <c r="J964" s="15">
        <v>203.82300000000001</v>
      </c>
      <c r="K964" s="15">
        <v>237.31399999999999</v>
      </c>
      <c r="L964" s="15">
        <v>3.5259999999999998</v>
      </c>
      <c r="M964" s="15">
        <v>4.9370000000000003</v>
      </c>
      <c r="N964" s="15">
        <v>15.721</v>
      </c>
      <c r="O964" s="15">
        <v>3.4000000000000002E-2</v>
      </c>
      <c r="P964" s="15">
        <v>0.33200000000000002</v>
      </c>
      <c r="Q964" s="15">
        <v>7.0000000000000001E-3</v>
      </c>
      <c r="R964" s="15">
        <v>0.65</v>
      </c>
      <c r="S964" s="15">
        <v>0.35799999999999998</v>
      </c>
      <c r="T964" s="15" t="s">
        <v>23</v>
      </c>
      <c r="U964" s="15" t="s">
        <v>22</v>
      </c>
      <c r="V964" s="15" t="s">
        <v>90</v>
      </c>
      <c r="W964" s="15">
        <v>5</v>
      </c>
      <c r="X964" s="15" t="s">
        <v>85</v>
      </c>
      <c r="Y964" s="12">
        <f t="shared" si="31"/>
        <v>4.1000000000000002E-2</v>
      </c>
      <c r="Z964" s="15">
        <v>-0.29800000000000004</v>
      </c>
    </row>
    <row r="965" spans="1:26" x14ac:dyDescent="0.2">
      <c r="A965" s="15" t="s">
        <v>74</v>
      </c>
      <c r="B965" s="15">
        <v>3803.25</v>
      </c>
      <c r="C965" s="15">
        <v>19.831</v>
      </c>
      <c r="D965" s="15">
        <v>22.562000000000001</v>
      </c>
      <c r="E965" s="15">
        <v>2.2789999999999999</v>
      </c>
      <c r="F965" s="15">
        <v>159.39500000000001</v>
      </c>
      <c r="G965" s="15">
        <v>2.7890000000000001</v>
      </c>
      <c r="H965" s="15">
        <v>8.7050000000000001</v>
      </c>
      <c r="I965" s="15">
        <v>3.1989999999999998</v>
      </c>
      <c r="J965" s="15">
        <v>213.41399999999999</v>
      </c>
      <c r="K965" s="15">
        <v>251.43600000000001</v>
      </c>
      <c r="L965" s="15">
        <v>3.5110000000000001</v>
      </c>
      <c r="M965" s="15">
        <v>4.8310000000000004</v>
      </c>
      <c r="N965" s="15">
        <v>14.912000000000001</v>
      </c>
      <c r="O965" s="15">
        <v>0.03</v>
      </c>
      <c r="P965" s="15">
        <v>0.29399999999999998</v>
      </c>
      <c r="Q965" s="15">
        <v>1.6E-2</v>
      </c>
      <c r="R965" s="15">
        <v>0.65100000000000002</v>
      </c>
      <c r="S965" s="15">
        <v>0.32800000000000001</v>
      </c>
      <c r="T965" s="15" t="s">
        <v>23</v>
      </c>
      <c r="U965" s="15" t="s">
        <v>22</v>
      </c>
      <c r="V965" s="15" t="s">
        <v>90</v>
      </c>
      <c r="W965" s="15">
        <v>5</v>
      </c>
      <c r="X965" s="15" t="s">
        <v>85</v>
      </c>
      <c r="Y965" s="12">
        <f t="shared" si="31"/>
        <v>4.5999999999999999E-2</v>
      </c>
      <c r="Z965" s="15">
        <v>-0.26400000000000001</v>
      </c>
    </row>
    <row r="966" spans="1:26" x14ac:dyDescent="0.2">
      <c r="A966" s="15" t="s">
        <v>74</v>
      </c>
      <c r="B966" s="15">
        <v>3803.375</v>
      </c>
      <c r="C966" s="15">
        <v>20.302</v>
      </c>
      <c r="D966" s="15">
        <v>22.556000000000001</v>
      </c>
      <c r="E966" s="15">
        <v>2.2549999999999999</v>
      </c>
      <c r="F966" s="15">
        <v>159.935</v>
      </c>
      <c r="G966" s="15">
        <v>2.7909999999999999</v>
      </c>
      <c r="H966" s="15">
        <v>8.1720000000000006</v>
      </c>
      <c r="I966" s="15">
        <v>3.07</v>
      </c>
      <c r="J966" s="15">
        <v>222.64</v>
      </c>
      <c r="K966" s="15">
        <v>264.59500000000003</v>
      </c>
      <c r="L966" s="15">
        <v>3.4980000000000002</v>
      </c>
      <c r="M966" s="15">
        <v>4.7359999999999998</v>
      </c>
      <c r="N966" s="15">
        <v>13.627000000000001</v>
      </c>
      <c r="O966" s="15">
        <v>3.6999999999999998E-2</v>
      </c>
      <c r="P966" s="15">
        <v>0.24199999999999999</v>
      </c>
      <c r="Q966" s="15">
        <v>2.1999999999999999E-2</v>
      </c>
      <c r="R966" s="15">
        <v>0.65500000000000003</v>
      </c>
      <c r="S966" s="15">
        <v>0.29399999999999998</v>
      </c>
      <c r="T966" s="15" t="s">
        <v>23</v>
      </c>
      <c r="U966" s="15" t="s">
        <v>22</v>
      </c>
      <c r="V966" s="15" t="s">
        <v>90</v>
      </c>
      <c r="W966" s="15">
        <v>5</v>
      </c>
      <c r="X966" s="15" t="s">
        <v>85</v>
      </c>
      <c r="Y966" s="12">
        <f t="shared" si="31"/>
        <v>5.8999999999999997E-2</v>
      </c>
      <c r="Z966" s="15">
        <v>-0.20499999999999999</v>
      </c>
    </row>
    <row r="967" spans="1:26" x14ac:dyDescent="0.2">
      <c r="A967" s="15" t="s">
        <v>74</v>
      </c>
      <c r="B967" s="15">
        <v>3803.5</v>
      </c>
      <c r="C967" s="15">
        <v>23.814</v>
      </c>
      <c r="D967" s="15">
        <v>22.56</v>
      </c>
      <c r="E967" s="15">
        <v>2.11</v>
      </c>
      <c r="F967" s="15">
        <v>160.86500000000001</v>
      </c>
      <c r="G967" s="15">
        <v>2.794</v>
      </c>
      <c r="H967" s="15">
        <v>7.7439999999999998</v>
      </c>
      <c r="I967" s="15">
        <v>2.9249999999999998</v>
      </c>
      <c r="J967" s="15">
        <v>232.24199999999999</v>
      </c>
      <c r="K967" s="15">
        <v>277.26900000000001</v>
      </c>
      <c r="L967" s="15">
        <v>2.7559999999999998</v>
      </c>
      <c r="M967" s="15">
        <v>1.377</v>
      </c>
      <c r="N967" s="15">
        <v>16.279</v>
      </c>
      <c r="O967" s="15">
        <v>6.8000000000000005E-2</v>
      </c>
      <c r="P967" s="15">
        <v>0.191</v>
      </c>
      <c r="Q967" s="15">
        <v>3.4000000000000002E-2</v>
      </c>
      <c r="R967" s="15">
        <v>0.66100000000000003</v>
      </c>
      <c r="S967" s="15">
        <v>0.26700000000000002</v>
      </c>
      <c r="T967" s="15" t="s">
        <v>23</v>
      </c>
      <c r="U967" s="15" t="s">
        <v>22</v>
      </c>
      <c r="V967" s="15" t="s">
        <v>90</v>
      </c>
      <c r="W967" s="15">
        <v>5</v>
      </c>
      <c r="X967" s="15" t="s">
        <v>85</v>
      </c>
      <c r="Y967" s="12">
        <f t="shared" si="31"/>
        <v>0.10200000000000001</v>
      </c>
      <c r="Z967" s="15">
        <v>-0.123</v>
      </c>
    </row>
    <row r="968" spans="1:26" x14ac:dyDescent="0.2">
      <c r="A968" s="15" t="s">
        <v>74</v>
      </c>
      <c r="B968" s="15">
        <v>3803.625</v>
      </c>
      <c r="C968" s="15">
        <v>31.004000000000001</v>
      </c>
      <c r="D968" s="15">
        <v>22.585999999999999</v>
      </c>
      <c r="E968" s="15">
        <v>1.946</v>
      </c>
      <c r="F968" s="15">
        <v>163.20400000000001</v>
      </c>
      <c r="G968" s="15">
        <v>2.7949999999999999</v>
      </c>
      <c r="H968" s="15">
        <v>7.4729999999999999</v>
      </c>
      <c r="I968" s="15">
        <v>2.8559999999999999</v>
      </c>
      <c r="J968" s="15">
        <v>239.85499999999999</v>
      </c>
      <c r="K968" s="15">
        <v>285.613</v>
      </c>
      <c r="L968" s="15">
        <v>2.6859999999999999</v>
      </c>
      <c r="M968" s="15">
        <v>1.2050000000000001</v>
      </c>
      <c r="N968" s="15">
        <v>16.530999999999999</v>
      </c>
      <c r="O968" s="15">
        <v>0.127</v>
      </c>
      <c r="P968" s="15">
        <v>0.182</v>
      </c>
      <c r="Q968" s="15">
        <v>0.06</v>
      </c>
      <c r="R968" s="15">
        <v>0.66100000000000003</v>
      </c>
      <c r="S968" s="15">
        <v>0.251</v>
      </c>
      <c r="T968" s="15" t="s">
        <v>23</v>
      </c>
      <c r="U968" s="15" t="s">
        <v>22</v>
      </c>
      <c r="V968" s="15" t="s">
        <v>90</v>
      </c>
      <c r="W968" s="15">
        <v>5</v>
      </c>
      <c r="X968" s="15" t="s">
        <v>85</v>
      </c>
      <c r="Y968" s="12">
        <f t="shared" si="31"/>
        <v>0.187</v>
      </c>
      <c r="Z968" s="15">
        <v>-5.4999999999999993E-2</v>
      </c>
    </row>
    <row r="969" spans="1:26" x14ac:dyDescent="0.2">
      <c r="A969" s="15" t="s">
        <v>74</v>
      </c>
      <c r="B969" s="15">
        <v>3803.75</v>
      </c>
      <c r="C969" s="15">
        <v>42.109000000000002</v>
      </c>
      <c r="D969" s="15">
        <v>22.625</v>
      </c>
      <c r="E969" s="15">
        <v>1.8759999999999999</v>
      </c>
      <c r="F969" s="15">
        <v>166.94300000000001</v>
      </c>
      <c r="G969" s="15">
        <v>2.7890000000000001</v>
      </c>
      <c r="H969" s="15">
        <v>7.399</v>
      </c>
      <c r="I969" s="15">
        <v>3.044</v>
      </c>
      <c r="J969" s="15">
        <v>239.87799999999999</v>
      </c>
      <c r="K969" s="15">
        <v>281.86799999999999</v>
      </c>
      <c r="L969" s="15">
        <v>1.978</v>
      </c>
      <c r="M969" s="15">
        <v>0.247</v>
      </c>
      <c r="N969" s="15">
        <v>23.093</v>
      </c>
      <c r="O969" s="15">
        <v>0.21299999999999999</v>
      </c>
      <c r="P969" s="15">
        <v>0.27900000000000003</v>
      </c>
      <c r="Q969" s="15">
        <v>0.1</v>
      </c>
      <c r="R969" s="15">
        <v>0.64300000000000002</v>
      </c>
      <c r="S969" s="15">
        <v>0.249</v>
      </c>
      <c r="T969" s="15" t="s">
        <v>23</v>
      </c>
      <c r="U969" s="15" t="s">
        <v>22</v>
      </c>
      <c r="V969" s="15" t="s">
        <v>90</v>
      </c>
      <c r="W969" s="15">
        <v>5</v>
      </c>
      <c r="X969" s="15" t="s">
        <v>85</v>
      </c>
      <c r="Y969" s="12">
        <f t="shared" si="31"/>
        <v>0.313</v>
      </c>
      <c r="Z969" s="15">
        <v>-6.6000000000000031E-2</v>
      </c>
    </row>
    <row r="970" spans="1:26" x14ac:dyDescent="0.2">
      <c r="A970" s="15" t="s">
        <v>74</v>
      </c>
      <c r="B970" s="15">
        <v>3803.875</v>
      </c>
      <c r="C970" s="15">
        <v>55.29</v>
      </c>
      <c r="D970" s="15">
        <v>22.666</v>
      </c>
      <c r="E970" s="15">
        <v>1.8879999999999999</v>
      </c>
      <c r="F970" s="15">
        <v>172.14699999999999</v>
      </c>
      <c r="G970" s="15">
        <v>2.7719999999999998</v>
      </c>
      <c r="H970" s="15">
        <v>7.5650000000000004</v>
      </c>
      <c r="I970" s="15">
        <v>3.5569999999999999</v>
      </c>
      <c r="J970" s="15">
        <v>228.149</v>
      </c>
      <c r="K970" s="15">
        <v>262.33999999999997</v>
      </c>
      <c r="L970" s="15">
        <v>0.01</v>
      </c>
      <c r="M970" s="15">
        <v>1E-3</v>
      </c>
      <c r="N970" s="15">
        <v>100</v>
      </c>
      <c r="O970" s="15">
        <v>0.311</v>
      </c>
      <c r="P970" s="15">
        <v>0.49199999999999999</v>
      </c>
      <c r="Q970" s="15">
        <v>0.154</v>
      </c>
      <c r="R970" s="15">
        <v>0.60299999999999998</v>
      </c>
      <c r="S970" s="15">
        <v>0.26500000000000001</v>
      </c>
      <c r="T970" s="15"/>
      <c r="U970" s="15" t="s">
        <v>22</v>
      </c>
      <c r="V970" s="15" t="s">
        <v>90</v>
      </c>
      <c r="W970" s="15">
        <v>5</v>
      </c>
      <c r="X970" s="15" t="s">
        <v>85</v>
      </c>
      <c r="Y970" s="12">
        <f t="shared" si="31"/>
        <v>0.46499999999999997</v>
      </c>
      <c r="Z970" s="15">
        <v>-0.18099999999999999</v>
      </c>
    </row>
    <row r="971" spans="1:26" x14ac:dyDescent="0.2">
      <c r="A971" s="15" t="s">
        <v>74</v>
      </c>
      <c r="B971" s="15">
        <v>3804</v>
      </c>
      <c r="C971" s="15">
        <v>69.194999999999993</v>
      </c>
      <c r="D971" s="15">
        <v>22.707000000000001</v>
      </c>
      <c r="E971" s="15">
        <v>2.0270000000000001</v>
      </c>
      <c r="F971" s="15">
        <v>178.65100000000001</v>
      </c>
      <c r="G971" s="15">
        <v>2.7480000000000002</v>
      </c>
      <c r="H971" s="15">
        <v>8.1010000000000009</v>
      </c>
      <c r="I971" s="15">
        <v>4.2309999999999999</v>
      </c>
      <c r="J971" s="15">
        <v>205.46600000000001</v>
      </c>
      <c r="K971" s="15">
        <v>230.09299999999999</v>
      </c>
      <c r="L971" s="15">
        <v>0.01</v>
      </c>
      <c r="M971" s="15">
        <v>1E-3</v>
      </c>
      <c r="N971" s="15">
        <v>100</v>
      </c>
      <c r="O971" s="15">
        <v>0.41399999999999998</v>
      </c>
      <c r="P971" s="15">
        <v>0.74299999999999999</v>
      </c>
      <c r="Q971" s="15">
        <v>0.218</v>
      </c>
      <c r="R971" s="15">
        <v>0.55200000000000005</v>
      </c>
      <c r="S971" s="15">
        <v>0.307</v>
      </c>
      <c r="T971" s="15"/>
      <c r="U971" s="15" t="s">
        <v>22</v>
      </c>
      <c r="V971" s="15" t="s">
        <v>90</v>
      </c>
      <c r="W971" s="15">
        <v>5</v>
      </c>
      <c r="X971" s="15" t="s">
        <v>85</v>
      </c>
      <c r="Y971" s="12">
        <f t="shared" si="31"/>
        <v>0.63200000000000001</v>
      </c>
      <c r="Z971" s="15">
        <v>-0.32900000000000001</v>
      </c>
    </row>
    <row r="972" spans="1:26" x14ac:dyDescent="0.2">
      <c r="A972" s="15" t="s">
        <v>74</v>
      </c>
      <c r="B972" s="15">
        <v>3804.75</v>
      </c>
      <c r="C972" s="15">
        <v>70.546000000000006</v>
      </c>
      <c r="D972" s="15">
        <v>22.873000000000001</v>
      </c>
      <c r="E972" s="15">
        <v>4.9290000000000003</v>
      </c>
      <c r="F972" s="15">
        <v>183.25899999999999</v>
      </c>
      <c r="G972" s="15">
        <v>2.69</v>
      </c>
      <c r="H972" s="15">
        <v>10.286</v>
      </c>
      <c r="I972" s="15">
        <v>3.8319999999999999</v>
      </c>
      <c r="J972" s="15">
        <v>209.94499999999999</v>
      </c>
      <c r="K972" s="15">
        <v>225.833</v>
      </c>
      <c r="L972" s="15">
        <v>0.01</v>
      </c>
      <c r="M972" s="15">
        <v>1E-3</v>
      </c>
      <c r="N972" s="15">
        <v>100</v>
      </c>
      <c r="O972" s="15">
        <v>0.38</v>
      </c>
      <c r="P972" s="15">
        <v>0.53500000000000003</v>
      </c>
      <c r="Q972" s="15">
        <v>0.24199999999999999</v>
      </c>
      <c r="R972" s="15">
        <v>0.42799999999999999</v>
      </c>
      <c r="S972" s="15">
        <v>0.41799999999999998</v>
      </c>
      <c r="T972" s="15"/>
      <c r="U972" s="15" t="s">
        <v>33</v>
      </c>
      <c r="V972" s="15" t="s">
        <v>90</v>
      </c>
      <c r="W972" s="15">
        <v>7</v>
      </c>
      <c r="X972" s="15" t="s">
        <v>85</v>
      </c>
      <c r="Y972" s="12">
        <f t="shared" si="31"/>
        <v>0.622</v>
      </c>
      <c r="Z972" s="15">
        <v>-0.15500000000000003</v>
      </c>
    </row>
    <row r="973" spans="1:26" x14ac:dyDescent="0.2">
      <c r="A973" s="15" t="s">
        <v>74</v>
      </c>
      <c r="B973" s="15">
        <v>3804.875</v>
      </c>
      <c r="C973" s="15">
        <v>51.814</v>
      </c>
      <c r="D973" s="15">
        <v>22.861999999999998</v>
      </c>
      <c r="E973" s="15">
        <v>4.9550000000000001</v>
      </c>
      <c r="F973" s="15">
        <v>177.00200000000001</v>
      </c>
      <c r="G973" s="15">
        <v>2.681</v>
      </c>
      <c r="H973" s="15">
        <v>8.4039999999999999</v>
      </c>
      <c r="I973" s="15">
        <v>3.601</v>
      </c>
      <c r="J973" s="15">
        <v>261.661</v>
      </c>
      <c r="K973" s="15">
        <v>280.97199999999998</v>
      </c>
      <c r="L973" s="15">
        <v>0.01</v>
      </c>
      <c r="M973" s="15">
        <v>1E-3</v>
      </c>
      <c r="N973" s="15">
        <v>100</v>
      </c>
      <c r="O973" s="15">
        <v>0.24399999999999999</v>
      </c>
      <c r="P973" s="15">
        <v>0.46100000000000002</v>
      </c>
      <c r="Q973" s="15">
        <v>0.17899999999999999</v>
      </c>
      <c r="R973" s="15">
        <v>0.41299999999999998</v>
      </c>
      <c r="S973" s="15">
        <v>0.29699999999999999</v>
      </c>
      <c r="T973" s="15"/>
      <c r="U973" s="15" t="s">
        <v>33</v>
      </c>
      <c r="V973" s="15" t="s">
        <v>90</v>
      </c>
      <c r="W973" s="15">
        <v>7</v>
      </c>
      <c r="X973" s="15" t="s">
        <v>85</v>
      </c>
      <c r="Y973" s="12">
        <f t="shared" si="31"/>
        <v>0.42299999999999999</v>
      </c>
      <c r="Z973" s="15">
        <v>-0.21700000000000003</v>
      </c>
    </row>
    <row r="974" spans="1:26" x14ac:dyDescent="0.2">
      <c r="A974" s="15" t="s">
        <v>74</v>
      </c>
      <c r="B974" s="15">
        <v>3805</v>
      </c>
      <c r="C974" s="15">
        <v>35.536000000000001</v>
      </c>
      <c r="D974" s="15">
        <v>22.856000000000002</v>
      </c>
      <c r="E974" s="15">
        <v>4.4710000000000001</v>
      </c>
      <c r="F974" s="15">
        <v>170.51</v>
      </c>
      <c r="G974" s="15">
        <v>2.6840000000000002</v>
      </c>
      <c r="H974" s="15">
        <v>6.95</v>
      </c>
      <c r="I974" s="15">
        <v>3.61</v>
      </c>
      <c r="J974" s="15">
        <v>308.488</v>
      </c>
      <c r="K974" s="15">
        <v>327.15899999999999</v>
      </c>
      <c r="L974" s="15">
        <v>0.01</v>
      </c>
      <c r="M974" s="15">
        <v>1E-3</v>
      </c>
      <c r="N974" s="15">
        <v>100</v>
      </c>
      <c r="O974" s="15">
        <v>0.13100000000000001</v>
      </c>
      <c r="P974" s="15">
        <v>0.46899999999999997</v>
      </c>
      <c r="Q974" s="15">
        <v>0.11700000000000001</v>
      </c>
      <c r="R974" s="15">
        <v>0.42499999999999999</v>
      </c>
      <c r="S974" s="15">
        <v>0.20799999999999999</v>
      </c>
      <c r="T974" s="15"/>
      <c r="U974" s="15" t="s">
        <v>33</v>
      </c>
      <c r="V974" s="15" t="s">
        <v>90</v>
      </c>
      <c r="W974" s="15">
        <v>7</v>
      </c>
      <c r="X974" s="15" t="s">
        <v>85</v>
      </c>
      <c r="Y974" s="12">
        <f t="shared" si="31"/>
        <v>0.248</v>
      </c>
      <c r="Z974" s="15">
        <v>-0.33799999999999997</v>
      </c>
    </row>
    <row r="975" spans="1:26" x14ac:dyDescent="0.2">
      <c r="A975" s="15" t="s">
        <v>74</v>
      </c>
      <c r="B975" s="15">
        <v>3805.125</v>
      </c>
      <c r="C975" s="15">
        <v>24.917999999999999</v>
      </c>
      <c r="D975" s="15">
        <v>22.861999999999998</v>
      </c>
      <c r="E975" s="15">
        <v>3.6859999999999999</v>
      </c>
      <c r="F975" s="15">
        <v>165.80699999999999</v>
      </c>
      <c r="G975" s="15">
        <v>2.6989999999999998</v>
      </c>
      <c r="H975" s="15">
        <v>6.2720000000000002</v>
      </c>
      <c r="I975" s="15">
        <v>3.6779999999999999</v>
      </c>
      <c r="J975" s="15">
        <v>323.64800000000002</v>
      </c>
      <c r="K975" s="15">
        <v>335.26900000000001</v>
      </c>
      <c r="L975" s="15">
        <v>0.01</v>
      </c>
      <c r="M975" s="15">
        <v>1E-3</v>
      </c>
      <c r="N975" s="15">
        <v>100</v>
      </c>
      <c r="O975" s="15">
        <v>5.8999999999999997E-2</v>
      </c>
      <c r="P975" s="15">
        <v>0.49399999999999999</v>
      </c>
      <c r="Q975" s="15">
        <v>7.0000000000000007E-2</v>
      </c>
      <c r="R975" s="15">
        <v>0.46300000000000002</v>
      </c>
      <c r="S975" s="15">
        <v>0.16900000000000001</v>
      </c>
      <c r="T975" s="15"/>
      <c r="U975" s="15" t="s">
        <v>33</v>
      </c>
      <c r="V975" s="15" t="s">
        <v>90</v>
      </c>
      <c r="W975" s="15">
        <v>7</v>
      </c>
      <c r="X975" s="15" t="s">
        <v>85</v>
      </c>
      <c r="Y975" s="12">
        <f t="shared" si="31"/>
        <v>0.129</v>
      </c>
      <c r="Z975" s="15">
        <v>-0.435</v>
      </c>
    </row>
    <row r="976" spans="1:26" x14ac:dyDescent="0.2">
      <c r="A976" s="15" t="s">
        <v>74</v>
      </c>
      <c r="B976" s="15">
        <v>3805.625</v>
      </c>
      <c r="C976" s="15">
        <v>17.992999999999999</v>
      </c>
      <c r="D976" s="15">
        <v>23.004000000000001</v>
      </c>
      <c r="E976" s="15">
        <v>1.8819999999999999</v>
      </c>
      <c r="F976" s="15">
        <v>166.12</v>
      </c>
      <c r="G976" s="15">
        <v>2.718</v>
      </c>
      <c r="H976" s="15">
        <v>6.8339999999999996</v>
      </c>
      <c r="I976" s="15">
        <v>3.996</v>
      </c>
      <c r="J976" s="15">
        <v>238.14599999999999</v>
      </c>
      <c r="K976" s="15">
        <v>222.875</v>
      </c>
      <c r="L976" s="15">
        <v>0.01</v>
      </c>
      <c r="M976" s="15">
        <v>1E-3</v>
      </c>
      <c r="N976" s="15">
        <v>100</v>
      </c>
      <c r="O976" s="15">
        <v>2.1999999999999999E-2</v>
      </c>
      <c r="P976" s="15">
        <v>0.625</v>
      </c>
      <c r="Q976" s="15">
        <v>0.09</v>
      </c>
      <c r="R976" s="15">
        <v>0.499</v>
      </c>
      <c r="S976" s="15">
        <v>0.21</v>
      </c>
      <c r="T976" s="15"/>
      <c r="U976" s="15" t="s">
        <v>33</v>
      </c>
      <c r="V976" s="15" t="s">
        <v>90</v>
      </c>
      <c r="W976" s="15">
        <v>9</v>
      </c>
      <c r="X976" s="15" t="s">
        <v>85</v>
      </c>
      <c r="Y976" s="12">
        <f t="shared" si="31"/>
        <v>0.11199999999999999</v>
      </c>
      <c r="Z976" s="15">
        <v>-0.60299999999999998</v>
      </c>
    </row>
    <row r="977" spans="1:26" x14ac:dyDescent="0.2">
      <c r="A977" s="15" t="s">
        <v>74</v>
      </c>
      <c r="B977" s="15">
        <v>3805.75</v>
      </c>
      <c r="C977" s="15">
        <v>22.768999999999998</v>
      </c>
      <c r="D977" s="15">
        <v>23.023</v>
      </c>
      <c r="E977" s="15">
        <v>1.6</v>
      </c>
      <c r="F977" s="15">
        <v>170.71100000000001</v>
      </c>
      <c r="G977" s="15">
        <v>2.7320000000000002</v>
      </c>
      <c r="H977" s="15">
        <v>6.9619999999999997</v>
      </c>
      <c r="I977" s="15">
        <v>4.125</v>
      </c>
      <c r="J977" s="15">
        <v>243.77600000000001</v>
      </c>
      <c r="K977" s="15">
        <v>227.952</v>
      </c>
      <c r="L977" s="15">
        <v>0.01</v>
      </c>
      <c r="M977" s="15">
        <v>1E-3</v>
      </c>
      <c r="N977" s="15">
        <v>100</v>
      </c>
      <c r="O977" s="15">
        <v>0.06</v>
      </c>
      <c r="P977" s="15">
        <v>0.66</v>
      </c>
      <c r="Q977" s="15">
        <v>0.13500000000000001</v>
      </c>
      <c r="R977" s="15">
        <v>0.54</v>
      </c>
      <c r="S977" s="15">
        <v>0.216</v>
      </c>
      <c r="T977" s="15"/>
      <c r="U977" s="15" t="s">
        <v>33</v>
      </c>
      <c r="V977" s="15" t="s">
        <v>90</v>
      </c>
      <c r="W977" s="15">
        <v>9</v>
      </c>
      <c r="X977" s="15" t="s">
        <v>85</v>
      </c>
      <c r="Y977" s="12">
        <f t="shared" si="31"/>
        <v>0.19500000000000001</v>
      </c>
      <c r="Z977" s="15">
        <v>-0.60000000000000009</v>
      </c>
    </row>
    <row r="978" spans="1:26" x14ac:dyDescent="0.2">
      <c r="A978" s="15" t="s">
        <v>74</v>
      </c>
      <c r="B978" s="15">
        <v>3805.875</v>
      </c>
      <c r="C978" s="15">
        <v>29.731000000000002</v>
      </c>
      <c r="D978" s="15">
        <v>23.096</v>
      </c>
      <c r="E978" s="15">
        <v>1.4019999999999999</v>
      </c>
      <c r="F978" s="15">
        <v>174.77099999999999</v>
      </c>
      <c r="G978" s="15">
        <v>2.7719999999999998</v>
      </c>
      <c r="H978" s="15">
        <v>6.8719999999999999</v>
      </c>
      <c r="I978" s="15">
        <v>4.0369999999999999</v>
      </c>
      <c r="J978" s="15">
        <v>265.892</v>
      </c>
      <c r="K978" s="15">
        <v>249.96100000000001</v>
      </c>
      <c r="L978" s="15">
        <v>0.01</v>
      </c>
      <c r="M978" s="15">
        <v>1E-3</v>
      </c>
      <c r="N978" s="15">
        <v>100</v>
      </c>
      <c r="O978" s="15">
        <v>0.112</v>
      </c>
      <c r="P978" s="15">
        <v>0.61099999999999999</v>
      </c>
      <c r="Q978" s="15">
        <v>0.17899999999999999</v>
      </c>
      <c r="R978" s="15">
        <v>0.621</v>
      </c>
      <c r="S978" s="15">
        <v>0.21199999999999999</v>
      </c>
      <c r="T978" s="15"/>
      <c r="U978" s="15" t="s">
        <v>33</v>
      </c>
      <c r="V978" s="15" t="s">
        <v>90</v>
      </c>
      <c r="W978" s="15">
        <v>9</v>
      </c>
      <c r="X978" s="15" t="s">
        <v>85</v>
      </c>
      <c r="Y978" s="12">
        <f t="shared" si="31"/>
        <v>0.29099999999999998</v>
      </c>
      <c r="Z978" s="15">
        <v>-0.499</v>
      </c>
    </row>
    <row r="979" spans="1:26" x14ac:dyDescent="0.2">
      <c r="A979" s="15" t="s">
        <v>74</v>
      </c>
      <c r="B979" s="15">
        <v>3806</v>
      </c>
      <c r="C979" s="15">
        <v>36.664000000000001</v>
      </c>
      <c r="D979" s="15">
        <v>23.22</v>
      </c>
      <c r="E979" s="15">
        <v>1.3680000000000001</v>
      </c>
      <c r="F979" s="15">
        <v>180.73500000000001</v>
      </c>
      <c r="G979" s="15">
        <v>2.794</v>
      </c>
      <c r="H979" s="15">
        <v>6.883</v>
      </c>
      <c r="I979" s="15">
        <v>3.746</v>
      </c>
      <c r="J979" s="15">
        <v>297.03899999999999</v>
      </c>
      <c r="K979" s="15">
        <v>280.26900000000001</v>
      </c>
      <c r="L979" s="15">
        <v>0.01</v>
      </c>
      <c r="M979" s="15">
        <v>1E-3</v>
      </c>
      <c r="N979" s="15">
        <v>100</v>
      </c>
      <c r="O979" s="15">
        <v>0.161</v>
      </c>
      <c r="P979" s="15">
        <v>0.49099999999999999</v>
      </c>
      <c r="Q979" s="15">
        <v>0.24399999999999999</v>
      </c>
      <c r="R979" s="15">
        <v>0.64900000000000002</v>
      </c>
      <c r="S979" s="15">
        <v>0.217</v>
      </c>
      <c r="T979" s="15"/>
      <c r="U979" s="15" t="s">
        <v>33</v>
      </c>
      <c r="V979" s="15" t="s">
        <v>90</v>
      </c>
      <c r="W979" s="15">
        <v>9</v>
      </c>
      <c r="X979" s="15" t="s">
        <v>85</v>
      </c>
      <c r="Y979" s="12">
        <f t="shared" si="31"/>
        <v>0.40500000000000003</v>
      </c>
      <c r="Z979" s="15">
        <v>-0.32999999999999996</v>
      </c>
    </row>
    <row r="980" spans="1:26" x14ac:dyDescent="0.2">
      <c r="A980" s="15" t="s">
        <v>74</v>
      </c>
      <c r="B980" s="15">
        <v>3806.125</v>
      </c>
      <c r="C980" s="15">
        <v>41.377000000000002</v>
      </c>
      <c r="D980" s="15">
        <v>23.359000000000002</v>
      </c>
      <c r="E980" s="15">
        <v>1.3779999999999999</v>
      </c>
      <c r="F980" s="15">
        <v>189.35400000000001</v>
      </c>
      <c r="G980" s="15">
        <v>2.7650000000000001</v>
      </c>
      <c r="H980" s="15">
        <v>7.2750000000000004</v>
      </c>
      <c r="I980" s="15">
        <v>3.3730000000000002</v>
      </c>
      <c r="J980" s="15">
        <v>324.447</v>
      </c>
      <c r="K980" s="15">
        <v>306.56900000000002</v>
      </c>
      <c r="L980" s="15">
        <v>0.01</v>
      </c>
      <c r="M980" s="15">
        <v>1E-3</v>
      </c>
      <c r="N980" s="15">
        <v>100</v>
      </c>
      <c r="O980" s="15">
        <v>0.19</v>
      </c>
      <c r="P980" s="15">
        <v>0.34699999999999998</v>
      </c>
      <c r="Q980" s="15">
        <v>0.32500000000000001</v>
      </c>
      <c r="R980" s="15">
        <v>0.56499999999999995</v>
      </c>
      <c r="S980" s="15">
        <v>0.247</v>
      </c>
      <c r="T980" s="15"/>
      <c r="U980" s="15" t="s">
        <v>33</v>
      </c>
      <c r="V980" s="15" t="s">
        <v>90</v>
      </c>
      <c r="W980" s="15">
        <v>9</v>
      </c>
      <c r="X980" s="15" t="s">
        <v>85</v>
      </c>
      <c r="Y980" s="12">
        <f t="shared" si="31"/>
        <v>0.51500000000000001</v>
      </c>
      <c r="Z980" s="15">
        <v>-0.15699999999999997</v>
      </c>
    </row>
    <row r="981" spans="1:26" x14ac:dyDescent="0.2">
      <c r="A981" s="15" t="s">
        <v>74</v>
      </c>
      <c r="B981" s="15">
        <v>3806.25</v>
      </c>
      <c r="C981" s="15">
        <v>41.878</v>
      </c>
      <c r="D981" s="15">
        <v>23.585000000000001</v>
      </c>
      <c r="E981" s="15">
        <v>1.47</v>
      </c>
      <c r="F981" s="15">
        <v>195.12700000000001</v>
      </c>
      <c r="G981" s="15">
        <v>2.6859999999999999</v>
      </c>
      <c r="H981" s="15">
        <v>7.9889999999999999</v>
      </c>
      <c r="I981" s="15">
        <v>3.0390000000000001</v>
      </c>
      <c r="J981" s="15">
        <v>338.83</v>
      </c>
      <c r="K981" s="15">
        <v>321.28300000000002</v>
      </c>
      <c r="L981" s="15">
        <v>0.01</v>
      </c>
      <c r="M981" s="15">
        <v>1E-3</v>
      </c>
      <c r="N981" s="15">
        <v>100</v>
      </c>
      <c r="O981" s="15">
        <v>0.188</v>
      </c>
      <c r="P981" s="15">
        <v>0.22600000000000001</v>
      </c>
      <c r="Q981" s="15">
        <v>0.376</v>
      </c>
      <c r="R981" s="15">
        <v>0.39200000000000002</v>
      </c>
      <c r="S981" s="15">
        <v>0.29499999999999998</v>
      </c>
      <c r="T981" s="15"/>
      <c r="U981" s="15" t="s">
        <v>33</v>
      </c>
      <c r="V981" s="15" t="s">
        <v>90</v>
      </c>
      <c r="W981" s="15">
        <v>9</v>
      </c>
      <c r="X981" s="15" t="s">
        <v>85</v>
      </c>
      <c r="Y981" s="12">
        <f t="shared" si="31"/>
        <v>0.56400000000000006</v>
      </c>
      <c r="Z981" s="15">
        <v>-3.8000000000000006E-2</v>
      </c>
    </row>
    <row r="982" spans="1:26" x14ac:dyDescent="0.2">
      <c r="A982" s="15" t="s">
        <v>74</v>
      </c>
      <c r="B982" s="15">
        <v>3806.375</v>
      </c>
      <c r="C982" s="15">
        <v>38.372999999999998</v>
      </c>
      <c r="D982" s="15">
        <v>23.823</v>
      </c>
      <c r="E982" s="15">
        <v>1.7190000000000001</v>
      </c>
      <c r="F982" s="15">
        <v>197.274</v>
      </c>
      <c r="G982" s="15">
        <v>2.609</v>
      </c>
      <c r="H982" s="15">
        <v>8.6679999999999993</v>
      </c>
      <c r="I982" s="15">
        <v>2.8359999999999999</v>
      </c>
      <c r="J982" s="15">
        <v>341.55</v>
      </c>
      <c r="K982" s="15">
        <v>325.97300000000001</v>
      </c>
      <c r="L982" s="15">
        <v>0.01</v>
      </c>
      <c r="M982" s="15">
        <v>1E-3</v>
      </c>
      <c r="N982" s="15">
        <v>100</v>
      </c>
      <c r="O982" s="15">
        <v>0.159</v>
      </c>
      <c r="P982" s="15">
        <v>0.161</v>
      </c>
      <c r="Q982" s="15">
        <v>0.39300000000000002</v>
      </c>
      <c r="R982" s="15">
        <v>0.24299999999999999</v>
      </c>
      <c r="S982" s="15">
        <v>0.33700000000000002</v>
      </c>
      <c r="T982" s="15"/>
      <c r="U982" s="15" t="s">
        <v>33</v>
      </c>
      <c r="V982" s="15" t="s">
        <v>90</v>
      </c>
      <c r="W982" s="15">
        <v>9</v>
      </c>
      <c r="X982" s="15" t="s">
        <v>85</v>
      </c>
      <c r="Y982" s="12">
        <f t="shared" si="31"/>
        <v>0.55200000000000005</v>
      </c>
      <c r="Z982" s="15">
        <v>-2.0000000000000018E-3</v>
      </c>
    </row>
    <row r="983" spans="1:26" x14ac:dyDescent="0.2">
      <c r="A983" s="15" t="s">
        <v>74</v>
      </c>
      <c r="B983" s="15">
        <v>3806.5</v>
      </c>
      <c r="C983" s="15">
        <v>32.991</v>
      </c>
      <c r="D983" s="15">
        <v>24.061</v>
      </c>
      <c r="E983" s="15">
        <v>1.992</v>
      </c>
      <c r="F983" s="15">
        <v>197.10599999999999</v>
      </c>
      <c r="G983" s="15">
        <v>2.5830000000000002</v>
      </c>
      <c r="H983" s="15">
        <v>9.0280000000000005</v>
      </c>
      <c r="I983" s="15">
        <v>2.8359999999999999</v>
      </c>
      <c r="J983" s="15">
        <v>331.35300000000001</v>
      </c>
      <c r="K983" s="15">
        <v>318.43700000000001</v>
      </c>
      <c r="L983" s="15">
        <v>0.01</v>
      </c>
      <c r="M983" s="15">
        <v>1E-3</v>
      </c>
      <c r="N983" s="15">
        <v>100</v>
      </c>
      <c r="O983" s="15">
        <v>0.124</v>
      </c>
      <c r="P983" s="15">
        <v>0.17199999999999999</v>
      </c>
      <c r="Q983" s="15">
        <v>0.38300000000000001</v>
      </c>
      <c r="R983" s="15">
        <v>0.20200000000000001</v>
      </c>
      <c r="S983" s="15">
        <v>0.35799999999999998</v>
      </c>
      <c r="T983" s="15"/>
      <c r="U983" s="15" t="s">
        <v>33</v>
      </c>
      <c r="V983" s="15" t="s">
        <v>90</v>
      </c>
      <c r="W983" s="15">
        <v>9</v>
      </c>
      <c r="X983" s="15" t="s">
        <v>85</v>
      </c>
      <c r="Y983" s="12">
        <f t="shared" si="31"/>
        <v>0.50700000000000001</v>
      </c>
      <c r="Z983" s="15">
        <v>-4.7999999999999987E-2</v>
      </c>
    </row>
    <row r="984" spans="1:26" x14ac:dyDescent="0.2">
      <c r="A984" s="15" t="s">
        <v>74</v>
      </c>
      <c r="B984" s="15">
        <v>3806.625</v>
      </c>
      <c r="C984" s="15">
        <v>30.901</v>
      </c>
      <c r="D984" s="15">
        <v>24.207000000000001</v>
      </c>
      <c r="E984" s="15">
        <v>2.1930000000000001</v>
      </c>
      <c r="F984" s="15">
        <v>192.29</v>
      </c>
      <c r="G984" s="15">
        <v>2.597</v>
      </c>
      <c r="H984" s="15">
        <v>9.1219999999999999</v>
      </c>
      <c r="I984" s="15">
        <v>2.9910000000000001</v>
      </c>
      <c r="J984" s="15">
        <v>310.73099999999999</v>
      </c>
      <c r="K984" s="15">
        <v>299.58600000000001</v>
      </c>
      <c r="L984" s="15">
        <v>0.01</v>
      </c>
      <c r="M984" s="15">
        <v>1E-3</v>
      </c>
      <c r="N984" s="15">
        <v>100</v>
      </c>
      <c r="O984" s="15">
        <v>0.11700000000000001</v>
      </c>
      <c r="P984" s="15">
        <v>0.23799999999999999</v>
      </c>
      <c r="Q984" s="15">
        <v>0.32600000000000001</v>
      </c>
      <c r="R984" s="15">
        <v>0.24099999999999999</v>
      </c>
      <c r="S984" s="15">
        <v>0.36299999999999999</v>
      </c>
      <c r="T984" s="15"/>
      <c r="U984" s="15" t="s">
        <v>33</v>
      </c>
      <c r="V984" s="15" t="s">
        <v>90</v>
      </c>
      <c r="W984" s="15">
        <v>9</v>
      </c>
      <c r="X984" s="15" t="s">
        <v>85</v>
      </c>
      <c r="Y984" s="12">
        <f t="shared" si="31"/>
        <v>0.443</v>
      </c>
      <c r="Z984" s="15">
        <v>-0.12099999999999998</v>
      </c>
    </row>
    <row r="985" spans="1:26" x14ac:dyDescent="0.2">
      <c r="A985" s="15" t="s">
        <v>75</v>
      </c>
      <c r="B985" s="15">
        <v>3875.375</v>
      </c>
      <c r="C985" s="15">
        <v>31.132000000000001</v>
      </c>
      <c r="D985" s="15">
        <v>21.178000000000001</v>
      </c>
      <c r="E985" s="15">
        <v>1.9430000000000001</v>
      </c>
      <c r="F985" s="15">
        <v>163.18100000000001</v>
      </c>
      <c r="G985" s="15">
        <v>2.802</v>
      </c>
      <c r="H985" s="15">
        <v>5.4029999999999996</v>
      </c>
      <c r="I985" s="15">
        <v>3.331</v>
      </c>
      <c r="J985" s="15">
        <v>488.72300000000001</v>
      </c>
      <c r="K985" s="15">
        <v>543.02499999999998</v>
      </c>
      <c r="L985" s="15">
        <v>0</v>
      </c>
      <c r="M985" s="15">
        <v>0</v>
      </c>
      <c r="N985" s="15">
        <v>100</v>
      </c>
      <c r="O985" s="15">
        <v>0.17599999999999999</v>
      </c>
      <c r="P985" s="15">
        <v>0.317</v>
      </c>
      <c r="Q985" s="15">
        <v>0.13100000000000001</v>
      </c>
      <c r="R985" s="15">
        <v>0.86599999999999999</v>
      </c>
      <c r="S985" s="15">
        <v>1.6E-2</v>
      </c>
      <c r="T985" s="15"/>
      <c r="U985" s="15" t="s">
        <v>33</v>
      </c>
      <c r="V985" s="15" t="s">
        <v>89</v>
      </c>
      <c r="W985" s="15">
        <v>5</v>
      </c>
      <c r="X985" s="15" t="s">
        <v>85</v>
      </c>
      <c r="Y985" s="12">
        <f t="shared" si="31"/>
        <v>0.307</v>
      </c>
      <c r="Z985" s="15">
        <v>-0.14100000000000001</v>
      </c>
    </row>
    <row r="986" spans="1:26" x14ac:dyDescent="0.2">
      <c r="A986" s="15" t="s">
        <v>75</v>
      </c>
      <c r="B986" s="15">
        <v>3875.5</v>
      </c>
      <c r="C986" s="15">
        <v>38.517000000000003</v>
      </c>
      <c r="D986" s="15">
        <v>21.303999999999998</v>
      </c>
      <c r="E986" s="15">
        <v>2.3460000000000001</v>
      </c>
      <c r="F986" s="15">
        <v>162.078</v>
      </c>
      <c r="G986" s="15">
        <v>2.8050000000000002</v>
      </c>
      <c r="H986" s="15">
        <v>5.9379999999999997</v>
      </c>
      <c r="I986" s="15">
        <v>3.3620000000000001</v>
      </c>
      <c r="J986" s="15">
        <v>467.738</v>
      </c>
      <c r="K986" s="15">
        <v>519.70799999999997</v>
      </c>
      <c r="L986" s="15">
        <v>0</v>
      </c>
      <c r="M986" s="15">
        <v>0</v>
      </c>
      <c r="N986" s="15">
        <v>100</v>
      </c>
      <c r="O986" s="15">
        <v>0.246</v>
      </c>
      <c r="P986" s="15">
        <v>0.32700000000000001</v>
      </c>
      <c r="Q986" s="15">
        <v>0.128</v>
      </c>
      <c r="R986" s="15">
        <v>0.88900000000000001</v>
      </c>
      <c r="S986" s="15">
        <v>7.4999999999999997E-2</v>
      </c>
      <c r="T986" s="15"/>
      <c r="U986" s="15" t="s">
        <v>33</v>
      </c>
      <c r="V986" s="15" t="s">
        <v>89</v>
      </c>
      <c r="W986" s="15">
        <v>5</v>
      </c>
      <c r="X986" s="15" t="s">
        <v>85</v>
      </c>
      <c r="Y986" s="12">
        <f t="shared" si="31"/>
        <v>0.374</v>
      </c>
      <c r="Z986" s="15">
        <v>-8.1000000000000016E-2</v>
      </c>
    </row>
    <row r="987" spans="1:26" x14ac:dyDescent="0.2">
      <c r="A987" s="15" t="s">
        <v>75</v>
      </c>
      <c r="B987" s="15">
        <v>3875.625</v>
      </c>
      <c r="C987" s="15">
        <v>44.954000000000001</v>
      </c>
      <c r="D987" s="15">
        <v>21.596</v>
      </c>
      <c r="E987" s="15">
        <v>2.907</v>
      </c>
      <c r="F987" s="15">
        <v>164.273</v>
      </c>
      <c r="G987" s="15">
        <v>2.8109999999999999</v>
      </c>
      <c r="H987" s="15">
        <v>6.6710000000000003</v>
      </c>
      <c r="I987" s="15">
        <v>3.3460000000000001</v>
      </c>
      <c r="J987" s="15">
        <v>439.78399999999999</v>
      </c>
      <c r="K987" s="15">
        <v>488.65</v>
      </c>
      <c r="L987" s="15">
        <v>0</v>
      </c>
      <c r="M987" s="15">
        <v>0</v>
      </c>
      <c r="N987" s="15">
        <v>100</v>
      </c>
      <c r="O987" s="15">
        <v>0.30199999999999999</v>
      </c>
      <c r="P987" s="15">
        <v>0.317</v>
      </c>
      <c r="Q987" s="15">
        <v>0.17199999999999999</v>
      </c>
      <c r="R987" s="15">
        <v>0.92300000000000004</v>
      </c>
      <c r="S987" s="15">
        <v>0.151</v>
      </c>
      <c r="T987" s="15"/>
      <c r="U987" s="15" t="s">
        <v>33</v>
      </c>
      <c r="V987" s="15" t="s">
        <v>89</v>
      </c>
      <c r="W987" s="15">
        <v>5</v>
      </c>
      <c r="X987" s="15" t="s">
        <v>85</v>
      </c>
      <c r="Y987" s="12">
        <f t="shared" si="31"/>
        <v>0.47399999999999998</v>
      </c>
      <c r="Z987" s="15">
        <v>-1.5000000000000013E-2</v>
      </c>
    </row>
    <row r="988" spans="1:26" x14ac:dyDescent="0.2">
      <c r="A988" s="15" t="s">
        <v>75</v>
      </c>
      <c r="B988" s="15">
        <v>3876.25</v>
      </c>
      <c r="C988" s="15">
        <v>39.118000000000002</v>
      </c>
      <c r="D988" s="15">
        <v>23.053000000000001</v>
      </c>
      <c r="E988" s="15">
        <v>4.194</v>
      </c>
      <c r="F988" s="15">
        <v>180.89</v>
      </c>
      <c r="G988" s="15">
        <v>2.7839999999999998</v>
      </c>
      <c r="H988" s="15">
        <v>8.4510000000000005</v>
      </c>
      <c r="I988" s="15">
        <v>3.3039999999999998</v>
      </c>
      <c r="J988" s="15">
        <v>286.84500000000003</v>
      </c>
      <c r="K988" s="15">
        <v>318.71600000000001</v>
      </c>
      <c r="L988" s="15">
        <v>0</v>
      </c>
      <c r="M988" s="15">
        <v>0</v>
      </c>
      <c r="N988" s="15">
        <v>100</v>
      </c>
      <c r="O988" s="15">
        <v>0.251</v>
      </c>
      <c r="P988" s="15">
        <v>0.29899999999999999</v>
      </c>
      <c r="Q988" s="15">
        <v>0.42499999999999999</v>
      </c>
      <c r="R988" s="15">
        <v>0.751</v>
      </c>
      <c r="S988" s="15">
        <v>0.32100000000000001</v>
      </c>
      <c r="T988" s="15"/>
      <c r="U988" s="15" t="s">
        <v>33</v>
      </c>
      <c r="V988" s="15" t="s">
        <v>89</v>
      </c>
      <c r="W988" s="15">
        <v>7</v>
      </c>
      <c r="X988" s="15" t="s">
        <v>85</v>
      </c>
      <c r="Y988" s="12">
        <f t="shared" si="31"/>
        <v>0.67599999999999993</v>
      </c>
      <c r="Z988" s="15">
        <v>-4.7999999999999987E-2</v>
      </c>
    </row>
    <row r="989" spans="1:26" x14ac:dyDescent="0.2">
      <c r="A989" s="15" t="s">
        <v>75</v>
      </c>
      <c r="B989" s="15">
        <v>3876.375</v>
      </c>
      <c r="C989" s="15">
        <v>45.1</v>
      </c>
      <c r="D989" s="15">
        <v>22.994</v>
      </c>
      <c r="E989" s="15">
        <v>3.4769999999999999</v>
      </c>
      <c r="F989" s="15">
        <v>181.01499999999999</v>
      </c>
      <c r="G989" s="15">
        <v>2.78</v>
      </c>
      <c r="H989" s="15">
        <v>8.8800000000000008</v>
      </c>
      <c r="I989" s="15">
        <v>3.3149999999999999</v>
      </c>
      <c r="J989" s="15">
        <v>266.31200000000001</v>
      </c>
      <c r="K989" s="15">
        <v>295.90199999999999</v>
      </c>
      <c r="L989" s="15">
        <v>0</v>
      </c>
      <c r="M989" s="15">
        <v>0</v>
      </c>
      <c r="N989" s="15">
        <v>100</v>
      </c>
      <c r="O989" s="15">
        <v>0.32800000000000001</v>
      </c>
      <c r="P989" s="15">
        <v>0.30499999999999999</v>
      </c>
      <c r="Q989" s="15">
        <v>0.41299999999999998</v>
      </c>
      <c r="R989" s="15">
        <v>0.73399999999999999</v>
      </c>
      <c r="S989" s="15">
        <v>0.376</v>
      </c>
      <c r="T989" s="15"/>
      <c r="U989" s="15" t="s">
        <v>33</v>
      </c>
      <c r="V989" s="15" t="s">
        <v>89</v>
      </c>
      <c r="W989" s="15">
        <v>7</v>
      </c>
      <c r="X989" s="15" t="s">
        <v>85</v>
      </c>
      <c r="Y989" s="12">
        <f t="shared" si="31"/>
        <v>0.74099999999999999</v>
      </c>
      <c r="Z989" s="15">
        <v>2.300000000000002E-2</v>
      </c>
    </row>
    <row r="990" spans="1:26" x14ac:dyDescent="0.2">
      <c r="A990" s="15" t="s">
        <v>75</v>
      </c>
      <c r="B990" s="15">
        <v>3876.75</v>
      </c>
      <c r="C990" s="15">
        <v>66.540999999999997</v>
      </c>
      <c r="D990" s="15">
        <v>21.754000000000001</v>
      </c>
      <c r="E990" s="15">
        <v>1.488</v>
      </c>
      <c r="F990" s="15">
        <v>170.929</v>
      </c>
      <c r="G990" s="15">
        <v>2.7879999999999998</v>
      </c>
      <c r="H990" s="15">
        <v>10.130000000000001</v>
      </c>
      <c r="I990" s="15">
        <v>3.3290000000000002</v>
      </c>
      <c r="J990" s="15">
        <v>204.61699999999999</v>
      </c>
      <c r="K990" s="15">
        <v>227.352</v>
      </c>
      <c r="L990" s="15">
        <v>0</v>
      </c>
      <c r="M990" s="15">
        <v>0</v>
      </c>
      <c r="N990" s="15">
        <v>100</v>
      </c>
      <c r="O990" s="15">
        <v>0.46899999999999997</v>
      </c>
      <c r="P990" s="15">
        <v>0.312</v>
      </c>
      <c r="Q990" s="15">
        <v>0.23599999999999999</v>
      </c>
      <c r="R990" s="15">
        <v>0.78900000000000003</v>
      </c>
      <c r="S990" s="15">
        <v>0.43099999999999999</v>
      </c>
      <c r="T990" s="15"/>
      <c r="U990" s="15" t="s">
        <v>33</v>
      </c>
      <c r="V990" s="15" t="s">
        <v>91</v>
      </c>
      <c r="W990" s="15">
        <v>10</v>
      </c>
      <c r="X990" s="15" t="s">
        <v>85</v>
      </c>
      <c r="Y990" s="12">
        <f t="shared" si="31"/>
        <v>0.70499999999999996</v>
      </c>
      <c r="Z990" s="15">
        <v>0.15699999999999997</v>
      </c>
    </row>
    <row r="991" spans="1:26" x14ac:dyDescent="0.2">
      <c r="A991" s="15" t="s">
        <v>75</v>
      </c>
      <c r="B991" s="15">
        <v>3876.875</v>
      </c>
      <c r="C991" s="15">
        <v>54.506999999999998</v>
      </c>
      <c r="D991" s="15">
        <v>21.518999999999998</v>
      </c>
      <c r="E991" s="15">
        <v>1.6020000000000001</v>
      </c>
      <c r="F991" s="15">
        <v>165.273</v>
      </c>
      <c r="G991" s="15">
        <v>2.7930000000000001</v>
      </c>
      <c r="H991" s="15">
        <v>8.4870000000000001</v>
      </c>
      <c r="I991" s="15">
        <v>3.3370000000000002</v>
      </c>
      <c r="J991" s="15">
        <v>226.98500000000001</v>
      </c>
      <c r="K991" s="15">
        <v>252.20599999999999</v>
      </c>
      <c r="L991" s="15">
        <v>0</v>
      </c>
      <c r="M991" s="15">
        <v>0</v>
      </c>
      <c r="N991" s="15">
        <v>100</v>
      </c>
      <c r="O991" s="15">
        <v>0.34499999999999997</v>
      </c>
      <c r="P991" s="15">
        <v>0.318</v>
      </c>
      <c r="Q991" s="15">
        <v>0.14299999999999999</v>
      </c>
      <c r="R991" s="15">
        <v>0.81599999999999995</v>
      </c>
      <c r="S991" s="15">
        <v>0.27600000000000002</v>
      </c>
      <c r="T991" s="15"/>
      <c r="U991" s="15" t="s">
        <v>33</v>
      </c>
      <c r="V991" s="15" t="s">
        <v>91</v>
      </c>
      <c r="W991" s="15">
        <v>10</v>
      </c>
      <c r="X991" s="15" t="s">
        <v>85</v>
      </c>
      <c r="Y991" s="12">
        <f t="shared" si="31"/>
        <v>0.48799999999999999</v>
      </c>
      <c r="Z991" s="15">
        <v>2.6999999999999968E-2</v>
      </c>
    </row>
    <row r="992" spans="1:26" x14ac:dyDescent="0.2">
      <c r="A992" s="15" t="s">
        <v>75</v>
      </c>
      <c r="B992" s="15">
        <v>3877</v>
      </c>
      <c r="C992" s="15">
        <v>40.325000000000003</v>
      </c>
      <c r="D992" s="15">
        <v>21.433</v>
      </c>
      <c r="E992" s="15">
        <v>1.8440000000000001</v>
      </c>
      <c r="F992" s="15">
        <v>159.40100000000001</v>
      </c>
      <c r="G992" s="15">
        <v>2.7970000000000002</v>
      </c>
      <c r="H992" s="15">
        <v>7.2380000000000004</v>
      </c>
      <c r="I992" s="15">
        <v>3.351</v>
      </c>
      <c r="J992" s="15">
        <v>300.53199999999998</v>
      </c>
      <c r="K992" s="15">
        <v>333.92399999999998</v>
      </c>
      <c r="L992" s="15">
        <v>0</v>
      </c>
      <c r="M992" s="15">
        <v>0</v>
      </c>
      <c r="N992" s="15">
        <v>100</v>
      </c>
      <c r="O992" s="15">
        <v>0.22</v>
      </c>
      <c r="P992" s="15">
        <v>0.32600000000000001</v>
      </c>
      <c r="Q992" s="15">
        <v>5.7000000000000002E-2</v>
      </c>
      <c r="R992" s="15">
        <v>0.83599999999999997</v>
      </c>
      <c r="S992" s="15">
        <v>0.16200000000000001</v>
      </c>
      <c r="T992" s="15"/>
      <c r="U992" s="15" t="s">
        <v>33</v>
      </c>
      <c r="V992" s="15" t="s">
        <v>91</v>
      </c>
      <c r="W992" s="15">
        <v>10</v>
      </c>
      <c r="X992" s="15" t="s">
        <v>85</v>
      </c>
      <c r="Y992" s="12">
        <f t="shared" si="31"/>
        <v>0.27700000000000002</v>
      </c>
      <c r="Z992" s="15">
        <v>-0.10600000000000001</v>
      </c>
    </row>
    <row r="993" spans="1:26" x14ac:dyDescent="0.2">
      <c r="A993" s="15" t="s">
        <v>75</v>
      </c>
      <c r="B993" s="15">
        <v>3879.125</v>
      </c>
      <c r="C993" s="15">
        <v>53.177999999999997</v>
      </c>
      <c r="D993" s="15">
        <v>21.905999999999999</v>
      </c>
      <c r="E993" s="15">
        <v>3.7250000000000001</v>
      </c>
      <c r="F993" s="15">
        <v>171.56899999999999</v>
      </c>
      <c r="G993" s="15">
        <v>2.7480000000000002</v>
      </c>
      <c r="H993" s="15">
        <v>8.4909999999999997</v>
      </c>
      <c r="I993" s="15">
        <v>3.9039999999999999</v>
      </c>
      <c r="J993" s="15">
        <v>200.99799999999999</v>
      </c>
      <c r="K993" s="15">
        <v>223.33099999999999</v>
      </c>
      <c r="L993" s="15">
        <v>0</v>
      </c>
      <c r="M993" s="15">
        <v>0</v>
      </c>
      <c r="N993" s="15">
        <v>100</v>
      </c>
      <c r="O993" s="15">
        <v>0.33800000000000002</v>
      </c>
      <c r="P993" s="15">
        <v>0.59599999999999997</v>
      </c>
      <c r="Q993" s="15">
        <v>0.252</v>
      </c>
      <c r="R993" s="15">
        <v>0.58199999999999996</v>
      </c>
      <c r="S993" s="15">
        <v>0.35799999999999998</v>
      </c>
      <c r="T993" s="15"/>
      <c r="U993" s="15" t="s">
        <v>33</v>
      </c>
      <c r="V993" s="15" t="s">
        <v>89</v>
      </c>
      <c r="W993" s="15">
        <v>18</v>
      </c>
      <c r="X993" s="15" t="s">
        <v>85</v>
      </c>
      <c r="Y993" s="12">
        <f t="shared" si="31"/>
        <v>0.59000000000000008</v>
      </c>
      <c r="Z993" s="15">
        <v>-0.25799999999999995</v>
      </c>
    </row>
    <row r="994" spans="1:26" x14ac:dyDescent="0.2">
      <c r="A994" s="15" t="s">
        <v>75</v>
      </c>
      <c r="B994" s="15">
        <v>3879.25</v>
      </c>
      <c r="C994" s="15">
        <v>41.097000000000001</v>
      </c>
      <c r="D994" s="15">
        <v>21.917999999999999</v>
      </c>
      <c r="E994" s="15">
        <v>2.5840000000000001</v>
      </c>
      <c r="F994" s="15">
        <v>167.08199999999999</v>
      </c>
      <c r="G994" s="15">
        <v>2.7679999999999998</v>
      </c>
      <c r="H994" s="15">
        <v>10.039</v>
      </c>
      <c r="I994" s="15">
        <v>3.6829999999999998</v>
      </c>
      <c r="J994" s="15">
        <v>220.33600000000001</v>
      </c>
      <c r="K994" s="15">
        <v>244.81800000000001</v>
      </c>
      <c r="L994" s="15">
        <v>0</v>
      </c>
      <c r="M994" s="15">
        <v>0</v>
      </c>
      <c r="N994" s="15">
        <v>100</v>
      </c>
      <c r="O994" s="15">
        <v>0.23899999999999999</v>
      </c>
      <c r="P994" s="15">
        <v>0.47799999999999998</v>
      </c>
      <c r="Q994" s="15">
        <v>0.19</v>
      </c>
      <c r="R994" s="15">
        <v>0.69599999999999995</v>
      </c>
      <c r="S994" s="15">
        <v>0.51700000000000002</v>
      </c>
      <c r="T994" s="15"/>
      <c r="U994" s="15" t="s">
        <v>33</v>
      </c>
      <c r="V994" s="15" t="s">
        <v>89</v>
      </c>
      <c r="W994" s="15">
        <v>18</v>
      </c>
      <c r="X994" s="15" t="s">
        <v>85</v>
      </c>
      <c r="Y994" s="12">
        <f t="shared" si="31"/>
        <v>0.42899999999999999</v>
      </c>
      <c r="Z994" s="15">
        <v>-0.23899999999999999</v>
      </c>
    </row>
    <row r="995" spans="1:26" x14ac:dyDescent="0.2">
      <c r="A995" s="15" t="s">
        <v>75</v>
      </c>
      <c r="B995" s="15">
        <v>3879.375</v>
      </c>
      <c r="C995" s="15">
        <v>36.061</v>
      </c>
      <c r="D995" s="15">
        <v>21.879000000000001</v>
      </c>
      <c r="E995" s="15">
        <v>2.1280000000000001</v>
      </c>
      <c r="F995" s="15">
        <v>165.05799999999999</v>
      </c>
      <c r="G995" s="15">
        <v>2.7869999999999999</v>
      </c>
      <c r="H995" s="15">
        <v>11.680999999999999</v>
      </c>
      <c r="I995" s="15">
        <v>3.4929999999999999</v>
      </c>
      <c r="J995" s="15">
        <v>237.64500000000001</v>
      </c>
      <c r="K995" s="15">
        <v>264.04899999999998</v>
      </c>
      <c r="L995" s="15">
        <v>0</v>
      </c>
      <c r="M995" s="15">
        <v>0</v>
      </c>
      <c r="N995" s="15">
        <v>100</v>
      </c>
      <c r="O995" s="15">
        <v>0.216</v>
      </c>
      <c r="P995" s="15">
        <v>0.379</v>
      </c>
      <c r="Q995" s="15">
        <v>0.18099999999999999</v>
      </c>
      <c r="R995" s="15">
        <v>0.79800000000000004</v>
      </c>
      <c r="S995" s="15">
        <v>0.66600000000000004</v>
      </c>
      <c r="T995" s="15"/>
      <c r="U995" s="15" t="s">
        <v>33</v>
      </c>
      <c r="V995" s="15" t="s">
        <v>89</v>
      </c>
      <c r="W995" s="15">
        <v>18</v>
      </c>
      <c r="X995" s="15" t="s">
        <v>85</v>
      </c>
      <c r="Y995" s="12">
        <f t="shared" si="31"/>
        <v>0.39700000000000002</v>
      </c>
      <c r="Z995" s="15">
        <v>-0.16300000000000001</v>
      </c>
    </row>
    <row r="996" spans="1:26" x14ac:dyDescent="0.2">
      <c r="A996" s="15" t="s">
        <v>76</v>
      </c>
      <c r="B996" s="15">
        <v>3816.375</v>
      </c>
      <c r="C996" s="15">
        <v>46.914999999999999</v>
      </c>
      <c r="D996" s="15">
        <v>21.372</v>
      </c>
      <c r="E996" s="15">
        <v>3.262</v>
      </c>
      <c r="F996" s="15">
        <v>172.797</v>
      </c>
      <c r="G996" s="15">
        <v>2.726</v>
      </c>
      <c r="H996" s="15">
        <v>7.4109999999999996</v>
      </c>
      <c r="I996" s="15">
        <v>3.8260000000000001</v>
      </c>
      <c r="J996" s="15">
        <v>156.08099999999999</v>
      </c>
      <c r="K996" s="15">
        <v>161.059</v>
      </c>
      <c r="L996" s="15">
        <v>1.77</v>
      </c>
      <c r="M996" s="15">
        <v>0.1</v>
      </c>
      <c r="N996" s="15">
        <v>100</v>
      </c>
      <c r="O996" s="15">
        <v>0.17</v>
      </c>
      <c r="P996" s="15">
        <v>0.83399999999999996</v>
      </c>
      <c r="Q996" s="15">
        <v>0.42299999999999999</v>
      </c>
      <c r="R996" s="15">
        <v>0.71299999999999997</v>
      </c>
      <c r="S996" s="15">
        <v>0.23499999999999999</v>
      </c>
      <c r="T996" s="15"/>
      <c r="U996" s="15" t="s">
        <v>22</v>
      </c>
      <c r="V996" s="15" t="s">
        <v>90</v>
      </c>
      <c r="W996" s="15">
        <v>1</v>
      </c>
      <c r="X996" s="15" t="s">
        <v>85</v>
      </c>
      <c r="Y996" s="12">
        <f t="shared" si="31"/>
        <v>0.59299999999999997</v>
      </c>
      <c r="Z996" s="15">
        <v>-0.66399999999999992</v>
      </c>
    </row>
    <row r="997" spans="1:26" x14ac:dyDescent="0.2">
      <c r="A997" s="15" t="s">
        <v>76</v>
      </c>
      <c r="B997" s="15">
        <v>3816.5</v>
      </c>
      <c r="C997" s="15">
        <v>29.094000000000001</v>
      </c>
      <c r="D997" s="15">
        <v>21.372</v>
      </c>
      <c r="E997" s="15">
        <v>3.012</v>
      </c>
      <c r="F997" s="15">
        <v>171.22900000000001</v>
      </c>
      <c r="G997" s="15">
        <v>2.726</v>
      </c>
      <c r="H997" s="15">
        <v>7.3650000000000002</v>
      </c>
      <c r="I997" s="15">
        <v>3.63</v>
      </c>
      <c r="J997" s="15">
        <v>157.55500000000001</v>
      </c>
      <c r="K997" s="15">
        <v>155.77199999999999</v>
      </c>
      <c r="L997" s="15">
        <v>2.83</v>
      </c>
      <c r="M997" s="15">
        <v>0.1</v>
      </c>
      <c r="N997" s="15">
        <v>100</v>
      </c>
      <c r="O997" s="15">
        <v>7.1999999999999995E-2</v>
      </c>
      <c r="P997" s="15">
        <v>0.72699999999999998</v>
      </c>
      <c r="Q997" s="15">
        <v>0.39300000000000002</v>
      </c>
      <c r="R997" s="15">
        <v>0.71599999999999997</v>
      </c>
      <c r="S997" s="15">
        <v>0.23499999999999999</v>
      </c>
      <c r="T997" s="15"/>
      <c r="U997" s="15" t="s">
        <v>22</v>
      </c>
      <c r="V997" s="15" t="s">
        <v>90</v>
      </c>
      <c r="W997" s="15">
        <v>1</v>
      </c>
      <c r="X997" s="15" t="s">
        <v>85</v>
      </c>
      <c r="Y997" s="12">
        <f t="shared" si="31"/>
        <v>0.46500000000000002</v>
      </c>
      <c r="Z997" s="15">
        <v>-0.65500000000000003</v>
      </c>
    </row>
    <row r="998" spans="1:26" x14ac:dyDescent="0.2">
      <c r="A998" s="15" t="s">
        <v>76</v>
      </c>
      <c r="B998" s="15">
        <v>3816.625</v>
      </c>
      <c r="C998" s="15">
        <v>22.047000000000001</v>
      </c>
      <c r="D998" s="15">
        <v>21.367000000000001</v>
      </c>
      <c r="E998" s="15">
        <v>2.577</v>
      </c>
      <c r="F998" s="15">
        <v>169.476</v>
      </c>
      <c r="G998" s="15">
        <v>2.7290000000000001</v>
      </c>
      <c r="H998" s="15">
        <v>7.359</v>
      </c>
      <c r="I998" s="15">
        <v>3.431</v>
      </c>
      <c r="J998" s="15">
        <v>156.4</v>
      </c>
      <c r="K998" s="15">
        <v>123.301</v>
      </c>
      <c r="L998" s="15">
        <v>3.1</v>
      </c>
      <c r="M998" s="15">
        <v>0.1</v>
      </c>
      <c r="N998" s="15">
        <v>100</v>
      </c>
      <c r="O998" s="15">
        <v>3.3000000000000002E-2</v>
      </c>
      <c r="P998" s="15">
        <v>0.623</v>
      </c>
      <c r="Q998" s="15">
        <v>0.36099999999999999</v>
      </c>
      <c r="R998" s="15">
        <v>0.72099999999999997</v>
      </c>
      <c r="S998" s="15">
        <v>0.23</v>
      </c>
      <c r="T998" s="15"/>
      <c r="U998" s="15" t="s">
        <v>22</v>
      </c>
      <c r="V998" s="15" t="s">
        <v>90</v>
      </c>
      <c r="W998" s="15">
        <v>1</v>
      </c>
      <c r="X998" s="15" t="s">
        <v>85</v>
      </c>
      <c r="Y998" s="12">
        <f t="shared" si="31"/>
        <v>0.39400000000000002</v>
      </c>
      <c r="Z998" s="15">
        <v>-0.59</v>
      </c>
    </row>
    <row r="999" spans="1:26" x14ac:dyDescent="0.2">
      <c r="A999" s="15" t="s">
        <v>76</v>
      </c>
      <c r="B999" s="15">
        <v>3816.75</v>
      </c>
      <c r="C999" s="15">
        <v>18.774999999999999</v>
      </c>
      <c r="D999" s="15">
        <v>21.363</v>
      </c>
      <c r="E999" s="15">
        <v>2.1709999999999998</v>
      </c>
      <c r="F999" s="15">
        <v>167.917</v>
      </c>
      <c r="G999" s="15">
        <v>2.7250000000000001</v>
      </c>
      <c r="H999" s="15">
        <v>7.4649999999999999</v>
      </c>
      <c r="I999" s="15">
        <v>3.2639999999999998</v>
      </c>
      <c r="J999" s="15">
        <v>127.095</v>
      </c>
      <c r="K999" s="15">
        <v>98.88</v>
      </c>
      <c r="L999" s="15">
        <v>3.3519999999999999</v>
      </c>
      <c r="M999" s="15">
        <v>0.1</v>
      </c>
      <c r="N999" s="15">
        <v>100</v>
      </c>
      <c r="O999" s="15">
        <v>1.4E-2</v>
      </c>
      <c r="P999" s="15">
        <v>0.53900000000000003</v>
      </c>
      <c r="Q999" s="15">
        <v>0.33400000000000002</v>
      </c>
      <c r="R999" s="15">
        <v>0.69</v>
      </c>
      <c r="S999" s="15">
        <v>0.23300000000000001</v>
      </c>
      <c r="T999" s="15"/>
      <c r="U999" s="15" t="s">
        <v>22</v>
      </c>
      <c r="V999" s="15" t="s">
        <v>90</v>
      </c>
      <c r="W999" s="15">
        <v>1</v>
      </c>
      <c r="X999" s="15" t="s">
        <v>85</v>
      </c>
      <c r="Y999" s="12">
        <f t="shared" si="31"/>
        <v>0.34800000000000003</v>
      </c>
      <c r="Z999" s="15">
        <v>-0.52500000000000002</v>
      </c>
    </row>
    <row r="1000" spans="1:26" x14ac:dyDescent="0.2">
      <c r="A1000" s="15" t="s">
        <v>76</v>
      </c>
      <c r="B1000" s="15">
        <v>3816.875</v>
      </c>
      <c r="C1000" s="15">
        <v>17.251999999999999</v>
      </c>
      <c r="D1000" s="15">
        <v>21.361999999999998</v>
      </c>
      <c r="E1000" s="15">
        <v>1.845</v>
      </c>
      <c r="F1000" s="15">
        <v>166.654</v>
      </c>
      <c r="G1000" s="15">
        <v>2.7069999999999999</v>
      </c>
      <c r="H1000" s="15">
        <v>7.6139999999999999</v>
      </c>
      <c r="I1000" s="15">
        <v>3.1469999999999998</v>
      </c>
      <c r="J1000" s="15">
        <v>102.244</v>
      </c>
      <c r="K1000" s="15">
        <v>90.998000000000005</v>
      </c>
      <c r="L1000" s="15">
        <v>3.8730000000000002</v>
      </c>
      <c r="M1000" s="15">
        <v>0.1</v>
      </c>
      <c r="N1000" s="15">
        <v>100</v>
      </c>
      <c r="O1000" s="15">
        <v>5.0000000000000001E-3</v>
      </c>
      <c r="P1000" s="15">
        <v>0.48299999999999998</v>
      </c>
      <c r="Q1000" s="15">
        <v>0.312</v>
      </c>
      <c r="R1000" s="15">
        <v>0.61299999999999999</v>
      </c>
      <c r="S1000" s="15">
        <v>0.25</v>
      </c>
      <c r="T1000" s="15"/>
      <c r="U1000" s="15" t="s">
        <v>22</v>
      </c>
      <c r="V1000" s="15" t="s">
        <v>90</v>
      </c>
      <c r="W1000" s="15">
        <v>1</v>
      </c>
      <c r="X1000" s="15" t="s">
        <v>85</v>
      </c>
      <c r="Y1000" s="12">
        <f t="shared" si="31"/>
        <v>0.317</v>
      </c>
      <c r="Z1000" s="15">
        <v>-0.47799999999999998</v>
      </c>
    </row>
    <row r="1001" spans="1:26" x14ac:dyDescent="0.2">
      <c r="A1001" s="15" t="s">
        <v>76</v>
      </c>
      <c r="B1001" s="15">
        <v>3817</v>
      </c>
      <c r="C1001" s="15">
        <v>16.228999999999999</v>
      </c>
      <c r="D1001" s="15">
        <v>21.367999999999999</v>
      </c>
      <c r="E1001" s="15">
        <v>1.6559999999999999</v>
      </c>
      <c r="F1001" s="15">
        <v>165.67400000000001</v>
      </c>
      <c r="G1001" s="15">
        <v>2.6819999999999999</v>
      </c>
      <c r="H1001" s="15">
        <v>7.6870000000000003</v>
      </c>
      <c r="I1001" s="15">
        <v>3.081</v>
      </c>
      <c r="J1001" s="15">
        <v>94.468000000000004</v>
      </c>
      <c r="K1001" s="15">
        <v>85.677999999999997</v>
      </c>
      <c r="L1001" s="15">
        <v>4.6059999999999999</v>
      </c>
      <c r="M1001" s="15">
        <v>0.1</v>
      </c>
      <c r="N1001" s="15">
        <v>100</v>
      </c>
      <c r="O1001" s="15">
        <v>0</v>
      </c>
      <c r="P1001" s="15">
        <v>0.45300000000000001</v>
      </c>
      <c r="Q1001" s="15">
        <v>0.29499999999999998</v>
      </c>
      <c r="R1001" s="15">
        <v>0.51900000000000002</v>
      </c>
      <c r="S1001" s="15">
        <v>0.26800000000000002</v>
      </c>
      <c r="T1001" s="15"/>
      <c r="U1001" s="15" t="s">
        <v>22</v>
      </c>
      <c r="V1001" s="15" t="s">
        <v>90</v>
      </c>
      <c r="W1001" s="15">
        <v>1</v>
      </c>
      <c r="X1001" s="15" t="s">
        <v>85</v>
      </c>
      <c r="Y1001" s="12">
        <f t="shared" si="31"/>
        <v>0.29499999999999998</v>
      </c>
      <c r="Z1001" s="15">
        <v>-0.45300000000000001</v>
      </c>
    </row>
    <row r="1002" spans="1:26" x14ac:dyDescent="0.2">
      <c r="A1002" s="15" t="s">
        <v>76</v>
      </c>
      <c r="B1002" s="15">
        <v>3817.125</v>
      </c>
      <c r="C1002" s="15">
        <v>16.280999999999999</v>
      </c>
      <c r="D1002" s="15">
        <v>21.367000000000001</v>
      </c>
      <c r="E1002" s="15">
        <v>1.6539999999999999</v>
      </c>
      <c r="F1002" s="15">
        <v>164.97499999999999</v>
      </c>
      <c r="G1002" s="15">
        <v>2.66</v>
      </c>
      <c r="H1002" s="15">
        <v>7.7229999999999999</v>
      </c>
      <c r="I1002" s="15">
        <v>3.0579999999999998</v>
      </c>
      <c r="J1002" s="15">
        <v>89.376999999999995</v>
      </c>
      <c r="K1002" s="15">
        <v>78.795000000000002</v>
      </c>
      <c r="L1002" s="15">
        <v>5.1559999999999997</v>
      </c>
      <c r="M1002" s="15">
        <v>0.11600000000000001</v>
      </c>
      <c r="N1002" s="15">
        <v>100</v>
      </c>
      <c r="O1002" s="15">
        <v>5.0000000000000001E-3</v>
      </c>
      <c r="P1002" s="15">
        <v>0.443</v>
      </c>
      <c r="Q1002" s="15">
        <v>0.28399999999999997</v>
      </c>
      <c r="R1002" s="15">
        <v>0.44500000000000001</v>
      </c>
      <c r="S1002" s="15">
        <v>0.27700000000000002</v>
      </c>
      <c r="T1002" s="15"/>
      <c r="U1002" s="15" t="s">
        <v>22</v>
      </c>
      <c r="V1002" s="15" t="s">
        <v>90</v>
      </c>
      <c r="W1002" s="15">
        <v>1</v>
      </c>
      <c r="X1002" s="15" t="s">
        <v>85</v>
      </c>
      <c r="Y1002" s="12">
        <f t="shared" si="31"/>
        <v>0.28899999999999998</v>
      </c>
      <c r="Z1002" s="15">
        <v>-0.438</v>
      </c>
    </row>
    <row r="1003" spans="1:26" x14ac:dyDescent="0.2">
      <c r="A1003" s="15" t="s">
        <v>76</v>
      </c>
      <c r="B1003" s="15">
        <v>3817.25</v>
      </c>
      <c r="C1003" s="15">
        <v>18.646999999999998</v>
      </c>
      <c r="D1003" s="15">
        <v>21.364000000000001</v>
      </c>
      <c r="E1003" s="15">
        <v>1.752</v>
      </c>
      <c r="F1003" s="15">
        <v>164.52099999999999</v>
      </c>
      <c r="G1003" s="15">
        <v>2.6480000000000001</v>
      </c>
      <c r="H1003" s="15">
        <v>7.7359999999999998</v>
      </c>
      <c r="I1003" s="15">
        <v>3.0529999999999999</v>
      </c>
      <c r="J1003" s="15">
        <v>82.709000000000003</v>
      </c>
      <c r="K1003" s="15">
        <v>74.994</v>
      </c>
      <c r="L1003" s="15">
        <v>5.343</v>
      </c>
      <c r="M1003" s="15">
        <v>0.13600000000000001</v>
      </c>
      <c r="N1003" s="15">
        <v>100</v>
      </c>
      <c r="O1003" s="15">
        <v>0.02</v>
      </c>
      <c r="P1003" s="15">
        <v>0.441</v>
      </c>
      <c r="Q1003" s="15">
        <v>0.27700000000000002</v>
      </c>
      <c r="R1003" s="15">
        <v>0.41</v>
      </c>
      <c r="S1003" s="15">
        <v>0.28100000000000003</v>
      </c>
      <c r="T1003" s="15"/>
      <c r="U1003" s="15" t="s">
        <v>22</v>
      </c>
      <c r="V1003" s="15" t="s">
        <v>90</v>
      </c>
      <c r="W1003" s="15">
        <v>1</v>
      </c>
      <c r="X1003" s="15" t="s">
        <v>85</v>
      </c>
      <c r="Y1003" s="12">
        <f t="shared" si="31"/>
        <v>0.29700000000000004</v>
      </c>
      <c r="Z1003" s="15">
        <v>-0.42099999999999999</v>
      </c>
    </row>
    <row r="1004" spans="1:26" x14ac:dyDescent="0.2">
      <c r="A1004" s="15" t="s">
        <v>76</v>
      </c>
      <c r="B1004" s="15">
        <v>3817.375</v>
      </c>
      <c r="C1004" s="15">
        <v>20.997</v>
      </c>
      <c r="D1004" s="15">
        <v>21.361000000000001</v>
      </c>
      <c r="E1004" s="15">
        <v>1.7310000000000001</v>
      </c>
      <c r="F1004" s="15">
        <v>164.32599999999999</v>
      </c>
      <c r="G1004" s="15">
        <v>2.6469999999999998</v>
      </c>
      <c r="H1004" s="15">
        <v>7.6580000000000004</v>
      </c>
      <c r="I1004" s="15">
        <v>3.05</v>
      </c>
      <c r="J1004" s="15">
        <v>78.591999999999999</v>
      </c>
      <c r="K1004" s="15">
        <v>76.566999999999993</v>
      </c>
      <c r="L1004" s="15">
        <v>5.2670000000000003</v>
      </c>
      <c r="M1004" s="15">
        <v>0.127</v>
      </c>
      <c r="N1004" s="15">
        <v>100</v>
      </c>
      <c r="O1004" s="15">
        <v>3.1E-2</v>
      </c>
      <c r="P1004" s="15">
        <v>0.439</v>
      </c>
      <c r="Q1004" s="15">
        <v>0.27400000000000002</v>
      </c>
      <c r="R1004" s="15">
        <v>0.41599999999999998</v>
      </c>
      <c r="S1004" s="15">
        <v>0.28000000000000003</v>
      </c>
      <c r="T1004" s="15"/>
      <c r="U1004" s="15" t="s">
        <v>22</v>
      </c>
      <c r="V1004" s="15" t="s">
        <v>90</v>
      </c>
      <c r="W1004" s="15">
        <v>1</v>
      </c>
      <c r="X1004" s="15" t="s">
        <v>85</v>
      </c>
      <c r="Y1004" s="12">
        <f t="shared" si="31"/>
        <v>0.30500000000000005</v>
      </c>
      <c r="Z1004" s="15">
        <v>-0.40800000000000003</v>
      </c>
    </row>
    <row r="1005" spans="1:26" x14ac:dyDescent="0.2">
      <c r="A1005" s="15" t="s">
        <v>76</v>
      </c>
      <c r="B1005" s="15">
        <v>3817.5</v>
      </c>
      <c r="C1005" s="15">
        <v>20.949000000000002</v>
      </c>
      <c r="D1005" s="15">
        <v>21.369</v>
      </c>
      <c r="E1005" s="15">
        <v>1.4159999999999999</v>
      </c>
      <c r="F1005" s="15">
        <v>164.351</v>
      </c>
      <c r="G1005" s="15">
        <v>2.6560000000000001</v>
      </c>
      <c r="H1005" s="15">
        <v>7.4960000000000004</v>
      </c>
      <c r="I1005" s="15">
        <v>3.0419999999999998</v>
      </c>
      <c r="J1005" s="15">
        <v>80.453000000000003</v>
      </c>
      <c r="K1005" s="15">
        <v>76.433000000000007</v>
      </c>
      <c r="L1005" s="15">
        <v>5.01</v>
      </c>
      <c r="M1005" s="15">
        <v>0.10199999999999999</v>
      </c>
      <c r="N1005" s="15">
        <v>100</v>
      </c>
      <c r="O1005" s="15">
        <v>3.1E-2</v>
      </c>
      <c r="P1005" s="15">
        <v>0.433</v>
      </c>
      <c r="Q1005" s="15">
        <v>0.27500000000000002</v>
      </c>
      <c r="R1005" s="15">
        <v>0.46</v>
      </c>
      <c r="S1005" s="15">
        <v>0.26500000000000001</v>
      </c>
      <c r="T1005" s="15"/>
      <c r="U1005" s="15" t="s">
        <v>22</v>
      </c>
      <c r="V1005" s="15" t="s">
        <v>90</v>
      </c>
      <c r="W1005" s="15">
        <v>1</v>
      </c>
      <c r="X1005" s="15" t="s">
        <v>85</v>
      </c>
      <c r="Y1005" s="12">
        <f t="shared" si="31"/>
        <v>0.30600000000000005</v>
      </c>
      <c r="Z1005" s="15">
        <v>-0.40200000000000002</v>
      </c>
    </row>
    <row r="1006" spans="1:26" x14ac:dyDescent="0.2">
      <c r="A1006" s="15" t="s">
        <v>76</v>
      </c>
      <c r="B1006" s="15">
        <v>3817.625</v>
      </c>
      <c r="C1006" s="15">
        <v>21.053999999999998</v>
      </c>
      <c r="D1006" s="15">
        <v>21.373000000000001</v>
      </c>
      <c r="E1006" s="15">
        <v>1.2809999999999999</v>
      </c>
      <c r="F1006" s="15">
        <v>164.46100000000001</v>
      </c>
      <c r="G1006" s="15">
        <v>2.673</v>
      </c>
      <c r="H1006" s="15">
        <v>7.2859999999999996</v>
      </c>
      <c r="I1006" s="15">
        <v>3.0270000000000001</v>
      </c>
      <c r="J1006" s="15">
        <v>80.396000000000001</v>
      </c>
      <c r="K1006" s="15">
        <v>77.387</v>
      </c>
      <c r="L1006" s="15">
        <v>4.5090000000000003</v>
      </c>
      <c r="M1006" s="15">
        <v>0.1</v>
      </c>
      <c r="N1006" s="15">
        <v>100</v>
      </c>
      <c r="O1006" s="15">
        <v>3.1E-2</v>
      </c>
      <c r="P1006" s="15">
        <v>0.42499999999999999</v>
      </c>
      <c r="Q1006" s="15">
        <v>0.27600000000000002</v>
      </c>
      <c r="R1006" s="15">
        <v>0.52700000000000002</v>
      </c>
      <c r="S1006" s="15">
        <v>0.24099999999999999</v>
      </c>
      <c r="T1006" s="15"/>
      <c r="U1006" s="15" t="s">
        <v>22</v>
      </c>
      <c r="V1006" s="15" t="s">
        <v>90</v>
      </c>
      <c r="W1006" s="15">
        <v>1</v>
      </c>
      <c r="X1006" s="15" t="s">
        <v>85</v>
      </c>
      <c r="Y1006" s="12">
        <f t="shared" si="31"/>
        <v>0.30700000000000005</v>
      </c>
      <c r="Z1006" s="15">
        <v>-0.39400000000000002</v>
      </c>
    </row>
    <row r="1007" spans="1:26" x14ac:dyDescent="0.2">
      <c r="A1007" s="15" t="s">
        <v>76</v>
      </c>
      <c r="B1007" s="15">
        <v>3817.75</v>
      </c>
      <c r="C1007" s="15">
        <v>20.428000000000001</v>
      </c>
      <c r="D1007" s="15">
        <v>21.382000000000001</v>
      </c>
      <c r="E1007" s="15">
        <v>1.323</v>
      </c>
      <c r="F1007" s="15">
        <v>164.447</v>
      </c>
      <c r="G1007" s="15">
        <v>2.6909999999999998</v>
      </c>
      <c r="H1007" s="15">
        <v>7.0640000000000001</v>
      </c>
      <c r="I1007" s="15">
        <v>3.0110000000000001</v>
      </c>
      <c r="J1007" s="15">
        <v>81.119</v>
      </c>
      <c r="K1007" s="15">
        <v>80.034000000000006</v>
      </c>
      <c r="L1007" s="15">
        <v>3.988</v>
      </c>
      <c r="M1007" s="15">
        <v>0.1</v>
      </c>
      <c r="N1007" s="15">
        <v>100</v>
      </c>
      <c r="O1007" s="15">
        <v>2.5000000000000001E-2</v>
      </c>
      <c r="P1007" s="15">
        <v>0.41799999999999998</v>
      </c>
      <c r="Q1007" s="15">
        <v>0.27500000000000002</v>
      </c>
      <c r="R1007" s="15">
        <v>0.59499999999999997</v>
      </c>
      <c r="S1007" s="15">
        <v>0.21</v>
      </c>
      <c r="T1007" s="15"/>
      <c r="U1007" s="15" t="s">
        <v>22</v>
      </c>
      <c r="V1007" s="15" t="s">
        <v>90</v>
      </c>
      <c r="W1007" s="15">
        <v>1</v>
      </c>
      <c r="X1007" s="15" t="s">
        <v>85</v>
      </c>
      <c r="Y1007" s="12">
        <f t="shared" si="31"/>
        <v>0.30000000000000004</v>
      </c>
      <c r="Z1007" s="15">
        <v>-0.39299999999999996</v>
      </c>
    </row>
    <row r="1008" spans="1:26" x14ac:dyDescent="0.2">
      <c r="A1008" s="15" t="s">
        <v>76</v>
      </c>
      <c r="B1008" s="15">
        <v>3817.875</v>
      </c>
      <c r="C1008" s="15">
        <v>18.853000000000002</v>
      </c>
      <c r="D1008" s="15">
        <v>21.39</v>
      </c>
      <c r="E1008" s="15">
        <v>1.321</v>
      </c>
      <c r="F1008" s="15">
        <v>164.17500000000001</v>
      </c>
      <c r="G1008" s="15">
        <v>2.7080000000000002</v>
      </c>
      <c r="H1008" s="15">
        <v>6.8929999999999998</v>
      </c>
      <c r="I1008" s="15">
        <v>3.0049999999999999</v>
      </c>
      <c r="J1008" s="15">
        <v>83.688000000000002</v>
      </c>
      <c r="K1008" s="15">
        <v>83.364999999999995</v>
      </c>
      <c r="L1008" s="15">
        <v>3.5529999999999999</v>
      </c>
      <c r="M1008" s="15">
        <v>0.1</v>
      </c>
      <c r="N1008" s="15">
        <v>100</v>
      </c>
      <c r="O1008" s="15">
        <v>1.4999999999999999E-2</v>
      </c>
      <c r="P1008" s="15">
        <v>0.41599999999999998</v>
      </c>
      <c r="Q1008" s="15">
        <v>0.26800000000000002</v>
      </c>
      <c r="R1008" s="15">
        <v>0.66</v>
      </c>
      <c r="S1008" s="15">
        <v>0.18099999999999999</v>
      </c>
      <c r="T1008" s="15"/>
      <c r="U1008" s="15" t="s">
        <v>22</v>
      </c>
      <c r="V1008" s="15" t="s">
        <v>90</v>
      </c>
      <c r="W1008" s="15">
        <v>1</v>
      </c>
      <c r="X1008" s="15" t="s">
        <v>85</v>
      </c>
      <c r="Y1008" s="12">
        <f t="shared" si="31"/>
        <v>0.28300000000000003</v>
      </c>
      <c r="Z1008" s="15">
        <v>-0.40099999999999997</v>
      </c>
    </row>
    <row r="1009" spans="1:26" x14ac:dyDescent="0.2">
      <c r="A1009" s="15" t="s">
        <v>76</v>
      </c>
      <c r="B1009" s="15">
        <v>3818</v>
      </c>
      <c r="C1009" s="15">
        <v>17.291</v>
      </c>
      <c r="D1009" s="15">
        <v>21.396999999999998</v>
      </c>
      <c r="E1009" s="15">
        <v>1.393</v>
      </c>
      <c r="F1009" s="15">
        <v>163.61099999999999</v>
      </c>
      <c r="G1009" s="15">
        <v>2.7240000000000002</v>
      </c>
      <c r="H1009" s="15">
        <v>6.7290000000000001</v>
      </c>
      <c r="I1009" s="15">
        <v>3.0139999999999998</v>
      </c>
      <c r="J1009" s="15">
        <v>86.85</v>
      </c>
      <c r="K1009" s="15">
        <v>86.679000000000002</v>
      </c>
      <c r="L1009" s="15">
        <v>3.1920000000000002</v>
      </c>
      <c r="M1009" s="15">
        <v>0.1</v>
      </c>
      <c r="N1009" s="15">
        <v>100</v>
      </c>
      <c r="O1009" s="15">
        <v>8.9999999999999993E-3</v>
      </c>
      <c r="P1009" s="15">
        <v>0.42499999999999999</v>
      </c>
      <c r="Q1009" s="15">
        <v>0.25700000000000001</v>
      </c>
      <c r="R1009" s="15">
        <v>0.71799999999999997</v>
      </c>
      <c r="S1009" s="15">
        <v>0.157</v>
      </c>
      <c r="T1009" s="15"/>
      <c r="U1009" s="15" t="s">
        <v>22</v>
      </c>
      <c r="V1009" s="15" t="s">
        <v>90</v>
      </c>
      <c r="W1009" s="15">
        <v>1</v>
      </c>
      <c r="X1009" s="15" t="s">
        <v>85</v>
      </c>
      <c r="Y1009" s="12">
        <f t="shared" si="31"/>
        <v>0.26600000000000001</v>
      </c>
      <c r="Z1009" s="15">
        <v>-0.41599999999999998</v>
      </c>
    </row>
    <row r="1010" spans="1:26" x14ac:dyDescent="0.2">
      <c r="A1010" s="15" t="s">
        <v>76</v>
      </c>
      <c r="B1010" s="15">
        <v>3818.125</v>
      </c>
      <c r="C1010" s="15">
        <v>18.513000000000002</v>
      </c>
      <c r="D1010" s="15">
        <v>21.396000000000001</v>
      </c>
      <c r="E1010" s="15">
        <v>1.5269999999999999</v>
      </c>
      <c r="F1010" s="15">
        <v>162.797</v>
      </c>
      <c r="G1010" s="15">
        <v>2.7360000000000002</v>
      </c>
      <c r="H1010" s="15">
        <v>6.548</v>
      </c>
      <c r="I1010" s="15">
        <v>3.0459999999999998</v>
      </c>
      <c r="J1010" s="15">
        <v>89.700999999999993</v>
      </c>
      <c r="K1010" s="15">
        <v>90.590999999999994</v>
      </c>
      <c r="L1010" s="15">
        <v>2.7919999999999998</v>
      </c>
      <c r="M1010" s="15">
        <v>0.1</v>
      </c>
      <c r="N1010" s="15">
        <v>100</v>
      </c>
      <c r="O1010" s="15">
        <v>1.7999999999999999E-2</v>
      </c>
      <c r="P1010" s="15">
        <v>0.44400000000000001</v>
      </c>
      <c r="Q1010" s="15">
        <v>0.24099999999999999</v>
      </c>
      <c r="R1010" s="15">
        <v>0.75600000000000001</v>
      </c>
      <c r="S1010" s="15">
        <v>0.13300000000000001</v>
      </c>
      <c r="T1010" s="15"/>
      <c r="U1010" s="15" t="s">
        <v>22</v>
      </c>
      <c r="V1010" s="15" t="s">
        <v>90</v>
      </c>
      <c r="W1010" s="15">
        <v>1</v>
      </c>
      <c r="X1010" s="15" t="s">
        <v>85</v>
      </c>
      <c r="Y1010" s="12">
        <f t="shared" si="31"/>
        <v>0.25900000000000001</v>
      </c>
      <c r="Z1010" s="15">
        <v>-0.42599999999999999</v>
      </c>
    </row>
    <row r="1011" spans="1:26" x14ac:dyDescent="0.2">
      <c r="A1011" s="15" t="s">
        <v>76</v>
      </c>
      <c r="B1011" s="15">
        <v>3825.375</v>
      </c>
      <c r="C1011" s="15">
        <v>43.624000000000002</v>
      </c>
      <c r="D1011" s="15">
        <v>21.434999999999999</v>
      </c>
      <c r="E1011" s="15">
        <v>2.964</v>
      </c>
      <c r="F1011" s="15">
        <v>159.958</v>
      </c>
      <c r="G1011" s="15">
        <v>2.7650000000000001</v>
      </c>
      <c r="H1011" s="15">
        <v>7.4279999999999999</v>
      </c>
      <c r="I1011" s="15">
        <v>3.29</v>
      </c>
      <c r="J1011" s="15">
        <v>207.636</v>
      </c>
      <c r="K1011" s="15">
        <v>294.08300000000003</v>
      </c>
      <c r="L1011" s="15">
        <v>0</v>
      </c>
      <c r="M1011" s="15">
        <v>0</v>
      </c>
      <c r="N1011" s="15">
        <v>100</v>
      </c>
      <c r="O1011" s="15">
        <v>0.184</v>
      </c>
      <c r="P1011" s="15">
        <v>0.55600000000000005</v>
      </c>
      <c r="Q1011" s="15">
        <v>0.19800000000000001</v>
      </c>
      <c r="R1011" s="15">
        <v>0.86499999999999999</v>
      </c>
      <c r="S1011" s="15">
        <v>0.24399999999999999</v>
      </c>
      <c r="T1011" s="15"/>
      <c r="U1011" s="15" t="s">
        <v>33</v>
      </c>
      <c r="V1011" s="15" t="s">
        <v>90</v>
      </c>
      <c r="W1011" s="15">
        <v>5</v>
      </c>
      <c r="X1011" s="15" t="s">
        <v>85</v>
      </c>
      <c r="Y1011" s="12">
        <f t="shared" si="31"/>
        <v>0.38200000000000001</v>
      </c>
      <c r="Z1011" s="15">
        <v>-0.37200000000000005</v>
      </c>
    </row>
    <row r="1012" spans="1:26" x14ac:dyDescent="0.2">
      <c r="A1012" s="15" t="s">
        <v>76</v>
      </c>
      <c r="B1012" s="15">
        <v>3825.5</v>
      </c>
      <c r="C1012" s="15">
        <v>45.57</v>
      </c>
      <c r="D1012" s="15">
        <v>21.451000000000001</v>
      </c>
      <c r="E1012" s="15">
        <v>3.3119999999999998</v>
      </c>
      <c r="F1012" s="15">
        <v>160.84800000000001</v>
      </c>
      <c r="G1012" s="15">
        <v>2.766</v>
      </c>
      <c r="H1012" s="15">
        <v>7.5519999999999996</v>
      </c>
      <c r="I1012" s="15">
        <v>3.1880000000000002</v>
      </c>
      <c r="J1012" s="15">
        <v>190.76900000000001</v>
      </c>
      <c r="K1012" s="15">
        <v>261.58699999999999</v>
      </c>
      <c r="L1012" s="15">
        <v>0</v>
      </c>
      <c r="M1012" s="15">
        <v>0</v>
      </c>
      <c r="N1012" s="15">
        <v>100</v>
      </c>
      <c r="O1012" s="15">
        <v>0.223</v>
      </c>
      <c r="P1012" s="15">
        <v>0.50800000000000001</v>
      </c>
      <c r="Q1012" s="15">
        <v>0.217</v>
      </c>
      <c r="R1012" s="15">
        <v>0.872</v>
      </c>
      <c r="S1012" s="15">
        <v>0.27100000000000002</v>
      </c>
      <c r="T1012" s="15"/>
      <c r="U1012" s="15" t="s">
        <v>33</v>
      </c>
      <c r="V1012" s="15" t="s">
        <v>90</v>
      </c>
      <c r="W1012" s="15">
        <v>5</v>
      </c>
      <c r="X1012" s="15" t="s">
        <v>85</v>
      </c>
      <c r="Y1012" s="12">
        <f t="shared" si="31"/>
        <v>0.44</v>
      </c>
      <c r="Z1012" s="15">
        <v>-0.28500000000000003</v>
      </c>
    </row>
    <row r="1013" spans="1:26" x14ac:dyDescent="0.2">
      <c r="A1013" s="15" t="s">
        <v>76</v>
      </c>
      <c r="B1013" s="15">
        <v>3825.625</v>
      </c>
      <c r="C1013" s="15">
        <v>62.31</v>
      </c>
      <c r="D1013" s="15">
        <v>21.471</v>
      </c>
      <c r="E1013" s="15">
        <v>3.387</v>
      </c>
      <c r="F1013" s="15">
        <v>162.29</v>
      </c>
      <c r="G1013" s="15">
        <v>2.77</v>
      </c>
      <c r="H1013" s="15">
        <v>7.931</v>
      </c>
      <c r="I1013" s="15">
        <v>3.141</v>
      </c>
      <c r="J1013" s="15">
        <v>140.20099999999999</v>
      </c>
      <c r="K1013" s="15">
        <v>187.62899999999999</v>
      </c>
      <c r="L1013" s="15">
        <v>0</v>
      </c>
      <c r="M1013" s="15">
        <v>0</v>
      </c>
      <c r="N1013" s="15">
        <v>100</v>
      </c>
      <c r="O1013" s="15">
        <v>0.34200000000000003</v>
      </c>
      <c r="P1013" s="15">
        <v>0.49099999999999999</v>
      </c>
      <c r="Q1013" s="15">
        <v>0.245</v>
      </c>
      <c r="R1013" s="15">
        <v>0.88700000000000001</v>
      </c>
      <c r="S1013" s="15">
        <v>0.33100000000000002</v>
      </c>
      <c r="T1013" s="15"/>
      <c r="U1013" s="15" t="s">
        <v>33</v>
      </c>
      <c r="V1013" s="15" t="s">
        <v>90</v>
      </c>
      <c r="W1013" s="15">
        <v>5</v>
      </c>
      <c r="X1013" s="15" t="s">
        <v>85</v>
      </c>
      <c r="Y1013" s="12">
        <f t="shared" si="31"/>
        <v>0.58699999999999997</v>
      </c>
      <c r="Z1013" s="15">
        <v>-0.14899999999999997</v>
      </c>
    </row>
    <row r="1014" spans="1:26" x14ac:dyDescent="0.2">
      <c r="A1014" s="15" t="s">
        <v>76</v>
      </c>
      <c r="B1014" s="15">
        <v>3825.75</v>
      </c>
      <c r="C1014" s="15">
        <v>83.781000000000006</v>
      </c>
      <c r="D1014" s="15">
        <v>21.498000000000001</v>
      </c>
      <c r="E1014" s="15">
        <v>3.3650000000000002</v>
      </c>
      <c r="F1014" s="15">
        <v>163.94300000000001</v>
      </c>
      <c r="G1014" s="15">
        <v>2.7730000000000001</v>
      </c>
      <c r="H1014" s="15">
        <v>8.4559999999999995</v>
      </c>
      <c r="I1014" s="15">
        <v>3.1520000000000001</v>
      </c>
      <c r="J1014" s="15">
        <v>104.078</v>
      </c>
      <c r="K1014" s="15">
        <v>139.87</v>
      </c>
      <c r="L1014" s="15">
        <v>0</v>
      </c>
      <c r="M1014" s="15">
        <v>0</v>
      </c>
      <c r="N1014" s="15">
        <v>100</v>
      </c>
      <c r="O1014" s="15">
        <v>0.46100000000000002</v>
      </c>
      <c r="P1014" s="15">
        <v>0.50600000000000001</v>
      </c>
      <c r="Q1014" s="15">
        <v>0.27500000000000002</v>
      </c>
      <c r="R1014" s="15">
        <v>0.88400000000000001</v>
      </c>
      <c r="S1014" s="15">
        <v>0.40100000000000002</v>
      </c>
      <c r="T1014" s="15"/>
      <c r="U1014" s="15" t="s">
        <v>33</v>
      </c>
      <c r="V1014" s="15" t="s">
        <v>90</v>
      </c>
      <c r="W1014" s="15">
        <v>5</v>
      </c>
      <c r="X1014" s="15" t="s">
        <v>85</v>
      </c>
      <c r="Y1014" s="12">
        <f t="shared" si="31"/>
        <v>0.73599999999999999</v>
      </c>
      <c r="Z1014" s="15">
        <v>-4.4999999999999984E-2</v>
      </c>
    </row>
    <row r="1015" spans="1:26" x14ac:dyDescent="0.2">
      <c r="A1015" s="15" t="s">
        <v>76</v>
      </c>
      <c r="B1015" s="15">
        <v>3825.875</v>
      </c>
      <c r="C1015" s="15">
        <v>92.667000000000002</v>
      </c>
      <c r="D1015" s="15">
        <v>21.545000000000002</v>
      </c>
      <c r="E1015" s="15">
        <v>3.3610000000000002</v>
      </c>
      <c r="F1015" s="15">
        <v>165.66300000000001</v>
      </c>
      <c r="G1015" s="15">
        <v>2.762</v>
      </c>
      <c r="H1015" s="15">
        <v>8.8740000000000006</v>
      </c>
      <c r="I1015" s="15">
        <v>3.2210000000000001</v>
      </c>
      <c r="J1015" s="15">
        <v>83.724999999999994</v>
      </c>
      <c r="K1015" s="15">
        <v>114.33799999999999</v>
      </c>
      <c r="L1015" s="15">
        <v>0</v>
      </c>
      <c r="M1015" s="15">
        <v>0</v>
      </c>
      <c r="N1015" s="15">
        <v>100</v>
      </c>
      <c r="O1015" s="15">
        <v>0.495</v>
      </c>
      <c r="P1015" s="15">
        <v>0.55000000000000004</v>
      </c>
      <c r="Q1015" s="15">
        <v>0.307</v>
      </c>
      <c r="R1015" s="15">
        <v>0.82899999999999996</v>
      </c>
      <c r="S1015" s="15">
        <v>0.45</v>
      </c>
      <c r="T1015" s="15"/>
      <c r="U1015" s="15" t="s">
        <v>33</v>
      </c>
      <c r="V1015" s="15" t="s">
        <v>90</v>
      </c>
      <c r="W1015" s="15">
        <v>5</v>
      </c>
      <c r="X1015" s="15" t="s">
        <v>85</v>
      </c>
      <c r="Y1015" s="12">
        <f t="shared" si="31"/>
        <v>0.80200000000000005</v>
      </c>
      <c r="Z1015" s="15">
        <v>-5.5000000000000049E-2</v>
      </c>
    </row>
    <row r="1016" spans="1:26" x14ac:dyDescent="0.2">
      <c r="A1016" s="15" t="s">
        <v>76</v>
      </c>
      <c r="B1016" s="15">
        <v>3826</v>
      </c>
      <c r="C1016" s="15">
        <v>87.655000000000001</v>
      </c>
      <c r="D1016" s="15">
        <v>21.533999999999999</v>
      </c>
      <c r="E1016" s="15">
        <v>3.7029999999999998</v>
      </c>
      <c r="F1016" s="15">
        <v>167.39500000000001</v>
      </c>
      <c r="G1016" s="15">
        <v>2.7389999999999999</v>
      </c>
      <c r="H1016" s="15">
        <v>9.0239999999999991</v>
      </c>
      <c r="I1016" s="15">
        <v>3.3380000000000001</v>
      </c>
      <c r="J1016" s="15">
        <v>74.388000000000005</v>
      </c>
      <c r="K1016" s="15">
        <v>102.65</v>
      </c>
      <c r="L1016" s="15">
        <v>0</v>
      </c>
      <c r="M1016" s="15">
        <v>0</v>
      </c>
      <c r="N1016" s="15">
        <v>100</v>
      </c>
      <c r="O1016" s="15">
        <v>0.45300000000000001</v>
      </c>
      <c r="P1016" s="15">
        <v>0.61899999999999999</v>
      </c>
      <c r="Q1016" s="15">
        <v>0.33900000000000002</v>
      </c>
      <c r="R1016" s="15">
        <v>0.73799999999999999</v>
      </c>
      <c r="S1016" s="15">
        <v>0.46400000000000002</v>
      </c>
      <c r="T1016" s="15"/>
      <c r="U1016" s="15" t="s">
        <v>33</v>
      </c>
      <c r="V1016" s="15" t="s">
        <v>90</v>
      </c>
      <c r="W1016" s="15">
        <v>5</v>
      </c>
      <c r="X1016" s="15" t="s">
        <v>85</v>
      </c>
      <c r="Y1016" s="12">
        <f t="shared" si="31"/>
        <v>0.79200000000000004</v>
      </c>
      <c r="Z1016" s="15">
        <v>-0.16599999999999998</v>
      </c>
    </row>
    <row r="1017" spans="1:26" x14ac:dyDescent="0.2">
      <c r="A1017" s="15" t="s">
        <v>76</v>
      </c>
      <c r="B1017" s="15">
        <v>3826.125</v>
      </c>
      <c r="C1017" s="15">
        <v>77.825999999999993</v>
      </c>
      <c r="D1017" s="15">
        <v>21.393000000000001</v>
      </c>
      <c r="E1017" s="15">
        <v>4.2519999999999998</v>
      </c>
      <c r="F1017" s="15">
        <v>169.113</v>
      </c>
      <c r="G1017" s="15">
        <v>2.7149999999999999</v>
      </c>
      <c r="H1017" s="15">
        <v>8.9849999999999994</v>
      </c>
      <c r="I1017" s="15">
        <v>3.49</v>
      </c>
      <c r="J1017" s="15">
        <v>72.350999999999999</v>
      </c>
      <c r="K1017" s="15">
        <v>100.72499999999999</v>
      </c>
      <c r="L1017" s="15">
        <v>0</v>
      </c>
      <c r="M1017" s="15">
        <v>0</v>
      </c>
      <c r="N1017" s="15">
        <v>100</v>
      </c>
      <c r="O1017" s="15">
        <v>0.39800000000000002</v>
      </c>
      <c r="P1017" s="15">
        <v>0.70199999999999996</v>
      </c>
      <c r="Q1017" s="15">
        <v>0.37</v>
      </c>
      <c r="R1017" s="15">
        <v>0.66</v>
      </c>
      <c r="S1017" s="15">
        <v>0.45500000000000002</v>
      </c>
      <c r="T1017" s="15"/>
      <c r="U1017" s="15" t="s">
        <v>33</v>
      </c>
      <c r="V1017" s="15" t="s">
        <v>90</v>
      </c>
      <c r="W1017" s="15">
        <v>5</v>
      </c>
      <c r="X1017" s="15" t="s">
        <v>85</v>
      </c>
      <c r="Y1017" s="12">
        <f t="shared" si="31"/>
        <v>0.76800000000000002</v>
      </c>
      <c r="Z1017" s="15">
        <v>-0.30399999999999994</v>
      </c>
    </row>
    <row r="1018" spans="1:26" x14ac:dyDescent="0.2">
      <c r="A1018" s="15" t="s">
        <v>76</v>
      </c>
      <c r="B1018" s="15">
        <v>3826.25</v>
      </c>
      <c r="C1018" s="15">
        <v>73.427000000000007</v>
      </c>
      <c r="D1018" s="15">
        <v>21.373000000000001</v>
      </c>
      <c r="E1018" s="15">
        <v>4.694</v>
      </c>
      <c r="F1018" s="15">
        <v>170.648</v>
      </c>
      <c r="G1018" s="15">
        <v>2.7050000000000001</v>
      </c>
      <c r="H1018" s="15">
        <v>8.8539999999999992</v>
      </c>
      <c r="I1018" s="15">
        <v>3.6419999999999999</v>
      </c>
      <c r="J1018" s="15">
        <v>77.567999999999998</v>
      </c>
      <c r="K1018" s="15">
        <v>109.739</v>
      </c>
      <c r="L1018" s="15">
        <v>0</v>
      </c>
      <c r="M1018" s="15">
        <v>0</v>
      </c>
      <c r="N1018" s="15">
        <v>100</v>
      </c>
      <c r="O1018" s="15">
        <v>0.379</v>
      </c>
      <c r="P1018" s="15">
        <v>0.78100000000000003</v>
      </c>
      <c r="Q1018" s="15">
        <v>0.39600000000000002</v>
      </c>
      <c r="R1018" s="15">
        <v>0.63900000000000001</v>
      </c>
      <c r="S1018" s="15">
        <v>0.433</v>
      </c>
      <c r="T1018" s="15"/>
      <c r="U1018" s="15" t="s">
        <v>33</v>
      </c>
      <c r="V1018" s="15" t="s">
        <v>90</v>
      </c>
      <c r="W1018" s="15">
        <v>5</v>
      </c>
      <c r="X1018" s="15" t="s">
        <v>85</v>
      </c>
      <c r="Y1018" s="12">
        <f t="shared" si="31"/>
        <v>0.77500000000000002</v>
      </c>
      <c r="Z1018" s="15">
        <v>-0.40200000000000002</v>
      </c>
    </row>
    <row r="1019" spans="1:26" x14ac:dyDescent="0.2">
      <c r="A1019" s="15" t="s">
        <v>76</v>
      </c>
      <c r="B1019" s="15">
        <v>3826.375</v>
      </c>
      <c r="C1019" s="15">
        <v>74.272999999999996</v>
      </c>
      <c r="D1019" s="15">
        <v>21.378</v>
      </c>
      <c r="E1019" s="15">
        <v>4.9550000000000001</v>
      </c>
      <c r="F1019" s="15">
        <v>171.65600000000001</v>
      </c>
      <c r="G1019" s="15">
        <v>2.7120000000000002</v>
      </c>
      <c r="H1019" s="15">
        <v>8.6319999999999997</v>
      </c>
      <c r="I1019" s="15">
        <v>3.7650000000000001</v>
      </c>
      <c r="J1019" s="15">
        <v>88.385000000000005</v>
      </c>
      <c r="K1019" s="15">
        <v>125.57599999999999</v>
      </c>
      <c r="L1019" s="15">
        <v>0</v>
      </c>
      <c r="M1019" s="15">
        <v>0</v>
      </c>
      <c r="N1019" s="15">
        <v>100</v>
      </c>
      <c r="O1019" s="15">
        <v>0.39200000000000002</v>
      </c>
      <c r="P1019" s="15">
        <v>0.83899999999999997</v>
      </c>
      <c r="Q1019" s="15">
        <v>0.41</v>
      </c>
      <c r="R1019" s="15">
        <v>0.67800000000000005</v>
      </c>
      <c r="S1019" s="15">
        <v>0.39500000000000002</v>
      </c>
      <c r="T1019" s="15"/>
      <c r="U1019" s="15" t="s">
        <v>33</v>
      </c>
      <c r="V1019" s="15" t="s">
        <v>90</v>
      </c>
      <c r="W1019" s="15">
        <v>5</v>
      </c>
      <c r="X1019" s="15" t="s">
        <v>85</v>
      </c>
      <c r="Y1019" s="12">
        <f t="shared" si="31"/>
        <v>0.80200000000000005</v>
      </c>
      <c r="Z1019" s="15">
        <v>-0.44699999999999995</v>
      </c>
    </row>
    <row r="1020" spans="1:26" x14ac:dyDescent="0.2">
      <c r="A1020" s="15" t="s">
        <v>76</v>
      </c>
      <c r="B1020" s="15">
        <v>3826.5</v>
      </c>
      <c r="C1020" s="15">
        <v>79.212000000000003</v>
      </c>
      <c r="D1020" s="15">
        <v>21.385000000000002</v>
      </c>
      <c r="E1020" s="15">
        <v>4.9029999999999996</v>
      </c>
      <c r="F1020" s="15">
        <v>171.71899999999999</v>
      </c>
      <c r="G1020" s="15">
        <v>2.73</v>
      </c>
      <c r="H1020" s="15">
        <v>8.2409999999999997</v>
      </c>
      <c r="I1020" s="15">
        <v>3.8279999999999998</v>
      </c>
      <c r="J1020" s="15">
        <v>98.242999999999995</v>
      </c>
      <c r="K1020" s="15">
        <v>135.76300000000001</v>
      </c>
      <c r="L1020" s="15">
        <v>0</v>
      </c>
      <c r="M1020" s="15">
        <v>0</v>
      </c>
      <c r="N1020" s="15">
        <v>100</v>
      </c>
      <c r="O1020" s="15">
        <v>0.42499999999999999</v>
      </c>
      <c r="P1020" s="15">
        <v>0.85899999999999999</v>
      </c>
      <c r="Q1020" s="15">
        <v>0.40400000000000003</v>
      </c>
      <c r="R1020" s="15">
        <v>0.75</v>
      </c>
      <c r="S1020" s="15">
        <v>0.33300000000000002</v>
      </c>
      <c r="T1020" s="15"/>
      <c r="U1020" s="15" t="s">
        <v>33</v>
      </c>
      <c r="V1020" s="15" t="s">
        <v>90</v>
      </c>
      <c r="W1020" s="15">
        <v>5</v>
      </c>
      <c r="X1020" s="15" t="s">
        <v>85</v>
      </c>
      <c r="Y1020" s="12">
        <f t="shared" si="31"/>
        <v>0.82899999999999996</v>
      </c>
      <c r="Z1020" s="15">
        <v>-0.434</v>
      </c>
    </row>
    <row r="1021" spans="1:26" x14ac:dyDescent="0.2">
      <c r="A1021" s="15" t="s">
        <v>76</v>
      </c>
      <c r="B1021" s="15">
        <v>3826.625</v>
      </c>
      <c r="C1021" s="15">
        <v>84.569000000000003</v>
      </c>
      <c r="D1021" s="15">
        <v>21.387</v>
      </c>
      <c r="E1021" s="15">
        <v>4.9169999999999998</v>
      </c>
      <c r="F1021" s="15">
        <v>170.45699999999999</v>
      </c>
      <c r="G1021" s="15">
        <v>2.75</v>
      </c>
      <c r="H1021" s="15">
        <v>7.6890000000000001</v>
      </c>
      <c r="I1021" s="15">
        <v>3.7949999999999999</v>
      </c>
      <c r="J1021" s="15">
        <v>99.915999999999997</v>
      </c>
      <c r="K1021" s="15">
        <v>137.54900000000001</v>
      </c>
      <c r="L1021" s="15">
        <v>0</v>
      </c>
      <c r="M1021" s="15">
        <v>0</v>
      </c>
      <c r="N1021" s="15">
        <v>100</v>
      </c>
      <c r="O1021" s="15">
        <v>0.44600000000000001</v>
      </c>
      <c r="P1021" s="15">
        <v>0.82799999999999996</v>
      </c>
      <c r="Q1021" s="15">
        <v>0.377</v>
      </c>
      <c r="R1021" s="15">
        <v>0.81799999999999995</v>
      </c>
      <c r="S1021" s="15">
        <v>0.26100000000000001</v>
      </c>
      <c r="T1021" s="15"/>
      <c r="U1021" s="15" t="s">
        <v>33</v>
      </c>
      <c r="V1021" s="15" t="s">
        <v>90</v>
      </c>
      <c r="W1021" s="15">
        <v>5</v>
      </c>
      <c r="X1021" s="15" t="s">
        <v>85</v>
      </c>
      <c r="Y1021" s="12">
        <f t="shared" si="31"/>
        <v>0.82299999999999995</v>
      </c>
      <c r="Z1021" s="15">
        <v>-0.38199999999999995</v>
      </c>
    </row>
    <row r="1022" spans="1:26" x14ac:dyDescent="0.2">
      <c r="A1022" s="15" t="s">
        <v>76</v>
      </c>
      <c r="B1022" s="15">
        <v>3826.75</v>
      </c>
      <c r="C1022" s="15">
        <v>82.119</v>
      </c>
      <c r="D1022" s="15">
        <v>21.385000000000002</v>
      </c>
      <c r="E1022" s="15">
        <v>5.0179999999999998</v>
      </c>
      <c r="F1022" s="15">
        <v>168.44300000000001</v>
      </c>
      <c r="G1022" s="15">
        <v>2.7610000000000001</v>
      </c>
      <c r="H1022" s="15">
        <v>7.2960000000000003</v>
      </c>
      <c r="I1022" s="15">
        <v>3.67</v>
      </c>
      <c r="J1022" s="15">
        <v>111.152</v>
      </c>
      <c r="K1022" s="15">
        <v>153.345</v>
      </c>
      <c r="L1022" s="15">
        <v>0</v>
      </c>
      <c r="M1022" s="15">
        <v>0</v>
      </c>
      <c r="N1022" s="15">
        <v>100</v>
      </c>
      <c r="O1022" s="15">
        <v>0.41</v>
      </c>
      <c r="P1022" s="15">
        <v>0.748</v>
      </c>
      <c r="Q1022" s="15">
        <v>0.34</v>
      </c>
      <c r="R1022" s="15">
        <v>0.84599999999999997</v>
      </c>
      <c r="S1022" s="15">
        <v>0.21099999999999999</v>
      </c>
      <c r="T1022" s="15"/>
      <c r="U1022" s="15" t="s">
        <v>33</v>
      </c>
      <c r="V1022" s="15" t="s">
        <v>90</v>
      </c>
      <c r="W1022" s="15">
        <v>5</v>
      </c>
      <c r="X1022" s="15" t="s">
        <v>85</v>
      </c>
      <c r="Y1022" s="12">
        <f t="shared" si="31"/>
        <v>0.75</v>
      </c>
      <c r="Z1022" s="15">
        <v>-0.33800000000000002</v>
      </c>
    </row>
    <row r="1023" spans="1:26" x14ac:dyDescent="0.2">
      <c r="A1023" s="15" t="s">
        <v>76</v>
      </c>
      <c r="B1023" s="15">
        <v>3826.875</v>
      </c>
      <c r="C1023" s="15">
        <v>68.528999999999996</v>
      </c>
      <c r="D1023" s="15">
        <v>21.38</v>
      </c>
      <c r="E1023" s="15">
        <v>5.093</v>
      </c>
      <c r="F1023" s="15">
        <v>166.548</v>
      </c>
      <c r="G1023" s="15">
        <v>2.758</v>
      </c>
      <c r="H1023" s="15">
        <v>7.0469999999999997</v>
      </c>
      <c r="I1023" s="15">
        <v>3.4660000000000002</v>
      </c>
      <c r="J1023" s="15">
        <v>127.14</v>
      </c>
      <c r="K1023" s="15">
        <v>176.29499999999999</v>
      </c>
      <c r="L1023" s="15">
        <v>0</v>
      </c>
      <c r="M1023" s="15">
        <v>0</v>
      </c>
      <c r="N1023" s="15">
        <v>100</v>
      </c>
      <c r="O1023" s="15">
        <v>0.317</v>
      </c>
      <c r="P1023" s="15">
        <v>0.628</v>
      </c>
      <c r="Q1023" s="15">
        <v>0.312</v>
      </c>
      <c r="R1023" s="15">
        <v>0.81799999999999995</v>
      </c>
      <c r="S1023" s="15">
        <v>0.17799999999999999</v>
      </c>
      <c r="T1023" s="15"/>
      <c r="U1023" s="15" t="s">
        <v>33</v>
      </c>
      <c r="V1023" s="15" t="s">
        <v>90</v>
      </c>
      <c r="W1023" s="15">
        <v>5</v>
      </c>
      <c r="X1023" s="15" t="s">
        <v>85</v>
      </c>
      <c r="Y1023" s="12">
        <f t="shared" si="31"/>
        <v>0.629</v>
      </c>
      <c r="Z1023" s="15">
        <v>-0.311</v>
      </c>
    </row>
    <row r="1024" spans="1:26" x14ac:dyDescent="0.2">
      <c r="A1024" s="15" t="s">
        <v>76</v>
      </c>
      <c r="B1024" s="15">
        <v>3827</v>
      </c>
      <c r="C1024" s="15">
        <v>52.86</v>
      </c>
      <c r="D1024" s="15">
        <v>21.388999999999999</v>
      </c>
      <c r="E1024" s="15">
        <v>4.7809999999999997</v>
      </c>
      <c r="F1024" s="15">
        <v>165.875</v>
      </c>
      <c r="G1024" s="15">
        <v>2.74</v>
      </c>
      <c r="H1024" s="15">
        <v>6.8639999999999999</v>
      </c>
      <c r="I1024" s="15">
        <v>3.2050000000000001</v>
      </c>
      <c r="J1024" s="15">
        <v>139.49299999999999</v>
      </c>
      <c r="K1024" s="15">
        <v>196.52600000000001</v>
      </c>
      <c r="L1024" s="15">
        <v>0</v>
      </c>
      <c r="M1024" s="15">
        <v>0</v>
      </c>
      <c r="N1024" s="15">
        <v>100</v>
      </c>
      <c r="O1024" s="15">
        <v>0.23599999999999999</v>
      </c>
      <c r="P1024" s="15">
        <v>0.48299999999999998</v>
      </c>
      <c r="Q1024" s="15">
        <v>0.312</v>
      </c>
      <c r="R1024" s="15">
        <v>0.73599999999999999</v>
      </c>
      <c r="S1024" s="15">
        <v>0.158</v>
      </c>
      <c r="T1024" s="15"/>
      <c r="U1024" s="15" t="s">
        <v>33</v>
      </c>
      <c r="V1024" s="15" t="s">
        <v>90</v>
      </c>
      <c r="W1024" s="15">
        <v>5</v>
      </c>
      <c r="X1024" s="15" t="s">
        <v>85</v>
      </c>
      <c r="Y1024" s="12">
        <f t="shared" si="31"/>
        <v>0.54800000000000004</v>
      </c>
      <c r="Z1024" s="15">
        <v>-0.247</v>
      </c>
    </row>
    <row r="1025" spans="1:26" x14ac:dyDescent="0.2">
      <c r="A1025" s="15" t="s">
        <v>76</v>
      </c>
      <c r="B1025" s="15">
        <v>3827.125</v>
      </c>
      <c r="C1025" s="15">
        <v>49.898000000000003</v>
      </c>
      <c r="D1025" s="15">
        <v>21.393999999999998</v>
      </c>
      <c r="E1025" s="15">
        <v>4.1829999999999998</v>
      </c>
      <c r="F1025" s="15">
        <v>167.70500000000001</v>
      </c>
      <c r="G1025" s="15">
        <v>2.71</v>
      </c>
      <c r="H1025" s="15">
        <v>6.8390000000000004</v>
      </c>
      <c r="I1025" s="15">
        <v>2.923</v>
      </c>
      <c r="J1025" s="15">
        <v>143.94900000000001</v>
      </c>
      <c r="K1025" s="15">
        <v>217.047</v>
      </c>
      <c r="L1025" s="15">
        <v>0</v>
      </c>
      <c r="M1025" s="15">
        <v>0</v>
      </c>
      <c r="N1025" s="15">
        <v>100</v>
      </c>
      <c r="O1025" s="15">
        <v>0.245</v>
      </c>
      <c r="P1025" s="15">
        <v>0.33200000000000002</v>
      </c>
      <c r="Q1025" s="15">
        <v>0.35699999999999998</v>
      </c>
      <c r="R1025" s="15">
        <v>0.61599999999999999</v>
      </c>
      <c r="S1025" s="15">
        <v>0.16200000000000001</v>
      </c>
      <c r="T1025" s="15"/>
      <c r="U1025" s="15" t="s">
        <v>33</v>
      </c>
      <c r="V1025" s="15" t="s">
        <v>90</v>
      </c>
      <c r="W1025" s="15">
        <v>5</v>
      </c>
      <c r="X1025" s="15" t="s">
        <v>85</v>
      </c>
      <c r="Y1025" s="12">
        <f t="shared" si="31"/>
        <v>0.60199999999999998</v>
      </c>
      <c r="Z1025" s="15">
        <v>-8.7000000000000022E-2</v>
      </c>
    </row>
    <row r="1026" spans="1:26" x14ac:dyDescent="0.2">
      <c r="A1026" s="15" t="s">
        <v>76</v>
      </c>
      <c r="B1026" s="15">
        <v>3827.25</v>
      </c>
      <c r="C1026" s="15">
        <v>62.896000000000001</v>
      </c>
      <c r="D1026" s="15">
        <v>21.443000000000001</v>
      </c>
      <c r="E1026" s="15">
        <v>3.7450000000000001</v>
      </c>
      <c r="F1026" s="15">
        <v>171.82400000000001</v>
      </c>
      <c r="G1026" s="15">
        <v>2.677</v>
      </c>
      <c r="H1026" s="15">
        <v>7.0030000000000001</v>
      </c>
      <c r="I1026" s="15">
        <v>2.6619999999999999</v>
      </c>
      <c r="J1026" s="15">
        <v>117.03100000000001</v>
      </c>
      <c r="K1026" s="15">
        <v>187.52500000000001</v>
      </c>
      <c r="L1026" s="15">
        <v>0</v>
      </c>
      <c r="M1026" s="15">
        <v>0</v>
      </c>
      <c r="N1026" s="15">
        <v>100</v>
      </c>
      <c r="O1026" s="15">
        <v>0.35599999999999998</v>
      </c>
      <c r="P1026" s="15">
        <v>0.19700000000000001</v>
      </c>
      <c r="Q1026" s="15">
        <v>0.441</v>
      </c>
      <c r="R1026" s="15">
        <v>0.48499999999999999</v>
      </c>
      <c r="S1026" s="15">
        <v>0.191</v>
      </c>
      <c r="T1026" s="15"/>
      <c r="U1026" s="15" t="s">
        <v>33</v>
      </c>
      <c r="V1026" s="15" t="s">
        <v>90</v>
      </c>
      <c r="W1026" s="15">
        <v>5</v>
      </c>
      <c r="X1026" s="15" t="s">
        <v>85</v>
      </c>
      <c r="Y1026" s="12">
        <f t="shared" si="31"/>
        <v>0.79699999999999993</v>
      </c>
      <c r="Z1026" s="15">
        <v>0.15899999999999997</v>
      </c>
    </row>
    <row r="1027" spans="1:26" x14ac:dyDescent="0.2">
      <c r="A1027" s="15" t="s">
        <v>76</v>
      </c>
      <c r="B1027" s="15">
        <v>3827.375</v>
      </c>
      <c r="C1027" s="15">
        <v>90.117000000000004</v>
      </c>
      <c r="D1027" s="15">
        <v>21.675000000000001</v>
      </c>
      <c r="E1027" s="15">
        <v>3.5409999999999999</v>
      </c>
      <c r="F1027" s="15">
        <v>177.608</v>
      </c>
      <c r="G1027" s="15">
        <v>2.641</v>
      </c>
      <c r="H1027" s="15">
        <v>7.3159999999999998</v>
      </c>
      <c r="I1027" s="15">
        <v>2.452</v>
      </c>
      <c r="J1027" s="15">
        <v>72.462000000000003</v>
      </c>
      <c r="K1027" s="15">
        <v>114.438</v>
      </c>
      <c r="L1027" s="15">
        <v>0</v>
      </c>
      <c r="M1027" s="15">
        <v>0</v>
      </c>
      <c r="N1027" s="15">
        <v>100</v>
      </c>
      <c r="O1027" s="15">
        <v>0.54100000000000004</v>
      </c>
      <c r="P1027" s="15">
        <v>9.1999999999999998E-2</v>
      </c>
      <c r="Q1027" s="15">
        <v>0.55100000000000005</v>
      </c>
      <c r="R1027" s="15">
        <v>0.34200000000000003</v>
      </c>
      <c r="S1027" s="15">
        <v>0.251</v>
      </c>
      <c r="T1027" s="15"/>
      <c r="U1027" s="15" t="s">
        <v>33</v>
      </c>
      <c r="V1027" s="15" t="s">
        <v>90</v>
      </c>
      <c r="W1027" s="15">
        <v>5</v>
      </c>
      <c r="X1027" s="15" t="s">
        <v>85</v>
      </c>
      <c r="Y1027" s="12">
        <f t="shared" ref="Y1027:Y1090" si="32">O1027+Q1027</f>
        <v>1.0920000000000001</v>
      </c>
      <c r="Z1027" s="15">
        <v>0.44900000000000007</v>
      </c>
    </row>
    <row r="1028" spans="1:26" x14ac:dyDescent="0.2">
      <c r="A1028" s="15" t="s">
        <v>77</v>
      </c>
      <c r="B1028" s="15">
        <v>3384.125</v>
      </c>
      <c r="C1028" s="15">
        <v>44.621000000000002</v>
      </c>
      <c r="D1028" s="15">
        <v>22.41</v>
      </c>
      <c r="E1028" s="15">
        <v>2.4820000000000002</v>
      </c>
      <c r="F1028" s="15">
        <v>164.09700000000001</v>
      </c>
      <c r="G1028" s="15">
        <v>2.79</v>
      </c>
      <c r="H1028" s="15">
        <v>4.673</v>
      </c>
      <c r="I1028" s="15">
        <v>3.1179999999999999</v>
      </c>
      <c r="J1028" s="15">
        <v>316.54300000000001</v>
      </c>
      <c r="K1028" s="15">
        <v>344.06799999999998</v>
      </c>
      <c r="L1028" s="15">
        <v>0</v>
      </c>
      <c r="M1028" s="15">
        <v>0</v>
      </c>
      <c r="N1028" s="15">
        <v>100</v>
      </c>
      <c r="O1028" s="15">
        <v>0.22</v>
      </c>
      <c r="P1028" s="15">
        <v>0.46100000000000002</v>
      </c>
      <c r="Q1028" s="15">
        <v>0.128</v>
      </c>
      <c r="R1028" s="15">
        <v>0.83899999999999997</v>
      </c>
      <c r="S1028" s="15">
        <v>0.48899999999999999</v>
      </c>
      <c r="T1028" s="15"/>
      <c r="U1028" s="15" t="s">
        <v>33</v>
      </c>
      <c r="V1028" s="15" t="s">
        <v>89</v>
      </c>
      <c r="W1028" s="15">
        <v>6</v>
      </c>
      <c r="X1028" s="15" t="s">
        <v>85</v>
      </c>
      <c r="Y1028" s="12">
        <f t="shared" si="32"/>
        <v>0.34799999999999998</v>
      </c>
      <c r="Z1028" s="15">
        <v>-0.24100000000000002</v>
      </c>
    </row>
    <row r="1029" spans="1:26" x14ac:dyDescent="0.2">
      <c r="A1029" s="15" t="s">
        <v>77</v>
      </c>
      <c r="B1029" s="15">
        <v>3384.25</v>
      </c>
      <c r="C1029" s="15">
        <v>51.505000000000003</v>
      </c>
      <c r="D1029" s="15">
        <v>22.364999999999998</v>
      </c>
      <c r="E1029" s="15">
        <v>2.802</v>
      </c>
      <c r="F1029" s="15">
        <v>166.04300000000001</v>
      </c>
      <c r="G1029" s="15">
        <v>2.786</v>
      </c>
      <c r="H1029" s="15">
        <v>4.7830000000000004</v>
      </c>
      <c r="I1029" s="15">
        <v>3.093</v>
      </c>
      <c r="J1029" s="15">
        <v>240.21899999999999</v>
      </c>
      <c r="K1029" s="15">
        <v>261.10700000000003</v>
      </c>
      <c r="L1029" s="15">
        <v>0</v>
      </c>
      <c r="M1029" s="15">
        <v>0</v>
      </c>
      <c r="N1029" s="15">
        <v>100</v>
      </c>
      <c r="O1029" s="15">
        <v>0.27</v>
      </c>
      <c r="P1029" s="15">
        <v>0.40899999999999997</v>
      </c>
      <c r="Q1029" s="15">
        <v>0.16900000000000001</v>
      </c>
      <c r="R1029" s="15">
        <v>0.82499999999999996</v>
      </c>
      <c r="S1029" s="15">
        <v>0.51300000000000001</v>
      </c>
      <c r="T1029" s="15"/>
      <c r="U1029" s="15" t="s">
        <v>33</v>
      </c>
      <c r="V1029" s="15" t="s">
        <v>89</v>
      </c>
      <c r="W1029" s="15">
        <v>6</v>
      </c>
      <c r="X1029" s="15" t="s">
        <v>85</v>
      </c>
      <c r="Y1029" s="12">
        <f t="shared" si="32"/>
        <v>0.43900000000000006</v>
      </c>
      <c r="Z1029" s="15">
        <v>-0.13899999999999996</v>
      </c>
    </row>
    <row r="1030" spans="1:26" x14ac:dyDescent="0.2">
      <c r="A1030" s="15" t="s">
        <v>77</v>
      </c>
      <c r="B1030" s="15">
        <v>3384.375</v>
      </c>
      <c r="C1030" s="15">
        <v>62.625999999999998</v>
      </c>
      <c r="D1030" s="15">
        <v>22.332999999999998</v>
      </c>
      <c r="E1030" s="15">
        <v>3.0649999999999999</v>
      </c>
      <c r="F1030" s="15">
        <v>168.065</v>
      </c>
      <c r="G1030" s="15">
        <v>2.78</v>
      </c>
      <c r="H1030" s="15">
        <v>4.907</v>
      </c>
      <c r="I1030" s="15">
        <v>3.081</v>
      </c>
      <c r="J1030" s="15">
        <v>161.815</v>
      </c>
      <c r="K1030" s="15">
        <v>175.886</v>
      </c>
      <c r="L1030" s="15">
        <v>0</v>
      </c>
      <c r="M1030" s="15">
        <v>0</v>
      </c>
      <c r="N1030" s="15">
        <v>100</v>
      </c>
      <c r="O1030" s="15">
        <v>0.35</v>
      </c>
      <c r="P1030" s="15">
        <v>0.33800000000000002</v>
      </c>
      <c r="Q1030" s="15">
        <v>0.21099999999999999</v>
      </c>
      <c r="R1030" s="15">
        <v>0.80500000000000005</v>
      </c>
      <c r="S1030" s="15">
        <v>0.53900000000000003</v>
      </c>
      <c r="T1030" s="15"/>
      <c r="U1030" s="15" t="s">
        <v>33</v>
      </c>
      <c r="V1030" s="15" t="s">
        <v>89</v>
      </c>
      <c r="W1030" s="15">
        <v>6</v>
      </c>
      <c r="X1030" s="15" t="s">
        <v>85</v>
      </c>
      <c r="Y1030" s="12">
        <f t="shared" si="32"/>
        <v>0.56099999999999994</v>
      </c>
      <c r="Z1030" s="15">
        <v>1.1999999999999955E-2</v>
      </c>
    </row>
    <row r="1031" spans="1:26" x14ac:dyDescent="0.2">
      <c r="A1031" s="15" t="s">
        <v>77</v>
      </c>
      <c r="B1031" s="15">
        <v>3384.875</v>
      </c>
      <c r="C1031" s="15">
        <v>76.126999999999995</v>
      </c>
      <c r="D1031" s="15">
        <v>22.327999999999999</v>
      </c>
      <c r="E1031" s="15">
        <v>3.15</v>
      </c>
      <c r="F1031" s="15">
        <v>172.334</v>
      </c>
      <c r="G1031" s="15">
        <v>2.7690000000000001</v>
      </c>
      <c r="H1031" s="15">
        <v>5.4279999999999999</v>
      </c>
      <c r="I1031" s="15">
        <v>3.1960000000000002</v>
      </c>
      <c r="J1031" s="15">
        <v>120.39</v>
      </c>
      <c r="K1031" s="15">
        <v>130.85900000000001</v>
      </c>
      <c r="L1031" s="15">
        <v>0</v>
      </c>
      <c r="M1031" s="15">
        <v>0</v>
      </c>
      <c r="N1031" s="15">
        <v>100</v>
      </c>
      <c r="O1031" s="15">
        <v>0.438</v>
      </c>
      <c r="P1031" s="15">
        <v>0.28599999999999998</v>
      </c>
      <c r="Q1031" s="15">
        <v>0.3</v>
      </c>
      <c r="R1031" s="15">
        <v>0.76900000000000002</v>
      </c>
      <c r="S1031" s="15">
        <v>0.64700000000000002</v>
      </c>
      <c r="T1031" s="15"/>
      <c r="U1031" s="15" t="s">
        <v>33</v>
      </c>
      <c r="V1031" s="15" t="s">
        <v>89</v>
      </c>
      <c r="W1031" s="15">
        <v>8</v>
      </c>
      <c r="X1031" s="15" t="s">
        <v>85</v>
      </c>
      <c r="Y1031" s="12">
        <f t="shared" si="32"/>
        <v>0.73799999999999999</v>
      </c>
      <c r="Z1031" s="15">
        <v>0.15200000000000002</v>
      </c>
    </row>
    <row r="1032" spans="1:26" x14ac:dyDescent="0.2">
      <c r="A1032" s="15" t="s">
        <v>77</v>
      </c>
      <c r="B1032" s="15">
        <v>3385</v>
      </c>
      <c r="C1032" s="15">
        <v>60.165999999999997</v>
      </c>
      <c r="D1032" s="15">
        <v>22.283000000000001</v>
      </c>
      <c r="E1032" s="15">
        <v>3.145</v>
      </c>
      <c r="F1032" s="15">
        <v>172.858</v>
      </c>
      <c r="G1032" s="15">
        <v>2.7770000000000001</v>
      </c>
      <c r="H1032" s="15">
        <v>5.2439999999999998</v>
      </c>
      <c r="I1032" s="15">
        <v>3.2530000000000001</v>
      </c>
      <c r="J1032" s="15">
        <v>140.298</v>
      </c>
      <c r="K1032" s="15">
        <v>152.49799999999999</v>
      </c>
      <c r="L1032" s="15">
        <v>0</v>
      </c>
      <c r="M1032" s="15">
        <v>0</v>
      </c>
      <c r="N1032" s="15">
        <v>100</v>
      </c>
      <c r="O1032" s="15">
        <v>0.32800000000000001</v>
      </c>
      <c r="P1032" s="15">
        <v>0.314</v>
      </c>
      <c r="Q1032" s="15">
        <v>0.311</v>
      </c>
      <c r="R1032" s="15">
        <v>0.79700000000000004</v>
      </c>
      <c r="S1032" s="15">
        <v>0.60599999999999998</v>
      </c>
      <c r="T1032" s="15"/>
      <c r="U1032" s="15" t="s">
        <v>33</v>
      </c>
      <c r="V1032" s="15" t="s">
        <v>89</v>
      </c>
      <c r="W1032" s="15">
        <v>8</v>
      </c>
      <c r="X1032" s="15" t="s">
        <v>85</v>
      </c>
      <c r="Y1032" s="12">
        <f t="shared" si="32"/>
        <v>0.63900000000000001</v>
      </c>
      <c r="Z1032" s="15">
        <v>1.4000000000000012E-2</v>
      </c>
    </row>
    <row r="1033" spans="1:26" x14ac:dyDescent="0.2">
      <c r="A1033" s="15" t="s">
        <v>77</v>
      </c>
      <c r="B1033" s="15">
        <v>3385.125</v>
      </c>
      <c r="C1033" s="15">
        <v>57.302</v>
      </c>
      <c r="D1033" s="15">
        <v>22.282</v>
      </c>
      <c r="E1033" s="15">
        <v>3.0329999999999999</v>
      </c>
      <c r="F1033" s="15">
        <v>173.49799999999999</v>
      </c>
      <c r="G1033" s="15">
        <v>2.7909999999999999</v>
      </c>
      <c r="H1033" s="15">
        <v>4.7880000000000003</v>
      </c>
      <c r="I1033" s="15">
        <v>3.3119999999999998</v>
      </c>
      <c r="J1033" s="15">
        <v>161.01</v>
      </c>
      <c r="K1033" s="15">
        <v>175.011</v>
      </c>
      <c r="L1033" s="15">
        <v>0</v>
      </c>
      <c r="M1033" s="15">
        <v>0</v>
      </c>
      <c r="N1033" s="15">
        <v>100</v>
      </c>
      <c r="O1033" s="15">
        <v>0.309</v>
      </c>
      <c r="P1033" s="15">
        <v>0.33900000000000002</v>
      </c>
      <c r="Q1033" s="15">
        <v>0.32500000000000001</v>
      </c>
      <c r="R1033" s="15">
        <v>0.84499999999999997</v>
      </c>
      <c r="S1033" s="15">
        <v>0.50900000000000001</v>
      </c>
      <c r="T1033" s="15"/>
      <c r="U1033" s="15" t="s">
        <v>33</v>
      </c>
      <c r="V1033" s="15" t="s">
        <v>89</v>
      </c>
      <c r="W1033" s="15">
        <v>8</v>
      </c>
      <c r="X1033" s="15" t="s">
        <v>85</v>
      </c>
      <c r="Y1033" s="12">
        <f t="shared" si="32"/>
        <v>0.63400000000000001</v>
      </c>
      <c r="Z1033" s="15">
        <v>-3.0000000000000027E-2</v>
      </c>
    </row>
    <row r="1034" spans="1:26" x14ac:dyDescent="0.2">
      <c r="A1034" s="15" t="s">
        <v>77</v>
      </c>
      <c r="B1034" s="15">
        <v>3385.25</v>
      </c>
      <c r="C1034" s="15">
        <v>59.363999999999997</v>
      </c>
      <c r="D1034" s="15">
        <v>22.295999999999999</v>
      </c>
      <c r="E1034" s="15">
        <v>2.7229999999999999</v>
      </c>
      <c r="F1034" s="15">
        <v>174.15899999999999</v>
      </c>
      <c r="G1034" s="15">
        <v>2.8079999999999998</v>
      </c>
      <c r="H1034" s="15">
        <v>4.157</v>
      </c>
      <c r="I1034" s="15">
        <v>3.3650000000000002</v>
      </c>
      <c r="J1034" s="15">
        <v>195.03399999999999</v>
      </c>
      <c r="K1034" s="15">
        <v>211.99299999999999</v>
      </c>
      <c r="L1034" s="15">
        <v>0</v>
      </c>
      <c r="M1034" s="15">
        <v>0</v>
      </c>
      <c r="N1034" s="15">
        <v>100</v>
      </c>
      <c r="O1034" s="15">
        <v>0.32300000000000001</v>
      </c>
      <c r="P1034" s="15">
        <v>0.374</v>
      </c>
      <c r="Q1034" s="15">
        <v>0.33800000000000002</v>
      </c>
      <c r="R1034" s="15">
        <v>0.90200000000000002</v>
      </c>
      <c r="S1034" s="15">
        <v>0.375</v>
      </c>
      <c r="T1034" s="15"/>
      <c r="U1034" s="15" t="s">
        <v>33</v>
      </c>
      <c r="V1034" s="15" t="s">
        <v>89</v>
      </c>
      <c r="W1034" s="15">
        <v>8</v>
      </c>
      <c r="X1034" s="15" t="s">
        <v>85</v>
      </c>
      <c r="Y1034" s="12">
        <f t="shared" si="32"/>
        <v>0.66100000000000003</v>
      </c>
      <c r="Z1034" s="15">
        <v>-5.099999999999999E-2</v>
      </c>
    </row>
    <row r="1035" spans="1:26" x14ac:dyDescent="0.2">
      <c r="A1035" s="15" t="s">
        <v>77</v>
      </c>
      <c r="B1035" s="15">
        <v>3385.375</v>
      </c>
      <c r="C1035" s="15">
        <v>58.609000000000002</v>
      </c>
      <c r="D1035" s="15">
        <v>22.308</v>
      </c>
      <c r="E1035" s="15">
        <v>2.4889999999999999</v>
      </c>
      <c r="F1035" s="15">
        <v>174.66300000000001</v>
      </c>
      <c r="G1035" s="15">
        <v>2.8210000000000002</v>
      </c>
      <c r="H1035" s="15">
        <v>3.4740000000000002</v>
      </c>
      <c r="I1035" s="15">
        <v>3.4049999999999998</v>
      </c>
      <c r="J1035" s="15">
        <v>213.07400000000001</v>
      </c>
      <c r="K1035" s="15">
        <v>231.602</v>
      </c>
      <c r="L1035" s="15">
        <v>0</v>
      </c>
      <c r="M1035" s="15">
        <v>0</v>
      </c>
      <c r="N1035" s="15">
        <v>100</v>
      </c>
      <c r="O1035" s="15">
        <v>0.316</v>
      </c>
      <c r="P1035" s="15">
        <v>0.39</v>
      </c>
      <c r="Q1035" s="15">
        <v>0.34899999999999998</v>
      </c>
      <c r="R1035" s="15">
        <v>0.94499999999999995</v>
      </c>
      <c r="S1035" s="15">
        <v>0.23200000000000001</v>
      </c>
      <c r="T1035" s="15"/>
      <c r="U1035" s="15" t="s">
        <v>33</v>
      </c>
      <c r="V1035" s="15" t="s">
        <v>89</v>
      </c>
      <c r="W1035" s="15">
        <v>8</v>
      </c>
      <c r="X1035" s="15" t="s">
        <v>85</v>
      </c>
      <c r="Y1035" s="12">
        <f t="shared" si="32"/>
        <v>0.66500000000000004</v>
      </c>
      <c r="Z1035" s="15">
        <v>-7.400000000000001E-2</v>
      </c>
    </row>
    <row r="1036" spans="1:26" x14ac:dyDescent="0.2">
      <c r="A1036" s="15" t="s">
        <v>77</v>
      </c>
      <c r="B1036" s="15">
        <v>3385.5</v>
      </c>
      <c r="C1036" s="15">
        <v>52.784999999999997</v>
      </c>
      <c r="D1036" s="15">
        <v>22.315000000000001</v>
      </c>
      <c r="E1036" s="15">
        <v>2.2349999999999999</v>
      </c>
      <c r="F1036" s="15">
        <v>174.84299999999999</v>
      </c>
      <c r="G1036" s="15">
        <v>2.8210000000000002</v>
      </c>
      <c r="H1036" s="15">
        <v>2.8860000000000001</v>
      </c>
      <c r="I1036" s="15">
        <v>3.4260000000000002</v>
      </c>
      <c r="J1036" s="15">
        <v>213.31399999999999</v>
      </c>
      <c r="K1036" s="15">
        <v>231.863</v>
      </c>
      <c r="L1036" s="15">
        <v>0</v>
      </c>
      <c r="M1036" s="15">
        <v>0</v>
      </c>
      <c r="N1036" s="15">
        <v>100</v>
      </c>
      <c r="O1036" s="15">
        <v>0.27500000000000002</v>
      </c>
      <c r="P1036" s="15">
        <v>0.39</v>
      </c>
      <c r="Q1036" s="15">
        <v>0.35199999999999998</v>
      </c>
      <c r="R1036" s="15">
        <v>0.94399999999999995</v>
      </c>
      <c r="S1036" s="15">
        <v>0.11</v>
      </c>
      <c r="T1036" s="15"/>
      <c r="U1036" s="15" t="s">
        <v>33</v>
      </c>
      <c r="V1036" s="15" t="s">
        <v>89</v>
      </c>
      <c r="W1036" s="15">
        <v>8</v>
      </c>
      <c r="X1036" s="15" t="s">
        <v>85</v>
      </c>
      <c r="Y1036" s="12">
        <f t="shared" si="32"/>
        <v>0.627</v>
      </c>
      <c r="Z1036" s="15">
        <v>-0.11499999999999999</v>
      </c>
    </row>
    <row r="1037" spans="1:26" x14ac:dyDescent="0.2">
      <c r="A1037" s="15" t="s">
        <v>77</v>
      </c>
      <c r="B1037" s="15">
        <v>3385.625</v>
      </c>
      <c r="C1037" s="15">
        <v>48.02</v>
      </c>
      <c r="D1037" s="15">
        <v>22.308</v>
      </c>
      <c r="E1037" s="15">
        <v>2.1259999999999999</v>
      </c>
      <c r="F1037" s="15">
        <v>174.65799999999999</v>
      </c>
      <c r="G1037" s="15">
        <v>2.8039999999999998</v>
      </c>
      <c r="H1037" s="15">
        <v>2.5640000000000001</v>
      </c>
      <c r="I1037" s="15">
        <v>3.4119999999999999</v>
      </c>
      <c r="J1037" s="15">
        <v>221.12299999999999</v>
      </c>
      <c r="K1037" s="15">
        <v>240.351</v>
      </c>
      <c r="L1037" s="15">
        <v>0</v>
      </c>
      <c r="M1037" s="15">
        <v>0</v>
      </c>
      <c r="N1037" s="15">
        <v>100</v>
      </c>
      <c r="O1037" s="15">
        <v>0.24199999999999999</v>
      </c>
      <c r="P1037" s="15">
        <v>0.39600000000000002</v>
      </c>
      <c r="Q1037" s="15">
        <v>0.34899999999999998</v>
      </c>
      <c r="R1037" s="15">
        <v>0.88500000000000001</v>
      </c>
      <c r="S1037" s="15">
        <v>4.3999999999999997E-2</v>
      </c>
      <c r="T1037" s="15"/>
      <c r="U1037" s="15" t="s">
        <v>33</v>
      </c>
      <c r="V1037" s="15" t="s">
        <v>89</v>
      </c>
      <c r="W1037" s="15">
        <v>8</v>
      </c>
      <c r="X1037" s="15" t="s">
        <v>85</v>
      </c>
      <c r="Y1037" s="12">
        <f t="shared" si="32"/>
        <v>0.59099999999999997</v>
      </c>
      <c r="Z1037" s="15">
        <v>-0.15400000000000003</v>
      </c>
    </row>
    <row r="1038" spans="1:26" x14ac:dyDescent="0.2">
      <c r="A1038" s="15" t="s">
        <v>77</v>
      </c>
      <c r="B1038" s="15">
        <v>3385.75</v>
      </c>
      <c r="C1038" s="15">
        <v>46.514000000000003</v>
      </c>
      <c r="D1038" s="15">
        <v>22.271000000000001</v>
      </c>
      <c r="E1038" s="15">
        <v>2.1190000000000002</v>
      </c>
      <c r="F1038" s="15">
        <v>174.48</v>
      </c>
      <c r="G1038" s="15">
        <v>2.786</v>
      </c>
      <c r="H1038" s="15">
        <v>2.5329999999999999</v>
      </c>
      <c r="I1038" s="15">
        <v>3.3660000000000001</v>
      </c>
      <c r="J1038" s="15">
        <v>207.02099999999999</v>
      </c>
      <c r="K1038" s="15">
        <v>225.023</v>
      </c>
      <c r="L1038" s="15">
        <v>0</v>
      </c>
      <c r="M1038" s="15">
        <v>0</v>
      </c>
      <c r="N1038" s="15">
        <v>100</v>
      </c>
      <c r="O1038" s="15">
        <v>0.23200000000000001</v>
      </c>
      <c r="P1038" s="15">
        <v>0.38400000000000001</v>
      </c>
      <c r="Q1038" s="15">
        <v>0.34499999999999997</v>
      </c>
      <c r="R1038" s="15">
        <v>0.82399999999999995</v>
      </c>
      <c r="S1038" s="15">
        <v>3.9E-2</v>
      </c>
      <c r="T1038" s="15"/>
      <c r="U1038" s="15" t="s">
        <v>33</v>
      </c>
      <c r="V1038" s="15" t="s">
        <v>89</v>
      </c>
      <c r="W1038" s="15">
        <v>8</v>
      </c>
      <c r="X1038" s="15" t="s">
        <v>85</v>
      </c>
      <c r="Y1038" s="12">
        <f t="shared" si="32"/>
        <v>0.57699999999999996</v>
      </c>
      <c r="Z1038" s="15">
        <v>-0.152</v>
      </c>
    </row>
    <row r="1039" spans="1:26" x14ac:dyDescent="0.2">
      <c r="A1039" s="15" t="s">
        <v>77</v>
      </c>
      <c r="B1039" s="15">
        <v>3385.875</v>
      </c>
      <c r="C1039" s="15">
        <v>48.444000000000003</v>
      </c>
      <c r="D1039" s="15">
        <v>22.22</v>
      </c>
      <c r="E1039" s="15">
        <v>2.0019999999999998</v>
      </c>
      <c r="F1039" s="15">
        <v>174.85900000000001</v>
      </c>
      <c r="G1039" s="15">
        <v>2.7650000000000001</v>
      </c>
      <c r="H1039" s="15">
        <v>2.7770000000000001</v>
      </c>
      <c r="I1039" s="15">
        <v>3.3069999999999999</v>
      </c>
      <c r="J1039" s="15">
        <v>176.75399999999999</v>
      </c>
      <c r="K1039" s="15">
        <v>192.12299999999999</v>
      </c>
      <c r="L1039" s="15">
        <v>0</v>
      </c>
      <c r="M1039" s="15">
        <v>0</v>
      </c>
      <c r="N1039" s="15">
        <v>100</v>
      </c>
      <c r="O1039" s="15">
        <v>0.247</v>
      </c>
      <c r="P1039" s="15">
        <v>0.35499999999999998</v>
      </c>
      <c r="Q1039" s="15">
        <v>0.35399999999999998</v>
      </c>
      <c r="R1039" s="15">
        <v>0.751</v>
      </c>
      <c r="S1039" s="15">
        <v>9.1999999999999998E-2</v>
      </c>
      <c r="T1039" s="15"/>
      <c r="U1039" s="15" t="s">
        <v>33</v>
      </c>
      <c r="V1039" s="15" t="s">
        <v>89</v>
      </c>
      <c r="W1039" s="15">
        <v>8</v>
      </c>
      <c r="X1039" s="15" t="s">
        <v>85</v>
      </c>
      <c r="Y1039" s="12">
        <f t="shared" si="32"/>
        <v>0.60099999999999998</v>
      </c>
      <c r="Z1039" s="15">
        <v>-0.10799999999999998</v>
      </c>
    </row>
    <row r="1040" spans="1:26" x14ac:dyDescent="0.2">
      <c r="A1040" s="15" t="s">
        <v>77</v>
      </c>
      <c r="B1040" s="15">
        <v>3386</v>
      </c>
      <c r="C1040" s="15">
        <v>52.735999999999997</v>
      </c>
      <c r="D1040" s="15">
        <v>22.183</v>
      </c>
      <c r="E1040" s="15">
        <v>2.0550000000000002</v>
      </c>
      <c r="F1040" s="15">
        <v>176.46299999999999</v>
      </c>
      <c r="G1040" s="15">
        <v>2.7370000000000001</v>
      </c>
      <c r="H1040" s="15">
        <v>3.242</v>
      </c>
      <c r="I1040" s="15">
        <v>3.2570000000000001</v>
      </c>
      <c r="J1040" s="15">
        <v>155.309</v>
      </c>
      <c r="K1040" s="15">
        <v>168.81399999999999</v>
      </c>
      <c r="L1040" s="15">
        <v>0</v>
      </c>
      <c r="M1040" s="15">
        <v>0</v>
      </c>
      <c r="N1040" s="15">
        <v>100</v>
      </c>
      <c r="O1040" s="15">
        <v>0.27700000000000002</v>
      </c>
      <c r="P1040" s="15">
        <v>0.33200000000000002</v>
      </c>
      <c r="Q1040" s="15">
        <v>0.38900000000000001</v>
      </c>
      <c r="R1040" s="15">
        <v>0.65500000000000003</v>
      </c>
      <c r="S1040" s="15">
        <v>0.191</v>
      </c>
      <c r="T1040" s="15"/>
      <c r="U1040" s="15" t="s">
        <v>33</v>
      </c>
      <c r="V1040" s="15" t="s">
        <v>89</v>
      </c>
      <c r="W1040" s="15">
        <v>8</v>
      </c>
      <c r="X1040" s="15" t="s">
        <v>85</v>
      </c>
      <c r="Y1040" s="12">
        <f t="shared" si="32"/>
        <v>0.66600000000000004</v>
      </c>
      <c r="Z1040" s="15">
        <v>-5.4999999999999993E-2</v>
      </c>
    </row>
    <row r="1041" spans="1:26" x14ac:dyDescent="0.2">
      <c r="A1041" s="15" t="s">
        <v>77</v>
      </c>
      <c r="B1041" s="15">
        <v>3386.125</v>
      </c>
      <c r="C1041" s="15">
        <v>56.134999999999998</v>
      </c>
      <c r="D1041" s="15">
        <v>22.164000000000001</v>
      </c>
      <c r="E1041" s="15">
        <v>2.46</v>
      </c>
      <c r="F1041" s="15">
        <v>180.18799999999999</v>
      </c>
      <c r="G1041" s="15">
        <v>2.7040000000000002</v>
      </c>
      <c r="H1041" s="15">
        <v>3.88</v>
      </c>
      <c r="I1041" s="15">
        <v>3.2280000000000002</v>
      </c>
      <c r="J1041" s="15">
        <v>155.43899999999999</v>
      </c>
      <c r="K1041" s="15">
        <v>168.95599999999999</v>
      </c>
      <c r="L1041" s="15">
        <v>0</v>
      </c>
      <c r="M1041" s="15">
        <v>0</v>
      </c>
      <c r="N1041" s="15">
        <v>100</v>
      </c>
      <c r="O1041" s="15">
        <v>0.30099999999999999</v>
      </c>
      <c r="P1041" s="15">
        <v>0.33100000000000002</v>
      </c>
      <c r="Q1041" s="15">
        <v>0.46899999999999997</v>
      </c>
      <c r="R1041" s="15">
        <v>0.54200000000000004</v>
      </c>
      <c r="S1041" s="15">
        <v>0.32600000000000001</v>
      </c>
      <c r="T1041" s="15"/>
      <c r="U1041" s="15" t="s">
        <v>33</v>
      </c>
      <c r="V1041" s="15" t="s">
        <v>89</v>
      </c>
      <c r="W1041" s="15">
        <v>8</v>
      </c>
      <c r="X1041" s="15" t="s">
        <v>85</v>
      </c>
      <c r="Y1041" s="12">
        <f t="shared" si="32"/>
        <v>0.77</v>
      </c>
      <c r="Z1041" s="15">
        <v>-3.0000000000000027E-2</v>
      </c>
    </row>
    <row r="1042" spans="1:26" x14ac:dyDescent="0.2">
      <c r="A1042" s="15" t="s">
        <v>77</v>
      </c>
      <c r="B1042" s="15">
        <v>3386.25</v>
      </c>
      <c r="C1042" s="15">
        <v>60.235999999999997</v>
      </c>
      <c r="D1042" s="15">
        <v>22.15</v>
      </c>
      <c r="E1042" s="15">
        <v>2.9929999999999999</v>
      </c>
      <c r="F1042" s="15">
        <v>185.78700000000001</v>
      </c>
      <c r="G1042" s="15">
        <v>2.6669999999999998</v>
      </c>
      <c r="H1042" s="15">
        <v>4.5970000000000004</v>
      </c>
      <c r="I1042" s="15">
        <v>3.2109999999999999</v>
      </c>
      <c r="J1042" s="15">
        <v>139.47200000000001</v>
      </c>
      <c r="K1042" s="15">
        <v>151.6</v>
      </c>
      <c r="L1042" s="15">
        <v>0</v>
      </c>
      <c r="M1042" s="15">
        <v>0</v>
      </c>
      <c r="N1042" s="15">
        <v>100</v>
      </c>
      <c r="O1042" s="15">
        <v>0.33200000000000002</v>
      </c>
      <c r="P1042" s="15">
        <v>0.309</v>
      </c>
      <c r="Q1042" s="15">
        <v>0.58699999999999997</v>
      </c>
      <c r="R1042" s="15">
        <v>0.41599999999999998</v>
      </c>
      <c r="S1042" s="15">
        <v>0.47799999999999998</v>
      </c>
      <c r="T1042" s="15"/>
      <c r="U1042" s="15" t="s">
        <v>33</v>
      </c>
      <c r="V1042" s="15" t="s">
        <v>89</v>
      </c>
      <c r="W1042" s="15">
        <v>8</v>
      </c>
      <c r="X1042" s="15" t="s">
        <v>85</v>
      </c>
      <c r="Y1042" s="12">
        <f t="shared" si="32"/>
        <v>0.91900000000000004</v>
      </c>
      <c r="Z1042" s="15">
        <v>2.300000000000002E-2</v>
      </c>
    </row>
    <row r="1043" spans="1:26" x14ac:dyDescent="0.2">
      <c r="A1043" s="15" t="s">
        <v>77</v>
      </c>
      <c r="B1043" s="15">
        <v>3386.375</v>
      </c>
      <c r="C1043" s="15">
        <v>70.930000000000007</v>
      </c>
      <c r="D1043" s="15">
        <v>22.152000000000001</v>
      </c>
      <c r="E1043" s="15">
        <v>3.7</v>
      </c>
      <c r="F1043" s="15">
        <v>192.62700000000001</v>
      </c>
      <c r="G1043" s="15">
        <v>2.63</v>
      </c>
      <c r="H1043" s="15">
        <v>5.3479999999999999</v>
      </c>
      <c r="I1043" s="15">
        <v>3.202</v>
      </c>
      <c r="J1043" s="15">
        <v>85.210999999999999</v>
      </c>
      <c r="K1043" s="15">
        <v>92.62</v>
      </c>
      <c r="L1043" s="15">
        <v>0</v>
      </c>
      <c r="M1043" s="15">
        <v>0</v>
      </c>
      <c r="N1043" s="15">
        <v>100</v>
      </c>
      <c r="O1043" s="15">
        <v>0.41099999999999998</v>
      </c>
      <c r="P1043" s="15">
        <v>0.219</v>
      </c>
      <c r="Q1043" s="15">
        <v>0.73099999999999998</v>
      </c>
      <c r="R1043" s="15">
        <v>0.28999999999999998</v>
      </c>
      <c r="S1043" s="15">
        <v>0.63600000000000001</v>
      </c>
      <c r="T1043" s="15"/>
      <c r="U1043" s="15" t="s">
        <v>33</v>
      </c>
      <c r="V1043" s="15" t="s">
        <v>89</v>
      </c>
      <c r="W1043" s="15">
        <v>8</v>
      </c>
      <c r="X1043" s="15" t="s">
        <v>85</v>
      </c>
      <c r="Y1043" s="12">
        <f t="shared" si="32"/>
        <v>1.1419999999999999</v>
      </c>
      <c r="Z1043" s="15">
        <v>0.19199999999999998</v>
      </c>
    </row>
    <row r="1044" spans="1:26" x14ac:dyDescent="0.2">
      <c r="A1044" s="15" t="s">
        <v>82</v>
      </c>
      <c r="B1044" s="15">
        <v>3855.875</v>
      </c>
      <c r="C1044" s="15">
        <v>31.140999999999998</v>
      </c>
      <c r="D1044" s="15">
        <v>22.103999999999999</v>
      </c>
      <c r="E1044" s="15">
        <v>1.5509999999999999</v>
      </c>
      <c r="F1044" s="15">
        <v>173.06100000000001</v>
      </c>
      <c r="G1044" s="15">
        <v>2.7029999999999998</v>
      </c>
      <c r="H1044" s="15">
        <v>4.26</v>
      </c>
      <c r="I1044" s="15">
        <v>3.105</v>
      </c>
      <c r="J1044" s="15">
        <v>87.927000000000007</v>
      </c>
      <c r="K1044" s="15">
        <v>121.27500000000001</v>
      </c>
      <c r="L1044" s="15">
        <v>0</v>
      </c>
      <c r="M1044" s="15">
        <v>0</v>
      </c>
      <c r="N1044" s="15">
        <v>100</v>
      </c>
      <c r="O1044" s="15">
        <v>0.108</v>
      </c>
      <c r="P1044" s="15">
        <v>0.67500000000000004</v>
      </c>
      <c r="Q1044" s="15">
        <v>0.247</v>
      </c>
      <c r="R1044" s="15">
        <v>0.27</v>
      </c>
      <c r="S1044" s="15">
        <v>2.9000000000000001E-2</v>
      </c>
      <c r="T1044" s="15"/>
      <c r="U1044" s="15" t="s">
        <v>22</v>
      </c>
      <c r="V1044" s="15" t="s">
        <v>90</v>
      </c>
      <c r="W1044" s="15">
        <v>5</v>
      </c>
      <c r="X1044" s="15" t="s">
        <v>85</v>
      </c>
      <c r="Y1044" s="12">
        <f t="shared" si="32"/>
        <v>0.35499999999999998</v>
      </c>
      <c r="Z1044" s="15">
        <v>-0.56700000000000006</v>
      </c>
    </row>
    <row r="1045" spans="1:26" x14ac:dyDescent="0.2">
      <c r="A1045" s="15" t="s">
        <v>82</v>
      </c>
      <c r="B1045" s="15">
        <v>3856</v>
      </c>
      <c r="C1045" s="15">
        <v>33.841999999999999</v>
      </c>
      <c r="D1045" s="15">
        <v>22.033999999999999</v>
      </c>
      <c r="E1045" s="15">
        <v>1.431</v>
      </c>
      <c r="F1045" s="15">
        <v>176.08799999999999</v>
      </c>
      <c r="G1045" s="15">
        <v>2.698</v>
      </c>
      <c r="H1045" s="15">
        <v>4.0960000000000001</v>
      </c>
      <c r="I1045" s="15">
        <v>3.129</v>
      </c>
      <c r="J1045" s="15">
        <v>70.899000000000001</v>
      </c>
      <c r="K1045" s="15">
        <v>96.120999999999995</v>
      </c>
      <c r="L1045" s="15">
        <v>0</v>
      </c>
      <c r="M1045" s="15">
        <v>0</v>
      </c>
      <c r="N1045" s="15">
        <v>100</v>
      </c>
      <c r="O1045" s="15">
        <v>0.128</v>
      </c>
      <c r="P1045" s="15">
        <v>0.71799999999999997</v>
      </c>
      <c r="Q1045" s="15">
        <v>0.28699999999999998</v>
      </c>
      <c r="R1045" s="15">
        <v>0.24399999999999999</v>
      </c>
      <c r="S1045" s="15">
        <v>8.0000000000000002E-3</v>
      </c>
      <c r="T1045" s="15"/>
      <c r="U1045" s="15" t="s">
        <v>22</v>
      </c>
      <c r="V1045" s="15" t="s">
        <v>90</v>
      </c>
      <c r="W1045" s="15">
        <v>5</v>
      </c>
      <c r="X1045" s="15" t="s">
        <v>85</v>
      </c>
      <c r="Y1045" s="12">
        <f t="shared" si="32"/>
        <v>0.41499999999999998</v>
      </c>
      <c r="Z1045" s="15">
        <v>-0.59</v>
      </c>
    </row>
    <row r="1046" spans="1:26" x14ac:dyDescent="0.2">
      <c r="A1046" s="15" t="s">
        <v>82</v>
      </c>
      <c r="B1046" s="15">
        <v>3856.125</v>
      </c>
      <c r="C1046" s="15">
        <v>36.167999999999999</v>
      </c>
      <c r="D1046" s="15">
        <v>21.881</v>
      </c>
      <c r="E1046" s="15">
        <v>1.321</v>
      </c>
      <c r="F1046" s="15">
        <v>179.90899999999999</v>
      </c>
      <c r="G1046" s="15">
        <v>2.698</v>
      </c>
      <c r="H1046" s="15">
        <v>4.0519999999999996</v>
      </c>
      <c r="I1046" s="15">
        <v>3.1709999999999998</v>
      </c>
      <c r="J1046" s="15">
        <v>60.149000000000001</v>
      </c>
      <c r="K1046" s="15">
        <v>80.128</v>
      </c>
      <c r="L1046" s="15">
        <v>0</v>
      </c>
      <c r="M1046" s="15">
        <v>0</v>
      </c>
      <c r="N1046" s="15">
        <v>100</v>
      </c>
      <c r="O1046" s="15">
        <v>0.14699999999999999</v>
      </c>
      <c r="P1046" s="15">
        <v>0.79300000000000004</v>
      </c>
      <c r="Q1046" s="15">
        <v>0.33900000000000002</v>
      </c>
      <c r="R1046" s="15">
        <v>0.24099999999999999</v>
      </c>
      <c r="S1046" s="15">
        <v>1E-3</v>
      </c>
      <c r="T1046" s="15"/>
      <c r="U1046" s="15" t="s">
        <v>22</v>
      </c>
      <c r="V1046" s="15" t="s">
        <v>90</v>
      </c>
      <c r="W1046" s="15">
        <v>5</v>
      </c>
      <c r="X1046" s="15" t="s">
        <v>85</v>
      </c>
      <c r="Y1046" s="12">
        <f t="shared" si="32"/>
        <v>0.48599999999999999</v>
      </c>
      <c r="Z1046" s="15">
        <v>-0.64600000000000002</v>
      </c>
    </row>
    <row r="1047" spans="1:26" x14ac:dyDescent="0.2">
      <c r="A1047" s="15" t="s">
        <v>82</v>
      </c>
      <c r="B1047" s="15">
        <v>3856.25</v>
      </c>
      <c r="C1047" s="15">
        <v>37.691000000000003</v>
      </c>
      <c r="D1047" s="15">
        <v>21.827000000000002</v>
      </c>
      <c r="E1047" s="15">
        <v>1.2470000000000001</v>
      </c>
      <c r="F1047" s="15">
        <v>183.8</v>
      </c>
      <c r="G1047" s="15">
        <v>2.6989999999999998</v>
      </c>
      <c r="H1047" s="15">
        <v>4.2750000000000004</v>
      </c>
      <c r="I1047" s="15">
        <v>3.21</v>
      </c>
      <c r="J1047" s="15">
        <v>52.756</v>
      </c>
      <c r="K1047" s="15">
        <v>69.156999999999996</v>
      </c>
      <c r="L1047" s="15">
        <v>0</v>
      </c>
      <c r="M1047" s="15">
        <v>0</v>
      </c>
      <c r="N1047" s="15">
        <v>100</v>
      </c>
      <c r="O1047" s="15">
        <v>0.16</v>
      </c>
      <c r="P1047" s="15">
        <v>0.86599999999999999</v>
      </c>
      <c r="Q1047" s="15">
        <v>0.39300000000000002</v>
      </c>
      <c r="R1047" s="15">
        <v>0.246</v>
      </c>
      <c r="S1047" s="15">
        <v>2.5999999999999999E-2</v>
      </c>
      <c r="T1047" s="15"/>
      <c r="U1047" s="15" t="s">
        <v>22</v>
      </c>
      <c r="V1047" s="15" t="s">
        <v>90</v>
      </c>
      <c r="W1047" s="15">
        <v>5</v>
      </c>
      <c r="X1047" s="15" t="s">
        <v>85</v>
      </c>
      <c r="Y1047" s="12">
        <f t="shared" si="32"/>
        <v>0.55300000000000005</v>
      </c>
      <c r="Z1047" s="15">
        <v>-0.70599999999999996</v>
      </c>
    </row>
    <row r="1048" spans="1:26" x14ac:dyDescent="0.2">
      <c r="A1048" s="15" t="s">
        <v>82</v>
      </c>
      <c r="B1048" s="15">
        <v>3856.375</v>
      </c>
      <c r="C1048" s="15">
        <v>39.061999999999998</v>
      </c>
      <c r="D1048" s="15">
        <v>21.888000000000002</v>
      </c>
      <c r="E1048" s="15">
        <v>1.2130000000000001</v>
      </c>
      <c r="F1048" s="15">
        <v>186.99700000000001</v>
      </c>
      <c r="G1048" s="15">
        <v>2.6989999999999998</v>
      </c>
      <c r="H1048" s="15">
        <v>4.8129999999999997</v>
      </c>
      <c r="I1048" s="15">
        <v>3.2360000000000002</v>
      </c>
      <c r="J1048" s="15">
        <v>48.679000000000002</v>
      </c>
      <c r="K1048" s="15">
        <v>62.947000000000003</v>
      </c>
      <c r="L1048" s="15">
        <v>0</v>
      </c>
      <c r="M1048" s="15">
        <v>0</v>
      </c>
      <c r="N1048" s="15">
        <v>100</v>
      </c>
      <c r="O1048" s="15">
        <v>0.17199999999999999</v>
      </c>
      <c r="P1048" s="15">
        <v>0.91700000000000004</v>
      </c>
      <c r="Q1048" s="15">
        <v>0.438</v>
      </c>
      <c r="R1048" s="15">
        <v>0.246</v>
      </c>
      <c r="S1048" s="15">
        <v>9.1999999999999998E-2</v>
      </c>
      <c r="T1048" s="15"/>
      <c r="U1048" s="15" t="s">
        <v>22</v>
      </c>
      <c r="V1048" s="15" t="s">
        <v>90</v>
      </c>
      <c r="W1048" s="15">
        <v>5</v>
      </c>
      <c r="X1048" s="15" t="s">
        <v>85</v>
      </c>
      <c r="Y1048" s="12">
        <f t="shared" si="32"/>
        <v>0.61</v>
      </c>
      <c r="Z1048" s="15">
        <v>-0.74500000000000011</v>
      </c>
    </row>
    <row r="1049" spans="1:26" x14ac:dyDescent="0.2">
      <c r="A1049" s="15" t="s">
        <v>82</v>
      </c>
      <c r="B1049" s="15">
        <v>3856.5</v>
      </c>
      <c r="C1049" s="15">
        <v>40.097999999999999</v>
      </c>
      <c r="D1049" s="15">
        <v>21.914000000000001</v>
      </c>
      <c r="E1049" s="15">
        <v>1.2130000000000001</v>
      </c>
      <c r="F1049" s="15">
        <v>188.834</v>
      </c>
      <c r="G1049" s="15">
        <v>2.694</v>
      </c>
      <c r="H1049" s="15">
        <v>5.5149999999999997</v>
      </c>
      <c r="I1049" s="15">
        <v>3.2519999999999998</v>
      </c>
      <c r="J1049" s="15">
        <v>47.918999999999997</v>
      </c>
      <c r="K1049" s="15">
        <v>61.2</v>
      </c>
      <c r="L1049" s="15">
        <v>0.11</v>
      </c>
      <c r="M1049" s="15">
        <v>0</v>
      </c>
      <c r="N1049" s="15">
        <v>99.667000000000002</v>
      </c>
      <c r="O1049" s="15">
        <v>0.18</v>
      </c>
      <c r="P1049" s="15">
        <v>0.94799999999999995</v>
      </c>
      <c r="Q1049" s="15">
        <v>0.46500000000000002</v>
      </c>
      <c r="R1049" s="15">
        <v>0.223</v>
      </c>
      <c r="S1049" s="15">
        <v>0.182</v>
      </c>
      <c r="T1049" s="15"/>
      <c r="U1049" s="15" t="s">
        <v>22</v>
      </c>
      <c r="V1049" s="15" t="s">
        <v>90</v>
      </c>
      <c r="W1049" s="15">
        <v>5</v>
      </c>
      <c r="X1049" s="15" t="s">
        <v>85</v>
      </c>
      <c r="Y1049" s="12">
        <f t="shared" si="32"/>
        <v>0.64500000000000002</v>
      </c>
      <c r="Z1049" s="15">
        <v>-0.76800000000000002</v>
      </c>
    </row>
    <row r="1050" spans="1:26" x14ac:dyDescent="0.2">
      <c r="A1050" s="15" t="s">
        <v>82</v>
      </c>
      <c r="B1050" s="15">
        <v>3856.625</v>
      </c>
      <c r="C1050" s="15">
        <v>39.298000000000002</v>
      </c>
      <c r="D1050" s="15">
        <v>21.873999999999999</v>
      </c>
      <c r="E1050" s="15">
        <v>1.2569999999999999</v>
      </c>
      <c r="F1050" s="15">
        <v>188.67599999999999</v>
      </c>
      <c r="G1050" s="15">
        <v>2.6840000000000002</v>
      </c>
      <c r="H1050" s="15">
        <v>6.1</v>
      </c>
      <c r="I1050" s="15">
        <v>3.2589999999999999</v>
      </c>
      <c r="J1050" s="15">
        <v>50.124000000000002</v>
      </c>
      <c r="K1050" s="15">
        <v>63.384</v>
      </c>
      <c r="L1050" s="15">
        <v>1.361</v>
      </c>
      <c r="M1050" s="15">
        <v>4.0000000000000001E-3</v>
      </c>
      <c r="N1050" s="15">
        <v>90.846999999999994</v>
      </c>
      <c r="O1050" s="15">
        <v>0.17499999999999999</v>
      </c>
      <c r="P1050" s="15">
        <v>0.96299999999999997</v>
      </c>
      <c r="Q1050" s="15">
        <v>0.46600000000000003</v>
      </c>
      <c r="R1050" s="15">
        <v>0.17499999999999999</v>
      </c>
      <c r="S1050" s="15">
        <v>0.26</v>
      </c>
      <c r="T1050" s="15" t="s">
        <v>23</v>
      </c>
      <c r="U1050" s="15" t="s">
        <v>22</v>
      </c>
      <c r="V1050" s="15" t="s">
        <v>90</v>
      </c>
      <c r="W1050" s="15">
        <v>5</v>
      </c>
      <c r="X1050" s="15" t="s">
        <v>85</v>
      </c>
      <c r="Y1050" s="12">
        <f t="shared" si="32"/>
        <v>0.64100000000000001</v>
      </c>
      <c r="Z1050" s="15">
        <v>-0.78800000000000003</v>
      </c>
    </row>
    <row r="1051" spans="1:26" x14ac:dyDescent="0.2">
      <c r="A1051" s="15" t="s">
        <v>82</v>
      </c>
      <c r="B1051" s="15">
        <v>3856.75</v>
      </c>
      <c r="C1051" s="15">
        <v>35.866</v>
      </c>
      <c r="D1051" s="15">
        <v>21.821000000000002</v>
      </c>
      <c r="E1051" s="15">
        <v>1.3779999999999999</v>
      </c>
      <c r="F1051" s="15">
        <v>186.23</v>
      </c>
      <c r="G1051" s="15">
        <v>2.67</v>
      </c>
      <c r="H1051" s="15">
        <v>6.3739999999999997</v>
      </c>
      <c r="I1051" s="15">
        <v>3.2370000000000001</v>
      </c>
      <c r="J1051" s="15">
        <v>54.686</v>
      </c>
      <c r="K1051" s="15">
        <v>68.796999999999997</v>
      </c>
      <c r="L1051" s="15">
        <v>2.823</v>
      </c>
      <c r="M1051" s="15">
        <v>1.7000000000000001E-2</v>
      </c>
      <c r="N1051" s="15">
        <v>73.084999999999994</v>
      </c>
      <c r="O1051" s="15">
        <v>0.15</v>
      </c>
      <c r="P1051" s="15">
        <v>0.92800000000000005</v>
      </c>
      <c r="Q1051" s="15">
        <v>0.435</v>
      </c>
      <c r="R1051" s="15">
        <v>0.105</v>
      </c>
      <c r="S1051" s="15">
        <v>0.3</v>
      </c>
      <c r="T1051" s="15" t="s">
        <v>23</v>
      </c>
      <c r="U1051" s="15" t="s">
        <v>22</v>
      </c>
      <c r="V1051" s="15" t="s">
        <v>90</v>
      </c>
      <c r="W1051" s="15">
        <v>5</v>
      </c>
      <c r="X1051" s="15" t="s">
        <v>85</v>
      </c>
      <c r="Y1051" s="12">
        <f t="shared" si="32"/>
        <v>0.58499999999999996</v>
      </c>
      <c r="Z1051" s="15">
        <v>-0.77800000000000002</v>
      </c>
    </row>
    <row r="1052" spans="1:26" x14ac:dyDescent="0.2">
      <c r="A1052" s="15" t="s">
        <v>84</v>
      </c>
      <c r="B1052" s="15">
        <v>3921.75</v>
      </c>
      <c r="C1052" s="15">
        <v>24.593</v>
      </c>
      <c r="D1052" s="15">
        <v>22.021999999999998</v>
      </c>
      <c r="E1052" s="15">
        <v>1.542</v>
      </c>
      <c r="F1052" s="15">
        <v>167.398</v>
      </c>
      <c r="G1052" s="15">
        <v>2.746</v>
      </c>
      <c r="H1052" s="15">
        <v>7.851</v>
      </c>
      <c r="I1052" s="15">
        <v>3.2330000000000001</v>
      </c>
      <c r="J1052" s="15">
        <v>124.521</v>
      </c>
      <c r="K1052" s="15">
        <v>139.065</v>
      </c>
      <c r="L1052" s="15">
        <v>3.7949999999999999</v>
      </c>
      <c r="M1052" s="15">
        <v>0.01</v>
      </c>
      <c r="N1052" s="15">
        <v>48.529000000000003</v>
      </c>
      <c r="O1052" s="15">
        <v>0.03</v>
      </c>
      <c r="P1052" s="15">
        <v>0.376</v>
      </c>
      <c r="Q1052" s="15">
        <v>0.434</v>
      </c>
      <c r="R1052" s="15">
        <v>0.66900000000000004</v>
      </c>
      <c r="S1052" s="15">
        <v>0.46700000000000003</v>
      </c>
      <c r="T1052" s="15" t="s">
        <v>23</v>
      </c>
      <c r="U1052" s="15" t="s">
        <v>22</v>
      </c>
      <c r="V1052" s="15" t="s">
        <v>90</v>
      </c>
      <c r="W1052" s="15">
        <v>4</v>
      </c>
      <c r="X1052" s="15" t="s">
        <v>85</v>
      </c>
      <c r="Y1052" s="12">
        <f t="shared" si="32"/>
        <v>0.46399999999999997</v>
      </c>
      <c r="Z1052" s="15">
        <v>-0.34599999999999997</v>
      </c>
    </row>
    <row r="1053" spans="1:26" x14ac:dyDescent="0.2">
      <c r="A1053" s="15" t="s">
        <v>84</v>
      </c>
      <c r="B1053" s="15">
        <v>3921.875</v>
      </c>
      <c r="C1053" s="15">
        <v>26.417000000000002</v>
      </c>
      <c r="D1053" s="15">
        <v>21.946999999999999</v>
      </c>
      <c r="E1053" s="15">
        <v>1.65</v>
      </c>
      <c r="F1053" s="15">
        <v>164.87299999999999</v>
      </c>
      <c r="G1053" s="15">
        <v>2.7559999999999998</v>
      </c>
      <c r="H1053" s="15">
        <v>7.3040000000000003</v>
      </c>
      <c r="I1053" s="15">
        <v>3.286</v>
      </c>
      <c r="J1053" s="15">
        <v>151.572</v>
      </c>
      <c r="K1053" s="15">
        <v>169.27699999999999</v>
      </c>
      <c r="L1053" s="15">
        <v>3.3460000000000001</v>
      </c>
      <c r="M1053" s="15">
        <v>0.01</v>
      </c>
      <c r="N1053" s="15">
        <v>52.069000000000003</v>
      </c>
      <c r="O1053" s="15">
        <v>4.4999999999999998E-2</v>
      </c>
      <c r="P1053" s="15">
        <v>0.41299999999999998</v>
      </c>
      <c r="Q1053" s="15">
        <v>0.35199999999999998</v>
      </c>
      <c r="R1053" s="15">
        <v>0.72499999999999998</v>
      </c>
      <c r="S1053" s="15">
        <v>0.41599999999999998</v>
      </c>
      <c r="T1053" s="15" t="s">
        <v>23</v>
      </c>
      <c r="U1053" s="15" t="s">
        <v>22</v>
      </c>
      <c r="V1053" s="15" t="s">
        <v>90</v>
      </c>
      <c r="W1053" s="15">
        <v>4</v>
      </c>
      <c r="X1053" s="15" t="s">
        <v>85</v>
      </c>
      <c r="Y1053" s="12">
        <f t="shared" si="32"/>
        <v>0.39699999999999996</v>
      </c>
      <c r="Z1053" s="15">
        <v>-0.36799999999999999</v>
      </c>
    </row>
    <row r="1054" spans="1:26" x14ac:dyDescent="0.2">
      <c r="A1054" s="15" t="s">
        <v>84</v>
      </c>
      <c r="B1054" s="15">
        <v>3922</v>
      </c>
      <c r="C1054" s="15">
        <v>29.344000000000001</v>
      </c>
      <c r="D1054" s="15">
        <v>21.890999999999998</v>
      </c>
      <c r="E1054" s="15">
        <v>1.827</v>
      </c>
      <c r="F1054" s="15">
        <v>163.024</v>
      </c>
      <c r="G1054" s="15">
        <v>2.76</v>
      </c>
      <c r="H1054" s="15">
        <v>6.84</v>
      </c>
      <c r="I1054" s="15">
        <v>3.3250000000000002</v>
      </c>
      <c r="J1054" s="15">
        <v>180.023</v>
      </c>
      <c r="K1054" s="15">
        <v>201.054</v>
      </c>
      <c r="L1054" s="15">
        <v>2.6789999999999998</v>
      </c>
      <c r="M1054" s="15">
        <v>0.01</v>
      </c>
      <c r="N1054" s="15">
        <v>57.526000000000003</v>
      </c>
      <c r="O1054" s="15">
        <v>7.0000000000000007E-2</v>
      </c>
      <c r="P1054" s="15">
        <v>0.442</v>
      </c>
      <c r="Q1054" s="15">
        <v>0.28999999999999998</v>
      </c>
      <c r="R1054" s="15">
        <v>0.751</v>
      </c>
      <c r="S1054" s="15">
        <v>0.372</v>
      </c>
      <c r="T1054" s="15" t="s">
        <v>23</v>
      </c>
      <c r="U1054" s="15" t="s">
        <v>22</v>
      </c>
      <c r="V1054" s="15" t="s">
        <v>90</v>
      </c>
      <c r="W1054" s="15">
        <v>4</v>
      </c>
      <c r="X1054" s="15" t="s">
        <v>85</v>
      </c>
      <c r="Y1054" s="12">
        <f t="shared" si="32"/>
        <v>0.36</v>
      </c>
      <c r="Z1054" s="15">
        <v>-0.372</v>
      </c>
    </row>
    <row r="1055" spans="1:26" x14ac:dyDescent="0.2">
      <c r="A1055" s="15" t="s">
        <v>84</v>
      </c>
      <c r="B1055" s="15">
        <v>3922.125</v>
      </c>
      <c r="C1055" s="15">
        <v>32.027000000000001</v>
      </c>
      <c r="D1055" s="15">
        <v>21.861999999999998</v>
      </c>
      <c r="E1055" s="15">
        <v>2.0310000000000001</v>
      </c>
      <c r="F1055" s="15">
        <v>162.05699999999999</v>
      </c>
      <c r="G1055" s="15">
        <v>2.7610000000000001</v>
      </c>
      <c r="H1055" s="15">
        <v>6.508</v>
      </c>
      <c r="I1055" s="15">
        <v>3.3439999999999999</v>
      </c>
      <c r="J1055" s="15">
        <v>227.83500000000001</v>
      </c>
      <c r="K1055" s="15">
        <v>254.458</v>
      </c>
      <c r="L1055" s="15">
        <v>2.1970000000000001</v>
      </c>
      <c r="M1055" s="15">
        <v>0.01</v>
      </c>
      <c r="N1055" s="15">
        <v>64.674000000000007</v>
      </c>
      <c r="O1055" s="15">
        <v>9.5000000000000001E-2</v>
      </c>
      <c r="P1055" s="15">
        <v>0.45800000000000002</v>
      </c>
      <c r="Q1055" s="15">
        <v>0.254</v>
      </c>
      <c r="R1055" s="15">
        <v>0.75900000000000001</v>
      </c>
      <c r="S1055" s="15">
        <v>0.33900000000000002</v>
      </c>
      <c r="T1055" s="15" t="s">
        <v>23</v>
      </c>
      <c r="U1055" s="15" t="s">
        <v>22</v>
      </c>
      <c r="V1055" s="15" t="s">
        <v>90</v>
      </c>
      <c r="W1055" s="15">
        <v>4</v>
      </c>
      <c r="X1055" s="15" t="s">
        <v>85</v>
      </c>
      <c r="Y1055" s="12">
        <f t="shared" si="32"/>
        <v>0.34899999999999998</v>
      </c>
      <c r="Z1055" s="15">
        <v>-0.36299999999999999</v>
      </c>
    </row>
    <row r="1056" spans="1:26" x14ac:dyDescent="0.2">
      <c r="A1056" s="15" t="s">
        <v>84</v>
      </c>
      <c r="B1056" s="15">
        <v>3922.25</v>
      </c>
      <c r="C1056" s="15">
        <v>33.390999999999998</v>
      </c>
      <c r="D1056" s="15">
        <v>21.856000000000002</v>
      </c>
      <c r="E1056" s="15">
        <v>2.1720000000000002</v>
      </c>
      <c r="F1056" s="15">
        <v>161.86799999999999</v>
      </c>
      <c r="G1056" s="15">
        <v>2.76</v>
      </c>
      <c r="H1056" s="15">
        <v>6.2889999999999997</v>
      </c>
      <c r="I1056" s="15">
        <v>3.343</v>
      </c>
      <c r="J1056" s="15">
        <v>303.68200000000002</v>
      </c>
      <c r="K1056" s="15">
        <v>339.17599999999999</v>
      </c>
      <c r="L1056" s="15">
        <v>1.617</v>
      </c>
      <c r="M1056" s="15">
        <v>0.01</v>
      </c>
      <c r="N1056" s="15">
        <v>78.819000000000003</v>
      </c>
      <c r="O1056" s="15">
        <v>0.111</v>
      </c>
      <c r="P1056" s="15">
        <v>0.46</v>
      </c>
      <c r="Q1056" s="15">
        <v>0.24299999999999999</v>
      </c>
      <c r="R1056" s="15">
        <v>0.75600000000000001</v>
      </c>
      <c r="S1056" s="15">
        <v>0.317</v>
      </c>
      <c r="T1056" s="15" t="s">
        <v>23</v>
      </c>
      <c r="U1056" s="15" t="s">
        <v>22</v>
      </c>
      <c r="V1056" s="15" t="s">
        <v>90</v>
      </c>
      <c r="W1056" s="15">
        <v>4</v>
      </c>
      <c r="X1056" s="15" t="s">
        <v>85</v>
      </c>
      <c r="Y1056" s="12">
        <f t="shared" si="32"/>
        <v>0.35399999999999998</v>
      </c>
      <c r="Z1056" s="15">
        <v>-0.34900000000000003</v>
      </c>
    </row>
    <row r="1057" spans="1:26" x14ac:dyDescent="0.2">
      <c r="A1057" s="15" t="s">
        <v>84</v>
      </c>
      <c r="B1057" s="15">
        <v>3922.375</v>
      </c>
      <c r="C1057" s="15">
        <v>34.18</v>
      </c>
      <c r="D1057" s="15">
        <v>21.86</v>
      </c>
      <c r="E1057" s="15">
        <v>2.2349999999999999</v>
      </c>
      <c r="F1057" s="15">
        <v>162.01499999999999</v>
      </c>
      <c r="G1057" s="15">
        <v>2.76</v>
      </c>
      <c r="H1057" s="15">
        <v>6.1470000000000002</v>
      </c>
      <c r="I1057" s="15">
        <v>3.3239999999999998</v>
      </c>
      <c r="J1057" s="15">
        <v>380.089</v>
      </c>
      <c r="K1057" s="15">
        <v>424.51799999999997</v>
      </c>
      <c r="L1057" s="15">
        <v>1.5940000000000001</v>
      </c>
      <c r="M1057" s="15">
        <v>0.01</v>
      </c>
      <c r="N1057" s="15">
        <v>76.233000000000004</v>
      </c>
      <c r="O1057" s="15">
        <v>0.11899999999999999</v>
      </c>
      <c r="P1057" s="15">
        <v>0.44900000000000001</v>
      </c>
      <c r="Q1057" s="15">
        <v>0.245</v>
      </c>
      <c r="R1057" s="15">
        <v>0.755</v>
      </c>
      <c r="S1057" s="15">
        <v>0.30199999999999999</v>
      </c>
      <c r="T1057" s="15" t="s">
        <v>23</v>
      </c>
      <c r="U1057" s="15" t="s">
        <v>22</v>
      </c>
      <c r="V1057" s="15" t="s">
        <v>90</v>
      </c>
      <c r="W1057" s="15">
        <v>4</v>
      </c>
      <c r="X1057" s="15" t="s">
        <v>85</v>
      </c>
      <c r="Y1057" s="12">
        <f t="shared" si="32"/>
        <v>0.36399999999999999</v>
      </c>
      <c r="Z1057" s="15">
        <v>-0.33</v>
      </c>
    </row>
    <row r="1058" spans="1:26" x14ac:dyDescent="0.2">
      <c r="A1058" s="15" t="s">
        <v>84</v>
      </c>
      <c r="B1058" s="15">
        <v>3922.5</v>
      </c>
      <c r="C1058" s="15">
        <v>34.914000000000001</v>
      </c>
      <c r="D1058" s="15">
        <v>21.858000000000001</v>
      </c>
      <c r="E1058" s="15">
        <v>2.3180000000000001</v>
      </c>
      <c r="F1058" s="15">
        <v>161.94200000000001</v>
      </c>
      <c r="G1058" s="15">
        <v>2.7610000000000001</v>
      </c>
      <c r="H1058" s="15">
        <v>6.0679999999999996</v>
      </c>
      <c r="I1058" s="15">
        <v>3.2930000000000001</v>
      </c>
      <c r="J1058" s="15">
        <v>424.02100000000002</v>
      </c>
      <c r="K1058" s="15">
        <v>473.58600000000001</v>
      </c>
      <c r="L1058" s="15">
        <v>1.5620000000000001</v>
      </c>
      <c r="M1058" s="15">
        <v>0.01</v>
      </c>
      <c r="N1058" s="15">
        <v>73.409000000000006</v>
      </c>
      <c r="O1058" s="15">
        <v>0.126</v>
      </c>
      <c r="P1058" s="15">
        <v>0.43</v>
      </c>
      <c r="Q1058" s="15">
        <v>0.24399999999999999</v>
      </c>
      <c r="R1058" s="15">
        <v>0.75900000000000001</v>
      </c>
      <c r="S1058" s="15">
        <v>0.29399999999999998</v>
      </c>
      <c r="T1058" s="15" t="s">
        <v>23</v>
      </c>
      <c r="U1058" s="15" t="s">
        <v>22</v>
      </c>
      <c r="V1058" s="15" t="s">
        <v>90</v>
      </c>
      <c r="W1058" s="15">
        <v>4</v>
      </c>
      <c r="X1058" s="15" t="s">
        <v>85</v>
      </c>
      <c r="Y1058" s="12">
        <f t="shared" si="32"/>
        <v>0.37</v>
      </c>
      <c r="Z1058" s="15">
        <v>-0.30399999999999999</v>
      </c>
    </row>
    <row r="1059" spans="1:26" x14ac:dyDescent="0.2">
      <c r="A1059" s="15" t="s">
        <v>84</v>
      </c>
      <c r="B1059" s="15">
        <v>3922.625</v>
      </c>
      <c r="C1059" s="15">
        <v>34.982999999999997</v>
      </c>
      <c r="D1059" s="15">
        <v>21.841000000000001</v>
      </c>
      <c r="E1059" s="15">
        <v>2.5510000000000002</v>
      </c>
      <c r="F1059" s="15">
        <v>161.37200000000001</v>
      </c>
      <c r="G1059" s="15">
        <v>2.762</v>
      </c>
      <c r="H1059" s="15">
        <v>6.04</v>
      </c>
      <c r="I1059" s="15">
        <v>3.2610000000000001</v>
      </c>
      <c r="J1059" s="15">
        <v>450.91199999999998</v>
      </c>
      <c r="K1059" s="15">
        <v>503.61</v>
      </c>
      <c r="L1059" s="15">
        <v>1.5469999999999999</v>
      </c>
      <c r="M1059" s="15">
        <v>0.01</v>
      </c>
      <c r="N1059" s="15">
        <v>69.302999999999997</v>
      </c>
      <c r="O1059" s="15">
        <v>0.128</v>
      </c>
      <c r="P1059" s="15">
        <v>0.40799999999999997</v>
      </c>
      <c r="Q1059" s="15">
        <v>0.23</v>
      </c>
      <c r="R1059" s="15">
        <v>0.76400000000000001</v>
      </c>
      <c r="S1059" s="15">
        <v>0.29099999999999998</v>
      </c>
      <c r="T1059" s="15" t="s">
        <v>23</v>
      </c>
      <c r="U1059" s="15" t="s">
        <v>22</v>
      </c>
      <c r="V1059" s="15" t="s">
        <v>90</v>
      </c>
      <c r="W1059" s="15">
        <v>4</v>
      </c>
      <c r="X1059" s="15" t="s">
        <v>85</v>
      </c>
      <c r="Y1059" s="12">
        <f t="shared" si="32"/>
        <v>0.35799999999999998</v>
      </c>
      <c r="Z1059" s="15">
        <v>-0.27999999999999997</v>
      </c>
    </row>
    <row r="1060" spans="1:26" x14ac:dyDescent="0.2">
      <c r="A1060" s="15" t="s">
        <v>83</v>
      </c>
      <c r="B1060" s="15">
        <v>3806.75</v>
      </c>
      <c r="C1060" s="15">
        <v>62.545000000000002</v>
      </c>
      <c r="D1060" s="15">
        <v>22.181000000000001</v>
      </c>
      <c r="E1060" s="15">
        <v>3.3180000000000001</v>
      </c>
      <c r="F1060" s="15">
        <v>179.63900000000001</v>
      </c>
      <c r="G1060" s="15">
        <v>2.754</v>
      </c>
      <c r="H1060" s="15">
        <v>12.512</v>
      </c>
      <c r="I1060" s="15">
        <v>3.6070000000000002</v>
      </c>
      <c r="J1060" s="15">
        <v>151.86500000000001</v>
      </c>
      <c r="K1060" s="15">
        <v>170.32599999999999</v>
      </c>
      <c r="L1060" s="15">
        <v>0.01</v>
      </c>
      <c r="M1060" s="15">
        <v>1E-3</v>
      </c>
      <c r="N1060" s="15">
        <v>100</v>
      </c>
      <c r="O1060" s="15">
        <v>0.36499999999999999</v>
      </c>
      <c r="P1060" s="15">
        <v>0.98499999999999999</v>
      </c>
      <c r="Q1060" s="15">
        <v>0.39900000000000002</v>
      </c>
      <c r="R1060" s="15">
        <v>0.41099999999999998</v>
      </c>
      <c r="S1060" s="15">
        <v>0.34899999999999998</v>
      </c>
      <c r="T1060" s="15"/>
      <c r="U1060" s="15" t="s">
        <v>33</v>
      </c>
      <c r="V1060" s="15" t="s">
        <v>90</v>
      </c>
      <c r="W1060" s="15">
        <v>4</v>
      </c>
      <c r="X1060" s="15"/>
      <c r="Y1060" s="12">
        <f t="shared" si="32"/>
        <v>0.76400000000000001</v>
      </c>
      <c r="Z1060" s="15">
        <v>-0.62</v>
      </c>
    </row>
    <row r="1061" spans="1:26" x14ac:dyDescent="0.2">
      <c r="A1061" s="15" t="s">
        <v>83</v>
      </c>
      <c r="B1061" s="15">
        <v>3806.875</v>
      </c>
      <c r="C1061" s="15">
        <v>50.039000000000001</v>
      </c>
      <c r="D1061" s="15">
        <v>22.152000000000001</v>
      </c>
      <c r="E1061" s="15">
        <v>2.504</v>
      </c>
      <c r="F1061" s="15">
        <v>179.358</v>
      </c>
      <c r="G1061" s="15">
        <v>2.7589999999999999</v>
      </c>
      <c r="H1061" s="15">
        <v>10.253</v>
      </c>
      <c r="I1061" s="15">
        <v>3.6269999999999998</v>
      </c>
      <c r="J1061" s="15">
        <v>177.55699999999999</v>
      </c>
      <c r="K1061" s="15">
        <v>197.95400000000001</v>
      </c>
      <c r="L1061" s="15">
        <v>0.01</v>
      </c>
      <c r="M1061" s="15">
        <v>1E-3</v>
      </c>
      <c r="N1061" s="15">
        <v>100</v>
      </c>
      <c r="O1061" s="15">
        <v>0.27500000000000002</v>
      </c>
      <c r="P1061" s="15">
        <v>0.95899999999999996</v>
      </c>
      <c r="Q1061" s="15">
        <v>0.39200000000000002</v>
      </c>
      <c r="R1061" s="15">
        <v>0.44700000000000001</v>
      </c>
      <c r="S1061" s="15">
        <v>0.254</v>
      </c>
      <c r="T1061" s="15"/>
      <c r="U1061" s="15" t="s">
        <v>33</v>
      </c>
      <c r="V1061" s="15" t="s">
        <v>90</v>
      </c>
      <c r="W1061" s="15">
        <v>4</v>
      </c>
      <c r="X1061" s="15"/>
      <c r="Y1061" s="12">
        <f t="shared" si="32"/>
        <v>0.66700000000000004</v>
      </c>
      <c r="Z1061" s="15">
        <v>-0.68399999999999994</v>
      </c>
    </row>
    <row r="1062" spans="1:26" x14ac:dyDescent="0.2">
      <c r="A1062" s="15" t="s">
        <v>83</v>
      </c>
      <c r="B1062" s="15">
        <v>3807</v>
      </c>
      <c r="C1062" s="15">
        <v>43.826999999999998</v>
      </c>
      <c r="D1062" s="15">
        <v>22.041</v>
      </c>
      <c r="E1062" s="15">
        <v>2.1629999999999998</v>
      </c>
      <c r="F1062" s="15">
        <v>178.815</v>
      </c>
      <c r="G1062" s="15">
        <v>2.7650000000000001</v>
      </c>
      <c r="H1062" s="15">
        <v>8.7889999999999997</v>
      </c>
      <c r="I1062" s="15">
        <v>3.532</v>
      </c>
      <c r="J1062" s="15">
        <v>227.422</v>
      </c>
      <c r="K1062" s="15">
        <v>251.73599999999999</v>
      </c>
      <c r="L1062" s="15">
        <v>0.01</v>
      </c>
      <c r="M1062" s="15">
        <v>1E-3</v>
      </c>
      <c r="N1062" s="15">
        <v>100</v>
      </c>
      <c r="O1062" s="15">
        <v>0.22</v>
      </c>
      <c r="P1062" s="15">
        <v>0.83799999999999997</v>
      </c>
      <c r="Q1062" s="15">
        <v>0.377</v>
      </c>
      <c r="R1062" s="15">
        <v>0.48499999999999999</v>
      </c>
      <c r="S1062" s="15">
        <v>0.19</v>
      </c>
      <c r="T1062" s="15"/>
      <c r="U1062" s="15" t="s">
        <v>33</v>
      </c>
      <c r="V1062" s="15" t="s">
        <v>90</v>
      </c>
      <c r="W1062" s="15">
        <v>4</v>
      </c>
      <c r="X1062" s="15"/>
      <c r="Y1062" s="12">
        <f t="shared" si="32"/>
        <v>0.59699999999999998</v>
      </c>
      <c r="Z1062" s="15">
        <v>-0.61799999999999999</v>
      </c>
    </row>
    <row r="1063" spans="1:26" x14ac:dyDescent="0.2">
      <c r="A1063" s="15" t="s">
        <v>83</v>
      </c>
      <c r="B1063" s="15">
        <v>3807.125</v>
      </c>
      <c r="C1063" s="15">
        <v>37.771999999999998</v>
      </c>
      <c r="D1063" s="15">
        <v>21.902999999999999</v>
      </c>
      <c r="E1063" s="15">
        <v>1.913</v>
      </c>
      <c r="F1063" s="15">
        <v>177.30099999999999</v>
      </c>
      <c r="G1063" s="15">
        <v>2.77</v>
      </c>
      <c r="H1063" s="15">
        <v>7.6769999999999996</v>
      </c>
      <c r="I1063" s="15">
        <v>3.4119999999999999</v>
      </c>
      <c r="J1063" s="15">
        <v>318.52800000000002</v>
      </c>
      <c r="K1063" s="15">
        <v>351.19200000000001</v>
      </c>
      <c r="L1063" s="15">
        <v>0.01</v>
      </c>
      <c r="M1063" s="15">
        <v>1E-3</v>
      </c>
      <c r="N1063" s="15">
        <v>100</v>
      </c>
      <c r="O1063" s="15">
        <v>0.17100000000000001</v>
      </c>
      <c r="P1063" s="15">
        <v>0.71199999999999997</v>
      </c>
      <c r="Q1063" s="15">
        <v>0.34300000000000003</v>
      </c>
      <c r="R1063" s="15">
        <v>0.51900000000000002</v>
      </c>
      <c r="S1063" s="15">
        <v>0.14499999999999999</v>
      </c>
      <c r="T1063" s="15"/>
      <c r="U1063" s="15" t="s">
        <v>33</v>
      </c>
      <c r="V1063" s="15" t="s">
        <v>90</v>
      </c>
      <c r="W1063" s="15">
        <v>4</v>
      </c>
      <c r="X1063" s="15"/>
      <c r="Y1063" s="12">
        <f t="shared" si="32"/>
        <v>0.51400000000000001</v>
      </c>
      <c r="Z1063" s="15">
        <v>-0.54099999999999993</v>
      </c>
    </row>
    <row r="1064" spans="1:26" x14ac:dyDescent="0.2">
      <c r="A1064" s="15" t="s">
        <v>84</v>
      </c>
      <c r="B1064" s="15">
        <v>3918.5</v>
      </c>
      <c r="C1064" s="15">
        <v>40.984000000000002</v>
      </c>
      <c r="D1064" s="15">
        <v>22.105</v>
      </c>
      <c r="E1064" s="15">
        <v>2.4569999999999999</v>
      </c>
      <c r="F1064" s="15">
        <v>170.155</v>
      </c>
      <c r="G1064" s="15">
        <v>2.7410000000000001</v>
      </c>
      <c r="H1064" s="15">
        <v>7.6980000000000004</v>
      </c>
      <c r="I1064" s="15">
        <v>3.234</v>
      </c>
      <c r="J1064" s="15">
        <v>182.44</v>
      </c>
      <c r="K1064" s="15">
        <v>203.733</v>
      </c>
      <c r="L1064" s="15">
        <v>0.01</v>
      </c>
      <c r="M1064" s="15">
        <v>1E-3</v>
      </c>
      <c r="N1064" s="15">
        <v>100</v>
      </c>
      <c r="O1064" s="15">
        <v>0.215</v>
      </c>
      <c r="P1064" s="15">
        <v>0.378</v>
      </c>
      <c r="Q1064" s="15">
        <v>0.51</v>
      </c>
      <c r="R1064" s="15">
        <v>0.67100000000000004</v>
      </c>
      <c r="S1064" s="15">
        <v>0.45600000000000002</v>
      </c>
      <c r="T1064" s="15"/>
      <c r="U1064" s="15" t="s">
        <v>22</v>
      </c>
      <c r="V1064" s="15" t="s">
        <v>90</v>
      </c>
      <c r="W1064" s="15">
        <v>2</v>
      </c>
      <c r="X1064" s="15"/>
      <c r="Y1064" s="12">
        <f t="shared" si="32"/>
        <v>0.72499999999999998</v>
      </c>
      <c r="Z1064" s="15">
        <v>-0.16300000000000001</v>
      </c>
    </row>
    <row r="1065" spans="1:26" x14ac:dyDescent="0.2">
      <c r="A1065" s="15" t="s">
        <v>84</v>
      </c>
      <c r="B1065" s="15">
        <v>3918.625</v>
      </c>
      <c r="C1065" s="15">
        <v>28.541</v>
      </c>
      <c r="D1065" s="15">
        <v>22.071000000000002</v>
      </c>
      <c r="E1065" s="15">
        <v>2.1240000000000001</v>
      </c>
      <c r="F1065" s="15">
        <v>169.04499999999999</v>
      </c>
      <c r="G1065" s="15">
        <v>2.7330000000000001</v>
      </c>
      <c r="H1065" s="15">
        <v>7.0869999999999997</v>
      </c>
      <c r="I1065" s="15">
        <v>3.298</v>
      </c>
      <c r="J1065" s="15">
        <v>168.124</v>
      </c>
      <c r="K1065" s="15">
        <v>187.75399999999999</v>
      </c>
      <c r="L1065" s="15">
        <v>0.01</v>
      </c>
      <c r="M1065" s="15">
        <v>1E-3</v>
      </c>
      <c r="N1065" s="15">
        <v>100</v>
      </c>
      <c r="O1065" s="15">
        <v>9.0999999999999998E-2</v>
      </c>
      <c r="P1065" s="15">
        <v>0.42</v>
      </c>
      <c r="Q1065" s="15">
        <v>0.47499999999999998</v>
      </c>
      <c r="R1065" s="15">
        <v>0.628</v>
      </c>
      <c r="S1065" s="15">
        <v>0.39800000000000002</v>
      </c>
      <c r="T1065" s="15"/>
      <c r="U1065" s="15" t="s">
        <v>22</v>
      </c>
      <c r="V1065" s="15" t="s">
        <v>90</v>
      </c>
      <c r="W1065" s="15">
        <v>2</v>
      </c>
      <c r="X1065" s="15"/>
      <c r="Y1065" s="12">
        <f t="shared" si="32"/>
        <v>0.56599999999999995</v>
      </c>
      <c r="Z1065" s="15">
        <v>-0.32899999999999996</v>
      </c>
    </row>
    <row r="1066" spans="1:26" x14ac:dyDescent="0.2">
      <c r="A1066" s="15" t="s">
        <v>84</v>
      </c>
      <c r="B1066" s="15">
        <v>3918.75</v>
      </c>
      <c r="C1066" s="15">
        <v>23.547000000000001</v>
      </c>
      <c r="D1066" s="15">
        <v>22.038</v>
      </c>
      <c r="E1066" s="15">
        <v>1.7569999999999999</v>
      </c>
      <c r="F1066" s="15">
        <v>167.93</v>
      </c>
      <c r="G1066" s="15">
        <v>2.7269999999999999</v>
      </c>
      <c r="H1066" s="15">
        <v>6.35</v>
      </c>
      <c r="I1066" s="15">
        <v>3.3780000000000001</v>
      </c>
      <c r="J1066" s="15">
        <v>173.25200000000001</v>
      </c>
      <c r="K1066" s="15">
        <v>193.488</v>
      </c>
      <c r="L1066" s="15">
        <v>0.01</v>
      </c>
      <c r="M1066" s="15">
        <v>1E-3</v>
      </c>
      <c r="N1066" s="15">
        <v>100</v>
      </c>
      <c r="O1066" s="15">
        <v>3.1E-2</v>
      </c>
      <c r="P1066" s="15">
        <v>0.47299999999999998</v>
      </c>
      <c r="Q1066" s="15">
        <v>0.44</v>
      </c>
      <c r="R1066" s="15">
        <v>0.59599999999999997</v>
      </c>
      <c r="S1066" s="15">
        <v>0.33200000000000002</v>
      </c>
      <c r="T1066" s="15"/>
      <c r="U1066" s="15" t="s">
        <v>22</v>
      </c>
      <c r="V1066" s="15" t="s">
        <v>90</v>
      </c>
      <c r="W1066" s="15">
        <v>2</v>
      </c>
      <c r="X1066" s="15"/>
      <c r="Y1066" s="12">
        <f t="shared" si="32"/>
        <v>0.47099999999999997</v>
      </c>
      <c r="Z1066" s="15">
        <v>-0.44199999999999995</v>
      </c>
    </row>
    <row r="1067" spans="1:26" x14ac:dyDescent="0.2">
      <c r="A1067" s="15" t="s">
        <v>84</v>
      </c>
      <c r="B1067" s="15">
        <v>3918.875</v>
      </c>
      <c r="C1067" s="15">
        <v>24.21</v>
      </c>
      <c r="D1067" s="15">
        <v>22.013000000000002</v>
      </c>
      <c r="E1067" s="15">
        <v>1.4890000000000001</v>
      </c>
      <c r="F1067" s="15">
        <v>167.08600000000001</v>
      </c>
      <c r="G1067" s="15">
        <v>2.7250000000000001</v>
      </c>
      <c r="H1067" s="15">
        <v>5.4160000000000004</v>
      </c>
      <c r="I1067" s="15">
        <v>3.472</v>
      </c>
      <c r="J1067" s="15">
        <v>206.876</v>
      </c>
      <c r="K1067" s="15">
        <v>231.04599999999999</v>
      </c>
      <c r="L1067" s="15">
        <v>0.01</v>
      </c>
      <c r="M1067" s="15">
        <v>1E-3</v>
      </c>
      <c r="N1067" s="15">
        <v>100</v>
      </c>
      <c r="O1067" s="15">
        <v>2.7E-2</v>
      </c>
      <c r="P1067" s="15">
        <v>0.53600000000000003</v>
      </c>
      <c r="Q1067" s="15">
        <v>0.41199999999999998</v>
      </c>
      <c r="R1067" s="15">
        <v>0.58199999999999996</v>
      </c>
      <c r="S1067" s="15">
        <v>0.25</v>
      </c>
      <c r="T1067" s="15"/>
      <c r="U1067" s="15" t="s">
        <v>22</v>
      </c>
      <c r="V1067" s="15" t="s">
        <v>90</v>
      </c>
      <c r="W1067" s="15">
        <v>2</v>
      </c>
      <c r="X1067" s="15"/>
      <c r="Y1067" s="12">
        <f t="shared" si="32"/>
        <v>0.439</v>
      </c>
      <c r="Z1067" s="15">
        <v>-0.50900000000000001</v>
      </c>
    </row>
    <row r="1068" spans="1:26" x14ac:dyDescent="0.2">
      <c r="A1068" s="15" t="s">
        <v>84</v>
      </c>
      <c r="B1068" s="15">
        <v>3919</v>
      </c>
      <c r="C1068" s="15">
        <v>27.866</v>
      </c>
      <c r="D1068" s="15">
        <v>22.004999999999999</v>
      </c>
      <c r="E1068" s="15">
        <v>1.37</v>
      </c>
      <c r="F1068" s="15">
        <v>166.81</v>
      </c>
      <c r="G1068" s="15">
        <v>2.7229999999999999</v>
      </c>
      <c r="H1068" s="15">
        <v>4.5380000000000003</v>
      </c>
      <c r="I1068" s="15">
        <v>3.5760000000000001</v>
      </c>
      <c r="J1068" s="15">
        <v>304.49900000000002</v>
      </c>
      <c r="K1068" s="15">
        <v>340.084</v>
      </c>
      <c r="L1068" s="15">
        <v>0.01</v>
      </c>
      <c r="M1068" s="15">
        <v>1E-3</v>
      </c>
      <c r="N1068" s="15">
        <v>100</v>
      </c>
      <c r="O1068" s="15">
        <v>5.5E-2</v>
      </c>
      <c r="P1068" s="15">
        <v>0.60599999999999998</v>
      </c>
      <c r="Q1068" s="15">
        <v>0.4</v>
      </c>
      <c r="R1068" s="15">
        <v>0.57199999999999995</v>
      </c>
      <c r="S1068" s="15">
        <v>0.16800000000000001</v>
      </c>
      <c r="T1068" s="15"/>
      <c r="U1068" s="15" t="s">
        <v>22</v>
      </c>
      <c r="V1068" s="15" t="s">
        <v>90</v>
      </c>
      <c r="W1068" s="15">
        <v>2</v>
      </c>
      <c r="X1068" s="15"/>
      <c r="Y1068" s="12">
        <f t="shared" si="32"/>
        <v>0.45500000000000002</v>
      </c>
      <c r="Z1068" s="15">
        <v>-0.55099999999999993</v>
      </c>
    </row>
    <row r="1069" spans="1:26" x14ac:dyDescent="0.2">
      <c r="A1069" s="15" t="s">
        <v>84</v>
      </c>
      <c r="B1069" s="15">
        <v>3919.125</v>
      </c>
      <c r="C1069" s="15">
        <v>34.811999999999998</v>
      </c>
      <c r="D1069" s="15">
        <v>22.015000000000001</v>
      </c>
      <c r="E1069" s="15">
        <v>1.34</v>
      </c>
      <c r="F1069" s="15">
        <v>167.15700000000001</v>
      </c>
      <c r="G1069" s="15">
        <v>2.7210000000000001</v>
      </c>
      <c r="H1069" s="15">
        <v>3.855</v>
      </c>
      <c r="I1069" s="15">
        <v>3.6749999999999998</v>
      </c>
      <c r="J1069" s="15">
        <v>530.98500000000001</v>
      </c>
      <c r="K1069" s="15">
        <v>593.05700000000002</v>
      </c>
      <c r="L1069" s="15">
        <v>0.01</v>
      </c>
      <c r="M1069" s="15">
        <v>1E-3</v>
      </c>
      <c r="N1069" s="15">
        <v>100</v>
      </c>
      <c r="O1069" s="15">
        <v>0.113</v>
      </c>
      <c r="P1069" s="15">
        <v>0.67500000000000004</v>
      </c>
      <c r="Q1069" s="15">
        <v>0.40699999999999997</v>
      </c>
      <c r="R1069" s="15">
        <v>0.56200000000000006</v>
      </c>
      <c r="S1069" s="15">
        <v>0.10199999999999999</v>
      </c>
      <c r="T1069" s="15"/>
      <c r="U1069" s="15" t="s">
        <v>22</v>
      </c>
      <c r="V1069" s="15" t="s">
        <v>90</v>
      </c>
      <c r="W1069" s="15">
        <v>2</v>
      </c>
      <c r="X1069" s="15"/>
      <c r="Y1069" s="12">
        <f t="shared" si="32"/>
        <v>0.52</v>
      </c>
      <c r="Z1069" s="15">
        <v>-0.56200000000000006</v>
      </c>
    </row>
    <row r="1070" spans="1:26" x14ac:dyDescent="0.2">
      <c r="A1070" s="15" t="s">
        <v>84</v>
      </c>
      <c r="B1070" s="15">
        <v>3919.25</v>
      </c>
      <c r="C1070" s="15">
        <v>41.69</v>
      </c>
      <c r="D1070" s="15">
        <v>22.036999999999999</v>
      </c>
      <c r="E1070" s="15">
        <v>1.3660000000000001</v>
      </c>
      <c r="F1070" s="15">
        <v>167.90700000000001</v>
      </c>
      <c r="G1070" s="15">
        <v>2.718</v>
      </c>
      <c r="H1070" s="15">
        <v>3.3319999999999999</v>
      </c>
      <c r="I1070" s="15">
        <v>3.7570000000000001</v>
      </c>
      <c r="J1070" s="15">
        <v>815.37800000000004</v>
      </c>
      <c r="K1070" s="15">
        <v>910.69600000000003</v>
      </c>
      <c r="L1070" s="15">
        <v>0.01</v>
      </c>
      <c r="M1070" s="15">
        <v>1E-3</v>
      </c>
      <c r="N1070" s="15">
        <v>100</v>
      </c>
      <c r="O1070" s="15">
        <v>0.17699999999999999</v>
      </c>
      <c r="P1070" s="15">
        <v>0.73299999999999998</v>
      </c>
      <c r="Q1070" s="15">
        <v>0.42799999999999999</v>
      </c>
      <c r="R1070" s="15">
        <v>0.54800000000000004</v>
      </c>
      <c r="S1070" s="15">
        <v>5.0999999999999997E-2</v>
      </c>
      <c r="T1070" s="15"/>
      <c r="U1070" s="15" t="s">
        <v>22</v>
      </c>
      <c r="V1070" s="15" t="s">
        <v>90</v>
      </c>
      <c r="W1070" s="15">
        <v>2</v>
      </c>
      <c r="X1070" s="15"/>
      <c r="Y1070" s="12">
        <f t="shared" si="32"/>
        <v>0.60499999999999998</v>
      </c>
      <c r="Z1070" s="15">
        <v>-0.55600000000000005</v>
      </c>
    </row>
    <row r="1071" spans="1:26" x14ac:dyDescent="0.2">
      <c r="A1071" s="15" t="s">
        <v>84</v>
      </c>
      <c r="B1071" s="15">
        <v>3919.375</v>
      </c>
      <c r="C1071" s="15">
        <v>43.564999999999998</v>
      </c>
      <c r="D1071" s="15">
        <v>22.062999999999999</v>
      </c>
      <c r="E1071" s="15">
        <v>1.359</v>
      </c>
      <c r="F1071" s="15">
        <v>168.74799999999999</v>
      </c>
      <c r="G1071" s="15">
        <v>2.7170000000000001</v>
      </c>
      <c r="H1071" s="15">
        <v>2.9950000000000001</v>
      </c>
      <c r="I1071" s="15">
        <v>3.8079999999999998</v>
      </c>
      <c r="J1071" s="15">
        <v>831.07899999999995</v>
      </c>
      <c r="K1071" s="15">
        <v>928.14599999999996</v>
      </c>
      <c r="L1071" s="15">
        <v>0.01</v>
      </c>
      <c r="M1071" s="15">
        <v>1E-3</v>
      </c>
      <c r="N1071" s="15">
        <v>100</v>
      </c>
      <c r="O1071" s="15">
        <v>0.20300000000000001</v>
      </c>
      <c r="P1071" s="15">
        <v>0.77300000000000002</v>
      </c>
      <c r="Q1071" s="15">
        <v>0.45400000000000001</v>
      </c>
      <c r="R1071" s="15">
        <v>0.54100000000000004</v>
      </c>
      <c r="S1071" s="15">
        <v>1.6E-2</v>
      </c>
      <c r="T1071" s="15"/>
      <c r="U1071" s="15" t="s">
        <v>22</v>
      </c>
      <c r="V1071" s="15" t="s">
        <v>90</v>
      </c>
      <c r="W1071" s="15">
        <v>2</v>
      </c>
      <c r="X1071" s="15"/>
      <c r="Y1071" s="12">
        <f t="shared" si="32"/>
        <v>0.65700000000000003</v>
      </c>
      <c r="Z1071" s="15">
        <v>-0.57000000000000006</v>
      </c>
    </row>
    <row r="1072" spans="1:26" x14ac:dyDescent="0.2">
      <c r="A1072" s="15" t="s">
        <v>84</v>
      </c>
      <c r="B1072" s="15">
        <v>3919.5</v>
      </c>
      <c r="C1072" s="15">
        <v>42.578000000000003</v>
      </c>
      <c r="D1072" s="15">
        <v>22.085999999999999</v>
      </c>
      <c r="E1072" s="15">
        <v>1.244</v>
      </c>
      <c r="F1072" s="15">
        <v>169.542</v>
      </c>
      <c r="G1072" s="15">
        <v>2.72</v>
      </c>
      <c r="H1072" s="15">
        <v>2.8849999999999998</v>
      </c>
      <c r="I1072" s="15">
        <v>3.8159999999999998</v>
      </c>
      <c r="J1072" s="15">
        <v>539.327</v>
      </c>
      <c r="K1072" s="15">
        <v>602.14</v>
      </c>
      <c r="L1072" s="15">
        <v>0.01</v>
      </c>
      <c r="M1072" s="15">
        <v>1E-3</v>
      </c>
      <c r="N1072" s="15">
        <v>100</v>
      </c>
      <c r="O1072" s="15">
        <v>0.2</v>
      </c>
      <c r="P1072" s="15">
        <v>0.78400000000000003</v>
      </c>
      <c r="Q1072" s="15">
        <v>0.47899999999999998</v>
      </c>
      <c r="R1072" s="15">
        <v>0.55200000000000005</v>
      </c>
      <c r="S1072" s="15">
        <v>2E-3</v>
      </c>
      <c r="T1072" s="15"/>
      <c r="U1072" s="15" t="s">
        <v>22</v>
      </c>
      <c r="V1072" s="15" t="s">
        <v>90</v>
      </c>
      <c r="W1072" s="15">
        <v>2</v>
      </c>
      <c r="X1072" s="15"/>
      <c r="Y1072" s="12">
        <f t="shared" si="32"/>
        <v>0.67900000000000005</v>
      </c>
      <c r="Z1072" s="15">
        <v>-0.58400000000000007</v>
      </c>
    </row>
    <row r="1073" spans="1:26" x14ac:dyDescent="0.2">
      <c r="A1073" s="15" t="s">
        <v>84</v>
      </c>
      <c r="B1073" s="15">
        <v>3919.625</v>
      </c>
      <c r="C1073" s="15">
        <v>39.665999999999997</v>
      </c>
      <c r="D1073" s="15">
        <v>22.113</v>
      </c>
      <c r="E1073" s="15">
        <v>1.105</v>
      </c>
      <c r="F1073" s="15">
        <v>170.43100000000001</v>
      </c>
      <c r="G1073" s="15">
        <v>2.7229999999999999</v>
      </c>
      <c r="H1073" s="15">
        <v>3.0150000000000001</v>
      </c>
      <c r="I1073" s="15">
        <v>3.7839999999999998</v>
      </c>
      <c r="J1073" s="15">
        <v>283.524</v>
      </c>
      <c r="K1073" s="15">
        <v>316.44099999999997</v>
      </c>
      <c r="L1073" s="15">
        <v>0.01</v>
      </c>
      <c r="M1073" s="15">
        <v>1E-3</v>
      </c>
      <c r="N1073" s="15">
        <v>100</v>
      </c>
      <c r="O1073" s="15">
        <v>0.17599999999999999</v>
      </c>
      <c r="P1073" s="15">
        <v>0.76800000000000002</v>
      </c>
      <c r="Q1073" s="15">
        <v>0.50700000000000001</v>
      </c>
      <c r="R1073" s="15">
        <v>0.56699999999999995</v>
      </c>
      <c r="S1073" s="15">
        <v>0.01</v>
      </c>
      <c r="T1073" s="15"/>
      <c r="U1073" s="15" t="s">
        <v>22</v>
      </c>
      <c r="V1073" s="15" t="s">
        <v>90</v>
      </c>
      <c r="W1073" s="15">
        <v>2</v>
      </c>
      <c r="X1073" s="15"/>
      <c r="Y1073" s="12">
        <f t="shared" si="32"/>
        <v>0.68300000000000005</v>
      </c>
      <c r="Z1073" s="15">
        <v>-0.59200000000000008</v>
      </c>
    </row>
    <row r="1074" spans="1:26" x14ac:dyDescent="0.2">
      <c r="A1074" s="15" t="s">
        <v>84</v>
      </c>
      <c r="B1074" s="15">
        <v>3919.75</v>
      </c>
      <c r="C1074" s="15">
        <v>36.061</v>
      </c>
      <c r="D1074" s="15">
        <v>22.152999999999999</v>
      </c>
      <c r="E1074" s="15">
        <v>1.0009999999999999</v>
      </c>
      <c r="F1074" s="15">
        <v>171.75899999999999</v>
      </c>
      <c r="G1074" s="15">
        <v>2.722</v>
      </c>
      <c r="H1074" s="15">
        <v>3.403</v>
      </c>
      <c r="I1074" s="15">
        <v>3.7160000000000002</v>
      </c>
      <c r="J1074" s="15">
        <v>166.23500000000001</v>
      </c>
      <c r="K1074" s="15">
        <v>185.57400000000001</v>
      </c>
      <c r="L1074" s="15">
        <v>0.01</v>
      </c>
      <c r="M1074" s="15">
        <v>1E-3</v>
      </c>
      <c r="N1074" s="15">
        <v>100</v>
      </c>
      <c r="O1074" s="15">
        <v>0.14399999999999999</v>
      </c>
      <c r="P1074" s="15">
        <v>0.72599999999999998</v>
      </c>
      <c r="Q1074" s="15">
        <v>0.54600000000000004</v>
      </c>
      <c r="R1074" s="15">
        <v>0.56599999999999995</v>
      </c>
      <c r="S1074" s="15">
        <v>4.1000000000000002E-2</v>
      </c>
      <c r="T1074" s="15"/>
      <c r="U1074" s="15" t="s">
        <v>22</v>
      </c>
      <c r="V1074" s="15" t="s">
        <v>90</v>
      </c>
      <c r="W1074" s="15">
        <v>2</v>
      </c>
      <c r="X1074" s="15"/>
      <c r="Y1074" s="12">
        <f t="shared" si="32"/>
        <v>0.69000000000000006</v>
      </c>
      <c r="Z1074" s="15">
        <v>-0.58199999999999996</v>
      </c>
    </row>
    <row r="1075" spans="1:26" x14ac:dyDescent="0.2">
      <c r="A1075" s="15" t="s">
        <v>78</v>
      </c>
      <c r="B1075" s="15">
        <v>3728.625</v>
      </c>
      <c r="C1075" s="15">
        <v>47.259</v>
      </c>
      <c r="D1075" s="15">
        <v>22.361999999999998</v>
      </c>
      <c r="E1075" s="15">
        <v>1.855</v>
      </c>
      <c r="F1075" s="15">
        <v>174.79</v>
      </c>
      <c r="G1075" s="15">
        <v>2.806</v>
      </c>
      <c r="H1075" s="15">
        <v>6.3529999999999998</v>
      </c>
      <c r="I1075" s="15">
        <v>3.6989999999999998</v>
      </c>
      <c r="J1075" s="15">
        <v>630.93799999999999</v>
      </c>
      <c r="K1075" s="15">
        <v>738.75099999999998</v>
      </c>
      <c r="L1075" s="15">
        <v>0.01</v>
      </c>
      <c r="M1075" s="15">
        <v>1E-3</v>
      </c>
      <c r="N1075" s="15">
        <v>100</v>
      </c>
      <c r="O1075" s="15">
        <v>0.316</v>
      </c>
      <c r="P1075" s="15">
        <v>0.63100000000000001</v>
      </c>
      <c r="Q1075" s="15">
        <v>0.191</v>
      </c>
      <c r="R1075" s="15">
        <v>0.67800000000000005</v>
      </c>
      <c r="S1075" s="15">
        <v>0.22500000000000001</v>
      </c>
      <c r="T1075" s="15"/>
      <c r="U1075" s="15" t="s">
        <v>33</v>
      </c>
      <c r="V1075" s="15" t="s">
        <v>90</v>
      </c>
      <c r="W1075" s="15">
        <v>4</v>
      </c>
      <c r="X1075" s="15"/>
      <c r="Y1075" s="12">
        <f t="shared" si="32"/>
        <v>0.50700000000000001</v>
      </c>
      <c r="Z1075" s="15">
        <v>-0.315</v>
      </c>
    </row>
    <row r="1076" spans="1:26" x14ac:dyDescent="0.2">
      <c r="A1076" s="15" t="s">
        <v>78</v>
      </c>
      <c r="B1076" s="15">
        <v>3728.75</v>
      </c>
      <c r="C1076" s="15">
        <v>55.802</v>
      </c>
      <c r="D1076" s="15">
        <v>22.465</v>
      </c>
      <c r="E1076" s="15">
        <v>1.85</v>
      </c>
      <c r="F1076" s="15">
        <v>178.435</v>
      </c>
      <c r="G1076" s="15">
        <v>2.8069999999999999</v>
      </c>
      <c r="H1076" s="15">
        <v>6.5679999999999996</v>
      </c>
      <c r="I1076" s="15">
        <v>3.8570000000000002</v>
      </c>
      <c r="J1076" s="15">
        <v>483.233</v>
      </c>
      <c r="K1076" s="15">
        <v>564.98099999999999</v>
      </c>
      <c r="L1076" s="15">
        <v>0.01</v>
      </c>
      <c r="M1076" s="15">
        <v>1E-3</v>
      </c>
      <c r="N1076" s="15">
        <v>100</v>
      </c>
      <c r="O1076" s="15">
        <v>0.40699999999999997</v>
      </c>
      <c r="P1076" s="15">
        <v>0.74399999999999999</v>
      </c>
      <c r="Q1076" s="15">
        <v>0.247</v>
      </c>
      <c r="R1076" s="15">
        <v>0.68</v>
      </c>
      <c r="S1076" s="15">
        <v>0.246</v>
      </c>
      <c r="T1076" s="15"/>
      <c r="U1076" s="15" t="s">
        <v>33</v>
      </c>
      <c r="V1076" s="15" t="s">
        <v>90</v>
      </c>
      <c r="W1076" s="15">
        <v>4</v>
      </c>
      <c r="X1076" s="15"/>
      <c r="Y1076" s="12">
        <f t="shared" si="32"/>
        <v>0.65399999999999991</v>
      </c>
      <c r="Z1076" s="15">
        <v>-0.33700000000000002</v>
      </c>
    </row>
    <row r="1077" spans="1:26" x14ac:dyDescent="0.2">
      <c r="A1077" s="15" t="s">
        <v>78</v>
      </c>
      <c r="B1077" s="15">
        <v>3728.875</v>
      </c>
      <c r="C1077" s="15">
        <v>60.536999999999999</v>
      </c>
      <c r="D1077" s="15">
        <v>22.538</v>
      </c>
      <c r="E1077" s="15">
        <v>1.9830000000000001</v>
      </c>
      <c r="F1077" s="15">
        <v>179.92400000000001</v>
      </c>
      <c r="G1077" s="15">
        <v>2.81</v>
      </c>
      <c r="H1077" s="15">
        <v>6.8479999999999999</v>
      </c>
      <c r="I1077" s="15">
        <v>3.9950000000000001</v>
      </c>
      <c r="J1077" s="15">
        <v>354.87299999999999</v>
      </c>
      <c r="K1077" s="15">
        <v>413.96800000000002</v>
      </c>
      <c r="L1077" s="15">
        <v>0.01</v>
      </c>
      <c r="M1077" s="15">
        <v>1E-3</v>
      </c>
      <c r="N1077" s="15">
        <v>100</v>
      </c>
      <c r="O1077" s="15">
        <v>0.47399999999999998</v>
      </c>
      <c r="P1077" s="15">
        <v>0.85499999999999998</v>
      </c>
      <c r="Q1077" s="15">
        <v>0.28000000000000003</v>
      </c>
      <c r="R1077" s="15">
        <v>0.69799999999999995</v>
      </c>
      <c r="S1077" s="15">
        <v>0.28299999999999997</v>
      </c>
      <c r="T1077" s="15"/>
      <c r="U1077" s="15" t="s">
        <v>33</v>
      </c>
      <c r="V1077" s="15" t="s">
        <v>90</v>
      </c>
      <c r="W1077" s="15">
        <v>4</v>
      </c>
      <c r="X1077" s="15"/>
      <c r="Y1077" s="12">
        <f t="shared" si="32"/>
        <v>0.754</v>
      </c>
      <c r="Z1077" s="15">
        <v>-0.38100000000000001</v>
      </c>
    </row>
    <row r="1078" spans="1:26" x14ac:dyDescent="0.2">
      <c r="A1078" s="15" t="s">
        <v>78</v>
      </c>
      <c r="B1078" s="15">
        <v>3729</v>
      </c>
      <c r="C1078" s="15">
        <v>59.701000000000001</v>
      </c>
      <c r="D1078" s="15">
        <v>22.585000000000001</v>
      </c>
      <c r="E1078" s="15">
        <v>2.3279999999999998</v>
      </c>
      <c r="F1078" s="15">
        <v>179.19</v>
      </c>
      <c r="G1078" s="15">
        <v>2.8140000000000001</v>
      </c>
      <c r="H1078" s="15">
        <v>7.1310000000000002</v>
      </c>
      <c r="I1078" s="15">
        <v>4.069</v>
      </c>
      <c r="J1078" s="15">
        <v>286.52999999999997</v>
      </c>
      <c r="K1078" s="15">
        <v>333.565</v>
      </c>
      <c r="L1078" s="15">
        <v>0.01</v>
      </c>
      <c r="M1078" s="15">
        <v>1E-3</v>
      </c>
      <c r="N1078" s="15">
        <v>100</v>
      </c>
      <c r="O1078" s="15">
        <v>0.48899999999999999</v>
      </c>
      <c r="P1078" s="15">
        <v>0.93100000000000005</v>
      </c>
      <c r="Q1078" s="15">
        <v>0.28299999999999997</v>
      </c>
      <c r="R1078" s="15">
        <v>0.72799999999999998</v>
      </c>
      <c r="S1078" s="15">
        <v>0.32400000000000001</v>
      </c>
      <c r="T1078" s="15"/>
      <c r="U1078" s="15" t="s">
        <v>33</v>
      </c>
      <c r="V1078" s="15" t="s">
        <v>90</v>
      </c>
      <c r="W1078" s="15">
        <v>4</v>
      </c>
      <c r="X1078" s="15"/>
      <c r="Y1078" s="12">
        <f t="shared" si="32"/>
        <v>0.77200000000000002</v>
      </c>
      <c r="Z1078" s="15">
        <v>-0.44200000000000006</v>
      </c>
    </row>
    <row r="1079" spans="1:26" x14ac:dyDescent="0.2">
      <c r="A1079" s="15" t="s">
        <v>78</v>
      </c>
      <c r="B1079" s="15">
        <v>3729.125</v>
      </c>
      <c r="C1079" s="15">
        <v>55.140999999999998</v>
      </c>
      <c r="D1079" s="15">
        <v>22.611999999999998</v>
      </c>
      <c r="E1079" s="15">
        <v>2.923</v>
      </c>
      <c r="F1079" s="15">
        <v>177.06</v>
      </c>
      <c r="G1079" s="15">
        <v>2.8170000000000002</v>
      </c>
      <c r="H1079" s="15">
        <v>7.4009999999999998</v>
      </c>
      <c r="I1079" s="15">
        <v>4.0609999999999999</v>
      </c>
      <c r="J1079" s="15">
        <v>273.61200000000002</v>
      </c>
      <c r="K1079" s="15">
        <v>318.36700000000002</v>
      </c>
      <c r="L1079" s="15">
        <v>0.01</v>
      </c>
      <c r="M1079" s="15">
        <v>1E-3</v>
      </c>
      <c r="N1079" s="15">
        <v>100</v>
      </c>
      <c r="O1079" s="15">
        <v>0.45700000000000002</v>
      </c>
      <c r="P1079" s="15">
        <v>0.95099999999999996</v>
      </c>
      <c r="Q1079" s="15">
        <v>0.26100000000000001</v>
      </c>
      <c r="R1079" s="15">
        <v>0.75600000000000001</v>
      </c>
      <c r="S1079" s="15">
        <v>0.36399999999999999</v>
      </c>
      <c r="T1079" s="15"/>
      <c r="U1079" s="15" t="s">
        <v>33</v>
      </c>
      <c r="V1079" s="15" t="s">
        <v>90</v>
      </c>
      <c r="W1079" s="15">
        <v>4</v>
      </c>
      <c r="X1079" s="15"/>
      <c r="Y1079" s="12">
        <f t="shared" si="32"/>
        <v>0.71799999999999997</v>
      </c>
      <c r="Z1079" s="15">
        <v>-0.49399999999999994</v>
      </c>
    </row>
    <row r="1080" spans="1:26" x14ac:dyDescent="0.2">
      <c r="A1080" s="15" t="s">
        <v>78</v>
      </c>
      <c r="B1080" s="15">
        <v>3729.25</v>
      </c>
      <c r="C1080" s="15">
        <v>51.38</v>
      </c>
      <c r="D1080" s="15">
        <v>22.608000000000001</v>
      </c>
      <c r="E1080" s="15">
        <v>3.5209999999999999</v>
      </c>
      <c r="F1080" s="15">
        <v>174.73599999999999</v>
      </c>
      <c r="G1080" s="15">
        <v>2.8180000000000001</v>
      </c>
      <c r="H1080" s="15">
        <v>7.6710000000000003</v>
      </c>
      <c r="I1080" s="15">
        <v>3.9769999999999999</v>
      </c>
      <c r="J1080" s="15">
        <v>297.63</v>
      </c>
      <c r="K1080" s="15">
        <v>346.62400000000002</v>
      </c>
      <c r="L1080" s="15">
        <v>0.01</v>
      </c>
      <c r="M1080" s="15">
        <v>1E-3</v>
      </c>
      <c r="N1080" s="15">
        <v>100</v>
      </c>
      <c r="O1080" s="15">
        <v>0.41399999999999998</v>
      </c>
      <c r="P1080" s="15">
        <v>0.91100000000000003</v>
      </c>
      <c r="Q1080" s="15">
        <v>0.23</v>
      </c>
      <c r="R1080" s="15">
        <v>0.77200000000000002</v>
      </c>
      <c r="S1080" s="15">
        <v>0.40300000000000002</v>
      </c>
      <c r="T1080" s="15"/>
      <c r="U1080" s="15" t="s">
        <v>33</v>
      </c>
      <c r="V1080" s="15" t="s">
        <v>90</v>
      </c>
      <c r="W1080" s="15">
        <v>4</v>
      </c>
      <c r="X1080" s="15"/>
      <c r="Y1080" s="12">
        <f t="shared" si="32"/>
        <v>0.64400000000000002</v>
      </c>
      <c r="Z1080" s="15">
        <v>-0.49700000000000005</v>
      </c>
    </row>
    <row r="1081" spans="1:26" x14ac:dyDescent="0.2">
      <c r="A1081" s="15" t="s">
        <v>78</v>
      </c>
      <c r="B1081" s="15">
        <v>3729.375</v>
      </c>
      <c r="C1081" s="15">
        <v>51.204999999999998</v>
      </c>
      <c r="D1081" s="15">
        <v>22.559000000000001</v>
      </c>
      <c r="E1081" s="15">
        <v>3.8740000000000001</v>
      </c>
      <c r="F1081" s="15">
        <v>173.13800000000001</v>
      </c>
      <c r="G1081" s="15">
        <v>2.8159999999999998</v>
      </c>
      <c r="H1081" s="15">
        <v>7.9370000000000003</v>
      </c>
      <c r="I1081" s="15">
        <v>3.8559999999999999</v>
      </c>
      <c r="J1081" s="15">
        <v>343.53800000000001</v>
      </c>
      <c r="K1081" s="15">
        <v>400.63200000000001</v>
      </c>
      <c r="L1081" s="15">
        <v>0.01</v>
      </c>
      <c r="M1081" s="15">
        <v>1E-3</v>
      </c>
      <c r="N1081" s="15">
        <v>100</v>
      </c>
      <c r="O1081" s="15">
        <v>0.39600000000000002</v>
      </c>
      <c r="P1081" s="15">
        <v>0.83099999999999996</v>
      </c>
      <c r="Q1081" s="15">
        <v>0.20300000000000001</v>
      </c>
      <c r="R1081" s="15">
        <v>0.76500000000000001</v>
      </c>
      <c r="S1081" s="15">
        <v>0.442</v>
      </c>
      <c r="T1081" s="15"/>
      <c r="U1081" s="15" t="s">
        <v>33</v>
      </c>
      <c r="V1081" s="15" t="s">
        <v>90</v>
      </c>
      <c r="W1081" s="15">
        <v>4</v>
      </c>
      <c r="X1081" s="15"/>
      <c r="Y1081" s="12">
        <f t="shared" si="32"/>
        <v>0.59899999999999998</v>
      </c>
      <c r="Z1081" s="15">
        <v>-0.43499999999999994</v>
      </c>
    </row>
    <row r="1082" spans="1:26" x14ac:dyDescent="0.2">
      <c r="A1082" s="15" t="s">
        <v>78</v>
      </c>
      <c r="B1082" s="15">
        <v>3729.5</v>
      </c>
      <c r="C1082" s="15">
        <v>53.7</v>
      </c>
      <c r="D1082" s="15">
        <v>22.462</v>
      </c>
      <c r="E1082" s="15">
        <v>4.0140000000000002</v>
      </c>
      <c r="F1082" s="15">
        <v>172.43199999999999</v>
      </c>
      <c r="G1082" s="15">
        <v>2.8119999999999998</v>
      </c>
      <c r="H1082" s="15">
        <v>8.1370000000000005</v>
      </c>
      <c r="I1082" s="15">
        <v>3.7589999999999999</v>
      </c>
      <c r="J1082" s="15">
        <v>394.50299999999999</v>
      </c>
      <c r="K1082" s="15">
        <v>460.59100000000001</v>
      </c>
      <c r="L1082" s="15">
        <v>0.01</v>
      </c>
      <c r="M1082" s="15">
        <v>1E-3</v>
      </c>
      <c r="N1082" s="15">
        <v>100</v>
      </c>
      <c r="O1082" s="15">
        <v>0.41099999999999998</v>
      </c>
      <c r="P1082" s="15">
        <v>0.75</v>
      </c>
      <c r="Q1082" s="15">
        <v>0.188</v>
      </c>
      <c r="R1082" s="15">
        <v>0.73899999999999999</v>
      </c>
      <c r="S1082" s="15">
        <v>0.47499999999999998</v>
      </c>
      <c r="T1082" s="15"/>
      <c r="U1082" s="15" t="s">
        <v>33</v>
      </c>
      <c r="V1082" s="15" t="s">
        <v>90</v>
      </c>
      <c r="W1082" s="15">
        <v>4</v>
      </c>
      <c r="X1082" s="15"/>
      <c r="Y1082" s="12">
        <f t="shared" si="32"/>
        <v>0.59899999999999998</v>
      </c>
      <c r="Z1082" s="15">
        <v>-0.33900000000000002</v>
      </c>
    </row>
    <row r="1083" spans="1:26" x14ac:dyDescent="0.2">
      <c r="A1083" s="15" t="s">
        <v>78</v>
      </c>
      <c r="B1083" s="15">
        <v>3729.625</v>
      </c>
      <c r="C1083" s="15">
        <v>56.232999999999997</v>
      </c>
      <c r="D1083" s="15">
        <v>22.344000000000001</v>
      </c>
      <c r="E1083" s="15">
        <v>4.03</v>
      </c>
      <c r="F1083" s="15">
        <v>172.596</v>
      </c>
      <c r="G1083" s="15">
        <v>2.8079999999999998</v>
      </c>
      <c r="H1083" s="15">
        <v>8.173</v>
      </c>
      <c r="I1083" s="15">
        <v>3.7269999999999999</v>
      </c>
      <c r="J1083" s="15">
        <v>427.22699999999998</v>
      </c>
      <c r="K1083" s="15">
        <v>499.09100000000001</v>
      </c>
      <c r="L1083" s="15">
        <v>0.01</v>
      </c>
      <c r="M1083" s="15">
        <v>1E-3</v>
      </c>
      <c r="N1083" s="15">
        <v>100</v>
      </c>
      <c r="O1083" s="15">
        <v>0.438</v>
      </c>
      <c r="P1083" s="15">
        <v>0.70599999999999996</v>
      </c>
      <c r="Q1083" s="15">
        <v>0.185</v>
      </c>
      <c r="R1083" s="15">
        <v>0.70599999999999996</v>
      </c>
      <c r="S1083" s="15">
        <v>0.49</v>
      </c>
      <c r="T1083" s="15"/>
      <c r="U1083" s="15" t="s">
        <v>33</v>
      </c>
      <c r="V1083" s="15" t="s">
        <v>90</v>
      </c>
      <c r="W1083" s="15">
        <v>4</v>
      </c>
      <c r="X1083" s="15"/>
      <c r="Y1083" s="12">
        <f t="shared" si="32"/>
        <v>0.623</v>
      </c>
      <c r="Z1083" s="15">
        <v>-0.26799999999999996</v>
      </c>
    </row>
    <row r="1084" spans="1:26" x14ac:dyDescent="0.2">
      <c r="A1084" s="15" t="s">
        <v>78</v>
      </c>
      <c r="B1084" s="15">
        <v>3729.75</v>
      </c>
      <c r="C1084" s="15">
        <v>57.207999999999998</v>
      </c>
      <c r="D1084" s="15">
        <v>22.262</v>
      </c>
      <c r="E1084" s="15">
        <v>3.9180000000000001</v>
      </c>
      <c r="F1084" s="15">
        <v>174.13300000000001</v>
      </c>
      <c r="G1084" s="15">
        <v>2.8069999999999999</v>
      </c>
      <c r="H1084" s="15">
        <v>7.9749999999999996</v>
      </c>
      <c r="I1084" s="15">
        <v>3.7509999999999999</v>
      </c>
      <c r="J1084" s="15">
        <v>434.38299999999998</v>
      </c>
      <c r="K1084" s="15">
        <v>507.50900000000001</v>
      </c>
      <c r="L1084" s="15">
        <v>0.01</v>
      </c>
      <c r="M1084" s="15">
        <v>1E-3</v>
      </c>
      <c r="N1084" s="15">
        <v>100</v>
      </c>
      <c r="O1084" s="15">
        <v>0.45500000000000002</v>
      </c>
      <c r="P1084" s="15">
        <v>0.70599999999999996</v>
      </c>
      <c r="Q1084" s="15">
        <v>0.19900000000000001</v>
      </c>
      <c r="R1084" s="15">
        <v>0.68700000000000006</v>
      </c>
      <c r="S1084" s="15">
        <v>0.47599999999999998</v>
      </c>
      <c r="T1084" s="15"/>
      <c r="U1084" s="15" t="s">
        <v>33</v>
      </c>
      <c r="V1084" s="15" t="s">
        <v>90</v>
      </c>
      <c r="W1084" s="15">
        <v>4</v>
      </c>
      <c r="X1084" s="15"/>
      <c r="Y1084" s="12">
        <f t="shared" si="32"/>
        <v>0.65400000000000003</v>
      </c>
      <c r="Z1084" s="15">
        <v>-0.25099999999999995</v>
      </c>
    </row>
    <row r="1085" spans="1:26" x14ac:dyDescent="0.2">
      <c r="A1085" s="15" t="s">
        <v>78</v>
      </c>
      <c r="B1085" s="15">
        <v>3729.875</v>
      </c>
      <c r="C1085" s="15">
        <v>56.302</v>
      </c>
      <c r="D1085" s="15">
        <v>22.277000000000001</v>
      </c>
      <c r="E1085" s="15">
        <v>3.65</v>
      </c>
      <c r="F1085" s="15">
        <v>177.43700000000001</v>
      </c>
      <c r="G1085" s="15">
        <v>2.81</v>
      </c>
      <c r="H1085" s="15">
        <v>7.5540000000000003</v>
      </c>
      <c r="I1085" s="15">
        <v>3.7709999999999999</v>
      </c>
      <c r="J1085" s="15">
        <v>428.048</v>
      </c>
      <c r="K1085" s="15">
        <v>500.05599999999998</v>
      </c>
      <c r="L1085" s="15">
        <v>0.01</v>
      </c>
      <c r="M1085" s="15">
        <v>1E-3</v>
      </c>
      <c r="N1085" s="15">
        <v>100</v>
      </c>
      <c r="O1085" s="15">
        <v>0.45400000000000001</v>
      </c>
      <c r="P1085" s="15">
        <v>0.72299999999999998</v>
      </c>
      <c r="Q1085" s="15">
        <v>0.23499999999999999</v>
      </c>
      <c r="R1085" s="15">
        <v>0.69799999999999995</v>
      </c>
      <c r="S1085" s="15">
        <v>0.42799999999999999</v>
      </c>
      <c r="T1085" s="15"/>
      <c r="U1085" s="15" t="s">
        <v>33</v>
      </c>
      <c r="V1085" s="15" t="s">
        <v>90</v>
      </c>
      <c r="W1085" s="15">
        <v>4</v>
      </c>
      <c r="X1085" s="15"/>
      <c r="Y1085" s="12">
        <f t="shared" si="32"/>
        <v>0.68900000000000006</v>
      </c>
      <c r="Z1085" s="15">
        <v>-0.26899999999999996</v>
      </c>
    </row>
    <row r="1086" spans="1:26" x14ac:dyDescent="0.2">
      <c r="A1086" s="15" t="s">
        <v>78</v>
      </c>
      <c r="B1086" s="15">
        <v>3730</v>
      </c>
      <c r="C1086" s="15">
        <v>53.731000000000002</v>
      </c>
      <c r="D1086" s="15">
        <v>22.411999999999999</v>
      </c>
      <c r="E1086" s="15">
        <v>3.2170000000000001</v>
      </c>
      <c r="F1086" s="15">
        <v>181.976</v>
      </c>
      <c r="G1086" s="15">
        <v>2.8149999999999999</v>
      </c>
      <c r="H1086" s="15">
        <v>7.0229999999999997</v>
      </c>
      <c r="I1086" s="15">
        <v>3.7170000000000001</v>
      </c>
      <c r="J1086" s="15">
        <v>413.81799999999998</v>
      </c>
      <c r="K1086" s="15">
        <v>483.315</v>
      </c>
      <c r="L1086" s="15">
        <v>0.01</v>
      </c>
      <c r="M1086" s="15">
        <v>1E-3</v>
      </c>
      <c r="N1086" s="15">
        <v>100</v>
      </c>
      <c r="O1086" s="15">
        <v>0.434</v>
      </c>
      <c r="P1086" s="15">
        <v>0.70499999999999996</v>
      </c>
      <c r="Q1086" s="15">
        <v>0.29099999999999998</v>
      </c>
      <c r="R1086" s="15">
        <v>0.73299999999999998</v>
      </c>
      <c r="S1086" s="15">
        <v>0.35699999999999998</v>
      </c>
      <c r="T1086" s="15"/>
      <c r="U1086" s="15" t="s">
        <v>33</v>
      </c>
      <c r="V1086" s="15" t="s">
        <v>90</v>
      </c>
      <c r="W1086" s="15">
        <v>4</v>
      </c>
      <c r="X1086" s="15"/>
      <c r="Y1086" s="12">
        <f t="shared" si="32"/>
        <v>0.72499999999999998</v>
      </c>
      <c r="Z1086" s="15">
        <v>-0.27099999999999996</v>
      </c>
    </row>
    <row r="1087" spans="1:26" x14ac:dyDescent="0.2">
      <c r="A1087" s="15" t="s">
        <v>78</v>
      </c>
      <c r="B1087" s="15">
        <v>3730.125</v>
      </c>
      <c r="C1087" s="15">
        <v>50.773000000000003</v>
      </c>
      <c r="D1087" s="15">
        <v>22.638000000000002</v>
      </c>
      <c r="E1087" s="15">
        <v>2.7250000000000001</v>
      </c>
      <c r="F1087" s="15">
        <v>186.43600000000001</v>
      </c>
      <c r="G1087" s="15">
        <v>2.82</v>
      </c>
      <c r="H1087" s="15">
        <v>6.5410000000000004</v>
      </c>
      <c r="I1087" s="15">
        <v>3.569</v>
      </c>
      <c r="J1087" s="15">
        <v>385.35599999999999</v>
      </c>
      <c r="K1087" s="15">
        <v>449.83100000000002</v>
      </c>
      <c r="L1087" s="15">
        <v>0.01</v>
      </c>
      <c r="M1087" s="15">
        <v>1E-3</v>
      </c>
      <c r="N1087" s="15">
        <v>100</v>
      </c>
      <c r="O1087" s="15">
        <v>0.40400000000000003</v>
      </c>
      <c r="P1087" s="15">
        <v>0.623</v>
      </c>
      <c r="Q1087" s="15">
        <v>0.35399999999999998</v>
      </c>
      <c r="R1087" s="15">
        <v>0.77400000000000002</v>
      </c>
      <c r="S1087" s="15">
        <v>0.28399999999999997</v>
      </c>
      <c r="T1087" s="15"/>
      <c r="U1087" s="15" t="s">
        <v>33</v>
      </c>
      <c r="V1087" s="15" t="s">
        <v>90</v>
      </c>
      <c r="W1087" s="15">
        <v>4</v>
      </c>
      <c r="X1087" s="15"/>
      <c r="Y1087" s="12">
        <f t="shared" si="32"/>
        <v>0.75800000000000001</v>
      </c>
      <c r="Z1087" s="15">
        <v>-0.21899999999999997</v>
      </c>
    </row>
    <row r="1088" spans="1:26" x14ac:dyDescent="0.2">
      <c r="A1088" s="15" t="s">
        <v>79</v>
      </c>
      <c r="B1088" s="15">
        <v>3382.375</v>
      </c>
      <c r="C1088" s="15">
        <v>28.326000000000001</v>
      </c>
      <c r="D1088" s="15">
        <v>23.553000000000001</v>
      </c>
      <c r="E1088" s="15">
        <v>2.0030000000000001</v>
      </c>
      <c r="F1088" s="15">
        <v>162.99199999999999</v>
      </c>
      <c r="G1088" s="15">
        <v>2.831</v>
      </c>
      <c r="H1088" s="15">
        <v>1.889</v>
      </c>
      <c r="I1088" s="15">
        <v>3.8109999999999999</v>
      </c>
      <c r="J1088" s="15">
        <v>728.577</v>
      </c>
      <c r="K1088" s="15">
        <v>755.13499999999999</v>
      </c>
      <c r="L1088" s="15">
        <v>0.01</v>
      </c>
      <c r="M1088" s="15">
        <v>1E-3</v>
      </c>
      <c r="N1088" s="15">
        <v>100</v>
      </c>
      <c r="O1088" s="15">
        <v>0.11600000000000001</v>
      </c>
      <c r="P1088" s="15">
        <v>0.65800000000000003</v>
      </c>
      <c r="Q1088" s="15">
        <v>0.14399999999999999</v>
      </c>
      <c r="R1088" s="15">
        <v>0.69499999999999995</v>
      </c>
      <c r="S1088" s="15">
        <v>7.9000000000000001E-2</v>
      </c>
      <c r="T1088" s="15"/>
      <c r="U1088" s="15" t="s">
        <v>33</v>
      </c>
      <c r="V1088" s="15" t="s">
        <v>90</v>
      </c>
      <c r="W1088" s="15">
        <v>7</v>
      </c>
      <c r="X1088" s="15"/>
      <c r="Y1088" s="12">
        <f t="shared" si="32"/>
        <v>0.26</v>
      </c>
      <c r="Z1088" s="15">
        <v>-0.54200000000000004</v>
      </c>
    </row>
    <row r="1089" spans="1:26" x14ac:dyDescent="0.2">
      <c r="A1089" s="15" t="s">
        <v>80</v>
      </c>
      <c r="B1089" s="15">
        <v>3441.25</v>
      </c>
      <c r="C1089" s="15">
        <v>15.08</v>
      </c>
      <c r="D1089" s="15">
        <v>23.050999999999998</v>
      </c>
      <c r="E1089" s="15">
        <v>1.3109999999999999</v>
      </c>
      <c r="F1089" s="15">
        <v>157.78700000000001</v>
      </c>
      <c r="G1089" s="15">
        <v>2.7570000000000001</v>
      </c>
      <c r="H1089" s="15">
        <v>5.0049999999999999</v>
      </c>
      <c r="I1089" s="15">
        <v>3.718</v>
      </c>
      <c r="J1089" s="15">
        <v>202.01400000000001</v>
      </c>
      <c r="K1089" s="15">
        <v>350.49299999999999</v>
      </c>
      <c r="L1089" s="15">
        <v>1.163</v>
      </c>
      <c r="M1089" s="15">
        <v>0.01</v>
      </c>
      <c r="N1089" s="15">
        <v>100</v>
      </c>
      <c r="O1089" s="15">
        <v>1.4999999999999999E-2</v>
      </c>
      <c r="P1089" s="15">
        <v>0.46600000000000003</v>
      </c>
      <c r="Q1089" s="15">
        <v>8.7999999999999995E-2</v>
      </c>
      <c r="R1089" s="15">
        <v>0.55000000000000004</v>
      </c>
      <c r="S1089" s="15">
        <v>0.38800000000000001</v>
      </c>
      <c r="T1089" s="15" t="s">
        <v>23</v>
      </c>
      <c r="U1089" s="15" t="s">
        <v>22</v>
      </c>
      <c r="V1089" s="15" t="s">
        <v>90</v>
      </c>
      <c r="W1089" s="15">
        <v>3</v>
      </c>
      <c r="X1089" s="15"/>
      <c r="Y1089" s="12">
        <f t="shared" si="32"/>
        <v>0.10299999999999999</v>
      </c>
      <c r="Z1089" s="15">
        <v>-0.45100000000000001</v>
      </c>
    </row>
    <row r="1090" spans="1:26" x14ac:dyDescent="0.2">
      <c r="A1090" s="15" t="s">
        <v>80</v>
      </c>
      <c r="B1090" s="15">
        <v>3441.375</v>
      </c>
      <c r="C1090" s="15">
        <v>15.162000000000001</v>
      </c>
      <c r="D1090" s="15">
        <v>23.074999999999999</v>
      </c>
      <c r="E1090" s="15">
        <v>1.3220000000000001</v>
      </c>
      <c r="F1090" s="15">
        <v>157.49100000000001</v>
      </c>
      <c r="G1090" s="15">
        <v>2.7570000000000001</v>
      </c>
      <c r="H1090" s="15">
        <v>4.8879999999999999</v>
      </c>
      <c r="I1090" s="15">
        <v>3.8519999999999999</v>
      </c>
      <c r="J1090" s="15">
        <v>187.977</v>
      </c>
      <c r="K1090" s="15">
        <v>324.85399999999998</v>
      </c>
      <c r="L1090" s="15">
        <v>1.177</v>
      </c>
      <c r="M1090" s="15">
        <v>0.01</v>
      </c>
      <c r="N1090" s="15">
        <v>100</v>
      </c>
      <c r="O1090" s="15">
        <v>1.4999999999999999E-2</v>
      </c>
      <c r="P1090" s="15">
        <v>0.52600000000000002</v>
      </c>
      <c r="Q1090" s="15">
        <v>8.3000000000000004E-2</v>
      </c>
      <c r="R1090" s="15">
        <v>0.55000000000000004</v>
      </c>
      <c r="S1090" s="15">
        <v>0.377</v>
      </c>
      <c r="T1090" s="15" t="s">
        <v>23</v>
      </c>
      <c r="U1090" s="15" t="s">
        <v>22</v>
      </c>
      <c r="V1090" s="15" t="s">
        <v>90</v>
      </c>
      <c r="W1090" s="15">
        <v>3</v>
      </c>
      <c r="X1090" s="15"/>
      <c r="Y1090" s="12">
        <f t="shared" si="32"/>
        <v>9.8000000000000004E-2</v>
      </c>
      <c r="Z1090" s="15">
        <v>-0.51100000000000001</v>
      </c>
    </row>
    <row r="1091" spans="1:26" x14ac:dyDescent="0.2">
      <c r="A1091" s="15" t="s">
        <v>80</v>
      </c>
      <c r="B1091" s="15">
        <v>3441.5</v>
      </c>
      <c r="C1091" s="15">
        <v>15.523</v>
      </c>
      <c r="D1091" s="15">
        <v>23.132999999999999</v>
      </c>
      <c r="E1091" s="15">
        <v>1.3420000000000001</v>
      </c>
      <c r="F1091" s="15">
        <v>157.22200000000001</v>
      </c>
      <c r="G1091" s="15">
        <v>2.7549999999999999</v>
      </c>
      <c r="H1091" s="15">
        <v>4.8369999999999997</v>
      </c>
      <c r="I1091" s="15">
        <v>3.9630000000000001</v>
      </c>
      <c r="J1091" s="15">
        <v>173.81200000000001</v>
      </c>
      <c r="K1091" s="15">
        <v>297.99400000000003</v>
      </c>
      <c r="L1091" s="15">
        <v>1.1759999999999999</v>
      </c>
      <c r="M1091" s="15">
        <v>0.01</v>
      </c>
      <c r="N1091" s="15">
        <v>100</v>
      </c>
      <c r="O1091" s="15">
        <v>1.7000000000000001E-2</v>
      </c>
      <c r="P1091" s="15">
        <v>0.57799999999999996</v>
      </c>
      <c r="Q1091" s="15">
        <v>7.9000000000000001E-2</v>
      </c>
      <c r="R1091" s="15">
        <v>0.54600000000000004</v>
      </c>
      <c r="S1091" s="15">
        <v>0.372</v>
      </c>
      <c r="T1091" s="15" t="s">
        <v>23</v>
      </c>
      <c r="U1091" s="15" t="s">
        <v>22</v>
      </c>
      <c r="V1091" s="15" t="s">
        <v>90</v>
      </c>
      <c r="W1091" s="15">
        <v>3</v>
      </c>
      <c r="X1091" s="15"/>
      <c r="Y1091" s="12">
        <f t="shared" ref="Y1091:Y1154" si="33">O1091+Q1091</f>
        <v>9.6000000000000002E-2</v>
      </c>
      <c r="Z1091" s="15">
        <v>-0.56099999999999994</v>
      </c>
    </row>
    <row r="1092" spans="1:26" x14ac:dyDescent="0.2">
      <c r="A1092" s="15" t="s">
        <v>80</v>
      </c>
      <c r="B1092" s="15">
        <v>3441.625</v>
      </c>
      <c r="C1092" s="15">
        <v>15.711</v>
      </c>
      <c r="D1092" s="15">
        <v>23.189</v>
      </c>
      <c r="E1092" s="15">
        <v>1.3640000000000001</v>
      </c>
      <c r="F1092" s="15">
        <v>157.245</v>
      </c>
      <c r="G1092" s="15">
        <v>2.7519999999999998</v>
      </c>
      <c r="H1092" s="15">
        <v>4.8419999999999996</v>
      </c>
      <c r="I1092" s="15">
        <v>3.9990000000000001</v>
      </c>
      <c r="J1092" s="15">
        <v>160.238</v>
      </c>
      <c r="K1092" s="15">
        <v>270.40300000000002</v>
      </c>
      <c r="L1092" s="15">
        <v>1.1739999999999999</v>
      </c>
      <c r="M1092" s="15">
        <v>0.01</v>
      </c>
      <c r="N1092" s="15">
        <v>100</v>
      </c>
      <c r="O1092" s="15">
        <v>1.9E-2</v>
      </c>
      <c r="P1092" s="15">
        <v>0.60099999999999998</v>
      </c>
      <c r="Q1092" s="15">
        <v>7.9000000000000001E-2</v>
      </c>
      <c r="R1092" s="15">
        <v>0.53900000000000003</v>
      </c>
      <c r="S1092" s="15">
        <v>0.372</v>
      </c>
      <c r="T1092" s="15" t="s">
        <v>23</v>
      </c>
      <c r="U1092" s="15" t="s">
        <v>22</v>
      </c>
      <c r="V1092" s="15" t="s">
        <v>90</v>
      </c>
      <c r="W1092" s="15">
        <v>3</v>
      </c>
      <c r="X1092" s="15"/>
      <c r="Y1092" s="12">
        <f t="shared" si="33"/>
        <v>9.8000000000000004E-2</v>
      </c>
      <c r="Z1092" s="15">
        <v>-0.58199999999999996</v>
      </c>
    </row>
    <row r="1093" spans="1:26" x14ac:dyDescent="0.2">
      <c r="A1093" s="15" t="s">
        <v>80</v>
      </c>
      <c r="B1093" s="15">
        <v>3441.75</v>
      </c>
      <c r="C1093" s="15">
        <v>15.763999999999999</v>
      </c>
      <c r="D1093" s="15">
        <v>23.216999999999999</v>
      </c>
      <c r="E1093" s="15">
        <v>1.3859999999999999</v>
      </c>
      <c r="F1093" s="15">
        <v>157.63499999999999</v>
      </c>
      <c r="G1093" s="15">
        <v>2.746</v>
      </c>
      <c r="H1093" s="15">
        <v>4.88</v>
      </c>
      <c r="I1093" s="15">
        <v>3.9350000000000001</v>
      </c>
      <c r="J1093" s="15">
        <v>148.12700000000001</v>
      </c>
      <c r="K1093" s="15">
        <v>243.809</v>
      </c>
      <c r="L1093" s="15">
        <v>1.1919999999999999</v>
      </c>
      <c r="M1093" s="15">
        <v>0.01</v>
      </c>
      <c r="N1093" s="15">
        <v>100</v>
      </c>
      <c r="O1093" s="15">
        <v>1.9E-2</v>
      </c>
      <c r="P1093" s="15">
        <v>0.58099999999999996</v>
      </c>
      <c r="Q1093" s="15">
        <v>8.3000000000000004E-2</v>
      </c>
      <c r="R1093" s="15">
        <v>0.52500000000000002</v>
      </c>
      <c r="S1093" s="15">
        <v>0.374</v>
      </c>
      <c r="T1093" s="15" t="s">
        <v>23</v>
      </c>
      <c r="U1093" s="15" t="s">
        <v>22</v>
      </c>
      <c r="V1093" s="15" t="s">
        <v>90</v>
      </c>
      <c r="W1093" s="15">
        <v>3</v>
      </c>
      <c r="X1093" s="15"/>
      <c r="Y1093" s="12">
        <f t="shared" si="33"/>
        <v>0.10200000000000001</v>
      </c>
      <c r="Z1093" s="15">
        <v>-0.56199999999999994</v>
      </c>
    </row>
    <row r="1094" spans="1:26" x14ac:dyDescent="0.2">
      <c r="A1094" s="15" t="s">
        <v>80</v>
      </c>
      <c r="B1094" s="15">
        <v>3441.875</v>
      </c>
      <c r="C1094" s="15">
        <v>15.917999999999999</v>
      </c>
      <c r="D1094" s="15">
        <v>23.268999999999998</v>
      </c>
      <c r="E1094" s="15">
        <v>1.4119999999999999</v>
      </c>
      <c r="F1094" s="15">
        <v>158.34200000000001</v>
      </c>
      <c r="G1094" s="15">
        <v>2.7410000000000001</v>
      </c>
      <c r="H1094" s="15">
        <v>4.97</v>
      </c>
      <c r="I1094" s="15">
        <v>3.7839999999999998</v>
      </c>
      <c r="J1094" s="15">
        <v>138.16</v>
      </c>
      <c r="K1094" s="15">
        <v>219.911</v>
      </c>
      <c r="L1094" s="15">
        <v>1.222</v>
      </c>
      <c r="M1094" s="15">
        <v>0.01</v>
      </c>
      <c r="N1094" s="15">
        <v>100</v>
      </c>
      <c r="O1094" s="15">
        <v>0.02</v>
      </c>
      <c r="P1094" s="15">
        <v>0.52</v>
      </c>
      <c r="Q1094" s="15">
        <v>9.2999999999999999E-2</v>
      </c>
      <c r="R1094" s="15">
        <v>0.51100000000000001</v>
      </c>
      <c r="S1094" s="15">
        <v>0.38100000000000001</v>
      </c>
      <c r="T1094" s="15" t="s">
        <v>23</v>
      </c>
      <c r="U1094" s="15" t="s">
        <v>22</v>
      </c>
      <c r="V1094" s="15" t="s">
        <v>90</v>
      </c>
      <c r="W1094" s="15">
        <v>3</v>
      </c>
      <c r="X1094" s="15"/>
      <c r="Y1094" s="12">
        <f t="shared" si="33"/>
        <v>0.113</v>
      </c>
      <c r="Z1094" s="15">
        <v>-0.5</v>
      </c>
    </row>
    <row r="1095" spans="1:26" x14ac:dyDescent="0.2">
      <c r="A1095" s="15" t="s">
        <v>80</v>
      </c>
      <c r="B1095" s="15">
        <v>3442</v>
      </c>
      <c r="C1095" s="15">
        <v>16.257999999999999</v>
      </c>
      <c r="D1095" s="15">
        <v>23.292000000000002</v>
      </c>
      <c r="E1095" s="15">
        <v>1.4370000000000001</v>
      </c>
      <c r="F1095" s="15">
        <v>159.18100000000001</v>
      </c>
      <c r="G1095" s="15">
        <v>2.738</v>
      </c>
      <c r="H1095" s="15">
        <v>5.14</v>
      </c>
      <c r="I1095" s="15">
        <v>3.5960000000000001</v>
      </c>
      <c r="J1095" s="15">
        <v>130.804</v>
      </c>
      <c r="K1095" s="15">
        <v>200.38499999999999</v>
      </c>
      <c r="L1095" s="15">
        <v>1.2490000000000001</v>
      </c>
      <c r="M1095" s="15">
        <v>0.01</v>
      </c>
      <c r="N1095" s="15">
        <v>100</v>
      </c>
      <c r="O1095" s="15">
        <v>2.3E-2</v>
      </c>
      <c r="P1095" s="15">
        <v>0.439</v>
      </c>
      <c r="Q1095" s="15">
        <v>0.106</v>
      </c>
      <c r="R1095" s="15">
        <v>0.503</v>
      </c>
      <c r="S1095" s="15">
        <v>0.39300000000000002</v>
      </c>
      <c r="T1095" s="15" t="s">
        <v>23</v>
      </c>
      <c r="U1095" s="15" t="s">
        <v>22</v>
      </c>
      <c r="V1095" s="15" t="s">
        <v>90</v>
      </c>
      <c r="W1095" s="15">
        <v>3</v>
      </c>
      <c r="X1095" s="15"/>
      <c r="Y1095" s="12">
        <f t="shared" si="33"/>
        <v>0.129</v>
      </c>
      <c r="Z1095" s="15">
        <v>-0.41599999999999998</v>
      </c>
    </row>
    <row r="1096" spans="1:26" x14ac:dyDescent="0.2">
      <c r="A1096" s="15" t="s">
        <v>80</v>
      </c>
      <c r="B1096" s="15">
        <v>3446.375</v>
      </c>
      <c r="C1096" s="15">
        <v>20.16</v>
      </c>
      <c r="D1096" s="15">
        <v>22.763000000000002</v>
      </c>
      <c r="E1096" s="15">
        <v>1.778</v>
      </c>
      <c r="F1096" s="15">
        <v>169.85</v>
      </c>
      <c r="G1096" s="15">
        <v>2.9089999999999998</v>
      </c>
      <c r="H1096" s="15">
        <v>2.3210000000000002</v>
      </c>
      <c r="I1096" s="15">
        <v>3.863</v>
      </c>
      <c r="J1096" s="15">
        <v>1007.01</v>
      </c>
      <c r="K1096" s="15">
        <v>4051.163</v>
      </c>
      <c r="L1096" s="15">
        <v>0.01</v>
      </c>
      <c r="M1096" s="15">
        <v>1E-3</v>
      </c>
      <c r="N1096" s="15">
        <v>100</v>
      </c>
      <c r="O1096" s="15">
        <v>6.6000000000000003E-2</v>
      </c>
      <c r="P1096" s="15">
        <v>0.53</v>
      </c>
      <c r="Q1096" s="15">
        <v>0.27900000000000003</v>
      </c>
      <c r="R1096" s="15">
        <v>0.93100000000000005</v>
      </c>
      <c r="S1096" s="15">
        <v>0.19400000000000001</v>
      </c>
      <c r="T1096" s="15"/>
      <c r="U1096" s="15" t="s">
        <v>33</v>
      </c>
      <c r="V1096" s="15" t="s">
        <v>90</v>
      </c>
      <c r="W1096" s="15">
        <v>6</v>
      </c>
      <c r="X1096" s="15"/>
      <c r="Y1096" s="12">
        <f t="shared" si="33"/>
        <v>0.34500000000000003</v>
      </c>
      <c r="Z1096" s="15">
        <v>-0.46400000000000002</v>
      </c>
    </row>
    <row r="1097" spans="1:26" x14ac:dyDescent="0.2">
      <c r="A1097" s="15" t="s">
        <v>80</v>
      </c>
      <c r="B1097" s="15">
        <v>3446.5</v>
      </c>
      <c r="C1097" s="15">
        <v>19.122</v>
      </c>
      <c r="D1097" s="15">
        <v>22.744</v>
      </c>
      <c r="E1097" s="15">
        <v>1.4950000000000001</v>
      </c>
      <c r="F1097" s="15">
        <v>168.48400000000001</v>
      </c>
      <c r="G1097" s="15">
        <v>2.91</v>
      </c>
      <c r="H1097" s="15">
        <v>1.1759999999999999</v>
      </c>
      <c r="I1097" s="15">
        <v>4</v>
      </c>
      <c r="J1097" s="15">
        <v>1126.1389999999999</v>
      </c>
      <c r="K1097" s="15">
        <v>4642.1639999999998</v>
      </c>
      <c r="L1097" s="15">
        <v>0.01</v>
      </c>
      <c r="M1097" s="15">
        <v>1E-3</v>
      </c>
      <c r="N1097" s="15">
        <v>100</v>
      </c>
      <c r="O1097" s="15">
        <v>4.4999999999999998E-2</v>
      </c>
      <c r="P1097" s="15">
        <v>0.59199999999999997</v>
      </c>
      <c r="Q1097" s="15">
        <v>0.25600000000000001</v>
      </c>
      <c r="R1097" s="15">
        <v>0.94099999999999995</v>
      </c>
      <c r="S1097" s="15">
        <v>9.1999999999999998E-2</v>
      </c>
      <c r="T1097" s="15"/>
      <c r="U1097" s="15" t="s">
        <v>33</v>
      </c>
      <c r="V1097" s="15" t="s">
        <v>90</v>
      </c>
      <c r="W1097" s="15">
        <v>6</v>
      </c>
      <c r="X1097" s="15"/>
      <c r="Y1097" s="12">
        <f t="shared" si="33"/>
        <v>0.30099999999999999</v>
      </c>
      <c r="Z1097" s="15">
        <v>-0.54699999999999993</v>
      </c>
    </row>
    <row r="1098" spans="1:26" x14ac:dyDescent="0.2">
      <c r="A1098" s="15" t="s">
        <v>80</v>
      </c>
      <c r="B1098" s="15">
        <v>3450</v>
      </c>
      <c r="C1098" s="15">
        <v>35.085000000000001</v>
      </c>
      <c r="D1098" s="15">
        <v>22.628</v>
      </c>
      <c r="E1098" s="15">
        <v>1.337</v>
      </c>
      <c r="F1098" s="15">
        <v>178.50200000000001</v>
      </c>
      <c r="G1098" s="15">
        <v>2.903</v>
      </c>
      <c r="H1098" s="15">
        <v>1.0680000000000001</v>
      </c>
      <c r="I1098" s="15">
        <v>4.3849999999999998</v>
      </c>
      <c r="J1098" s="15">
        <v>557.34900000000005</v>
      </c>
      <c r="K1098" s="15">
        <v>744.505</v>
      </c>
      <c r="L1098" s="15">
        <v>0.01</v>
      </c>
      <c r="M1098" s="15">
        <v>1E-3</v>
      </c>
      <c r="N1098" s="15">
        <v>100</v>
      </c>
      <c r="O1098" s="15">
        <v>0.14599999999999999</v>
      </c>
      <c r="P1098" s="15">
        <v>0.79600000000000004</v>
      </c>
      <c r="Q1098" s="15">
        <v>0.40300000000000002</v>
      </c>
      <c r="R1098" s="15">
        <v>0.92400000000000004</v>
      </c>
      <c r="S1098" s="15">
        <v>6.3E-2</v>
      </c>
      <c r="T1098" s="15"/>
      <c r="U1098" s="15" t="s">
        <v>33</v>
      </c>
      <c r="V1098" s="15" t="s">
        <v>90</v>
      </c>
      <c r="W1098" s="15">
        <v>6</v>
      </c>
      <c r="X1098" s="15"/>
      <c r="Y1098" s="12">
        <f t="shared" si="33"/>
        <v>0.54900000000000004</v>
      </c>
      <c r="Z1098" s="15">
        <v>-0.65</v>
      </c>
    </row>
    <row r="1099" spans="1:26" x14ac:dyDescent="0.2">
      <c r="A1099" s="15" t="s">
        <v>80</v>
      </c>
      <c r="B1099" s="15">
        <v>3450.125</v>
      </c>
      <c r="C1099" s="15">
        <v>41.744</v>
      </c>
      <c r="D1099" s="15">
        <v>22.634</v>
      </c>
      <c r="E1099" s="15">
        <v>1.407</v>
      </c>
      <c r="F1099" s="15">
        <v>178.386</v>
      </c>
      <c r="G1099" s="15">
        <v>2.9039999999999999</v>
      </c>
      <c r="H1099" s="15">
        <v>1.1679999999999999</v>
      </c>
      <c r="I1099" s="15">
        <v>4.2389999999999999</v>
      </c>
      <c r="J1099" s="15">
        <v>571.59</v>
      </c>
      <c r="K1099" s="15">
        <v>661.12099999999998</v>
      </c>
      <c r="L1099" s="15">
        <v>0.01</v>
      </c>
      <c r="M1099" s="15">
        <v>1E-3</v>
      </c>
      <c r="N1099" s="15">
        <v>100</v>
      </c>
      <c r="O1099" s="15">
        <v>0.19800000000000001</v>
      </c>
      <c r="P1099" s="15">
        <v>0.72599999999999998</v>
      </c>
      <c r="Q1099" s="15">
        <v>0.40400000000000003</v>
      </c>
      <c r="R1099" s="15">
        <v>0.92500000000000004</v>
      </c>
      <c r="S1099" s="15">
        <v>7.0999999999999994E-2</v>
      </c>
      <c r="T1099" s="15"/>
      <c r="U1099" s="15" t="s">
        <v>33</v>
      </c>
      <c r="V1099" s="15" t="s">
        <v>90</v>
      </c>
      <c r="W1099" s="15">
        <v>6</v>
      </c>
      <c r="X1099" s="15"/>
      <c r="Y1099" s="12">
        <f t="shared" si="33"/>
        <v>0.60200000000000009</v>
      </c>
      <c r="Z1099" s="15">
        <v>-0.52800000000000002</v>
      </c>
    </row>
    <row r="1100" spans="1:26" x14ac:dyDescent="0.2">
      <c r="A1100" s="15" t="s">
        <v>80</v>
      </c>
      <c r="B1100" s="15">
        <v>3450.25</v>
      </c>
      <c r="C1100" s="15">
        <v>41.902000000000001</v>
      </c>
      <c r="D1100" s="15">
        <v>22.646999999999998</v>
      </c>
      <c r="E1100" s="15">
        <v>1.532</v>
      </c>
      <c r="F1100" s="15">
        <v>177.624</v>
      </c>
      <c r="G1100" s="15">
        <v>2.9060000000000001</v>
      </c>
      <c r="H1100" s="15">
        <v>1.268</v>
      </c>
      <c r="I1100" s="15">
        <v>4.2309999999999999</v>
      </c>
      <c r="J1100" s="15">
        <v>614.86</v>
      </c>
      <c r="K1100" s="15">
        <v>693.346</v>
      </c>
      <c r="L1100" s="15">
        <v>0.01</v>
      </c>
      <c r="M1100" s="15">
        <v>1E-3</v>
      </c>
      <c r="N1100" s="15">
        <v>100</v>
      </c>
      <c r="O1100" s="15">
        <v>0.20799999999999999</v>
      </c>
      <c r="P1100" s="15">
        <v>0.71</v>
      </c>
      <c r="Q1100" s="15">
        <v>0.39400000000000002</v>
      </c>
      <c r="R1100" s="15">
        <v>0.93</v>
      </c>
      <c r="S1100" s="15">
        <v>7.9000000000000001E-2</v>
      </c>
      <c r="T1100" s="15"/>
      <c r="U1100" s="15" t="s">
        <v>33</v>
      </c>
      <c r="V1100" s="15" t="s">
        <v>90</v>
      </c>
      <c r="W1100" s="15">
        <v>6</v>
      </c>
      <c r="X1100" s="15"/>
      <c r="Y1100" s="12">
        <f t="shared" si="33"/>
        <v>0.60199999999999998</v>
      </c>
      <c r="Z1100" s="15">
        <v>-0.502</v>
      </c>
    </row>
    <row r="1101" spans="1:26" x14ac:dyDescent="0.2">
      <c r="A1101" s="15" t="s">
        <v>80</v>
      </c>
      <c r="B1101" s="15">
        <v>3450.375</v>
      </c>
      <c r="C1101" s="15">
        <v>36.988999999999997</v>
      </c>
      <c r="D1101" s="15">
        <v>22.648</v>
      </c>
      <c r="E1101" s="15">
        <v>1.8640000000000001</v>
      </c>
      <c r="F1101" s="15">
        <v>176.87100000000001</v>
      </c>
      <c r="G1101" s="15">
        <v>2.903</v>
      </c>
      <c r="H1101" s="15">
        <v>1.373</v>
      </c>
      <c r="I1101" s="15">
        <v>4.359</v>
      </c>
      <c r="J1101" s="15">
        <v>622.44500000000005</v>
      </c>
      <c r="K1101" s="15">
        <v>731.27499999999998</v>
      </c>
      <c r="L1101" s="15">
        <v>0.01</v>
      </c>
      <c r="M1101" s="15">
        <v>1E-3</v>
      </c>
      <c r="N1101" s="15">
        <v>100</v>
      </c>
      <c r="O1101" s="15">
        <v>0.18</v>
      </c>
      <c r="P1101" s="15">
        <v>0.75600000000000001</v>
      </c>
      <c r="Q1101" s="15">
        <v>0.38300000000000001</v>
      </c>
      <c r="R1101" s="15">
        <v>0.92500000000000004</v>
      </c>
      <c r="S1101" s="15">
        <v>8.7999999999999995E-2</v>
      </c>
      <c r="T1101" s="15"/>
      <c r="U1101" s="15" t="s">
        <v>33</v>
      </c>
      <c r="V1101" s="15" t="s">
        <v>90</v>
      </c>
      <c r="W1101" s="15">
        <v>6</v>
      </c>
      <c r="X1101" s="15"/>
      <c r="Y1101" s="12">
        <f t="shared" si="33"/>
        <v>0.56299999999999994</v>
      </c>
      <c r="Z1101" s="15">
        <v>-0.57600000000000007</v>
      </c>
    </row>
    <row r="1102" spans="1:26" x14ac:dyDescent="0.2">
      <c r="A1102" s="15" t="s">
        <v>80</v>
      </c>
      <c r="B1102" s="15">
        <v>3450.5</v>
      </c>
      <c r="C1102" s="15">
        <v>31.506</v>
      </c>
      <c r="D1102" s="15">
        <v>22.646000000000001</v>
      </c>
      <c r="E1102" s="15">
        <v>2.2309999999999999</v>
      </c>
      <c r="F1102" s="15">
        <v>176.45699999999999</v>
      </c>
      <c r="G1102" s="15">
        <v>2.89</v>
      </c>
      <c r="H1102" s="15">
        <v>1.4910000000000001</v>
      </c>
      <c r="I1102" s="15">
        <v>4.1970000000000001</v>
      </c>
      <c r="J1102" s="15">
        <v>568.00300000000004</v>
      </c>
      <c r="K1102" s="15">
        <v>710.90899999999999</v>
      </c>
      <c r="L1102" s="15">
        <v>0.01</v>
      </c>
      <c r="M1102" s="15">
        <v>1E-3</v>
      </c>
      <c r="N1102" s="15">
        <v>100</v>
      </c>
      <c r="O1102" s="15">
        <v>0.14099999999999999</v>
      </c>
      <c r="P1102" s="15">
        <v>0.70899999999999996</v>
      </c>
      <c r="Q1102" s="15">
        <v>0.375</v>
      </c>
      <c r="R1102" s="15">
        <v>0.89700000000000002</v>
      </c>
      <c r="S1102" s="15">
        <v>9.7000000000000003E-2</v>
      </c>
      <c r="T1102" s="15"/>
      <c r="U1102" s="15" t="s">
        <v>33</v>
      </c>
      <c r="V1102" s="15" t="s">
        <v>90</v>
      </c>
      <c r="W1102" s="15">
        <v>6</v>
      </c>
      <c r="X1102" s="15"/>
      <c r="Y1102" s="12">
        <f t="shared" si="33"/>
        <v>0.51600000000000001</v>
      </c>
      <c r="Z1102" s="15">
        <v>-0.56799999999999995</v>
      </c>
    </row>
    <row r="1103" spans="1:26" x14ac:dyDescent="0.2">
      <c r="A1103" s="15" t="s">
        <v>81</v>
      </c>
      <c r="B1103" s="15">
        <v>3400.625</v>
      </c>
      <c r="C1103" s="15">
        <v>28.079000000000001</v>
      </c>
      <c r="D1103" s="15">
        <v>21.992999999999999</v>
      </c>
      <c r="E1103" s="15">
        <v>2.5419999999999998</v>
      </c>
      <c r="F1103" s="15">
        <v>185.20400000000001</v>
      </c>
      <c r="G1103" s="15">
        <v>2.911</v>
      </c>
      <c r="H1103" s="15">
        <v>3.36</v>
      </c>
      <c r="I1103" s="15">
        <v>4.0010000000000003</v>
      </c>
      <c r="J1103" s="15">
        <v>1724.7739999999999</v>
      </c>
      <c r="K1103" s="15">
        <v>2215.1509999999998</v>
      </c>
      <c r="L1103" s="15">
        <v>8.8999999999999996E-2</v>
      </c>
      <c r="M1103" s="15">
        <v>0.1</v>
      </c>
      <c r="N1103" s="15">
        <v>100</v>
      </c>
      <c r="O1103" s="15">
        <v>0.13500000000000001</v>
      </c>
      <c r="P1103" s="15">
        <v>0.39600000000000002</v>
      </c>
      <c r="Q1103" s="15">
        <v>0.41</v>
      </c>
      <c r="R1103" s="15">
        <v>0.90100000000000002</v>
      </c>
      <c r="S1103" s="15">
        <v>0.11799999999999999</v>
      </c>
      <c r="T1103" s="15"/>
      <c r="U1103" s="15" t="s">
        <v>33</v>
      </c>
      <c r="V1103" s="15" t="s">
        <v>90</v>
      </c>
      <c r="W1103" s="15">
        <v>10</v>
      </c>
      <c r="X1103" s="15"/>
      <c r="Y1103" s="12">
        <f t="shared" si="33"/>
        <v>0.54499999999999993</v>
      </c>
      <c r="Z1103" s="15">
        <v>-0.26100000000000001</v>
      </c>
    </row>
    <row r="1104" spans="1:26" x14ac:dyDescent="0.2">
      <c r="A1104" s="15" t="s">
        <v>81</v>
      </c>
      <c r="B1104" s="15">
        <v>3400.75</v>
      </c>
      <c r="C1104" s="15">
        <v>34.301000000000002</v>
      </c>
      <c r="D1104" s="15">
        <v>22.03</v>
      </c>
      <c r="E1104" s="15">
        <v>2.581</v>
      </c>
      <c r="F1104" s="15">
        <v>191.429</v>
      </c>
      <c r="G1104" s="15">
        <v>2.9060000000000001</v>
      </c>
      <c r="H1104" s="15">
        <v>4.21</v>
      </c>
      <c r="I1104" s="15">
        <v>4.1859999999999999</v>
      </c>
      <c r="J1104" s="15">
        <v>635.99400000000003</v>
      </c>
      <c r="K1104" s="15">
        <v>636.18700000000001</v>
      </c>
      <c r="L1104" s="15">
        <v>8.6999999999999994E-2</v>
      </c>
      <c r="M1104" s="15">
        <v>0.1</v>
      </c>
      <c r="N1104" s="15">
        <v>100</v>
      </c>
      <c r="O1104" s="15">
        <v>0.184</v>
      </c>
      <c r="P1104" s="15">
        <v>0.45100000000000001</v>
      </c>
      <c r="Q1104" s="15">
        <v>0.48099999999999998</v>
      </c>
      <c r="R1104" s="15">
        <v>0.88900000000000001</v>
      </c>
      <c r="S1104" s="15">
        <v>0.16600000000000001</v>
      </c>
      <c r="T1104" s="15"/>
      <c r="U1104" s="15" t="s">
        <v>33</v>
      </c>
      <c r="V1104" s="15" t="s">
        <v>90</v>
      </c>
      <c r="W1104" s="15">
        <v>10</v>
      </c>
      <c r="X1104" s="15"/>
      <c r="Y1104" s="12">
        <f t="shared" si="33"/>
        <v>0.66500000000000004</v>
      </c>
      <c r="Z1104" s="15">
        <v>-0.26700000000000002</v>
      </c>
    </row>
    <row r="1105" spans="1:27" x14ac:dyDescent="0.2">
      <c r="A1105" s="15" t="s">
        <v>81</v>
      </c>
      <c r="B1105" s="15">
        <v>3400.875</v>
      </c>
      <c r="C1105" s="15">
        <v>38.744999999999997</v>
      </c>
      <c r="D1105" s="15">
        <v>22.093</v>
      </c>
      <c r="E1105" s="15">
        <v>2.621</v>
      </c>
      <c r="F1105" s="15">
        <v>194.86099999999999</v>
      </c>
      <c r="G1105" s="15">
        <v>2.8969999999999998</v>
      </c>
      <c r="H1105" s="15">
        <v>5.26</v>
      </c>
      <c r="I1105" s="15">
        <v>4.2249999999999996</v>
      </c>
      <c r="J1105" s="15">
        <v>459.863</v>
      </c>
      <c r="K1105" s="15">
        <v>460.923</v>
      </c>
      <c r="L1105" s="15">
        <v>0.52100000000000002</v>
      </c>
      <c r="M1105" s="15">
        <v>0.1</v>
      </c>
      <c r="N1105" s="15">
        <v>100</v>
      </c>
      <c r="O1105" s="15">
        <v>0.219</v>
      </c>
      <c r="P1105" s="15">
        <v>0.46300000000000002</v>
      </c>
      <c r="Q1105" s="15">
        <v>0.52</v>
      </c>
      <c r="R1105" s="15">
        <v>0.86699999999999999</v>
      </c>
      <c r="S1105" s="15">
        <v>0.224</v>
      </c>
      <c r="T1105" s="15"/>
      <c r="U1105" s="15" t="s">
        <v>33</v>
      </c>
      <c r="V1105" s="15" t="s">
        <v>90</v>
      </c>
      <c r="W1105" s="15">
        <v>10</v>
      </c>
      <c r="X1105" s="15"/>
      <c r="Y1105" s="12">
        <f t="shared" si="33"/>
        <v>0.73899999999999999</v>
      </c>
      <c r="Z1105" s="15">
        <v>-0.24400000000000002</v>
      </c>
    </row>
    <row r="1106" spans="1:27" x14ac:dyDescent="0.2">
      <c r="A1106" s="15" t="s">
        <v>81</v>
      </c>
      <c r="B1106" s="15">
        <v>3401</v>
      </c>
      <c r="C1106" s="15">
        <v>39.363</v>
      </c>
      <c r="D1106" s="15">
        <v>22.167999999999999</v>
      </c>
      <c r="E1106" s="15">
        <v>2.637</v>
      </c>
      <c r="F1106" s="15">
        <v>191.31899999999999</v>
      </c>
      <c r="G1106" s="15">
        <v>2.8889999999999998</v>
      </c>
      <c r="H1106" s="15">
        <v>6.0609999999999999</v>
      </c>
      <c r="I1106" s="15">
        <v>4.2229999999999999</v>
      </c>
      <c r="J1106" s="15">
        <v>466.67399999999998</v>
      </c>
      <c r="K1106" s="15">
        <v>481.26499999999999</v>
      </c>
      <c r="L1106" s="15">
        <v>0.65200000000000002</v>
      </c>
      <c r="M1106" s="15">
        <v>0.1</v>
      </c>
      <c r="N1106" s="15">
        <v>100</v>
      </c>
      <c r="O1106" s="15">
        <v>0.224</v>
      </c>
      <c r="P1106" s="15">
        <v>0.46200000000000002</v>
      </c>
      <c r="Q1106" s="15">
        <v>0.47899999999999998</v>
      </c>
      <c r="R1106" s="15">
        <v>0.84699999999999998</v>
      </c>
      <c r="S1106" s="15">
        <v>0.26800000000000002</v>
      </c>
      <c r="T1106" s="15"/>
      <c r="U1106" s="15" t="s">
        <v>33</v>
      </c>
      <c r="V1106" s="15" t="s">
        <v>90</v>
      </c>
      <c r="W1106" s="15">
        <v>10</v>
      </c>
      <c r="X1106" s="15"/>
      <c r="Y1106" s="12">
        <f t="shared" si="33"/>
        <v>0.70299999999999996</v>
      </c>
      <c r="Z1106" s="15">
        <v>-0.23800000000000002</v>
      </c>
    </row>
    <row r="1107" spans="1:27" x14ac:dyDescent="0.2">
      <c r="A1107" s="15" t="s">
        <v>81</v>
      </c>
      <c r="B1107" s="15">
        <v>3401.125</v>
      </c>
      <c r="C1107" s="15">
        <v>35.828000000000003</v>
      </c>
      <c r="D1107" s="15">
        <v>22.218</v>
      </c>
      <c r="E1107" s="15">
        <v>2.6549999999999998</v>
      </c>
      <c r="F1107" s="15">
        <v>178.79300000000001</v>
      </c>
      <c r="G1107" s="15">
        <v>2.8839999999999999</v>
      </c>
      <c r="H1107" s="15">
        <v>6.14</v>
      </c>
      <c r="I1107" s="15">
        <v>4.266</v>
      </c>
      <c r="J1107" s="15">
        <v>556.03800000000001</v>
      </c>
      <c r="K1107" s="15">
        <v>584.03599999999994</v>
      </c>
      <c r="L1107" s="15">
        <v>0.73799999999999999</v>
      </c>
      <c r="M1107" s="15">
        <v>0.1</v>
      </c>
      <c r="N1107" s="15">
        <v>100</v>
      </c>
      <c r="O1107" s="15">
        <v>0.19600000000000001</v>
      </c>
      <c r="P1107" s="15">
        <v>0.47499999999999998</v>
      </c>
      <c r="Q1107" s="15">
        <v>0.33700000000000002</v>
      </c>
      <c r="R1107" s="15">
        <v>0.83499999999999996</v>
      </c>
      <c r="S1107" s="15">
        <v>0.27300000000000002</v>
      </c>
      <c r="T1107" s="15"/>
      <c r="U1107" s="15" t="s">
        <v>33</v>
      </c>
      <c r="V1107" s="15" t="s">
        <v>90</v>
      </c>
      <c r="W1107" s="15">
        <v>10</v>
      </c>
      <c r="X1107" s="15"/>
      <c r="Y1107" s="12">
        <f t="shared" si="33"/>
        <v>0.53300000000000003</v>
      </c>
      <c r="Z1107" s="15">
        <v>-0.27899999999999997</v>
      </c>
    </row>
    <row r="1108" spans="1:27" x14ac:dyDescent="0.2">
      <c r="A1108" s="15" t="s">
        <v>81</v>
      </c>
      <c r="B1108" s="15">
        <v>3401.25</v>
      </c>
      <c r="C1108" s="15">
        <v>31.71</v>
      </c>
      <c r="D1108" s="15">
        <v>22.231000000000002</v>
      </c>
      <c r="E1108" s="15">
        <v>2.7509999999999999</v>
      </c>
      <c r="F1108" s="15">
        <v>169.06899999999999</v>
      </c>
      <c r="G1108" s="15">
        <v>2.88</v>
      </c>
      <c r="H1108" s="15">
        <v>5.83</v>
      </c>
      <c r="I1108" s="15">
        <v>4.2939999999999996</v>
      </c>
      <c r="J1108" s="15">
        <v>666.83199999999999</v>
      </c>
      <c r="K1108" s="15">
        <v>702.81100000000004</v>
      </c>
      <c r="L1108" s="15">
        <v>0.80900000000000005</v>
      </c>
      <c r="M1108" s="15">
        <v>0.1</v>
      </c>
      <c r="N1108" s="15">
        <v>100</v>
      </c>
      <c r="O1108" s="15">
        <v>0.16300000000000001</v>
      </c>
      <c r="P1108" s="15">
        <v>0.48399999999999999</v>
      </c>
      <c r="Q1108" s="15">
        <v>0.22700000000000001</v>
      </c>
      <c r="R1108" s="15">
        <v>0.82499999999999996</v>
      </c>
      <c r="S1108" s="15">
        <v>0.25600000000000001</v>
      </c>
      <c r="T1108" s="15"/>
      <c r="U1108" s="15" t="s">
        <v>33</v>
      </c>
      <c r="V1108" s="15" t="s">
        <v>90</v>
      </c>
      <c r="W1108" s="15">
        <v>10</v>
      </c>
      <c r="X1108" s="15"/>
      <c r="Y1108" s="12">
        <f t="shared" si="33"/>
        <v>0.39</v>
      </c>
      <c r="Z1108" s="15">
        <v>-0.32099999999999995</v>
      </c>
    </row>
    <row r="1109" spans="1:27" x14ac:dyDescent="0.2">
      <c r="A1109" s="15" t="s">
        <v>81</v>
      </c>
      <c r="B1109" s="15">
        <v>3401.375</v>
      </c>
      <c r="C1109" s="15">
        <v>30.437999999999999</v>
      </c>
      <c r="D1109" s="15">
        <v>22.247</v>
      </c>
      <c r="E1109" s="15">
        <v>2.8690000000000002</v>
      </c>
      <c r="F1109" s="15">
        <v>167.249</v>
      </c>
      <c r="G1109" s="15">
        <v>2.8740000000000001</v>
      </c>
      <c r="H1109" s="15">
        <v>5.7409999999999997</v>
      </c>
      <c r="I1109" s="15">
        <v>4.2869999999999999</v>
      </c>
      <c r="J1109" s="15">
        <v>722.27</v>
      </c>
      <c r="K1109" s="15">
        <v>754.76499999999999</v>
      </c>
      <c r="L1109" s="15">
        <v>0.95799999999999996</v>
      </c>
      <c r="M1109" s="15">
        <v>0.1</v>
      </c>
      <c r="N1109" s="15">
        <v>100</v>
      </c>
      <c r="O1109" s="15">
        <v>0.153</v>
      </c>
      <c r="P1109" s="15">
        <v>0.48199999999999998</v>
      </c>
      <c r="Q1109" s="15">
        <v>0.20599999999999999</v>
      </c>
      <c r="R1109" s="15">
        <v>0.81</v>
      </c>
      <c r="S1109" s="15">
        <v>0.251</v>
      </c>
      <c r="T1109" s="15"/>
      <c r="U1109" s="15" t="s">
        <v>33</v>
      </c>
      <c r="V1109" s="15" t="s">
        <v>90</v>
      </c>
      <c r="W1109" s="15">
        <v>10</v>
      </c>
      <c r="X1109" s="15"/>
      <c r="Y1109" s="12">
        <f t="shared" si="33"/>
        <v>0.35899999999999999</v>
      </c>
      <c r="Z1109" s="15">
        <v>-0.32899999999999996</v>
      </c>
    </row>
    <row r="1110" spans="1:27" x14ac:dyDescent="0.2">
      <c r="A1110" s="15" t="s">
        <v>81</v>
      </c>
      <c r="B1110" s="15">
        <v>3401.5</v>
      </c>
      <c r="C1110" s="15">
        <v>33.661000000000001</v>
      </c>
      <c r="D1110" s="15">
        <v>22.294</v>
      </c>
      <c r="E1110" s="15">
        <v>2.9350000000000001</v>
      </c>
      <c r="F1110" s="15">
        <v>171.876</v>
      </c>
      <c r="G1110" s="15">
        <v>2.8639999999999999</v>
      </c>
      <c r="H1110" s="15">
        <v>6.27</v>
      </c>
      <c r="I1110" s="15">
        <v>4.2919999999999998</v>
      </c>
      <c r="J1110" s="15">
        <v>668.476</v>
      </c>
      <c r="K1110" s="15">
        <v>687.76599999999996</v>
      </c>
      <c r="L1110" s="15">
        <v>1.248</v>
      </c>
      <c r="M1110" s="15">
        <v>0.1</v>
      </c>
      <c r="N1110" s="15">
        <v>100</v>
      </c>
      <c r="O1110" s="15">
        <v>0.17899999999999999</v>
      </c>
      <c r="P1110" s="15">
        <v>0.48299999999999998</v>
      </c>
      <c r="Q1110" s="15">
        <v>0.25900000000000001</v>
      </c>
      <c r="R1110" s="15">
        <v>0.78600000000000003</v>
      </c>
      <c r="S1110" s="15">
        <v>0.28000000000000003</v>
      </c>
      <c r="T1110" s="15"/>
      <c r="U1110" s="15" t="s">
        <v>33</v>
      </c>
      <c r="V1110" s="15" t="s">
        <v>90</v>
      </c>
      <c r="W1110" s="15">
        <v>10</v>
      </c>
      <c r="X1110" s="15"/>
      <c r="Y1110" s="12">
        <f t="shared" si="33"/>
        <v>0.438</v>
      </c>
      <c r="Z1110" s="15">
        <v>-0.30399999999999999</v>
      </c>
    </row>
    <row r="1111" spans="1:27" x14ac:dyDescent="0.2">
      <c r="A1111" s="15" t="s">
        <v>81</v>
      </c>
      <c r="B1111" s="15">
        <v>3401.625</v>
      </c>
      <c r="C1111" s="15">
        <v>40.15</v>
      </c>
      <c r="D1111" s="15">
        <v>22.359000000000002</v>
      </c>
      <c r="E1111" s="15">
        <v>3.0310000000000001</v>
      </c>
      <c r="F1111" s="15">
        <v>174.852</v>
      </c>
      <c r="G1111" s="15">
        <v>2.8490000000000002</v>
      </c>
      <c r="H1111" s="15">
        <v>7.2519999999999998</v>
      </c>
      <c r="I1111" s="15">
        <v>4.3179999999999996</v>
      </c>
      <c r="J1111" s="15">
        <v>533.66800000000001</v>
      </c>
      <c r="K1111" s="15">
        <v>540.18399999999997</v>
      </c>
      <c r="L1111" s="15">
        <v>1.68</v>
      </c>
      <c r="M1111" s="15">
        <v>0.1</v>
      </c>
      <c r="N1111" s="15">
        <v>100</v>
      </c>
      <c r="O1111" s="15">
        <v>0.23</v>
      </c>
      <c r="P1111" s="15">
        <v>0.49099999999999999</v>
      </c>
      <c r="Q1111" s="15">
        <v>0.29299999999999998</v>
      </c>
      <c r="R1111" s="15">
        <v>0.749</v>
      </c>
      <c r="S1111" s="15">
        <v>0.33500000000000002</v>
      </c>
      <c r="T1111" s="15"/>
      <c r="U1111" s="15" t="s">
        <v>33</v>
      </c>
      <c r="V1111" s="15" t="s">
        <v>90</v>
      </c>
      <c r="W1111" s="15">
        <v>10</v>
      </c>
      <c r="X1111" s="15"/>
      <c r="Y1111" s="12">
        <f t="shared" si="33"/>
        <v>0.52300000000000002</v>
      </c>
      <c r="Z1111" s="15">
        <v>-0.26100000000000001</v>
      </c>
    </row>
    <row r="1112" spans="1:27" x14ac:dyDescent="0.2">
      <c r="A1112" s="15" t="s">
        <v>81</v>
      </c>
      <c r="B1112" s="15">
        <v>3401.75</v>
      </c>
      <c r="C1112" s="15">
        <v>49.024000000000001</v>
      </c>
      <c r="D1112" s="15">
        <v>22.407</v>
      </c>
      <c r="E1112" s="15">
        <v>3.2730000000000001</v>
      </c>
      <c r="F1112" s="15">
        <v>179.96199999999999</v>
      </c>
      <c r="G1112" s="15">
        <v>2.835</v>
      </c>
      <c r="H1112" s="15">
        <v>8.2910000000000004</v>
      </c>
      <c r="I1112" s="15">
        <v>4.1609999999999996</v>
      </c>
      <c r="J1112" s="15">
        <v>390.32600000000002</v>
      </c>
      <c r="K1112" s="15">
        <v>391.54199999999997</v>
      </c>
      <c r="L1112" s="15">
        <v>2.14</v>
      </c>
      <c r="M1112" s="15">
        <v>0.1</v>
      </c>
      <c r="N1112" s="15">
        <v>100</v>
      </c>
      <c r="O1112" s="15">
        <v>0.3</v>
      </c>
      <c r="P1112" s="15">
        <v>0.44400000000000001</v>
      </c>
      <c r="Q1112" s="15">
        <v>0.35099999999999998</v>
      </c>
      <c r="R1112" s="15">
        <v>0.71399999999999997</v>
      </c>
      <c r="S1112" s="15">
        <v>0.39300000000000002</v>
      </c>
      <c r="T1112" s="15"/>
      <c r="U1112" s="15" t="s">
        <v>33</v>
      </c>
      <c r="V1112" s="15" t="s">
        <v>90</v>
      </c>
      <c r="W1112" s="15">
        <v>10</v>
      </c>
      <c r="X1112" s="15"/>
      <c r="Y1112" s="12">
        <f t="shared" si="33"/>
        <v>0.65100000000000002</v>
      </c>
      <c r="Z1112" s="15">
        <v>-0.14400000000000002</v>
      </c>
      <c r="AA1112" s="6">
        <v>160</v>
      </c>
    </row>
    <row r="1113" spans="1:27" x14ac:dyDescent="0.2">
      <c r="A1113" s="12" t="s">
        <v>51</v>
      </c>
      <c r="B1113" s="12">
        <v>3482.125</v>
      </c>
      <c r="C1113" s="12">
        <v>14.759</v>
      </c>
      <c r="D1113" s="12">
        <v>22.478000000000002</v>
      </c>
      <c r="E1113" s="12">
        <v>0.379</v>
      </c>
      <c r="F1113" s="12">
        <v>171.642</v>
      </c>
      <c r="G1113" s="12">
        <v>2.9510000000000001</v>
      </c>
      <c r="H1113" s="12">
        <v>1.466</v>
      </c>
      <c r="I1113" s="12">
        <v>4.7039999999999997</v>
      </c>
      <c r="J1113" s="12">
        <v>3645.1350000000002</v>
      </c>
      <c r="K1113" s="12">
        <v>4536.8</v>
      </c>
      <c r="L1113" s="12">
        <v>0.01</v>
      </c>
      <c r="M1113" s="12">
        <v>1E-3</v>
      </c>
      <c r="N1113" s="12">
        <v>100</v>
      </c>
      <c r="O1113" s="12">
        <v>2.3E-2</v>
      </c>
      <c r="P1113" s="12">
        <v>0.78700000000000003</v>
      </c>
      <c r="Q1113" s="12">
        <v>0.223</v>
      </c>
      <c r="R1113" s="12">
        <v>0.95399999999999996</v>
      </c>
      <c r="S1113" s="12">
        <v>0.01</v>
      </c>
      <c r="U1113" s="12" t="s">
        <v>33</v>
      </c>
      <c r="V1113" s="12" t="s">
        <v>93</v>
      </c>
      <c r="W1113" s="12">
        <v>5</v>
      </c>
      <c r="Y1113" s="12">
        <f t="shared" si="33"/>
        <v>0.246</v>
      </c>
      <c r="Z1113" s="12">
        <f>O1113-P1113</f>
        <v>-0.76400000000000001</v>
      </c>
    </row>
    <row r="1114" spans="1:27" x14ac:dyDescent="0.2">
      <c r="A1114" s="12" t="s">
        <v>51</v>
      </c>
      <c r="B1114" s="12">
        <v>3482.25</v>
      </c>
      <c r="C1114" s="12">
        <v>14.818</v>
      </c>
      <c r="D1114" s="12">
        <v>22.489000000000001</v>
      </c>
      <c r="E1114" s="12">
        <v>0.46500000000000002</v>
      </c>
      <c r="F1114" s="12">
        <v>170.767</v>
      </c>
      <c r="G1114" s="12">
        <v>2.9609999999999999</v>
      </c>
      <c r="H1114" s="12">
        <v>1.5329999999999999</v>
      </c>
      <c r="I1114" s="12">
        <v>4.42</v>
      </c>
      <c r="J1114" s="12">
        <v>4194.4350000000004</v>
      </c>
      <c r="K1114" s="12">
        <v>5249.0959999999995</v>
      </c>
      <c r="L1114" s="12">
        <v>0.01</v>
      </c>
      <c r="M1114" s="12">
        <v>1E-3</v>
      </c>
      <c r="N1114" s="12">
        <v>100</v>
      </c>
      <c r="O1114" s="12">
        <v>2.4E-2</v>
      </c>
      <c r="P1114" s="12">
        <v>0.66900000000000004</v>
      </c>
      <c r="Q1114" s="12">
        <v>0.214</v>
      </c>
      <c r="R1114" s="12">
        <v>0.97699999999999998</v>
      </c>
      <c r="S1114" s="12">
        <v>1.4E-2</v>
      </c>
      <c r="U1114" s="12" t="s">
        <v>33</v>
      </c>
      <c r="V1114" s="12" t="s">
        <v>92</v>
      </c>
      <c r="W1114" s="12">
        <v>5</v>
      </c>
      <c r="Y1114" s="12">
        <f t="shared" si="33"/>
        <v>0.23799999999999999</v>
      </c>
      <c r="Z1114" s="12">
        <f t="shared" ref="Z1114:Z1131" si="34">O1114-P1114</f>
        <v>-0.64500000000000002</v>
      </c>
    </row>
    <row r="1115" spans="1:27" x14ac:dyDescent="0.2">
      <c r="A1115" s="12" t="s">
        <v>51</v>
      </c>
      <c r="B1115" s="12">
        <v>3482.375</v>
      </c>
      <c r="C1115" s="12">
        <v>14.412000000000001</v>
      </c>
      <c r="D1115" s="12">
        <v>22.488</v>
      </c>
      <c r="E1115" s="12">
        <v>0.48899999999999999</v>
      </c>
      <c r="F1115" s="12">
        <v>169.28100000000001</v>
      </c>
      <c r="G1115" s="12">
        <v>2.9670000000000001</v>
      </c>
      <c r="H1115" s="12">
        <v>1.6359999999999999</v>
      </c>
      <c r="I1115" s="12">
        <v>4.1719999999999997</v>
      </c>
      <c r="J1115" s="12">
        <v>4753.8779999999997</v>
      </c>
      <c r="K1115" s="12">
        <v>5980.2110000000002</v>
      </c>
      <c r="L1115" s="12">
        <v>0.01</v>
      </c>
      <c r="M1115" s="12">
        <v>1E-3</v>
      </c>
      <c r="N1115" s="12">
        <v>100</v>
      </c>
      <c r="O1115" s="12">
        <v>2.1000000000000001E-2</v>
      </c>
      <c r="P1115" s="12">
        <v>0.56000000000000005</v>
      </c>
      <c r="Q1115" s="12">
        <v>0.19600000000000001</v>
      </c>
      <c r="R1115" s="12">
        <v>0.99299999999999999</v>
      </c>
      <c r="S1115" s="12">
        <v>0.02</v>
      </c>
      <c r="U1115" s="12" t="s">
        <v>33</v>
      </c>
      <c r="V1115" s="12" t="s">
        <v>93</v>
      </c>
      <c r="W1115" s="12">
        <v>5</v>
      </c>
      <c r="Y1115" s="12">
        <f t="shared" si="33"/>
        <v>0.217</v>
      </c>
      <c r="Z1115" s="12">
        <f t="shared" si="34"/>
        <v>-0.53900000000000003</v>
      </c>
    </row>
    <row r="1116" spans="1:27" x14ac:dyDescent="0.2">
      <c r="A1116" s="12" t="s">
        <v>51</v>
      </c>
      <c r="B1116" s="12">
        <v>3482.5</v>
      </c>
      <c r="C1116" s="12">
        <v>13.539</v>
      </c>
      <c r="D1116" s="12">
        <v>22.472000000000001</v>
      </c>
      <c r="E1116" s="12">
        <v>0.44900000000000001</v>
      </c>
      <c r="F1116" s="12">
        <v>167.74</v>
      </c>
      <c r="G1116" s="12">
        <v>2.9689999999999999</v>
      </c>
      <c r="H1116" s="12">
        <v>1.8029999999999999</v>
      </c>
      <c r="I1116" s="12">
        <v>3.9929999999999999</v>
      </c>
      <c r="J1116" s="12">
        <v>5066.16</v>
      </c>
      <c r="K1116" s="12">
        <v>6384.0420000000004</v>
      </c>
      <c r="L1116" s="12">
        <v>0.01</v>
      </c>
      <c r="M1116" s="12">
        <v>1E-3</v>
      </c>
      <c r="N1116" s="12">
        <v>100</v>
      </c>
      <c r="O1116" s="12">
        <v>1.4999999999999999E-2</v>
      </c>
      <c r="P1116" s="12">
        <v>0.47699999999999998</v>
      </c>
      <c r="Q1116" s="12">
        <v>0.17599999999999999</v>
      </c>
      <c r="R1116" s="12">
        <v>0.999</v>
      </c>
      <c r="S1116" s="12">
        <v>0.03</v>
      </c>
      <c r="U1116" s="12" t="s">
        <v>33</v>
      </c>
      <c r="V1116" s="12" t="s">
        <v>92</v>
      </c>
      <c r="W1116" s="12">
        <v>5</v>
      </c>
      <c r="Y1116" s="12">
        <f t="shared" si="33"/>
        <v>0.191</v>
      </c>
      <c r="Z1116" s="12">
        <f t="shared" si="34"/>
        <v>-0.46199999999999997</v>
      </c>
    </row>
    <row r="1117" spans="1:27" x14ac:dyDescent="0.2">
      <c r="A1117" s="12" t="s">
        <v>51</v>
      </c>
      <c r="B1117" s="12">
        <v>3482.625</v>
      </c>
      <c r="C1117" s="12">
        <v>13.095000000000001</v>
      </c>
      <c r="D1117" s="12">
        <v>22.443000000000001</v>
      </c>
      <c r="E1117" s="12">
        <v>0.42599999999999999</v>
      </c>
      <c r="F1117" s="12">
        <v>167.024</v>
      </c>
      <c r="G1117" s="12">
        <v>2.964</v>
      </c>
      <c r="H1117" s="12">
        <v>2.0499999999999998</v>
      </c>
      <c r="I1117" s="12">
        <v>3.8929999999999998</v>
      </c>
      <c r="J1117" s="12">
        <v>5294.2179999999998</v>
      </c>
      <c r="K1117" s="12">
        <v>6693.4449999999997</v>
      </c>
      <c r="L1117" s="12">
        <v>0.01</v>
      </c>
      <c r="M1117" s="12">
        <v>1E-3</v>
      </c>
      <c r="N1117" s="12">
        <v>100</v>
      </c>
      <c r="O1117" s="12">
        <v>1.0999999999999999E-2</v>
      </c>
      <c r="P1117" s="12">
        <v>0.42799999999999999</v>
      </c>
      <c r="Q1117" s="12">
        <v>0.16500000000000001</v>
      </c>
      <c r="R1117" s="12">
        <v>0.99099999999999999</v>
      </c>
      <c r="S1117" s="12">
        <v>4.4999999999999998E-2</v>
      </c>
      <c r="U1117" s="12" t="s">
        <v>33</v>
      </c>
      <c r="V1117" s="12" t="s">
        <v>93</v>
      </c>
      <c r="W1117" s="12">
        <v>5</v>
      </c>
      <c r="Y1117" s="12">
        <f t="shared" si="33"/>
        <v>0.17600000000000002</v>
      </c>
      <c r="Z1117" s="12">
        <f t="shared" si="34"/>
        <v>-0.41699999999999998</v>
      </c>
    </row>
    <row r="1118" spans="1:27" x14ac:dyDescent="0.2">
      <c r="A1118" s="12" t="s">
        <v>51</v>
      </c>
      <c r="B1118" s="12">
        <v>3482.75</v>
      </c>
      <c r="C1118" s="12">
        <v>13.493</v>
      </c>
      <c r="D1118" s="12">
        <v>22.411000000000001</v>
      </c>
      <c r="E1118" s="12">
        <v>0.53500000000000003</v>
      </c>
      <c r="F1118" s="12">
        <v>167.90299999999999</v>
      </c>
      <c r="G1118" s="12">
        <v>2.9529999999999998</v>
      </c>
      <c r="H1118" s="12">
        <v>2.3559999999999999</v>
      </c>
      <c r="I1118" s="12">
        <v>3.8690000000000002</v>
      </c>
      <c r="J1118" s="12">
        <v>5171.5640000000003</v>
      </c>
      <c r="K1118" s="12">
        <v>6556.3329999999996</v>
      </c>
      <c r="L1118" s="12">
        <v>0.01</v>
      </c>
      <c r="M1118" s="12">
        <v>1E-3</v>
      </c>
      <c r="N1118" s="12">
        <v>100</v>
      </c>
      <c r="O1118" s="12">
        <v>1.2999999999999999E-2</v>
      </c>
      <c r="P1118" s="12">
        <v>0.41099999999999998</v>
      </c>
      <c r="Q1118" s="12">
        <v>0.17199999999999999</v>
      </c>
      <c r="R1118" s="12">
        <v>0.96899999999999997</v>
      </c>
      <c r="S1118" s="12">
        <v>6.4000000000000001E-2</v>
      </c>
      <c r="U1118" s="12" t="s">
        <v>33</v>
      </c>
      <c r="V1118" s="12" t="s">
        <v>92</v>
      </c>
      <c r="W1118" s="12">
        <v>5</v>
      </c>
      <c r="Y1118" s="12">
        <f t="shared" si="33"/>
        <v>0.185</v>
      </c>
      <c r="Z1118" s="12">
        <f t="shared" si="34"/>
        <v>-0.39799999999999996</v>
      </c>
    </row>
    <row r="1119" spans="1:27" x14ac:dyDescent="0.2">
      <c r="A1119" s="12" t="s">
        <v>51</v>
      </c>
      <c r="B1119" s="12">
        <v>3482.875</v>
      </c>
      <c r="C1119" s="12">
        <v>15.2</v>
      </c>
      <c r="D1119" s="12">
        <v>22.393000000000001</v>
      </c>
      <c r="E1119" s="12">
        <v>0.71699999999999997</v>
      </c>
      <c r="F1119" s="12">
        <v>170.07900000000001</v>
      </c>
      <c r="G1119" s="12">
        <v>2.9409999999999998</v>
      </c>
      <c r="H1119" s="12">
        <v>2.6589999999999998</v>
      </c>
      <c r="I1119" s="12">
        <v>3.944</v>
      </c>
      <c r="J1119" s="12">
        <v>4063.6469999999999</v>
      </c>
      <c r="K1119" s="12">
        <v>5127.0839999999998</v>
      </c>
      <c r="L1119" s="12">
        <v>0.01</v>
      </c>
      <c r="M1119" s="12">
        <v>1E-3</v>
      </c>
      <c r="N1119" s="12">
        <v>100</v>
      </c>
      <c r="O1119" s="12">
        <v>2.4E-2</v>
      </c>
      <c r="P1119" s="12">
        <v>0.435</v>
      </c>
      <c r="Q1119" s="12">
        <v>0.19700000000000001</v>
      </c>
      <c r="R1119" s="12">
        <v>0.94199999999999995</v>
      </c>
      <c r="S1119" s="12">
        <v>8.4000000000000005E-2</v>
      </c>
      <c r="U1119" s="12" t="s">
        <v>33</v>
      </c>
      <c r="V1119" s="12" t="s">
        <v>93</v>
      </c>
      <c r="W1119" s="12">
        <v>5</v>
      </c>
      <c r="Y1119" s="12">
        <f t="shared" si="33"/>
        <v>0.221</v>
      </c>
      <c r="Z1119" s="12">
        <f t="shared" si="34"/>
        <v>-0.41099999999999998</v>
      </c>
    </row>
    <row r="1120" spans="1:27" x14ac:dyDescent="0.2">
      <c r="A1120" s="12" t="s">
        <v>51</v>
      </c>
      <c r="B1120" s="12">
        <v>3483</v>
      </c>
      <c r="C1120" s="12">
        <v>19.768999999999998</v>
      </c>
      <c r="D1120" s="12">
        <v>22.401</v>
      </c>
      <c r="E1120" s="12">
        <v>0.86499999999999999</v>
      </c>
      <c r="F1120" s="12">
        <v>172.76499999999999</v>
      </c>
      <c r="G1120" s="12">
        <v>2.9329999999999998</v>
      </c>
      <c r="H1120" s="12">
        <v>2.8879999999999999</v>
      </c>
      <c r="I1120" s="12">
        <v>4.0129999999999999</v>
      </c>
      <c r="J1120" s="12">
        <v>2430.5740000000001</v>
      </c>
      <c r="K1120" s="12">
        <v>3024.4639999999999</v>
      </c>
      <c r="L1120" s="12">
        <v>0.01</v>
      </c>
      <c r="M1120" s="12">
        <v>1E-3</v>
      </c>
      <c r="N1120" s="12">
        <v>100</v>
      </c>
      <c r="O1120" s="12">
        <v>5.5E-2</v>
      </c>
      <c r="P1120" s="12">
        <v>0.46500000000000002</v>
      </c>
      <c r="Q1120" s="12">
        <v>0.23</v>
      </c>
      <c r="R1120" s="12">
        <v>0.92200000000000004</v>
      </c>
      <c r="S1120" s="12">
        <v>0.1</v>
      </c>
      <c r="U1120" s="12" t="s">
        <v>33</v>
      </c>
      <c r="V1120" s="12" t="s">
        <v>92</v>
      </c>
      <c r="W1120" s="12">
        <v>5</v>
      </c>
      <c r="Y1120" s="12">
        <f t="shared" si="33"/>
        <v>0.28500000000000003</v>
      </c>
      <c r="Z1120" s="12">
        <f t="shared" si="34"/>
        <v>-0.41000000000000003</v>
      </c>
    </row>
    <row r="1121" spans="1:26" x14ac:dyDescent="0.2">
      <c r="A1121" s="12" t="s">
        <v>51</v>
      </c>
      <c r="B1121" s="12">
        <v>3483.125</v>
      </c>
      <c r="C1121" s="12">
        <v>27.414999999999999</v>
      </c>
      <c r="D1121" s="12">
        <v>22.44</v>
      </c>
      <c r="E1121" s="12">
        <v>0.92300000000000004</v>
      </c>
      <c r="F1121" s="12">
        <v>174.85599999999999</v>
      </c>
      <c r="G1121" s="12">
        <v>2.9329999999999998</v>
      </c>
      <c r="H1121" s="12">
        <v>3.0169999999999999</v>
      </c>
      <c r="I1121" s="12">
        <v>4.0540000000000003</v>
      </c>
      <c r="J1121" s="12">
        <v>1399.558</v>
      </c>
      <c r="K1121" s="12">
        <v>1706.89</v>
      </c>
      <c r="L1121" s="12">
        <v>0.01</v>
      </c>
      <c r="M1121" s="12">
        <v>1E-3</v>
      </c>
      <c r="N1121" s="12">
        <v>100</v>
      </c>
      <c r="O1121" s="12">
        <v>0.11</v>
      </c>
      <c r="P1121" s="12">
        <v>0.48499999999999999</v>
      </c>
      <c r="Q1121" s="12">
        <v>0.25900000000000001</v>
      </c>
      <c r="R1121" s="12">
        <v>0.91800000000000004</v>
      </c>
      <c r="S1121" s="12">
        <v>0.109</v>
      </c>
      <c r="U1121" s="12" t="s">
        <v>33</v>
      </c>
      <c r="V1121" s="12" t="s">
        <v>93</v>
      </c>
      <c r="W1121" s="12">
        <v>5</v>
      </c>
      <c r="Y1121" s="12">
        <f t="shared" si="33"/>
        <v>0.36899999999999999</v>
      </c>
      <c r="Z1121" s="12">
        <f t="shared" si="34"/>
        <v>-0.375</v>
      </c>
    </row>
    <row r="1122" spans="1:26" x14ac:dyDescent="0.2">
      <c r="A1122" s="12" t="s">
        <v>51</v>
      </c>
      <c r="B1122" s="12">
        <v>3483.25</v>
      </c>
      <c r="C1122" s="12">
        <v>35.674999999999997</v>
      </c>
      <c r="D1122" s="12">
        <v>22.495999999999999</v>
      </c>
      <c r="E1122" s="12">
        <v>0.86099999999999999</v>
      </c>
      <c r="F1122" s="12">
        <v>175.43100000000001</v>
      </c>
      <c r="G1122" s="12">
        <v>2.9420000000000002</v>
      </c>
      <c r="H1122" s="12">
        <v>3.081</v>
      </c>
      <c r="I1122" s="12">
        <v>4.0830000000000002</v>
      </c>
      <c r="J1122" s="12">
        <v>1021.479</v>
      </c>
      <c r="K1122" s="12">
        <v>1225.627</v>
      </c>
      <c r="L1122" s="12">
        <v>0.01</v>
      </c>
      <c r="M1122" s="12">
        <v>1E-3</v>
      </c>
      <c r="N1122" s="12">
        <v>100</v>
      </c>
      <c r="O1122" s="12">
        <v>0.17299999999999999</v>
      </c>
      <c r="P1122" s="12">
        <v>0.498</v>
      </c>
      <c r="Q1122" s="12">
        <v>0.27100000000000002</v>
      </c>
      <c r="R1122" s="12">
        <v>0.93500000000000005</v>
      </c>
      <c r="S1122" s="12">
        <v>0.114</v>
      </c>
      <c r="U1122" s="12" t="s">
        <v>33</v>
      </c>
      <c r="V1122" s="12" t="s">
        <v>92</v>
      </c>
      <c r="W1122" s="12">
        <v>5</v>
      </c>
      <c r="Y1122" s="12">
        <f t="shared" si="33"/>
        <v>0.44400000000000001</v>
      </c>
      <c r="Z1122" s="12">
        <f t="shared" si="34"/>
        <v>-0.32500000000000001</v>
      </c>
    </row>
    <row r="1123" spans="1:26" x14ac:dyDescent="0.2">
      <c r="A1123" s="12" t="s">
        <v>51</v>
      </c>
      <c r="B1123" s="12">
        <v>3483.375</v>
      </c>
      <c r="C1123" s="12">
        <v>38.957000000000001</v>
      </c>
      <c r="D1123" s="12">
        <v>22.55</v>
      </c>
      <c r="E1123" s="12">
        <v>0.74099999999999999</v>
      </c>
      <c r="F1123" s="12">
        <v>174.625</v>
      </c>
      <c r="G1123" s="12">
        <v>2.9529999999999998</v>
      </c>
      <c r="H1123" s="12">
        <v>3.1520000000000001</v>
      </c>
      <c r="I1123" s="12">
        <v>4.0570000000000004</v>
      </c>
      <c r="J1123" s="12">
        <v>991.18799999999999</v>
      </c>
      <c r="K1123" s="12">
        <v>1180.098</v>
      </c>
      <c r="L1123" s="12">
        <v>0.01</v>
      </c>
      <c r="M1123" s="12">
        <v>1E-3</v>
      </c>
      <c r="N1123" s="12">
        <v>100</v>
      </c>
      <c r="O1123" s="12">
        <v>0.20699999999999999</v>
      </c>
      <c r="P1123" s="12">
        <v>0.49199999999999999</v>
      </c>
      <c r="Q1123" s="12">
        <v>0.26400000000000001</v>
      </c>
      <c r="R1123" s="12">
        <v>0.95899999999999996</v>
      </c>
      <c r="S1123" s="12">
        <v>0.11899999999999999</v>
      </c>
      <c r="U1123" s="12" t="s">
        <v>33</v>
      </c>
      <c r="V1123" s="12" t="s">
        <v>93</v>
      </c>
      <c r="W1123" s="12">
        <v>5</v>
      </c>
      <c r="Y1123" s="12">
        <f t="shared" si="33"/>
        <v>0.47099999999999997</v>
      </c>
      <c r="Z1123" s="12">
        <f t="shared" si="34"/>
        <v>-0.28500000000000003</v>
      </c>
    </row>
    <row r="1124" spans="1:26" x14ac:dyDescent="0.2">
      <c r="A1124" s="12" t="s">
        <v>51</v>
      </c>
      <c r="B1124" s="12">
        <v>3483.5</v>
      </c>
      <c r="C1124" s="12">
        <v>35.04</v>
      </c>
      <c r="D1124" s="12">
        <v>22.581</v>
      </c>
      <c r="E1124" s="12">
        <v>0.629</v>
      </c>
      <c r="F1124" s="12">
        <v>172.97300000000001</v>
      </c>
      <c r="G1124" s="12">
        <v>2.96</v>
      </c>
      <c r="H1124" s="12">
        <v>3.2869999999999999</v>
      </c>
      <c r="I1124" s="12">
        <v>3.9780000000000002</v>
      </c>
      <c r="J1124" s="12">
        <v>1166.204</v>
      </c>
      <c r="K1124" s="12">
        <v>1384.5260000000001</v>
      </c>
      <c r="L1124" s="12">
        <v>0.01</v>
      </c>
      <c r="M1124" s="12">
        <v>1E-3</v>
      </c>
      <c r="N1124" s="12">
        <v>100</v>
      </c>
      <c r="O1124" s="12">
        <v>0.187</v>
      </c>
      <c r="P1124" s="12">
        <v>0.46200000000000002</v>
      </c>
      <c r="Q1124" s="12">
        <v>0.24399999999999999</v>
      </c>
      <c r="R1124" s="12">
        <v>0.97599999999999998</v>
      </c>
      <c r="S1124" s="12">
        <v>0.127</v>
      </c>
      <c r="U1124" s="12" t="s">
        <v>33</v>
      </c>
      <c r="V1124" s="12" t="s">
        <v>92</v>
      </c>
      <c r="W1124" s="12">
        <v>5</v>
      </c>
      <c r="Y1124" s="12">
        <f t="shared" si="33"/>
        <v>0.43099999999999999</v>
      </c>
      <c r="Z1124" s="12">
        <f t="shared" si="34"/>
        <v>-0.27500000000000002</v>
      </c>
    </row>
    <row r="1125" spans="1:26" x14ac:dyDescent="0.2">
      <c r="A1125" s="12" t="s">
        <v>51</v>
      </c>
      <c r="B1125" s="12">
        <v>3483.625</v>
      </c>
      <c r="C1125" s="12">
        <v>27.28</v>
      </c>
      <c r="D1125" s="12">
        <v>22.579000000000001</v>
      </c>
      <c r="E1125" s="12">
        <v>0.59699999999999998</v>
      </c>
      <c r="F1125" s="12">
        <v>171.101</v>
      </c>
      <c r="G1125" s="12">
        <v>2.9569999999999999</v>
      </c>
      <c r="H1125" s="12">
        <v>3.4969999999999999</v>
      </c>
      <c r="I1125" s="12">
        <v>3.8679999999999999</v>
      </c>
      <c r="J1125" s="12">
        <v>1544.047</v>
      </c>
      <c r="K1125" s="12">
        <v>1826.2090000000001</v>
      </c>
      <c r="L1125" s="12">
        <v>0.01</v>
      </c>
      <c r="M1125" s="12">
        <v>1E-3</v>
      </c>
      <c r="N1125" s="12">
        <v>100</v>
      </c>
      <c r="O1125" s="12">
        <v>0.13300000000000001</v>
      </c>
      <c r="P1125" s="12">
        <v>0.41799999999999998</v>
      </c>
      <c r="Q1125" s="12">
        <v>0.221</v>
      </c>
      <c r="R1125" s="12">
        <v>0.97399999999999998</v>
      </c>
      <c r="S1125" s="12">
        <v>0.14000000000000001</v>
      </c>
      <c r="U1125" s="12" t="s">
        <v>33</v>
      </c>
      <c r="V1125" s="12" t="s">
        <v>93</v>
      </c>
      <c r="W1125" s="12">
        <v>5</v>
      </c>
      <c r="Y1125" s="12">
        <f t="shared" si="33"/>
        <v>0.35399999999999998</v>
      </c>
      <c r="Z1125" s="12">
        <f t="shared" si="34"/>
        <v>-0.28499999999999998</v>
      </c>
    </row>
    <row r="1126" spans="1:26" x14ac:dyDescent="0.2">
      <c r="A1126" s="12" t="s">
        <v>51</v>
      </c>
      <c r="B1126" s="12">
        <v>3483.75</v>
      </c>
      <c r="C1126" s="12">
        <v>22.68</v>
      </c>
      <c r="D1126" s="12">
        <v>22.55</v>
      </c>
      <c r="E1126" s="12">
        <v>0.65400000000000003</v>
      </c>
      <c r="F1126" s="12">
        <v>169.309</v>
      </c>
      <c r="G1126" s="12">
        <v>2.9430000000000001</v>
      </c>
      <c r="H1126" s="12">
        <v>3.762</v>
      </c>
      <c r="I1126" s="12">
        <v>3.7320000000000002</v>
      </c>
      <c r="J1126" s="12">
        <v>2049.5279999999998</v>
      </c>
      <c r="K1126" s="12">
        <v>2412.8510000000001</v>
      </c>
      <c r="L1126" s="12">
        <v>0.01</v>
      </c>
      <c r="M1126" s="12">
        <v>1E-3</v>
      </c>
      <c r="N1126" s="12">
        <v>100</v>
      </c>
      <c r="O1126" s="12">
        <v>9.1999999999999998E-2</v>
      </c>
      <c r="P1126" s="12">
        <v>0.36199999999999999</v>
      </c>
      <c r="Q1126" s="12">
        <v>0.19700000000000001</v>
      </c>
      <c r="R1126" s="12">
        <v>0.94699999999999995</v>
      </c>
      <c r="S1126" s="12">
        <v>0.156</v>
      </c>
      <c r="U1126" s="12" t="s">
        <v>33</v>
      </c>
      <c r="V1126" s="12" t="s">
        <v>92</v>
      </c>
      <c r="W1126" s="12">
        <v>5</v>
      </c>
      <c r="Y1126" s="12">
        <f t="shared" si="33"/>
        <v>0.28900000000000003</v>
      </c>
      <c r="Z1126" s="12">
        <f t="shared" si="34"/>
        <v>-0.27</v>
      </c>
    </row>
    <row r="1127" spans="1:26" x14ac:dyDescent="0.2">
      <c r="A1127" s="12" t="s">
        <v>51</v>
      </c>
      <c r="B1127" s="12">
        <v>3483.875</v>
      </c>
      <c r="C1127" s="12">
        <v>23.013999999999999</v>
      </c>
      <c r="D1127" s="12">
        <v>22.504000000000001</v>
      </c>
      <c r="E1127" s="12">
        <v>0.72</v>
      </c>
      <c r="F1127" s="12">
        <v>167.57400000000001</v>
      </c>
      <c r="G1127" s="12">
        <v>2.9209999999999998</v>
      </c>
      <c r="H1127" s="12">
        <v>4.0549999999999997</v>
      </c>
      <c r="I1127" s="12">
        <v>3.62</v>
      </c>
      <c r="J1127" s="12">
        <v>2424.299</v>
      </c>
      <c r="K1127" s="12">
        <v>2856.4110000000001</v>
      </c>
      <c r="L1127" s="12">
        <v>0.01</v>
      </c>
      <c r="M1127" s="12">
        <v>1E-3</v>
      </c>
      <c r="N1127" s="12">
        <v>100</v>
      </c>
      <c r="O1127" s="12">
        <v>8.6999999999999994E-2</v>
      </c>
      <c r="P1127" s="12">
        <v>0.312</v>
      </c>
      <c r="Q1127" s="12">
        <v>0.17499999999999999</v>
      </c>
      <c r="R1127" s="12">
        <v>0.90100000000000002</v>
      </c>
      <c r="S1127" s="12">
        <v>0.17499999999999999</v>
      </c>
      <c r="U1127" s="12" t="s">
        <v>33</v>
      </c>
      <c r="V1127" s="12" t="s">
        <v>93</v>
      </c>
      <c r="W1127" s="12">
        <v>5</v>
      </c>
      <c r="Y1127" s="12">
        <f t="shared" si="33"/>
        <v>0.26200000000000001</v>
      </c>
      <c r="Z1127" s="12">
        <f t="shared" si="34"/>
        <v>-0.22500000000000001</v>
      </c>
    </row>
    <row r="1128" spans="1:26" x14ac:dyDescent="0.2">
      <c r="A1128" s="12" t="s">
        <v>51</v>
      </c>
      <c r="B1128" s="12">
        <v>3484</v>
      </c>
      <c r="C1128" s="12">
        <v>24.873999999999999</v>
      </c>
      <c r="D1128" s="12">
        <v>22.452000000000002</v>
      </c>
      <c r="E1128" s="12">
        <v>0.79200000000000004</v>
      </c>
      <c r="F1128" s="12">
        <v>166.036</v>
      </c>
      <c r="G1128" s="12">
        <v>2.895</v>
      </c>
      <c r="H1128" s="12">
        <v>4.3559999999999999</v>
      </c>
      <c r="I1128" s="12">
        <v>3.5270000000000001</v>
      </c>
      <c r="J1128" s="12">
        <v>2202.8090000000002</v>
      </c>
      <c r="K1128" s="12">
        <v>2604.0189999999998</v>
      </c>
      <c r="L1128" s="12">
        <v>0.01</v>
      </c>
      <c r="M1128" s="12">
        <v>1E-3</v>
      </c>
      <c r="N1128" s="12">
        <v>100</v>
      </c>
      <c r="O1128" s="12">
        <v>9.9000000000000005E-2</v>
      </c>
      <c r="P1128" s="12">
        <v>0.27100000000000002</v>
      </c>
      <c r="Q1128" s="12">
        <v>0.154</v>
      </c>
      <c r="R1128" s="12">
        <v>0.84399999999999997</v>
      </c>
      <c r="S1128" s="12">
        <v>0.19400000000000001</v>
      </c>
      <c r="U1128" s="12" t="s">
        <v>33</v>
      </c>
      <c r="V1128" s="12" t="s">
        <v>92</v>
      </c>
      <c r="W1128" s="12">
        <v>5</v>
      </c>
      <c r="Y1128" s="12">
        <f t="shared" si="33"/>
        <v>0.253</v>
      </c>
      <c r="Z1128" s="12">
        <f t="shared" si="34"/>
        <v>-0.17200000000000001</v>
      </c>
    </row>
    <row r="1129" spans="1:26" x14ac:dyDescent="0.2">
      <c r="A1129" s="12" t="s">
        <v>51</v>
      </c>
      <c r="B1129" s="12">
        <v>3484.125</v>
      </c>
      <c r="C1129" s="12">
        <v>26.437999999999999</v>
      </c>
      <c r="D1129" s="12">
        <v>22.402000000000001</v>
      </c>
      <c r="E1129" s="12">
        <v>0.97399999999999998</v>
      </c>
      <c r="F1129" s="12">
        <v>165.304</v>
      </c>
      <c r="G1129" s="12">
        <v>2.8690000000000002</v>
      </c>
      <c r="H1129" s="12">
        <v>4.6420000000000003</v>
      </c>
      <c r="I1129" s="12">
        <v>3.58</v>
      </c>
      <c r="J1129" s="12">
        <v>1711.8920000000001</v>
      </c>
      <c r="K1129" s="12">
        <v>2028.068</v>
      </c>
      <c r="L1129" s="12">
        <v>0.01</v>
      </c>
      <c r="M1129" s="12">
        <v>1E-3</v>
      </c>
      <c r="N1129" s="12">
        <v>100</v>
      </c>
      <c r="O1129" s="12">
        <v>0.112</v>
      </c>
      <c r="P1129" s="12">
        <v>0.28100000000000003</v>
      </c>
      <c r="Q1129" s="12">
        <v>0.14199999999999999</v>
      </c>
      <c r="R1129" s="12">
        <v>0.78400000000000003</v>
      </c>
      <c r="S1129" s="12">
        <v>0.21299999999999999</v>
      </c>
      <c r="U1129" s="12" t="s">
        <v>33</v>
      </c>
      <c r="V1129" s="12" t="s">
        <v>93</v>
      </c>
      <c r="W1129" s="12">
        <v>5</v>
      </c>
      <c r="Y1129" s="12">
        <f t="shared" si="33"/>
        <v>0.254</v>
      </c>
      <c r="Z1129" s="12">
        <f t="shared" si="34"/>
        <v>-0.16900000000000004</v>
      </c>
    </row>
    <row r="1130" spans="1:26" x14ac:dyDescent="0.2">
      <c r="A1130" s="12" t="s">
        <v>51</v>
      </c>
      <c r="B1130" s="12">
        <v>3484.25</v>
      </c>
      <c r="C1130" s="12">
        <v>28.347000000000001</v>
      </c>
      <c r="D1130" s="12">
        <v>22.361999999999998</v>
      </c>
      <c r="E1130" s="12">
        <v>1.3640000000000001</v>
      </c>
      <c r="F1130" s="12">
        <v>166.33600000000001</v>
      </c>
      <c r="G1130" s="12">
        <v>2.847</v>
      </c>
      <c r="H1130" s="12">
        <v>4.8810000000000002</v>
      </c>
      <c r="I1130" s="12">
        <v>3.694</v>
      </c>
      <c r="J1130" s="12">
        <v>1252.0309999999999</v>
      </c>
      <c r="K1130" s="12">
        <v>1477.7639999999999</v>
      </c>
      <c r="L1130" s="12">
        <v>0.01</v>
      </c>
      <c r="M1130" s="12">
        <v>1E-3</v>
      </c>
      <c r="N1130" s="12">
        <v>100</v>
      </c>
      <c r="O1130" s="12">
        <v>0.126</v>
      </c>
      <c r="P1130" s="12">
        <v>0.32400000000000001</v>
      </c>
      <c r="Q1130" s="12">
        <v>0.151</v>
      </c>
      <c r="R1130" s="12">
        <v>0.73299999999999998</v>
      </c>
      <c r="S1130" s="12">
        <v>0.22900000000000001</v>
      </c>
      <c r="U1130" s="12" t="s">
        <v>33</v>
      </c>
      <c r="V1130" s="12" t="s">
        <v>92</v>
      </c>
      <c r="W1130" s="12">
        <v>5</v>
      </c>
      <c r="Y1130" s="12">
        <f t="shared" si="33"/>
        <v>0.27700000000000002</v>
      </c>
      <c r="Z1130" s="12">
        <f t="shared" si="34"/>
        <v>-0.19800000000000001</v>
      </c>
    </row>
    <row r="1131" spans="1:26" x14ac:dyDescent="0.2">
      <c r="A1131" s="12" t="s">
        <v>51</v>
      </c>
      <c r="B1131" s="12">
        <v>3484.375</v>
      </c>
      <c r="C1131" s="12">
        <v>33.228000000000002</v>
      </c>
      <c r="D1131" s="12">
        <v>22.344000000000001</v>
      </c>
      <c r="E1131" s="12">
        <v>1.855</v>
      </c>
      <c r="F1131" s="12">
        <v>169.33699999999999</v>
      </c>
      <c r="G1131" s="12">
        <v>2.8319999999999999</v>
      </c>
      <c r="H1131" s="12">
        <v>5.0270000000000001</v>
      </c>
      <c r="I1131" s="12">
        <v>3.8679999999999999</v>
      </c>
      <c r="J1131" s="12">
        <v>912.53200000000004</v>
      </c>
      <c r="K1131" s="12">
        <v>1070.778</v>
      </c>
      <c r="L1131" s="12">
        <v>0.01</v>
      </c>
      <c r="M1131" s="12">
        <v>1E-3</v>
      </c>
      <c r="N1131" s="12">
        <v>100</v>
      </c>
      <c r="O1131" s="12">
        <v>0.16</v>
      </c>
      <c r="P1131" s="12">
        <v>0.39400000000000002</v>
      </c>
      <c r="Q1131" s="12">
        <v>0.185</v>
      </c>
      <c r="R1131" s="12">
        <v>0.69499999999999995</v>
      </c>
      <c r="S1131" s="12">
        <v>0.24</v>
      </c>
      <c r="U1131" s="12" t="s">
        <v>33</v>
      </c>
      <c r="V1131" s="12" t="s">
        <v>93</v>
      </c>
      <c r="W1131" s="12">
        <v>5</v>
      </c>
      <c r="Y1131" s="12">
        <f t="shared" si="33"/>
        <v>0.34499999999999997</v>
      </c>
      <c r="Z1131" s="12">
        <f t="shared" si="34"/>
        <v>-0.23400000000000001</v>
      </c>
    </row>
    <row r="1132" spans="1:26" x14ac:dyDescent="0.2">
      <c r="A1132" s="12" t="s">
        <v>51</v>
      </c>
      <c r="B1132" s="12">
        <v>3485</v>
      </c>
      <c r="C1132" s="12">
        <v>67.123999999999995</v>
      </c>
      <c r="D1132" s="12">
        <v>22.712</v>
      </c>
      <c r="E1132" s="12">
        <v>2.2410000000000001</v>
      </c>
      <c r="F1132" s="12">
        <v>178.941</v>
      </c>
      <c r="G1132" s="12">
        <v>2.8490000000000002</v>
      </c>
      <c r="H1132" s="12">
        <v>4.8879999999999999</v>
      </c>
      <c r="I1132" s="12">
        <v>4.4359999999999999</v>
      </c>
      <c r="J1132" s="12">
        <v>473.51600000000002</v>
      </c>
      <c r="K1132" s="12">
        <v>545.93799999999999</v>
      </c>
      <c r="L1132" s="12">
        <v>0.01</v>
      </c>
      <c r="M1132" s="12">
        <v>1E-3</v>
      </c>
      <c r="N1132" s="12">
        <v>100</v>
      </c>
      <c r="O1132" s="12">
        <v>0.437</v>
      </c>
      <c r="P1132" s="12">
        <v>0.65900000000000003</v>
      </c>
      <c r="Q1132" s="12">
        <v>0.32400000000000001</v>
      </c>
      <c r="R1132" s="12">
        <v>0.72799999999999998</v>
      </c>
      <c r="S1132" s="12">
        <v>0.23200000000000001</v>
      </c>
      <c r="U1132" s="12" t="s">
        <v>33</v>
      </c>
      <c r="V1132" s="12" t="s">
        <v>93</v>
      </c>
      <c r="W1132" s="12">
        <v>7</v>
      </c>
      <c r="Y1132" s="12">
        <f t="shared" si="33"/>
        <v>0.76100000000000001</v>
      </c>
      <c r="Z1132" s="12">
        <f t="shared" ref="Z1132:Z1142" si="35">O1132-P1132</f>
        <v>-0.22200000000000003</v>
      </c>
    </row>
    <row r="1133" spans="1:26" x14ac:dyDescent="0.2">
      <c r="A1133" s="12" t="s">
        <v>51</v>
      </c>
      <c r="B1133" s="12">
        <v>3485.125</v>
      </c>
      <c r="C1133" s="12">
        <v>57.819000000000003</v>
      </c>
      <c r="D1133" s="12">
        <v>22.744</v>
      </c>
      <c r="E1133" s="12">
        <v>2.0950000000000002</v>
      </c>
      <c r="F1133" s="12">
        <v>175.61600000000001</v>
      </c>
      <c r="G1133" s="12">
        <v>2.839</v>
      </c>
      <c r="H1133" s="12">
        <v>4.9960000000000004</v>
      </c>
      <c r="I1133" s="12">
        <v>4.2190000000000003</v>
      </c>
      <c r="J1133" s="12">
        <v>530.52300000000002</v>
      </c>
      <c r="K1133" s="12">
        <v>612.78599999999994</v>
      </c>
      <c r="L1133" s="12">
        <v>0.01</v>
      </c>
      <c r="M1133" s="12">
        <v>1E-3</v>
      </c>
      <c r="N1133" s="12">
        <v>100</v>
      </c>
      <c r="O1133" s="12">
        <v>0.373</v>
      </c>
      <c r="P1133" s="12">
        <v>0.57699999999999996</v>
      </c>
      <c r="Q1133" s="12">
        <v>0.28299999999999997</v>
      </c>
      <c r="R1133" s="12">
        <v>0.70899999999999996</v>
      </c>
      <c r="S1133" s="12">
        <v>0.23799999999999999</v>
      </c>
      <c r="U1133" s="12" t="s">
        <v>33</v>
      </c>
      <c r="V1133" s="12" t="s">
        <v>93</v>
      </c>
      <c r="W1133" s="12">
        <v>7</v>
      </c>
      <c r="Y1133" s="12">
        <f t="shared" si="33"/>
        <v>0.65599999999999992</v>
      </c>
      <c r="Z1133" s="12">
        <f t="shared" si="35"/>
        <v>-0.20399999999999996</v>
      </c>
    </row>
    <row r="1134" spans="1:26" x14ac:dyDescent="0.2">
      <c r="A1134" s="12" t="s">
        <v>51</v>
      </c>
      <c r="B1134" s="12">
        <v>3485.25</v>
      </c>
      <c r="C1134" s="12">
        <v>49.564999999999998</v>
      </c>
      <c r="D1134" s="12">
        <v>22.72</v>
      </c>
      <c r="E1134" s="12">
        <v>1.976</v>
      </c>
      <c r="F1134" s="12">
        <v>173.09800000000001</v>
      </c>
      <c r="G1134" s="12">
        <v>2.8279999999999998</v>
      </c>
      <c r="H1134" s="12">
        <v>5.0339999999999998</v>
      </c>
      <c r="I1134" s="12">
        <v>3.9609999999999999</v>
      </c>
      <c r="J1134" s="12">
        <v>572.60699999999997</v>
      </c>
      <c r="K1134" s="12">
        <v>663.65099999999995</v>
      </c>
      <c r="L1134" s="12">
        <v>0.01</v>
      </c>
      <c r="M1134" s="12">
        <v>1E-3</v>
      </c>
      <c r="N1134" s="12">
        <v>100</v>
      </c>
      <c r="O1134" s="12">
        <v>0.307</v>
      </c>
      <c r="P1134" s="12">
        <v>0.47</v>
      </c>
      <c r="Q1134" s="12">
        <v>0.248</v>
      </c>
      <c r="R1134" s="12">
        <v>0.68500000000000005</v>
      </c>
      <c r="S1134" s="12">
        <v>0.24199999999999999</v>
      </c>
      <c r="U1134" s="12" t="s">
        <v>33</v>
      </c>
      <c r="V1134" s="12" t="s">
        <v>93</v>
      </c>
      <c r="W1134" s="12">
        <v>7</v>
      </c>
      <c r="Y1134" s="12">
        <f t="shared" si="33"/>
        <v>0.55499999999999994</v>
      </c>
      <c r="Z1134" s="12">
        <f t="shared" si="35"/>
        <v>-0.16299999999999998</v>
      </c>
    </row>
    <row r="1135" spans="1:26" x14ac:dyDescent="0.2">
      <c r="A1135" s="12" t="s">
        <v>51</v>
      </c>
      <c r="B1135" s="12">
        <v>3485.375</v>
      </c>
      <c r="C1135" s="12">
        <v>48.843000000000004</v>
      </c>
      <c r="D1135" s="12">
        <v>22.658999999999999</v>
      </c>
      <c r="E1135" s="12">
        <v>1.8879999999999999</v>
      </c>
      <c r="F1135" s="12">
        <v>172.23500000000001</v>
      </c>
      <c r="G1135" s="12">
        <v>2.8210000000000002</v>
      </c>
      <c r="H1135" s="12">
        <v>4.91</v>
      </c>
      <c r="I1135" s="12">
        <v>3.819</v>
      </c>
      <c r="J1135" s="12">
        <v>594.16300000000001</v>
      </c>
      <c r="K1135" s="12">
        <v>691.55200000000002</v>
      </c>
      <c r="L1135" s="12">
        <v>0.01</v>
      </c>
      <c r="M1135" s="12">
        <v>1E-3</v>
      </c>
      <c r="N1135" s="12">
        <v>100</v>
      </c>
      <c r="O1135" s="12">
        <v>0.28999999999999998</v>
      </c>
      <c r="P1135" s="12">
        <v>0.4</v>
      </c>
      <c r="Q1135" s="12">
        <v>0.23300000000000001</v>
      </c>
      <c r="R1135" s="12">
        <v>0.66700000000000004</v>
      </c>
      <c r="S1135" s="12">
        <v>0.23599999999999999</v>
      </c>
      <c r="U1135" s="12" t="s">
        <v>33</v>
      </c>
      <c r="V1135" s="12" t="s">
        <v>93</v>
      </c>
      <c r="W1135" s="12">
        <v>7</v>
      </c>
      <c r="Y1135" s="12">
        <f t="shared" si="33"/>
        <v>0.52300000000000002</v>
      </c>
      <c r="Z1135" s="12">
        <f t="shared" si="35"/>
        <v>-0.11000000000000004</v>
      </c>
    </row>
    <row r="1136" spans="1:26" x14ac:dyDescent="0.2">
      <c r="A1136" s="12" t="s">
        <v>51</v>
      </c>
      <c r="B1136" s="12">
        <v>3485.5</v>
      </c>
      <c r="C1136" s="12">
        <v>55.677999999999997</v>
      </c>
      <c r="D1136" s="12">
        <v>22.594000000000001</v>
      </c>
      <c r="E1136" s="12">
        <v>1.8180000000000001</v>
      </c>
      <c r="F1136" s="12">
        <v>172.911</v>
      </c>
      <c r="G1136" s="12">
        <v>2.8250000000000002</v>
      </c>
      <c r="H1136" s="12">
        <v>4.3369999999999997</v>
      </c>
      <c r="I1136" s="12">
        <v>3.738</v>
      </c>
      <c r="J1136" s="12">
        <v>572.00900000000001</v>
      </c>
      <c r="K1136" s="12">
        <v>667.78700000000003</v>
      </c>
      <c r="L1136" s="12">
        <v>0.01</v>
      </c>
      <c r="M1136" s="12">
        <v>1E-3</v>
      </c>
      <c r="N1136" s="12">
        <v>100</v>
      </c>
      <c r="O1136" s="12">
        <v>0.33100000000000002</v>
      </c>
      <c r="P1136" s="12">
        <v>0.36</v>
      </c>
      <c r="Q1136" s="12">
        <v>0.23799999999999999</v>
      </c>
      <c r="R1136" s="12">
        <v>0.67100000000000004</v>
      </c>
      <c r="S1136" s="12">
        <v>0.20399999999999999</v>
      </c>
      <c r="U1136" s="12" t="s">
        <v>33</v>
      </c>
      <c r="V1136" s="12" t="s">
        <v>93</v>
      </c>
      <c r="W1136" s="12">
        <v>7</v>
      </c>
      <c r="Y1136" s="12">
        <f t="shared" si="33"/>
        <v>0.56899999999999995</v>
      </c>
      <c r="Z1136" s="12">
        <f t="shared" si="35"/>
        <v>-2.899999999999997E-2</v>
      </c>
    </row>
    <row r="1137" spans="1:26" x14ac:dyDescent="0.2">
      <c r="A1137" s="12" t="s">
        <v>51</v>
      </c>
      <c r="B1137" s="12">
        <v>3485.75</v>
      </c>
      <c r="C1137" s="12">
        <v>65.317999999999998</v>
      </c>
      <c r="D1137" s="12">
        <v>22.548999999999999</v>
      </c>
      <c r="E1137" s="12">
        <v>1.6910000000000001</v>
      </c>
      <c r="F1137" s="12">
        <v>175.90100000000001</v>
      </c>
      <c r="G1137" s="12">
        <v>2.851</v>
      </c>
      <c r="H1137" s="12">
        <v>4.0960000000000001</v>
      </c>
      <c r="I1137" s="12">
        <v>3.9860000000000002</v>
      </c>
      <c r="J1137" s="12">
        <v>475.2</v>
      </c>
      <c r="K1137" s="12">
        <v>553.18600000000004</v>
      </c>
      <c r="L1137" s="12">
        <v>0.01</v>
      </c>
      <c r="M1137" s="12">
        <v>1E-3</v>
      </c>
      <c r="N1137" s="12">
        <v>100</v>
      </c>
      <c r="O1137" s="12">
        <v>0.41499999999999998</v>
      </c>
      <c r="P1137" s="12">
        <v>0.442</v>
      </c>
      <c r="Q1137" s="12">
        <v>0.27400000000000002</v>
      </c>
      <c r="R1137" s="12">
        <v>0.72499999999999998</v>
      </c>
      <c r="S1137" s="12">
        <v>0.182</v>
      </c>
      <c r="U1137" s="12" t="s">
        <v>33</v>
      </c>
      <c r="V1137" s="12" t="s">
        <v>93</v>
      </c>
      <c r="W1137" s="12">
        <v>7</v>
      </c>
      <c r="Y1137" s="12">
        <f t="shared" si="33"/>
        <v>0.68900000000000006</v>
      </c>
      <c r="Z1137" s="12">
        <f t="shared" si="35"/>
        <v>-2.7000000000000024E-2</v>
      </c>
    </row>
    <row r="1138" spans="1:26" x14ac:dyDescent="0.2">
      <c r="A1138" s="12" t="s">
        <v>51</v>
      </c>
      <c r="B1138" s="12">
        <v>3485.875</v>
      </c>
      <c r="C1138" s="12">
        <v>58.768999999999998</v>
      </c>
      <c r="D1138" s="12">
        <v>22.571000000000002</v>
      </c>
      <c r="E1138" s="12">
        <v>1.637</v>
      </c>
      <c r="F1138" s="12">
        <v>176.76900000000001</v>
      </c>
      <c r="G1138" s="12">
        <v>2.86</v>
      </c>
      <c r="H1138" s="12">
        <v>4.0960000000000001</v>
      </c>
      <c r="I1138" s="12">
        <v>4.1589999999999998</v>
      </c>
      <c r="J1138" s="12">
        <v>469.68200000000002</v>
      </c>
      <c r="K1138" s="12">
        <v>545.89400000000001</v>
      </c>
      <c r="L1138" s="12">
        <v>0.01</v>
      </c>
      <c r="M1138" s="12">
        <v>1E-3</v>
      </c>
      <c r="N1138" s="12">
        <v>100</v>
      </c>
      <c r="O1138" s="12">
        <v>0.376</v>
      </c>
      <c r="P1138" s="12">
        <v>0.51800000000000002</v>
      </c>
      <c r="Q1138" s="12">
        <v>0.28699999999999998</v>
      </c>
      <c r="R1138" s="12">
        <v>0.748</v>
      </c>
      <c r="S1138" s="12">
        <v>0.18099999999999999</v>
      </c>
      <c r="U1138" s="12" t="s">
        <v>33</v>
      </c>
      <c r="V1138" s="12" t="s">
        <v>93</v>
      </c>
      <c r="W1138" s="12">
        <v>7</v>
      </c>
      <c r="Y1138" s="12">
        <f t="shared" si="33"/>
        <v>0.66300000000000003</v>
      </c>
      <c r="Z1138" s="12">
        <f t="shared" si="35"/>
        <v>-0.14200000000000002</v>
      </c>
    </row>
    <row r="1139" spans="1:26" x14ac:dyDescent="0.2">
      <c r="A1139" s="12" t="s">
        <v>51</v>
      </c>
      <c r="B1139" s="12">
        <v>3486</v>
      </c>
      <c r="C1139" s="12">
        <v>50.314</v>
      </c>
      <c r="D1139" s="12">
        <v>22.603000000000002</v>
      </c>
      <c r="E1139" s="12">
        <v>1.5760000000000001</v>
      </c>
      <c r="F1139" s="12">
        <v>176.69200000000001</v>
      </c>
      <c r="G1139" s="12">
        <v>2.86</v>
      </c>
      <c r="H1139" s="12">
        <v>4.0960000000000001</v>
      </c>
      <c r="I1139" s="12">
        <v>4.2569999999999997</v>
      </c>
      <c r="J1139" s="12">
        <v>510.18099999999998</v>
      </c>
      <c r="K1139" s="12">
        <v>591.54499999999996</v>
      </c>
      <c r="L1139" s="12">
        <v>0.01</v>
      </c>
      <c r="M1139" s="12">
        <v>1E-3</v>
      </c>
      <c r="N1139" s="12">
        <v>100</v>
      </c>
      <c r="O1139" s="12">
        <v>0.313</v>
      </c>
      <c r="P1139" s="12">
        <v>0.56599999999999995</v>
      </c>
      <c r="Q1139" s="12">
        <v>0.28899999999999998</v>
      </c>
      <c r="R1139" s="12">
        <v>0.752</v>
      </c>
      <c r="S1139" s="12">
        <v>0.18099999999999999</v>
      </c>
      <c r="U1139" s="12" t="s">
        <v>33</v>
      </c>
      <c r="V1139" s="12" t="s">
        <v>93</v>
      </c>
      <c r="W1139" s="12">
        <v>7</v>
      </c>
      <c r="Y1139" s="12">
        <f t="shared" si="33"/>
        <v>0.60199999999999998</v>
      </c>
      <c r="Z1139" s="12">
        <f t="shared" si="35"/>
        <v>-0.25299999999999995</v>
      </c>
    </row>
    <row r="1140" spans="1:26" x14ac:dyDescent="0.2">
      <c r="A1140" s="12" t="s">
        <v>51</v>
      </c>
      <c r="B1140" s="12">
        <v>3486.125</v>
      </c>
      <c r="C1140" s="12">
        <v>45.198</v>
      </c>
      <c r="D1140" s="12">
        <v>22.628</v>
      </c>
      <c r="E1140" s="12">
        <v>1.5</v>
      </c>
      <c r="F1140" s="12">
        <v>175.40299999999999</v>
      </c>
      <c r="G1140" s="12">
        <v>2.8530000000000002</v>
      </c>
      <c r="H1140" s="12">
        <v>4.1769999999999996</v>
      </c>
      <c r="I1140" s="12">
        <v>4.2629999999999999</v>
      </c>
      <c r="J1140" s="12">
        <v>574.447</v>
      </c>
      <c r="K1140" s="12">
        <v>666.46799999999996</v>
      </c>
      <c r="L1140" s="12">
        <v>0.01</v>
      </c>
      <c r="M1140" s="12">
        <v>1E-3</v>
      </c>
      <c r="N1140" s="12">
        <v>100</v>
      </c>
      <c r="O1140" s="12">
        <v>0.26800000000000002</v>
      </c>
      <c r="P1140" s="12">
        <v>0.57699999999999996</v>
      </c>
      <c r="Q1140" s="12">
        <v>0.27500000000000002</v>
      </c>
      <c r="R1140" s="12">
        <v>0.74</v>
      </c>
      <c r="S1140" s="12">
        <v>0.185</v>
      </c>
      <c r="U1140" s="12" t="s">
        <v>33</v>
      </c>
      <c r="V1140" s="12" t="s">
        <v>93</v>
      </c>
      <c r="W1140" s="12">
        <v>7</v>
      </c>
      <c r="Y1140" s="12">
        <f t="shared" si="33"/>
        <v>0.54300000000000004</v>
      </c>
      <c r="Z1140" s="12">
        <f t="shared" si="35"/>
        <v>-0.30899999999999994</v>
      </c>
    </row>
    <row r="1141" spans="1:26" x14ac:dyDescent="0.2">
      <c r="A1141" s="12" t="s">
        <v>51</v>
      </c>
      <c r="B1141" s="12">
        <v>3486.25</v>
      </c>
      <c r="C1141" s="12">
        <v>44.637</v>
      </c>
      <c r="D1141" s="12">
        <v>22.631</v>
      </c>
      <c r="E1141" s="12">
        <v>1.4339999999999999</v>
      </c>
      <c r="F1141" s="12">
        <v>173.16399999999999</v>
      </c>
      <c r="G1141" s="12">
        <v>2.84</v>
      </c>
      <c r="H1141" s="12">
        <v>4.4180000000000001</v>
      </c>
      <c r="I1141" s="12">
        <v>4.1230000000000002</v>
      </c>
      <c r="J1141" s="12">
        <v>609.85</v>
      </c>
      <c r="K1141" s="12">
        <v>709.53099999999995</v>
      </c>
      <c r="L1141" s="12">
        <v>0.01</v>
      </c>
      <c r="M1141" s="12">
        <v>1E-3</v>
      </c>
      <c r="N1141" s="12">
        <v>100</v>
      </c>
      <c r="O1141" s="12">
        <v>0.25700000000000001</v>
      </c>
      <c r="P1141" s="12">
        <v>0.52900000000000003</v>
      </c>
      <c r="Q1141" s="12">
        <v>0.248</v>
      </c>
      <c r="R1141" s="12">
        <v>0.71299999999999997</v>
      </c>
      <c r="S1141" s="12">
        <v>0.19900000000000001</v>
      </c>
      <c r="U1141" s="12" t="s">
        <v>33</v>
      </c>
      <c r="V1141" s="12" t="s">
        <v>93</v>
      </c>
      <c r="W1141" s="12">
        <v>7</v>
      </c>
      <c r="Y1141" s="12">
        <f t="shared" si="33"/>
        <v>0.505</v>
      </c>
      <c r="Z1141" s="12">
        <f t="shared" si="35"/>
        <v>-0.27200000000000002</v>
      </c>
    </row>
    <row r="1142" spans="1:26" x14ac:dyDescent="0.2">
      <c r="A1142" s="12" t="s">
        <v>51</v>
      </c>
      <c r="B1142" s="12">
        <v>3486.375</v>
      </c>
      <c r="C1142" s="12">
        <v>43.862000000000002</v>
      </c>
      <c r="D1142" s="12">
        <v>22.609000000000002</v>
      </c>
      <c r="E1142" s="12">
        <v>1.395</v>
      </c>
      <c r="F1142" s="12">
        <v>171.149</v>
      </c>
      <c r="G1142" s="12">
        <v>2.8180000000000001</v>
      </c>
      <c r="H1142" s="12">
        <v>4.9000000000000004</v>
      </c>
      <c r="I1142" s="12">
        <v>3.8530000000000002</v>
      </c>
      <c r="J1142" s="12">
        <v>599.33199999999999</v>
      </c>
      <c r="K1142" s="12">
        <v>699.11900000000003</v>
      </c>
      <c r="L1142" s="12">
        <v>0.01</v>
      </c>
      <c r="M1142" s="12">
        <v>1E-3</v>
      </c>
      <c r="N1142" s="12">
        <v>100</v>
      </c>
      <c r="O1142" s="12">
        <v>0.251</v>
      </c>
      <c r="P1142" s="12">
        <v>0.42499999999999999</v>
      </c>
      <c r="Q1142" s="12">
        <v>0.222</v>
      </c>
      <c r="R1142" s="12">
        <v>0.66700000000000004</v>
      </c>
      <c r="S1142" s="12">
        <v>0.22700000000000001</v>
      </c>
      <c r="U1142" s="12" t="s">
        <v>33</v>
      </c>
      <c r="V1142" s="12" t="s">
        <v>93</v>
      </c>
      <c r="W1142" s="12">
        <v>7</v>
      </c>
      <c r="Y1142" s="12">
        <f t="shared" si="33"/>
        <v>0.47299999999999998</v>
      </c>
      <c r="Z1142" s="12">
        <f t="shared" si="35"/>
        <v>-0.17399999999999999</v>
      </c>
    </row>
    <row r="1143" spans="1:26" x14ac:dyDescent="0.2">
      <c r="A1143" s="12" t="s">
        <v>47</v>
      </c>
      <c r="B1143" s="12">
        <v>3241.625</v>
      </c>
      <c r="C1143" s="12">
        <v>91.307000000000002</v>
      </c>
      <c r="D1143" s="12">
        <v>24.016999999999999</v>
      </c>
      <c r="E1143" s="12">
        <v>3.625</v>
      </c>
      <c r="F1143" s="12">
        <v>173.715</v>
      </c>
      <c r="G1143" s="12">
        <v>2.7130000000000001</v>
      </c>
      <c r="H1143" s="12">
        <v>10.651999999999999</v>
      </c>
      <c r="I1143" s="12">
        <v>3.609</v>
      </c>
      <c r="J1143" s="12">
        <v>120.678</v>
      </c>
      <c r="K1143" s="12">
        <v>152.92699999999999</v>
      </c>
      <c r="L1143" s="12">
        <v>0</v>
      </c>
      <c r="M1143" s="12">
        <v>0</v>
      </c>
      <c r="N1143" s="12">
        <v>100</v>
      </c>
      <c r="O1143" s="12">
        <v>0.41599999999999998</v>
      </c>
      <c r="P1143" s="12">
        <v>0.72099999999999997</v>
      </c>
      <c r="Q1143" s="12">
        <v>0.29699999999999999</v>
      </c>
      <c r="R1143" s="12">
        <v>0.67800000000000005</v>
      </c>
      <c r="S1143" s="12">
        <v>0.72199999999999998</v>
      </c>
      <c r="U1143" s="12" t="s">
        <v>22</v>
      </c>
      <c r="V1143" s="12" t="s">
        <v>93</v>
      </c>
      <c r="W1143" s="12">
        <v>1</v>
      </c>
      <c r="Y1143" s="12">
        <f t="shared" si="33"/>
        <v>0.71299999999999997</v>
      </c>
      <c r="Z1143" s="12">
        <f t="shared" ref="Z1143:Z1174" si="36">O1143-P1143</f>
        <v>-0.30499999999999999</v>
      </c>
    </row>
    <row r="1144" spans="1:26" x14ac:dyDescent="0.2">
      <c r="A1144" s="12" t="s">
        <v>47</v>
      </c>
      <c r="B1144" s="12">
        <v>3241.75</v>
      </c>
      <c r="C1144" s="12">
        <v>55.015999999999998</v>
      </c>
      <c r="D1144" s="12">
        <v>23.712</v>
      </c>
      <c r="E1144" s="12">
        <v>2.8420000000000001</v>
      </c>
      <c r="F1144" s="12">
        <v>167.12100000000001</v>
      </c>
      <c r="G1144" s="12">
        <v>2.7120000000000002</v>
      </c>
      <c r="H1144" s="12">
        <v>10.492000000000001</v>
      </c>
      <c r="I1144" s="12">
        <v>3.58</v>
      </c>
      <c r="J1144" s="12">
        <v>204.71</v>
      </c>
      <c r="K1144" s="12">
        <v>251.768</v>
      </c>
      <c r="L1144" s="12">
        <v>0.98099999999999998</v>
      </c>
      <c r="M1144" s="12">
        <v>0.05</v>
      </c>
      <c r="N1144" s="12">
        <v>100</v>
      </c>
      <c r="O1144" s="12">
        <v>0.20799999999999999</v>
      </c>
      <c r="P1144" s="12">
        <v>0.68899999999999995</v>
      </c>
      <c r="Q1144" s="12">
        <v>0.19700000000000001</v>
      </c>
      <c r="R1144" s="12">
        <v>0.67600000000000005</v>
      </c>
      <c r="S1144" s="12">
        <v>0.69899999999999995</v>
      </c>
      <c r="U1144" s="12" t="s">
        <v>22</v>
      </c>
      <c r="V1144" s="12" t="s">
        <v>93</v>
      </c>
      <c r="W1144" s="12">
        <v>1</v>
      </c>
      <c r="Y1144" s="12">
        <f t="shared" si="33"/>
        <v>0.40500000000000003</v>
      </c>
      <c r="Z1144" s="12">
        <f t="shared" si="36"/>
        <v>-0.48099999999999998</v>
      </c>
    </row>
    <row r="1145" spans="1:26" x14ac:dyDescent="0.2">
      <c r="A1145" s="12" t="s">
        <v>47</v>
      </c>
      <c r="B1145" s="12">
        <v>3241.875</v>
      </c>
      <c r="C1145" s="12">
        <v>36.372999999999998</v>
      </c>
      <c r="D1145" s="12">
        <v>23.376999999999999</v>
      </c>
      <c r="E1145" s="12">
        <v>2.12</v>
      </c>
      <c r="F1145" s="12">
        <v>162.77699999999999</v>
      </c>
      <c r="G1145" s="12">
        <v>2.7130000000000001</v>
      </c>
      <c r="H1145" s="12">
        <v>10.398999999999999</v>
      </c>
      <c r="I1145" s="12">
        <v>3.5390000000000001</v>
      </c>
      <c r="J1145" s="12">
        <v>246.68299999999999</v>
      </c>
      <c r="K1145" s="12">
        <v>295.94400000000002</v>
      </c>
      <c r="L1145" s="12">
        <v>2.3620000000000001</v>
      </c>
      <c r="M1145" s="12">
        <v>0.1</v>
      </c>
      <c r="N1145" s="12">
        <v>100</v>
      </c>
      <c r="O1145" s="12">
        <v>0.10199999999999999</v>
      </c>
      <c r="P1145" s="12">
        <v>0.64500000000000002</v>
      </c>
      <c r="Q1145" s="12">
        <v>0.13300000000000001</v>
      </c>
      <c r="R1145" s="12">
        <v>0.68</v>
      </c>
      <c r="S1145" s="12">
        <v>0.68600000000000005</v>
      </c>
      <c r="T1145" s="12" t="s">
        <v>23</v>
      </c>
      <c r="U1145" s="12" t="s">
        <v>22</v>
      </c>
      <c r="V1145" s="12" t="s">
        <v>93</v>
      </c>
      <c r="W1145" s="12">
        <v>1</v>
      </c>
      <c r="Y1145" s="12">
        <f t="shared" si="33"/>
        <v>0.23499999999999999</v>
      </c>
      <c r="Z1145" s="12">
        <f t="shared" si="36"/>
        <v>-0.54300000000000004</v>
      </c>
    </row>
    <row r="1146" spans="1:26" x14ac:dyDescent="0.2">
      <c r="A1146" s="12" t="s">
        <v>47</v>
      </c>
      <c r="B1146" s="12">
        <v>3242</v>
      </c>
      <c r="C1146" s="12">
        <v>27.094999999999999</v>
      </c>
      <c r="D1146" s="12">
        <v>23.178999999999998</v>
      </c>
      <c r="E1146" s="12">
        <v>1.7210000000000001</v>
      </c>
      <c r="F1146" s="12">
        <v>160.495</v>
      </c>
      <c r="G1146" s="12">
        <v>2.7160000000000002</v>
      </c>
      <c r="H1146" s="12">
        <v>10.384</v>
      </c>
      <c r="I1146" s="12">
        <v>3.4929999999999999</v>
      </c>
      <c r="J1146" s="12">
        <v>254.684</v>
      </c>
      <c r="K1146" s="12">
        <v>303.63600000000002</v>
      </c>
      <c r="L1146" s="12">
        <v>2.7829999999999999</v>
      </c>
      <c r="M1146" s="12">
        <v>0.1</v>
      </c>
      <c r="N1146" s="12">
        <v>100</v>
      </c>
      <c r="O1146" s="12">
        <v>4.9000000000000002E-2</v>
      </c>
      <c r="P1146" s="12">
        <v>0.59799999999999998</v>
      </c>
      <c r="Q1146" s="12">
        <v>0.10100000000000001</v>
      </c>
      <c r="R1146" s="12">
        <v>0.69</v>
      </c>
      <c r="S1146" s="12">
        <v>0.68500000000000005</v>
      </c>
      <c r="T1146" s="12" t="s">
        <v>23</v>
      </c>
      <c r="U1146" s="12" t="s">
        <v>22</v>
      </c>
      <c r="V1146" s="12" t="s">
        <v>93</v>
      </c>
      <c r="W1146" s="12">
        <v>1</v>
      </c>
      <c r="Y1146" s="12">
        <f t="shared" si="33"/>
        <v>0.15000000000000002</v>
      </c>
      <c r="Z1146" s="12">
        <f t="shared" si="36"/>
        <v>-0.54899999999999993</v>
      </c>
    </row>
    <row r="1147" spans="1:26" x14ac:dyDescent="0.2">
      <c r="A1147" s="12" t="s">
        <v>47</v>
      </c>
      <c r="B1147" s="12">
        <v>3242.125</v>
      </c>
      <c r="C1147" s="12">
        <v>22.623000000000001</v>
      </c>
      <c r="D1147" s="12">
        <v>23.122</v>
      </c>
      <c r="E1147" s="12">
        <v>1.3169999999999999</v>
      </c>
      <c r="F1147" s="12">
        <v>159.857</v>
      </c>
      <c r="G1147" s="12">
        <v>2.72</v>
      </c>
      <c r="H1147" s="12">
        <v>10.43</v>
      </c>
      <c r="I1147" s="12">
        <v>3.4470000000000001</v>
      </c>
      <c r="J1147" s="12">
        <v>247.96199999999999</v>
      </c>
      <c r="K1147" s="12">
        <v>292.33600000000001</v>
      </c>
      <c r="L1147" s="12">
        <v>2.923</v>
      </c>
      <c r="M1147" s="12">
        <v>0.1</v>
      </c>
      <c r="N1147" s="12">
        <v>100</v>
      </c>
      <c r="O1147" s="12">
        <v>2.1999999999999999E-2</v>
      </c>
      <c r="P1147" s="12">
        <v>0.55100000000000005</v>
      </c>
      <c r="Q1147" s="12">
        <v>9.2999999999999999E-2</v>
      </c>
      <c r="R1147" s="12">
        <v>0.70299999999999996</v>
      </c>
      <c r="S1147" s="12">
        <v>0.69199999999999995</v>
      </c>
      <c r="T1147" s="12" t="s">
        <v>23</v>
      </c>
      <c r="U1147" s="12" t="s">
        <v>22</v>
      </c>
      <c r="V1147" s="12" t="s">
        <v>93</v>
      </c>
      <c r="W1147" s="12">
        <v>1</v>
      </c>
      <c r="Y1147" s="12">
        <f t="shared" si="33"/>
        <v>0.11499999999999999</v>
      </c>
      <c r="Z1147" s="12">
        <f t="shared" si="36"/>
        <v>-0.52900000000000003</v>
      </c>
    </row>
    <row r="1148" spans="1:26" x14ac:dyDescent="0.2">
      <c r="A1148" s="12" t="s">
        <v>47</v>
      </c>
      <c r="B1148" s="12">
        <v>3242.25</v>
      </c>
      <c r="C1148" s="12">
        <v>19.602</v>
      </c>
      <c r="D1148" s="12">
        <v>23.164000000000001</v>
      </c>
      <c r="E1148" s="12">
        <v>0.96899999999999997</v>
      </c>
      <c r="F1148" s="12">
        <v>160.01400000000001</v>
      </c>
      <c r="G1148" s="12">
        <v>2.726</v>
      </c>
      <c r="H1148" s="12">
        <v>10.442</v>
      </c>
      <c r="I1148" s="12">
        <v>3.411</v>
      </c>
      <c r="J1148" s="12">
        <v>226.87200000000001</v>
      </c>
      <c r="K1148" s="12">
        <v>263.71899999999999</v>
      </c>
      <c r="L1148" s="12">
        <v>2.956</v>
      </c>
      <c r="M1148" s="12">
        <v>0.1</v>
      </c>
      <c r="N1148" s="12">
        <v>100</v>
      </c>
      <c r="O1148" s="12">
        <v>6.0000000000000001E-3</v>
      </c>
      <c r="P1148" s="12">
        <v>0.51700000000000002</v>
      </c>
      <c r="Q1148" s="12">
        <v>9.6000000000000002E-2</v>
      </c>
      <c r="R1148" s="12">
        <v>0.72</v>
      </c>
      <c r="S1148" s="12">
        <v>0.69199999999999995</v>
      </c>
      <c r="T1148" s="12" t="s">
        <v>23</v>
      </c>
      <c r="U1148" s="12" t="s">
        <v>22</v>
      </c>
      <c r="V1148" s="12" t="s">
        <v>93</v>
      </c>
      <c r="W1148" s="12">
        <v>1</v>
      </c>
      <c r="Y1148" s="12">
        <f t="shared" si="33"/>
        <v>0.10200000000000001</v>
      </c>
      <c r="Z1148" s="12">
        <f t="shared" si="36"/>
        <v>-0.51100000000000001</v>
      </c>
    </row>
    <row r="1149" spans="1:26" x14ac:dyDescent="0.2">
      <c r="A1149" s="12" t="s">
        <v>47</v>
      </c>
      <c r="B1149" s="12">
        <v>3242.375</v>
      </c>
      <c r="C1149" s="12">
        <v>18.631</v>
      </c>
      <c r="D1149" s="12">
        <v>23.306999999999999</v>
      </c>
      <c r="E1149" s="12">
        <v>0.93100000000000005</v>
      </c>
      <c r="F1149" s="12">
        <v>160.517</v>
      </c>
      <c r="G1149" s="12">
        <v>2.73</v>
      </c>
      <c r="H1149" s="12">
        <v>10.385</v>
      </c>
      <c r="I1149" s="12">
        <v>3.3940000000000001</v>
      </c>
      <c r="J1149" s="12">
        <v>200.18799999999999</v>
      </c>
      <c r="K1149" s="12">
        <v>230.01</v>
      </c>
      <c r="L1149" s="12">
        <v>2.8959999999999999</v>
      </c>
      <c r="M1149" s="12">
        <v>0.1</v>
      </c>
      <c r="N1149" s="12">
        <v>100</v>
      </c>
      <c r="O1149" s="12">
        <v>0</v>
      </c>
      <c r="P1149" s="12">
        <v>0.504</v>
      </c>
      <c r="Q1149" s="12">
        <v>0.104</v>
      </c>
      <c r="R1149" s="12">
        <v>0.72899999999999998</v>
      </c>
      <c r="S1149" s="12">
        <v>0.68200000000000005</v>
      </c>
      <c r="T1149" s="12" t="s">
        <v>23</v>
      </c>
      <c r="U1149" s="12" t="s">
        <v>22</v>
      </c>
      <c r="V1149" s="12" t="s">
        <v>93</v>
      </c>
      <c r="W1149" s="12">
        <v>1</v>
      </c>
      <c r="Y1149" s="12">
        <f t="shared" si="33"/>
        <v>0.104</v>
      </c>
      <c r="Z1149" s="12">
        <f t="shared" si="36"/>
        <v>-0.504</v>
      </c>
    </row>
    <row r="1150" spans="1:26" x14ac:dyDescent="0.2">
      <c r="A1150" s="12" t="s">
        <v>47</v>
      </c>
      <c r="B1150" s="12">
        <v>3242.5</v>
      </c>
      <c r="C1150" s="12">
        <v>18.552</v>
      </c>
      <c r="D1150" s="12">
        <v>23.488</v>
      </c>
      <c r="E1150" s="12">
        <v>1.05</v>
      </c>
      <c r="F1150" s="12">
        <v>160.88800000000001</v>
      </c>
      <c r="G1150" s="12">
        <v>2.7269999999999999</v>
      </c>
      <c r="H1150" s="12">
        <v>10.291</v>
      </c>
      <c r="I1150" s="12">
        <v>3.4039999999999999</v>
      </c>
      <c r="J1150" s="12">
        <v>173.262</v>
      </c>
      <c r="K1150" s="12">
        <v>197.88900000000001</v>
      </c>
      <c r="L1150" s="12">
        <v>2.9180000000000001</v>
      </c>
      <c r="M1150" s="12">
        <v>0.1</v>
      </c>
      <c r="N1150" s="12">
        <v>100</v>
      </c>
      <c r="O1150" s="12">
        <v>2E-3</v>
      </c>
      <c r="P1150" s="12">
        <v>0.52</v>
      </c>
      <c r="Q1150" s="12">
        <v>0.108</v>
      </c>
      <c r="R1150" s="12">
        <v>0.71299999999999997</v>
      </c>
      <c r="S1150" s="12">
        <v>0.66700000000000004</v>
      </c>
      <c r="T1150" s="12" t="s">
        <v>23</v>
      </c>
      <c r="U1150" s="12" t="s">
        <v>22</v>
      </c>
      <c r="V1150" s="12" t="s">
        <v>93</v>
      </c>
      <c r="W1150" s="12">
        <v>1</v>
      </c>
      <c r="Y1150" s="12">
        <f t="shared" si="33"/>
        <v>0.11</v>
      </c>
      <c r="Z1150" s="12">
        <f t="shared" si="36"/>
        <v>-0.51800000000000002</v>
      </c>
    </row>
    <row r="1151" spans="1:26" x14ac:dyDescent="0.2">
      <c r="A1151" s="12" t="s">
        <v>47</v>
      </c>
      <c r="B1151" s="12">
        <v>3242.625</v>
      </c>
      <c r="C1151" s="12">
        <v>20.585999999999999</v>
      </c>
      <c r="D1151" s="12">
        <v>23.533999999999999</v>
      </c>
      <c r="E1151" s="12">
        <v>1.1539999999999999</v>
      </c>
      <c r="F1151" s="12">
        <v>160.53899999999999</v>
      </c>
      <c r="G1151" s="12">
        <v>2.7109999999999999</v>
      </c>
      <c r="H1151" s="12">
        <v>10.199999999999999</v>
      </c>
      <c r="I1151" s="12">
        <v>3.4470000000000001</v>
      </c>
      <c r="J1151" s="12">
        <v>153.02199999999999</v>
      </c>
      <c r="K1151" s="12">
        <v>173.25800000000001</v>
      </c>
      <c r="L1151" s="12">
        <v>3.0920000000000001</v>
      </c>
      <c r="M1151" s="12">
        <v>0.1</v>
      </c>
      <c r="N1151" s="12">
        <v>100</v>
      </c>
      <c r="O1151" s="12">
        <v>1.4E-2</v>
      </c>
      <c r="P1151" s="12">
        <v>0.56799999999999995</v>
      </c>
      <c r="Q1151" s="12">
        <v>0.10100000000000001</v>
      </c>
      <c r="R1151" s="12">
        <v>0.66300000000000003</v>
      </c>
      <c r="S1151" s="12">
        <v>0.65300000000000002</v>
      </c>
      <c r="T1151" s="12" t="s">
        <v>23</v>
      </c>
      <c r="U1151" s="12" t="s">
        <v>22</v>
      </c>
      <c r="V1151" s="12" t="s">
        <v>93</v>
      </c>
      <c r="W1151" s="12">
        <v>1</v>
      </c>
      <c r="Y1151" s="12">
        <f t="shared" si="33"/>
        <v>0.115</v>
      </c>
      <c r="Z1151" s="12">
        <f t="shared" si="36"/>
        <v>-0.55399999999999994</v>
      </c>
    </row>
    <row r="1152" spans="1:26" x14ac:dyDescent="0.2">
      <c r="A1152" s="12" t="s">
        <v>47</v>
      </c>
      <c r="B1152" s="12">
        <v>3242.75</v>
      </c>
      <c r="C1152" s="12">
        <v>22.379000000000001</v>
      </c>
      <c r="D1152" s="12">
        <v>23.425000000000001</v>
      </c>
      <c r="E1152" s="12">
        <v>1.2470000000000001</v>
      </c>
      <c r="F1152" s="12">
        <v>159.49299999999999</v>
      </c>
      <c r="G1152" s="12">
        <v>2.69</v>
      </c>
      <c r="H1152" s="12">
        <v>10.098000000000001</v>
      </c>
      <c r="I1152" s="12">
        <v>3.5129999999999999</v>
      </c>
      <c r="J1152" s="12">
        <v>139.78700000000001</v>
      </c>
      <c r="K1152" s="12">
        <v>157.36500000000001</v>
      </c>
      <c r="L1152" s="12">
        <v>3.3929999999999998</v>
      </c>
      <c r="M1152" s="12">
        <v>0.1</v>
      </c>
      <c r="N1152" s="12">
        <v>100</v>
      </c>
      <c r="O1152" s="12">
        <v>2.4E-2</v>
      </c>
      <c r="P1152" s="12">
        <v>0.63800000000000001</v>
      </c>
      <c r="Q1152" s="12">
        <v>8.4000000000000005E-2</v>
      </c>
      <c r="R1152" s="12">
        <v>0.59899999999999998</v>
      </c>
      <c r="S1152" s="12">
        <v>0.63800000000000001</v>
      </c>
      <c r="T1152" s="12" t="s">
        <v>23</v>
      </c>
      <c r="U1152" s="12" t="s">
        <v>22</v>
      </c>
      <c r="V1152" s="12" t="s">
        <v>93</v>
      </c>
      <c r="W1152" s="12">
        <v>1</v>
      </c>
      <c r="Y1152" s="12">
        <f t="shared" si="33"/>
        <v>0.10800000000000001</v>
      </c>
      <c r="Z1152" s="12">
        <f t="shared" si="36"/>
        <v>-0.61399999999999999</v>
      </c>
    </row>
    <row r="1153" spans="1:26" x14ac:dyDescent="0.2">
      <c r="A1153" s="12" t="s">
        <v>47</v>
      </c>
      <c r="B1153" s="12">
        <v>3242.875</v>
      </c>
      <c r="C1153" s="12">
        <v>22.46</v>
      </c>
      <c r="D1153" s="12">
        <v>23.283000000000001</v>
      </c>
      <c r="E1153" s="12">
        <v>1.2969999999999999</v>
      </c>
      <c r="F1153" s="12">
        <v>158.25800000000001</v>
      </c>
      <c r="G1153" s="12">
        <v>2.669</v>
      </c>
      <c r="H1153" s="12">
        <v>10.047000000000001</v>
      </c>
      <c r="I1153" s="12">
        <v>3.5870000000000002</v>
      </c>
      <c r="J1153" s="12">
        <v>130.34399999999999</v>
      </c>
      <c r="K1153" s="12">
        <v>145.73699999999999</v>
      </c>
      <c r="L1153" s="12">
        <v>3.8170000000000002</v>
      </c>
      <c r="M1153" s="12">
        <v>0.1</v>
      </c>
      <c r="N1153" s="12">
        <v>100</v>
      </c>
      <c r="O1153" s="12">
        <v>2.5000000000000001E-2</v>
      </c>
      <c r="P1153" s="12">
        <v>0.71399999999999997</v>
      </c>
      <c r="Q1153" s="12">
        <v>6.6000000000000003E-2</v>
      </c>
      <c r="R1153" s="12">
        <v>0.53700000000000003</v>
      </c>
      <c r="S1153" s="12">
        <v>0.63300000000000001</v>
      </c>
      <c r="T1153" s="12" t="s">
        <v>23</v>
      </c>
      <c r="U1153" s="12" t="s">
        <v>22</v>
      </c>
      <c r="V1153" s="12" t="s">
        <v>93</v>
      </c>
      <c r="W1153" s="12">
        <v>1</v>
      </c>
      <c r="Y1153" s="12">
        <f t="shared" si="33"/>
        <v>9.0999999999999998E-2</v>
      </c>
      <c r="Z1153" s="12">
        <f t="shared" si="36"/>
        <v>-0.68899999999999995</v>
      </c>
    </row>
    <row r="1154" spans="1:26" x14ac:dyDescent="0.2">
      <c r="A1154" s="12" t="s">
        <v>47</v>
      </c>
      <c r="B1154" s="12">
        <v>3243</v>
      </c>
      <c r="C1154" s="12">
        <v>22.698</v>
      </c>
      <c r="D1154" s="12">
        <v>23.206</v>
      </c>
      <c r="E1154" s="12">
        <v>1.24</v>
      </c>
      <c r="F1154" s="12">
        <v>157.75800000000001</v>
      </c>
      <c r="G1154" s="12">
        <v>2.6520000000000001</v>
      </c>
      <c r="H1154" s="12">
        <v>10.116</v>
      </c>
      <c r="I1154" s="12">
        <v>3.65</v>
      </c>
      <c r="J1154" s="12">
        <v>122.899</v>
      </c>
      <c r="K1154" s="12">
        <v>135.399</v>
      </c>
      <c r="L1154" s="12">
        <v>4.234</v>
      </c>
      <c r="M1154" s="12">
        <v>0.1</v>
      </c>
      <c r="N1154" s="12">
        <v>100</v>
      </c>
      <c r="O1154" s="12">
        <v>2.5999999999999999E-2</v>
      </c>
      <c r="P1154" s="12">
        <v>0.77500000000000002</v>
      </c>
      <c r="Q1154" s="12">
        <v>6.2E-2</v>
      </c>
      <c r="R1154" s="12">
        <v>0.48899999999999999</v>
      </c>
      <c r="S1154" s="12">
        <v>0.64700000000000002</v>
      </c>
      <c r="T1154" s="12" t="s">
        <v>23</v>
      </c>
      <c r="U1154" s="12" t="s">
        <v>22</v>
      </c>
      <c r="V1154" s="12" t="s">
        <v>93</v>
      </c>
      <c r="W1154" s="12">
        <v>1</v>
      </c>
      <c r="Y1154" s="12">
        <f t="shared" si="33"/>
        <v>8.7999999999999995E-2</v>
      </c>
      <c r="Z1154" s="12">
        <f t="shared" si="36"/>
        <v>-0.749</v>
      </c>
    </row>
    <row r="1155" spans="1:26" x14ac:dyDescent="0.2">
      <c r="A1155" s="12" t="s">
        <v>47</v>
      </c>
      <c r="B1155" s="12">
        <v>3243.125</v>
      </c>
      <c r="C1155" s="12">
        <v>23.137</v>
      </c>
      <c r="D1155" s="12">
        <v>23.228999999999999</v>
      </c>
      <c r="E1155" s="12">
        <v>1.3280000000000001</v>
      </c>
      <c r="F1155" s="12">
        <v>159.047</v>
      </c>
      <c r="G1155" s="12">
        <v>2.641</v>
      </c>
      <c r="H1155" s="12">
        <v>10.302</v>
      </c>
      <c r="I1155" s="12">
        <v>3.6859999999999999</v>
      </c>
      <c r="J1155" s="12">
        <v>117.92700000000001</v>
      </c>
      <c r="K1155" s="12">
        <v>127.694</v>
      </c>
      <c r="L1155" s="12">
        <v>4.53</v>
      </c>
      <c r="M1155" s="12">
        <v>0.1</v>
      </c>
      <c r="N1155" s="12">
        <v>100</v>
      </c>
      <c r="O1155" s="12">
        <v>0.03</v>
      </c>
      <c r="P1155" s="12">
        <v>0.80700000000000005</v>
      </c>
      <c r="Q1155" s="12">
        <v>8.5999999999999993E-2</v>
      </c>
      <c r="R1155" s="12">
        <v>0.46</v>
      </c>
      <c r="S1155" s="12">
        <v>0.67500000000000004</v>
      </c>
      <c r="T1155" s="12" t="s">
        <v>23</v>
      </c>
      <c r="U1155" s="12" t="s">
        <v>22</v>
      </c>
      <c r="V1155" s="12" t="s">
        <v>93</v>
      </c>
      <c r="W1155" s="12">
        <v>1</v>
      </c>
      <c r="Y1155" s="12">
        <f t="shared" ref="Y1155:Y1218" si="37">O1155+Q1155</f>
        <v>0.11599999999999999</v>
      </c>
      <c r="Z1155" s="12">
        <f t="shared" si="36"/>
        <v>-0.77700000000000002</v>
      </c>
    </row>
    <row r="1156" spans="1:26" x14ac:dyDescent="0.2">
      <c r="A1156" s="12" t="s">
        <v>47</v>
      </c>
      <c r="B1156" s="12">
        <v>3243.25</v>
      </c>
      <c r="C1156" s="12">
        <v>24.341999999999999</v>
      </c>
      <c r="D1156" s="12">
        <v>23.286000000000001</v>
      </c>
      <c r="E1156" s="12">
        <v>1.5229999999999999</v>
      </c>
      <c r="F1156" s="12">
        <v>161.625</v>
      </c>
      <c r="G1156" s="12">
        <v>2.6389999999999998</v>
      </c>
      <c r="H1156" s="12">
        <v>10.459</v>
      </c>
      <c r="I1156" s="12">
        <v>3.6920000000000002</v>
      </c>
      <c r="J1156" s="12">
        <v>113.693</v>
      </c>
      <c r="K1156" s="12">
        <v>121.614</v>
      </c>
      <c r="L1156" s="12">
        <v>4.6020000000000003</v>
      </c>
      <c r="M1156" s="12">
        <v>0.1</v>
      </c>
      <c r="N1156" s="12">
        <v>100</v>
      </c>
      <c r="O1156" s="12">
        <v>3.5999999999999997E-2</v>
      </c>
      <c r="P1156" s="12">
        <v>0.80900000000000005</v>
      </c>
      <c r="Q1156" s="12">
        <v>0.128</v>
      </c>
      <c r="R1156" s="12">
        <v>0.45700000000000002</v>
      </c>
      <c r="S1156" s="12">
        <v>0.69799999999999995</v>
      </c>
      <c r="T1156" s="12" t="s">
        <v>23</v>
      </c>
      <c r="U1156" s="12" t="s">
        <v>22</v>
      </c>
      <c r="V1156" s="12" t="s">
        <v>93</v>
      </c>
      <c r="W1156" s="12">
        <v>1</v>
      </c>
      <c r="Y1156" s="12">
        <f t="shared" si="37"/>
        <v>0.16400000000000001</v>
      </c>
      <c r="Z1156" s="12">
        <f t="shared" si="36"/>
        <v>-0.77300000000000002</v>
      </c>
    </row>
    <row r="1157" spans="1:26" x14ac:dyDescent="0.2">
      <c r="A1157" s="12" t="s">
        <v>47</v>
      </c>
      <c r="B1157" s="12">
        <v>3243.375</v>
      </c>
      <c r="C1157" s="12">
        <v>24.024999999999999</v>
      </c>
      <c r="D1157" s="12">
        <v>23.335999999999999</v>
      </c>
      <c r="E1157" s="12">
        <v>1.645</v>
      </c>
      <c r="F1157" s="12">
        <v>164.36699999999999</v>
      </c>
      <c r="G1157" s="12">
        <v>2.6440000000000001</v>
      </c>
      <c r="H1157" s="12">
        <v>10.53</v>
      </c>
      <c r="I1157" s="12">
        <v>3.6720000000000002</v>
      </c>
      <c r="J1157" s="12">
        <v>110.437</v>
      </c>
      <c r="K1157" s="12">
        <v>117.012</v>
      </c>
      <c r="L1157" s="12">
        <v>4.5549999999999997</v>
      </c>
      <c r="M1157" s="12">
        <v>0.1</v>
      </c>
      <c r="N1157" s="12">
        <v>100</v>
      </c>
      <c r="O1157" s="12">
        <v>3.3000000000000002E-2</v>
      </c>
      <c r="P1157" s="12">
        <v>0.78500000000000003</v>
      </c>
      <c r="Q1157" s="12">
        <v>0.16900000000000001</v>
      </c>
      <c r="R1157" s="12">
        <v>0.47299999999999998</v>
      </c>
      <c r="S1157" s="12">
        <v>0.70799999999999996</v>
      </c>
      <c r="T1157" s="12" t="s">
        <v>23</v>
      </c>
      <c r="U1157" s="12" t="s">
        <v>22</v>
      </c>
      <c r="V1157" s="12" t="s">
        <v>93</v>
      </c>
      <c r="W1157" s="12">
        <v>1</v>
      </c>
      <c r="Y1157" s="12">
        <f t="shared" si="37"/>
        <v>0.20200000000000001</v>
      </c>
      <c r="Z1157" s="12">
        <f t="shared" si="36"/>
        <v>-0.752</v>
      </c>
    </row>
    <row r="1158" spans="1:26" x14ac:dyDescent="0.2">
      <c r="A1158" s="12" t="s">
        <v>47</v>
      </c>
      <c r="B1158" s="12">
        <v>3243.5</v>
      </c>
      <c r="C1158" s="12">
        <v>22.913</v>
      </c>
      <c r="D1158" s="12">
        <v>23.341000000000001</v>
      </c>
      <c r="E1158" s="12">
        <v>1.6539999999999999</v>
      </c>
      <c r="F1158" s="12">
        <v>166.05500000000001</v>
      </c>
      <c r="G1158" s="12">
        <v>2.6509999999999998</v>
      </c>
      <c r="H1158" s="12">
        <v>10.582000000000001</v>
      </c>
      <c r="I1158" s="12">
        <v>3.6349999999999998</v>
      </c>
      <c r="J1158" s="12">
        <v>106.952</v>
      </c>
      <c r="K1158" s="12">
        <v>112.20399999999999</v>
      </c>
      <c r="L1158" s="12">
        <v>4.4930000000000003</v>
      </c>
      <c r="M1158" s="12">
        <v>0.1</v>
      </c>
      <c r="N1158" s="12">
        <v>100</v>
      </c>
      <c r="O1158" s="12">
        <v>2.5000000000000001E-2</v>
      </c>
      <c r="P1158" s="12">
        <v>0.746</v>
      </c>
      <c r="Q1158" s="12">
        <v>0.191</v>
      </c>
      <c r="R1158" s="12">
        <v>0.49099999999999999</v>
      </c>
      <c r="S1158" s="12">
        <v>0.71699999999999997</v>
      </c>
      <c r="T1158" s="12" t="s">
        <v>23</v>
      </c>
      <c r="U1158" s="12" t="s">
        <v>22</v>
      </c>
      <c r="V1158" s="12" t="s">
        <v>93</v>
      </c>
      <c r="W1158" s="12">
        <v>1</v>
      </c>
      <c r="Y1158" s="12">
        <f t="shared" si="37"/>
        <v>0.216</v>
      </c>
      <c r="Z1158" s="12">
        <f t="shared" si="36"/>
        <v>-0.72099999999999997</v>
      </c>
    </row>
    <row r="1159" spans="1:26" x14ac:dyDescent="0.2">
      <c r="A1159" s="12" t="s">
        <v>47</v>
      </c>
      <c r="B1159" s="12">
        <v>3243.625</v>
      </c>
      <c r="C1159" s="12">
        <v>21.126999999999999</v>
      </c>
      <c r="D1159" s="12">
        <v>23.305</v>
      </c>
      <c r="E1159" s="12">
        <v>1.4890000000000001</v>
      </c>
      <c r="F1159" s="12">
        <v>165.99100000000001</v>
      </c>
      <c r="G1159" s="12">
        <v>2.6520000000000001</v>
      </c>
      <c r="H1159" s="12">
        <v>10.67</v>
      </c>
      <c r="I1159" s="12">
        <v>3.59</v>
      </c>
      <c r="J1159" s="12">
        <v>102.411</v>
      </c>
      <c r="K1159" s="12">
        <v>106.28400000000001</v>
      </c>
      <c r="L1159" s="12">
        <v>4.6040000000000001</v>
      </c>
      <c r="M1159" s="12">
        <v>0.1</v>
      </c>
      <c r="N1159" s="12">
        <v>100</v>
      </c>
      <c r="O1159" s="12">
        <v>1.7999999999999999E-2</v>
      </c>
      <c r="P1159" s="12">
        <v>0.7</v>
      </c>
      <c r="Q1159" s="12">
        <v>0.188</v>
      </c>
      <c r="R1159" s="12">
        <v>0.49299999999999999</v>
      </c>
      <c r="S1159" s="12">
        <v>0.73199999999999998</v>
      </c>
      <c r="T1159" s="12" t="s">
        <v>23</v>
      </c>
      <c r="U1159" s="12" t="s">
        <v>22</v>
      </c>
      <c r="V1159" s="12" t="s">
        <v>93</v>
      </c>
      <c r="W1159" s="12">
        <v>1</v>
      </c>
      <c r="Y1159" s="12">
        <f t="shared" si="37"/>
        <v>0.20599999999999999</v>
      </c>
      <c r="Z1159" s="12">
        <f t="shared" si="36"/>
        <v>-0.68199999999999994</v>
      </c>
    </row>
    <row r="1160" spans="1:26" x14ac:dyDescent="0.2">
      <c r="A1160" s="12" t="s">
        <v>47</v>
      </c>
      <c r="B1160" s="12">
        <v>3243.75</v>
      </c>
      <c r="C1160" s="12">
        <v>22.817</v>
      </c>
      <c r="D1160" s="12">
        <v>23.292000000000002</v>
      </c>
      <c r="E1160" s="12">
        <v>1.405</v>
      </c>
      <c r="F1160" s="12">
        <v>164.97399999999999</v>
      </c>
      <c r="G1160" s="12">
        <v>2.65</v>
      </c>
      <c r="H1160" s="12">
        <v>10.786</v>
      </c>
      <c r="I1160" s="12">
        <v>3.55</v>
      </c>
      <c r="J1160" s="12">
        <v>97.653999999999996</v>
      </c>
      <c r="K1160" s="12">
        <v>100.405</v>
      </c>
      <c r="L1160" s="12">
        <v>4.6219999999999999</v>
      </c>
      <c r="M1160" s="12">
        <v>0.1</v>
      </c>
      <c r="N1160" s="12">
        <v>100</v>
      </c>
      <c r="O1160" s="12">
        <v>2.9000000000000001E-2</v>
      </c>
      <c r="P1160" s="12">
        <v>0.66</v>
      </c>
      <c r="Q1160" s="12">
        <v>0.17100000000000001</v>
      </c>
      <c r="R1160" s="12">
        <v>0.48699999999999999</v>
      </c>
      <c r="S1160" s="12">
        <v>0.752</v>
      </c>
      <c r="T1160" s="12" t="s">
        <v>23</v>
      </c>
      <c r="U1160" s="12" t="s">
        <v>22</v>
      </c>
      <c r="V1160" s="12" t="s">
        <v>93</v>
      </c>
      <c r="W1160" s="12">
        <v>1</v>
      </c>
      <c r="Y1160" s="12">
        <f t="shared" si="37"/>
        <v>0.2</v>
      </c>
      <c r="Z1160" s="12">
        <f t="shared" si="36"/>
        <v>-0.63100000000000001</v>
      </c>
    </row>
    <row r="1161" spans="1:26" x14ac:dyDescent="0.2">
      <c r="A1161" s="12" t="s">
        <v>47</v>
      </c>
      <c r="B1161" s="12">
        <v>3243.875</v>
      </c>
      <c r="C1161" s="12">
        <v>24.97</v>
      </c>
      <c r="D1161" s="12">
        <v>23.306000000000001</v>
      </c>
      <c r="E1161" s="12">
        <v>1.4279999999999999</v>
      </c>
      <c r="F1161" s="12">
        <v>163.636</v>
      </c>
      <c r="G1161" s="12">
        <v>2.649</v>
      </c>
      <c r="H1161" s="12">
        <v>10.967000000000001</v>
      </c>
      <c r="I1161" s="12">
        <v>3.5230000000000001</v>
      </c>
      <c r="J1161" s="12">
        <v>93.613</v>
      </c>
      <c r="K1161" s="12">
        <v>95.468000000000004</v>
      </c>
      <c r="L1161" s="12">
        <v>4.6109999999999998</v>
      </c>
      <c r="M1161" s="12">
        <v>0.1</v>
      </c>
      <c r="N1161" s="12">
        <v>100</v>
      </c>
      <c r="O1161" s="12">
        <v>0.04</v>
      </c>
      <c r="P1161" s="12">
        <v>0.63500000000000001</v>
      </c>
      <c r="Q1161" s="12">
        <v>0.14899999999999999</v>
      </c>
      <c r="R1161" s="12">
        <v>0.48599999999999999</v>
      </c>
      <c r="S1161" s="12">
        <v>0.78300000000000003</v>
      </c>
      <c r="T1161" s="12" t="s">
        <v>23</v>
      </c>
      <c r="U1161" s="12" t="s">
        <v>22</v>
      </c>
      <c r="V1161" s="12" t="s">
        <v>93</v>
      </c>
      <c r="W1161" s="12">
        <v>1</v>
      </c>
      <c r="Y1161" s="12">
        <f t="shared" si="37"/>
        <v>0.189</v>
      </c>
      <c r="Z1161" s="12">
        <f t="shared" si="36"/>
        <v>-0.59499999999999997</v>
      </c>
    </row>
    <row r="1162" spans="1:26" x14ac:dyDescent="0.2">
      <c r="A1162" s="12" t="s">
        <v>47</v>
      </c>
      <c r="B1162" s="12">
        <v>3244</v>
      </c>
      <c r="C1162" s="12">
        <v>25.198</v>
      </c>
      <c r="D1162" s="12">
        <v>23.315000000000001</v>
      </c>
      <c r="E1162" s="12">
        <v>1.5780000000000001</v>
      </c>
      <c r="F1162" s="12">
        <v>162.18799999999999</v>
      </c>
      <c r="G1162" s="12">
        <v>2.6520000000000001</v>
      </c>
      <c r="H1162" s="12">
        <v>11.282999999999999</v>
      </c>
      <c r="I1162" s="12">
        <v>3.512</v>
      </c>
      <c r="J1162" s="12">
        <v>88.129000000000005</v>
      </c>
      <c r="K1162" s="12">
        <v>90.13</v>
      </c>
      <c r="L1162" s="12">
        <v>4.7060000000000004</v>
      </c>
      <c r="M1162" s="12">
        <v>0.1</v>
      </c>
      <c r="N1162" s="12">
        <v>100</v>
      </c>
      <c r="O1162" s="12">
        <v>4.1000000000000002E-2</v>
      </c>
      <c r="P1162" s="12">
        <v>0.626</v>
      </c>
      <c r="Q1162" s="12">
        <v>0.125</v>
      </c>
      <c r="R1162" s="12">
        <v>0.495</v>
      </c>
      <c r="S1162" s="12">
        <v>0.83499999999999996</v>
      </c>
      <c r="T1162" s="12" t="s">
        <v>23</v>
      </c>
      <c r="U1162" s="12" t="s">
        <v>22</v>
      </c>
      <c r="V1162" s="12" t="s">
        <v>93</v>
      </c>
      <c r="W1162" s="12">
        <v>1</v>
      </c>
      <c r="Y1162" s="12">
        <f t="shared" si="37"/>
        <v>0.16600000000000001</v>
      </c>
      <c r="Z1162" s="12">
        <f t="shared" si="36"/>
        <v>-0.58499999999999996</v>
      </c>
    </row>
    <row r="1163" spans="1:26" x14ac:dyDescent="0.2">
      <c r="A1163" s="12" t="s">
        <v>47</v>
      </c>
      <c r="B1163" s="12">
        <v>3244.125</v>
      </c>
      <c r="C1163" s="12">
        <v>24.443999999999999</v>
      </c>
      <c r="D1163" s="12">
        <v>23.280999999999999</v>
      </c>
      <c r="E1163" s="12">
        <v>1.593</v>
      </c>
      <c r="F1163" s="12">
        <v>160.46299999999999</v>
      </c>
      <c r="G1163" s="12">
        <v>2.6539999999999999</v>
      </c>
      <c r="H1163" s="12">
        <v>11.689</v>
      </c>
      <c r="I1163" s="12">
        <v>3.5190000000000001</v>
      </c>
      <c r="J1163" s="12">
        <v>82.938999999999993</v>
      </c>
      <c r="K1163" s="12">
        <v>84.096000000000004</v>
      </c>
      <c r="L1163" s="12">
        <v>4.9219999999999997</v>
      </c>
      <c r="M1163" s="12">
        <v>0.10100000000000001</v>
      </c>
      <c r="N1163" s="12">
        <v>100</v>
      </c>
      <c r="O1163" s="12">
        <v>3.9E-2</v>
      </c>
      <c r="P1163" s="12">
        <v>0.63500000000000001</v>
      </c>
      <c r="Q1163" s="12">
        <v>9.7000000000000003E-2</v>
      </c>
      <c r="R1163" s="12">
        <v>0.499</v>
      </c>
      <c r="S1163" s="12">
        <v>0.89800000000000002</v>
      </c>
      <c r="T1163" s="12" t="s">
        <v>23</v>
      </c>
      <c r="U1163" s="12" t="s">
        <v>22</v>
      </c>
      <c r="V1163" s="12" t="s">
        <v>93</v>
      </c>
      <c r="W1163" s="12">
        <v>1</v>
      </c>
      <c r="Y1163" s="12">
        <f t="shared" si="37"/>
        <v>0.13600000000000001</v>
      </c>
      <c r="Z1163" s="12">
        <f t="shared" si="36"/>
        <v>-0.59599999999999997</v>
      </c>
    </row>
    <row r="1164" spans="1:26" x14ac:dyDescent="0.2">
      <c r="A1164" s="12" t="s">
        <v>47</v>
      </c>
      <c r="B1164" s="12">
        <v>3244.25</v>
      </c>
      <c r="C1164" s="12">
        <v>26.748000000000001</v>
      </c>
      <c r="D1164" s="12">
        <v>23.283999999999999</v>
      </c>
      <c r="E1164" s="12">
        <v>1.4810000000000001</v>
      </c>
      <c r="F1164" s="12">
        <v>158.601</v>
      </c>
      <c r="G1164" s="12">
        <v>2.6509999999999998</v>
      </c>
      <c r="H1164" s="12">
        <v>12.061999999999999</v>
      </c>
      <c r="I1164" s="12">
        <v>3.5379999999999998</v>
      </c>
      <c r="J1164" s="12">
        <v>78.918999999999997</v>
      </c>
      <c r="K1164" s="12">
        <v>79.781999999999996</v>
      </c>
      <c r="L1164" s="12">
        <v>5.069</v>
      </c>
      <c r="M1164" s="12">
        <v>0.107</v>
      </c>
      <c r="N1164" s="12">
        <v>100</v>
      </c>
      <c r="O1164" s="12">
        <v>5.5E-2</v>
      </c>
      <c r="P1164" s="12">
        <v>0.65600000000000003</v>
      </c>
      <c r="Q1164" s="12">
        <v>6.9000000000000006E-2</v>
      </c>
      <c r="R1164" s="12">
        <v>0.48599999999999999</v>
      </c>
      <c r="S1164" s="12">
        <v>0.95399999999999996</v>
      </c>
      <c r="T1164" s="12" t="s">
        <v>23</v>
      </c>
      <c r="U1164" s="12" t="s">
        <v>22</v>
      </c>
      <c r="V1164" s="12" t="s">
        <v>93</v>
      </c>
      <c r="W1164" s="12">
        <v>1</v>
      </c>
      <c r="Y1164" s="12">
        <f t="shared" si="37"/>
        <v>0.124</v>
      </c>
      <c r="Z1164" s="12">
        <f t="shared" si="36"/>
        <v>-0.60099999999999998</v>
      </c>
    </row>
    <row r="1165" spans="1:26" x14ac:dyDescent="0.2">
      <c r="A1165" s="12" t="s">
        <v>47</v>
      </c>
      <c r="B1165" s="12">
        <v>3244.375</v>
      </c>
      <c r="C1165" s="12">
        <v>30.855</v>
      </c>
      <c r="D1165" s="12">
        <v>23.324999999999999</v>
      </c>
      <c r="E1165" s="12">
        <v>1.2889999999999999</v>
      </c>
      <c r="F1165" s="12">
        <v>157.101</v>
      </c>
      <c r="G1165" s="12">
        <v>2.64</v>
      </c>
      <c r="H1165" s="12">
        <v>12.319000000000001</v>
      </c>
      <c r="I1165" s="12">
        <v>3.5640000000000001</v>
      </c>
      <c r="J1165" s="12">
        <v>76.825999999999993</v>
      </c>
      <c r="K1165" s="12">
        <v>77.522000000000006</v>
      </c>
      <c r="L1165" s="12">
        <v>5.2130000000000001</v>
      </c>
      <c r="M1165" s="12">
        <v>0.122</v>
      </c>
      <c r="N1165" s="12">
        <v>100</v>
      </c>
      <c r="O1165" s="12">
        <v>7.9000000000000001E-2</v>
      </c>
      <c r="P1165" s="12">
        <v>0.68400000000000005</v>
      </c>
      <c r="Q1165" s="12">
        <v>4.7E-2</v>
      </c>
      <c r="R1165" s="12">
        <v>0.45</v>
      </c>
      <c r="S1165" s="12">
        <v>0.98899999999999999</v>
      </c>
      <c r="T1165" s="12" t="s">
        <v>23</v>
      </c>
      <c r="U1165" s="12" t="s">
        <v>22</v>
      </c>
      <c r="V1165" s="12" t="s">
        <v>93</v>
      </c>
      <c r="W1165" s="12">
        <v>1</v>
      </c>
      <c r="Y1165" s="12">
        <f t="shared" si="37"/>
        <v>0.126</v>
      </c>
      <c r="Z1165" s="12">
        <f t="shared" si="36"/>
        <v>-0.60500000000000009</v>
      </c>
    </row>
    <row r="1166" spans="1:26" x14ac:dyDescent="0.2">
      <c r="A1166" s="12" t="s">
        <v>47</v>
      </c>
      <c r="B1166" s="12">
        <v>3244.5</v>
      </c>
      <c r="C1166" s="12">
        <v>33.026000000000003</v>
      </c>
      <c r="D1166" s="12">
        <v>23.341999999999999</v>
      </c>
      <c r="E1166" s="12">
        <v>1.1319999999999999</v>
      </c>
      <c r="F1166" s="12">
        <v>156.666</v>
      </c>
      <c r="G1166" s="12">
        <v>2.6240000000000001</v>
      </c>
      <c r="H1166" s="12">
        <v>12.398999999999999</v>
      </c>
      <c r="I1166" s="12">
        <v>3.5920000000000001</v>
      </c>
      <c r="J1166" s="12">
        <v>74.343000000000004</v>
      </c>
      <c r="K1166" s="12">
        <v>74.935000000000002</v>
      </c>
      <c r="L1166" s="12">
        <v>5.5069999999999997</v>
      </c>
      <c r="M1166" s="12">
        <v>0.155</v>
      </c>
      <c r="N1166" s="12">
        <v>100</v>
      </c>
      <c r="O1166" s="12">
        <v>8.6999999999999994E-2</v>
      </c>
      <c r="P1166" s="12">
        <v>0.71299999999999997</v>
      </c>
      <c r="Q1166" s="12">
        <v>4.4999999999999998E-2</v>
      </c>
      <c r="R1166" s="12">
        <v>0.4</v>
      </c>
      <c r="S1166" s="12">
        <v>0.997</v>
      </c>
      <c r="T1166" s="12" t="s">
        <v>23</v>
      </c>
      <c r="U1166" s="12" t="s">
        <v>22</v>
      </c>
      <c r="V1166" s="12" t="s">
        <v>93</v>
      </c>
      <c r="W1166" s="12">
        <v>1</v>
      </c>
      <c r="Y1166" s="12">
        <f t="shared" si="37"/>
        <v>0.13200000000000001</v>
      </c>
      <c r="Z1166" s="12">
        <f t="shared" si="36"/>
        <v>-0.626</v>
      </c>
    </row>
    <row r="1167" spans="1:26" x14ac:dyDescent="0.2">
      <c r="A1167" s="12" t="s">
        <v>47</v>
      </c>
      <c r="B1167" s="12">
        <v>3244.625</v>
      </c>
      <c r="C1167" s="12">
        <v>29.873999999999999</v>
      </c>
      <c r="D1167" s="12">
        <v>23.312000000000001</v>
      </c>
      <c r="E1167" s="12">
        <v>1.1930000000000001</v>
      </c>
      <c r="F1167" s="12">
        <v>158.107</v>
      </c>
      <c r="G1167" s="12">
        <v>2.6059999999999999</v>
      </c>
      <c r="H1167" s="12">
        <v>12.287000000000001</v>
      </c>
      <c r="I1167" s="12">
        <v>3.62</v>
      </c>
      <c r="J1167" s="12">
        <v>73.433999999999997</v>
      </c>
      <c r="K1167" s="12">
        <v>74.072000000000003</v>
      </c>
      <c r="L1167" s="12">
        <v>6.077</v>
      </c>
      <c r="M1167" s="12">
        <v>0.24</v>
      </c>
      <c r="N1167" s="12">
        <v>100</v>
      </c>
      <c r="O1167" s="12">
        <v>6.9000000000000006E-2</v>
      </c>
      <c r="P1167" s="12">
        <v>0.74199999999999999</v>
      </c>
      <c r="Q1167" s="12">
        <v>7.1999999999999995E-2</v>
      </c>
      <c r="R1167" s="12">
        <v>0.34499999999999997</v>
      </c>
      <c r="S1167" s="12">
        <v>0.97699999999999998</v>
      </c>
      <c r="T1167" s="12" t="s">
        <v>23</v>
      </c>
      <c r="U1167" s="12" t="s">
        <v>22</v>
      </c>
      <c r="V1167" s="12" t="s">
        <v>93</v>
      </c>
      <c r="W1167" s="12">
        <v>1</v>
      </c>
      <c r="Y1167" s="12">
        <f t="shared" si="37"/>
        <v>0.14100000000000001</v>
      </c>
      <c r="Z1167" s="12">
        <f t="shared" si="36"/>
        <v>-0.67300000000000004</v>
      </c>
    </row>
    <row r="1168" spans="1:26" x14ac:dyDescent="0.2">
      <c r="A1168" s="12" t="s">
        <v>47</v>
      </c>
      <c r="B1168" s="12">
        <v>3244.75</v>
      </c>
      <c r="C1168" s="12">
        <v>28.527000000000001</v>
      </c>
      <c r="D1168" s="12">
        <v>23.295999999999999</v>
      </c>
      <c r="E1168" s="12">
        <v>1.2569999999999999</v>
      </c>
      <c r="F1168" s="12">
        <v>160.94200000000001</v>
      </c>
      <c r="G1168" s="12">
        <v>2.5870000000000002</v>
      </c>
      <c r="H1168" s="12">
        <v>12.057</v>
      </c>
      <c r="I1168" s="12">
        <v>3.6459999999999999</v>
      </c>
      <c r="J1168" s="12">
        <v>75.87</v>
      </c>
      <c r="K1168" s="12">
        <v>76.668999999999997</v>
      </c>
      <c r="L1168" s="12">
        <v>6.4820000000000002</v>
      </c>
      <c r="M1168" s="12">
        <v>0.318</v>
      </c>
      <c r="N1168" s="12">
        <v>100</v>
      </c>
      <c r="O1168" s="12">
        <v>6.2E-2</v>
      </c>
      <c r="P1168" s="12">
        <v>0.76800000000000002</v>
      </c>
      <c r="Q1168" s="12">
        <v>0.11799999999999999</v>
      </c>
      <c r="R1168" s="12">
        <v>0.29299999999999998</v>
      </c>
      <c r="S1168" s="12">
        <v>0.93799999999999994</v>
      </c>
      <c r="T1168" s="12" t="s">
        <v>23</v>
      </c>
      <c r="U1168" s="12" t="s">
        <v>22</v>
      </c>
      <c r="V1168" s="12" t="s">
        <v>93</v>
      </c>
      <c r="W1168" s="12">
        <v>1</v>
      </c>
      <c r="Y1168" s="12">
        <f t="shared" si="37"/>
        <v>0.18</v>
      </c>
      <c r="Z1168" s="12">
        <f t="shared" si="36"/>
        <v>-0.70599999999999996</v>
      </c>
    </row>
    <row r="1169" spans="1:26" x14ac:dyDescent="0.2">
      <c r="A1169" s="12" t="s">
        <v>47</v>
      </c>
      <c r="B1169" s="12">
        <v>3245</v>
      </c>
      <c r="C1169" s="12">
        <v>25.768000000000001</v>
      </c>
      <c r="D1169" s="12">
        <v>23.195</v>
      </c>
      <c r="E1169" s="12">
        <v>1.2629999999999999</v>
      </c>
      <c r="F1169" s="12">
        <v>166.24600000000001</v>
      </c>
      <c r="G1169" s="12">
        <v>2.5710000000000002</v>
      </c>
      <c r="H1169" s="12">
        <v>11.391999999999999</v>
      </c>
      <c r="I1169" s="12">
        <v>3.6890000000000001</v>
      </c>
      <c r="J1169" s="12">
        <v>83.923000000000002</v>
      </c>
      <c r="K1169" s="12">
        <v>84.715999999999994</v>
      </c>
      <c r="L1169" s="12">
        <v>6.6689999999999996</v>
      </c>
      <c r="M1169" s="12">
        <v>0.35899999999999999</v>
      </c>
      <c r="N1169" s="12">
        <v>100</v>
      </c>
      <c r="O1169" s="12">
        <v>4.3999999999999997E-2</v>
      </c>
      <c r="P1169" s="12">
        <v>0.81200000000000006</v>
      </c>
      <c r="Q1169" s="12">
        <v>0.19400000000000001</v>
      </c>
      <c r="R1169" s="12">
        <v>0.246</v>
      </c>
      <c r="S1169" s="12">
        <v>0.83399999999999996</v>
      </c>
      <c r="T1169" s="12" t="s">
        <v>23</v>
      </c>
      <c r="U1169" s="12" t="s">
        <v>22</v>
      </c>
      <c r="V1169" s="12" t="s">
        <v>93</v>
      </c>
      <c r="W1169" s="12">
        <v>1</v>
      </c>
      <c r="Y1169" s="12">
        <f t="shared" si="37"/>
        <v>0.23799999999999999</v>
      </c>
      <c r="Z1169" s="12">
        <f t="shared" si="36"/>
        <v>-0.76800000000000002</v>
      </c>
    </row>
    <row r="1170" spans="1:26" x14ac:dyDescent="0.2">
      <c r="A1170" s="12" t="s">
        <v>47</v>
      </c>
      <c r="B1170" s="12">
        <v>3245.125</v>
      </c>
      <c r="C1170" s="12">
        <v>24.9</v>
      </c>
      <c r="D1170" s="12">
        <v>23.045999999999999</v>
      </c>
      <c r="E1170" s="12">
        <v>1.1579999999999999</v>
      </c>
      <c r="F1170" s="12">
        <v>166.00200000000001</v>
      </c>
      <c r="G1170" s="12">
        <v>2.5659999999999998</v>
      </c>
      <c r="H1170" s="12">
        <v>11.073</v>
      </c>
      <c r="I1170" s="12">
        <v>3.7050000000000001</v>
      </c>
      <c r="J1170" s="12">
        <v>89.34</v>
      </c>
      <c r="K1170" s="12">
        <v>90.218999999999994</v>
      </c>
      <c r="L1170" s="12">
        <v>6.6689999999999996</v>
      </c>
      <c r="M1170" s="12">
        <v>0.36</v>
      </c>
      <c r="N1170" s="12">
        <v>100</v>
      </c>
      <c r="O1170" s="12">
        <v>4.1000000000000002E-2</v>
      </c>
      <c r="P1170" s="12">
        <v>0.82799999999999996</v>
      </c>
      <c r="Q1170" s="12">
        <v>0.187</v>
      </c>
      <c r="R1170" s="12">
        <v>0.23300000000000001</v>
      </c>
      <c r="S1170" s="12">
        <v>0.78</v>
      </c>
      <c r="T1170" s="12" t="s">
        <v>23</v>
      </c>
      <c r="U1170" s="12" t="s">
        <v>22</v>
      </c>
      <c r="V1170" s="12" t="s">
        <v>93</v>
      </c>
      <c r="W1170" s="12">
        <v>1</v>
      </c>
      <c r="Y1170" s="12">
        <f t="shared" si="37"/>
        <v>0.22800000000000001</v>
      </c>
      <c r="Z1170" s="12">
        <f t="shared" si="36"/>
        <v>-0.78699999999999992</v>
      </c>
    </row>
    <row r="1171" spans="1:26" x14ac:dyDescent="0.2">
      <c r="A1171" s="12" t="s">
        <v>47</v>
      </c>
      <c r="B1171" s="12">
        <v>3245.25</v>
      </c>
      <c r="C1171" s="12">
        <v>26.911000000000001</v>
      </c>
      <c r="D1171" s="12">
        <v>22.914999999999999</v>
      </c>
      <c r="E1171" s="12">
        <v>1.0740000000000001</v>
      </c>
      <c r="F1171" s="12">
        <v>164.58699999999999</v>
      </c>
      <c r="G1171" s="12">
        <v>2.5659999999999998</v>
      </c>
      <c r="H1171" s="12">
        <v>10.587</v>
      </c>
      <c r="I1171" s="12">
        <v>3.7160000000000002</v>
      </c>
      <c r="J1171" s="12">
        <v>97.775999999999996</v>
      </c>
      <c r="K1171" s="12">
        <v>98.998999999999995</v>
      </c>
      <c r="L1171" s="12">
        <v>6.274</v>
      </c>
      <c r="M1171" s="12">
        <v>0.27700000000000002</v>
      </c>
      <c r="N1171" s="12">
        <v>100</v>
      </c>
      <c r="O1171" s="12">
        <v>5.5E-2</v>
      </c>
      <c r="P1171" s="12">
        <v>0.84</v>
      </c>
      <c r="Q1171" s="12">
        <v>0.16600000000000001</v>
      </c>
      <c r="R1171" s="12">
        <v>0.23300000000000001</v>
      </c>
      <c r="S1171" s="12">
        <v>0.69599999999999995</v>
      </c>
      <c r="T1171" s="12" t="s">
        <v>23</v>
      </c>
      <c r="U1171" s="12" t="s">
        <v>22</v>
      </c>
      <c r="V1171" s="12" t="s">
        <v>93</v>
      </c>
      <c r="W1171" s="12">
        <v>1</v>
      </c>
      <c r="Y1171" s="12">
        <f t="shared" si="37"/>
        <v>0.221</v>
      </c>
      <c r="Z1171" s="12">
        <f t="shared" si="36"/>
        <v>-0.78499999999999992</v>
      </c>
    </row>
    <row r="1172" spans="1:26" x14ac:dyDescent="0.2">
      <c r="A1172" s="12" t="s">
        <v>47</v>
      </c>
      <c r="B1172" s="12">
        <v>3245.375</v>
      </c>
      <c r="C1172" s="12">
        <v>29.468</v>
      </c>
      <c r="D1172" s="12">
        <v>22.957999999999998</v>
      </c>
      <c r="E1172" s="12">
        <v>1.3140000000000001</v>
      </c>
      <c r="F1172" s="12">
        <v>163.911</v>
      </c>
      <c r="G1172" s="12">
        <v>2.5649999999999999</v>
      </c>
      <c r="H1172" s="12">
        <v>9.7880000000000003</v>
      </c>
      <c r="I1172" s="12">
        <v>3.7280000000000002</v>
      </c>
      <c r="J1172" s="12">
        <v>107.002</v>
      </c>
      <c r="K1172" s="12">
        <v>108.90600000000001</v>
      </c>
      <c r="L1172" s="12">
        <v>5.72</v>
      </c>
      <c r="M1172" s="12">
        <v>0.184</v>
      </c>
      <c r="N1172" s="12">
        <v>100</v>
      </c>
      <c r="O1172" s="12">
        <v>7.0000000000000007E-2</v>
      </c>
      <c r="P1172" s="12">
        <v>0.85499999999999998</v>
      </c>
      <c r="Q1172" s="12">
        <v>0.161</v>
      </c>
      <c r="R1172" s="12">
        <v>0.22600000000000001</v>
      </c>
      <c r="S1172" s="12">
        <v>0.56799999999999995</v>
      </c>
      <c r="T1172" s="12" t="s">
        <v>23</v>
      </c>
      <c r="U1172" s="12" t="s">
        <v>22</v>
      </c>
      <c r="V1172" s="12" t="s">
        <v>93</v>
      </c>
      <c r="W1172" s="12">
        <v>1</v>
      </c>
      <c r="Y1172" s="12">
        <f t="shared" si="37"/>
        <v>0.23100000000000001</v>
      </c>
      <c r="Z1172" s="12">
        <f t="shared" si="36"/>
        <v>-0.78499999999999992</v>
      </c>
    </row>
    <row r="1173" spans="1:26" x14ac:dyDescent="0.2">
      <c r="A1173" s="12" t="s">
        <v>47</v>
      </c>
      <c r="B1173" s="12">
        <v>3245.5</v>
      </c>
      <c r="C1173" s="12">
        <v>31.725999999999999</v>
      </c>
      <c r="D1173" s="12">
        <v>23.195</v>
      </c>
      <c r="E1173" s="12">
        <v>2.1389999999999998</v>
      </c>
      <c r="F1173" s="12">
        <v>165.505</v>
      </c>
      <c r="G1173" s="12">
        <v>2.5569999999999999</v>
      </c>
      <c r="H1173" s="12">
        <v>8.9039999999999999</v>
      </c>
      <c r="I1173" s="12">
        <v>3.7559999999999998</v>
      </c>
      <c r="J1173" s="12">
        <v>114.95699999999999</v>
      </c>
      <c r="K1173" s="12">
        <v>118.458</v>
      </c>
      <c r="L1173" s="12">
        <v>5.2690000000000001</v>
      </c>
      <c r="M1173" s="12">
        <v>0.127</v>
      </c>
      <c r="N1173" s="12">
        <v>100</v>
      </c>
      <c r="O1173" s="12">
        <v>9.4E-2</v>
      </c>
      <c r="P1173" s="12">
        <v>0.88400000000000001</v>
      </c>
      <c r="Q1173" s="12">
        <v>0.192</v>
      </c>
      <c r="R1173" s="12">
        <v>0.19800000000000001</v>
      </c>
      <c r="S1173" s="12">
        <v>0.433</v>
      </c>
      <c r="T1173" s="12" t="s">
        <v>23</v>
      </c>
      <c r="U1173" s="12" t="s">
        <v>22</v>
      </c>
      <c r="V1173" s="12" t="s">
        <v>93</v>
      </c>
      <c r="W1173" s="12">
        <v>1</v>
      </c>
      <c r="Y1173" s="12">
        <f t="shared" si="37"/>
        <v>0.28600000000000003</v>
      </c>
      <c r="Z1173" s="12">
        <f t="shared" si="36"/>
        <v>-0.79</v>
      </c>
    </row>
    <row r="1174" spans="1:26" x14ac:dyDescent="0.2">
      <c r="A1174" s="12" t="s">
        <v>47</v>
      </c>
      <c r="B1174" s="12">
        <v>3246.375</v>
      </c>
      <c r="C1174" s="12">
        <v>62.017000000000003</v>
      </c>
      <c r="D1174" s="12">
        <v>22.096</v>
      </c>
      <c r="E1174" s="12">
        <v>5.1440000000000001</v>
      </c>
      <c r="F1174" s="12">
        <v>154.06100000000001</v>
      </c>
      <c r="G1174" s="12">
        <v>2.5979999999999999</v>
      </c>
      <c r="H1174" s="12">
        <v>6.0449999999999999</v>
      </c>
      <c r="I1174" s="12">
        <v>3.286</v>
      </c>
      <c r="J1174" s="12">
        <v>208.61600000000001</v>
      </c>
      <c r="K1174" s="12">
        <v>291.24599999999998</v>
      </c>
      <c r="L1174" s="12">
        <v>0</v>
      </c>
      <c r="M1174" s="12">
        <v>0</v>
      </c>
      <c r="N1174" s="12">
        <v>100</v>
      </c>
      <c r="O1174" s="12">
        <v>0.252</v>
      </c>
      <c r="P1174" s="12">
        <v>0.39500000000000002</v>
      </c>
      <c r="Q1174" s="12">
        <v>5.0000000000000001E-3</v>
      </c>
      <c r="R1174" s="12">
        <v>0.36399999999999999</v>
      </c>
      <c r="S1174" s="12">
        <v>8.9999999999999993E-3</v>
      </c>
      <c r="U1174" s="12" t="s">
        <v>33</v>
      </c>
      <c r="V1174" s="12" t="s">
        <v>93</v>
      </c>
      <c r="W1174" s="12">
        <v>3</v>
      </c>
      <c r="Y1174" s="12">
        <f t="shared" si="37"/>
        <v>0.25700000000000001</v>
      </c>
      <c r="Z1174" s="12">
        <f t="shared" si="36"/>
        <v>-0.14300000000000002</v>
      </c>
    </row>
    <row r="1175" spans="1:26" x14ac:dyDescent="0.2">
      <c r="A1175" s="12" t="s">
        <v>47</v>
      </c>
      <c r="B1175" s="12">
        <v>3246.5</v>
      </c>
      <c r="C1175" s="12">
        <v>43.716000000000001</v>
      </c>
      <c r="D1175" s="12">
        <v>22.145</v>
      </c>
      <c r="E1175" s="12">
        <v>4.4710000000000001</v>
      </c>
      <c r="F1175" s="12">
        <v>155.88499999999999</v>
      </c>
      <c r="G1175" s="12">
        <v>2.6669999999999998</v>
      </c>
      <c r="H1175" s="12">
        <v>6.2549999999999999</v>
      </c>
      <c r="I1175" s="12">
        <v>3.3159999999999998</v>
      </c>
      <c r="J1175" s="12">
        <v>429.298</v>
      </c>
      <c r="K1175" s="12">
        <v>596.28300000000002</v>
      </c>
      <c r="L1175" s="12">
        <v>0</v>
      </c>
      <c r="M1175" s="12">
        <v>0</v>
      </c>
      <c r="N1175" s="12">
        <v>100</v>
      </c>
      <c r="O1175" s="12">
        <v>0.14899999999999999</v>
      </c>
      <c r="P1175" s="12">
        <v>0.435</v>
      </c>
      <c r="Q1175" s="12">
        <v>3.9E-2</v>
      </c>
      <c r="R1175" s="12">
        <v>0.56899999999999995</v>
      </c>
      <c r="S1175" s="12">
        <v>4.7E-2</v>
      </c>
      <c r="U1175" s="12" t="s">
        <v>33</v>
      </c>
      <c r="V1175" s="12" t="s">
        <v>93</v>
      </c>
      <c r="W1175" s="12">
        <v>3</v>
      </c>
      <c r="Y1175" s="12">
        <f t="shared" si="37"/>
        <v>0.188</v>
      </c>
      <c r="Z1175" s="12">
        <f t="shared" ref="Z1175:Z1187" si="38">O1175-P1175</f>
        <v>-0.28600000000000003</v>
      </c>
    </row>
    <row r="1176" spans="1:26" x14ac:dyDescent="0.2">
      <c r="A1176" s="12" t="s">
        <v>47</v>
      </c>
      <c r="B1176" s="12">
        <v>3246.625</v>
      </c>
      <c r="C1176" s="12">
        <v>35.770000000000003</v>
      </c>
      <c r="D1176" s="12">
        <v>22.199000000000002</v>
      </c>
      <c r="E1176" s="12">
        <v>3.5</v>
      </c>
      <c r="F1176" s="12">
        <v>159.64400000000001</v>
      </c>
      <c r="G1176" s="12">
        <v>2.7280000000000002</v>
      </c>
      <c r="H1176" s="12">
        <v>6.66</v>
      </c>
      <c r="I1176" s="12">
        <v>3.3980000000000001</v>
      </c>
      <c r="J1176" s="12">
        <v>870.101</v>
      </c>
      <c r="K1176" s="12">
        <v>1135.114</v>
      </c>
      <c r="L1176" s="12">
        <v>0</v>
      </c>
      <c r="M1176" s="12">
        <v>0</v>
      </c>
      <c r="N1176" s="12">
        <v>100</v>
      </c>
      <c r="O1176" s="12">
        <v>0.105</v>
      </c>
      <c r="P1176" s="12">
        <v>0.52100000000000002</v>
      </c>
      <c r="Q1176" s="12">
        <v>9.9000000000000005E-2</v>
      </c>
      <c r="R1176" s="12">
        <v>0.745</v>
      </c>
      <c r="S1176" s="12">
        <v>0.115</v>
      </c>
      <c r="U1176" s="12" t="s">
        <v>33</v>
      </c>
      <c r="V1176" s="12" t="s">
        <v>93</v>
      </c>
      <c r="W1176" s="12">
        <v>3</v>
      </c>
      <c r="Y1176" s="12">
        <f t="shared" si="37"/>
        <v>0.20400000000000001</v>
      </c>
      <c r="Z1176" s="12">
        <f t="shared" si="38"/>
        <v>-0.41600000000000004</v>
      </c>
    </row>
    <row r="1177" spans="1:26" x14ac:dyDescent="0.2">
      <c r="A1177" s="12" t="s">
        <v>47</v>
      </c>
      <c r="B1177" s="12">
        <v>3246.75</v>
      </c>
      <c r="C1177" s="12">
        <v>34.003999999999998</v>
      </c>
      <c r="D1177" s="12">
        <v>22.212</v>
      </c>
      <c r="E1177" s="12">
        <v>2.9279999999999999</v>
      </c>
      <c r="F1177" s="12">
        <v>163.589</v>
      </c>
      <c r="G1177" s="12">
        <v>2.77</v>
      </c>
      <c r="H1177" s="12">
        <v>7.2329999999999997</v>
      </c>
      <c r="I1177" s="12">
        <v>3.4860000000000002</v>
      </c>
      <c r="J1177" s="12">
        <v>1065.595</v>
      </c>
      <c r="K1177" s="12">
        <v>1363.2760000000001</v>
      </c>
      <c r="L1177" s="12">
        <v>0</v>
      </c>
      <c r="M1177" s="12">
        <v>0</v>
      </c>
      <c r="N1177" s="12">
        <v>100</v>
      </c>
      <c r="O1177" s="12">
        <v>9.8000000000000004E-2</v>
      </c>
      <c r="P1177" s="12">
        <v>0.61</v>
      </c>
      <c r="Q1177" s="12">
        <v>0.16200000000000001</v>
      </c>
      <c r="R1177" s="12">
        <v>0.86199999999999999</v>
      </c>
      <c r="S1177" s="12">
        <v>0.20699999999999999</v>
      </c>
      <c r="U1177" s="12" t="s">
        <v>33</v>
      </c>
      <c r="V1177" s="12" t="s">
        <v>93</v>
      </c>
      <c r="W1177" s="12">
        <v>3</v>
      </c>
      <c r="Y1177" s="12">
        <f t="shared" si="37"/>
        <v>0.26</v>
      </c>
      <c r="Z1177" s="12">
        <f t="shared" si="38"/>
        <v>-0.51200000000000001</v>
      </c>
    </row>
    <row r="1178" spans="1:26" x14ac:dyDescent="0.2">
      <c r="A1178" s="12" t="s">
        <v>47</v>
      </c>
      <c r="B1178" s="12">
        <v>3246.875</v>
      </c>
      <c r="C1178" s="12">
        <v>35.613999999999997</v>
      </c>
      <c r="D1178" s="12">
        <v>22.245000000000001</v>
      </c>
      <c r="E1178" s="12">
        <v>2.8170000000000002</v>
      </c>
      <c r="F1178" s="12">
        <v>167.483</v>
      </c>
      <c r="G1178" s="12">
        <v>2.7919999999999998</v>
      </c>
      <c r="H1178" s="12">
        <v>7.9260000000000002</v>
      </c>
      <c r="I1178" s="12">
        <v>3.5569999999999999</v>
      </c>
      <c r="J1178" s="12">
        <v>992.81299999999999</v>
      </c>
      <c r="K1178" s="12">
        <v>1300.345</v>
      </c>
      <c r="L1178" s="12">
        <v>0</v>
      </c>
      <c r="M1178" s="12">
        <v>0</v>
      </c>
      <c r="N1178" s="12">
        <v>100</v>
      </c>
      <c r="O1178" s="12">
        <v>0.11</v>
      </c>
      <c r="P1178" s="12">
        <v>0.68100000000000005</v>
      </c>
      <c r="Q1178" s="12">
        <v>0.224</v>
      </c>
      <c r="R1178" s="12">
        <v>0.92200000000000004</v>
      </c>
      <c r="S1178" s="12">
        <v>0.317</v>
      </c>
      <c r="U1178" s="12" t="s">
        <v>33</v>
      </c>
      <c r="V1178" s="12" t="s">
        <v>93</v>
      </c>
      <c r="W1178" s="12">
        <v>3</v>
      </c>
      <c r="Y1178" s="12">
        <f t="shared" si="37"/>
        <v>0.33400000000000002</v>
      </c>
      <c r="Z1178" s="12">
        <f t="shared" si="38"/>
        <v>-0.57100000000000006</v>
      </c>
    </row>
    <row r="1179" spans="1:26" x14ac:dyDescent="0.2">
      <c r="A1179" s="12" t="s">
        <v>47</v>
      </c>
      <c r="B1179" s="12">
        <v>3247</v>
      </c>
      <c r="C1179" s="12">
        <v>39.747999999999998</v>
      </c>
      <c r="D1179" s="12">
        <v>22.251000000000001</v>
      </c>
      <c r="E1179" s="12">
        <v>2.738</v>
      </c>
      <c r="F1179" s="12">
        <v>171.21700000000001</v>
      </c>
      <c r="G1179" s="12">
        <v>2.7989999999999999</v>
      </c>
      <c r="H1179" s="12">
        <v>8.6379999999999999</v>
      </c>
      <c r="I1179" s="12">
        <v>3.6139999999999999</v>
      </c>
      <c r="J1179" s="12">
        <v>883.00699999999995</v>
      </c>
      <c r="K1179" s="12">
        <v>1176.548</v>
      </c>
      <c r="L1179" s="12">
        <v>0</v>
      </c>
      <c r="M1179" s="12">
        <v>0</v>
      </c>
      <c r="N1179" s="12">
        <v>100</v>
      </c>
      <c r="O1179" s="12">
        <v>0.13600000000000001</v>
      </c>
      <c r="P1179" s="12">
        <v>0.73799999999999999</v>
      </c>
      <c r="Q1179" s="12">
        <v>0.28000000000000003</v>
      </c>
      <c r="R1179" s="12">
        <v>0.93899999999999995</v>
      </c>
      <c r="S1179" s="12">
        <v>0.42499999999999999</v>
      </c>
      <c r="U1179" s="12" t="s">
        <v>33</v>
      </c>
      <c r="V1179" s="12" t="s">
        <v>93</v>
      </c>
      <c r="W1179" s="12">
        <v>3</v>
      </c>
      <c r="Y1179" s="12">
        <f t="shared" si="37"/>
        <v>0.41600000000000004</v>
      </c>
      <c r="Z1179" s="12">
        <f t="shared" si="38"/>
        <v>-0.60199999999999998</v>
      </c>
    </row>
    <row r="1180" spans="1:26" x14ac:dyDescent="0.2">
      <c r="A1180" s="12" t="s">
        <v>47</v>
      </c>
      <c r="B1180" s="12">
        <v>3247.125</v>
      </c>
      <c r="C1180" s="12">
        <v>44.079000000000001</v>
      </c>
      <c r="D1180" s="12">
        <v>22.248999999999999</v>
      </c>
      <c r="E1180" s="12">
        <v>2.6110000000000002</v>
      </c>
      <c r="F1180" s="12">
        <v>173.46600000000001</v>
      </c>
      <c r="G1180" s="12">
        <v>2.798</v>
      </c>
      <c r="H1180" s="12">
        <v>9.2159999999999993</v>
      </c>
      <c r="I1180" s="12">
        <v>3.6520000000000001</v>
      </c>
      <c r="J1180" s="12">
        <v>844.827</v>
      </c>
      <c r="K1180" s="12">
        <v>1126.796</v>
      </c>
      <c r="L1180" s="12">
        <v>0</v>
      </c>
      <c r="M1180" s="12">
        <v>0</v>
      </c>
      <c r="N1180" s="12">
        <v>100</v>
      </c>
      <c r="O1180" s="12">
        <v>0.161</v>
      </c>
      <c r="P1180" s="12">
        <v>0.77300000000000002</v>
      </c>
      <c r="Q1180" s="12">
        <v>0.308</v>
      </c>
      <c r="R1180" s="12">
        <v>0.93600000000000005</v>
      </c>
      <c r="S1180" s="12">
        <v>0.50900000000000001</v>
      </c>
      <c r="U1180" s="12" t="s">
        <v>33</v>
      </c>
      <c r="V1180" s="12" t="s">
        <v>93</v>
      </c>
      <c r="W1180" s="12">
        <v>3</v>
      </c>
      <c r="Y1180" s="12">
        <f t="shared" si="37"/>
        <v>0.46899999999999997</v>
      </c>
      <c r="Z1180" s="12">
        <f t="shared" si="38"/>
        <v>-0.61199999999999999</v>
      </c>
    </row>
    <row r="1181" spans="1:26" x14ac:dyDescent="0.2">
      <c r="A1181" s="12" t="s">
        <v>47</v>
      </c>
      <c r="B1181" s="12">
        <v>3247.25</v>
      </c>
      <c r="C1181" s="12">
        <v>46.212000000000003</v>
      </c>
      <c r="D1181" s="12">
        <v>22.225000000000001</v>
      </c>
      <c r="E1181" s="12">
        <v>2.5270000000000001</v>
      </c>
      <c r="F1181" s="12">
        <v>172.85300000000001</v>
      </c>
      <c r="G1181" s="12">
        <v>2.7970000000000002</v>
      </c>
      <c r="H1181" s="12">
        <v>9.5549999999999997</v>
      </c>
      <c r="I1181" s="12">
        <v>3.665</v>
      </c>
      <c r="J1181" s="12">
        <v>855.46799999999996</v>
      </c>
      <c r="K1181" s="12">
        <v>1126.7909999999999</v>
      </c>
      <c r="L1181" s="12">
        <v>0</v>
      </c>
      <c r="M1181" s="12">
        <v>0</v>
      </c>
      <c r="N1181" s="12">
        <v>100</v>
      </c>
      <c r="O1181" s="12">
        <v>0.17599999999999999</v>
      </c>
      <c r="P1181" s="12">
        <v>0.78200000000000003</v>
      </c>
      <c r="Q1181" s="12">
        <v>0.28999999999999998</v>
      </c>
      <c r="R1181" s="12">
        <v>0.93400000000000005</v>
      </c>
      <c r="S1181" s="12">
        <v>0.55500000000000005</v>
      </c>
      <c r="U1181" s="12" t="s">
        <v>33</v>
      </c>
      <c r="V1181" s="12" t="s">
        <v>93</v>
      </c>
      <c r="W1181" s="12">
        <v>3</v>
      </c>
      <c r="Y1181" s="12">
        <f t="shared" si="37"/>
        <v>0.46599999999999997</v>
      </c>
      <c r="Z1181" s="12">
        <f t="shared" si="38"/>
        <v>-0.60600000000000009</v>
      </c>
    </row>
    <row r="1182" spans="1:26" x14ac:dyDescent="0.2">
      <c r="A1182" s="12" t="s">
        <v>47</v>
      </c>
      <c r="B1182" s="12">
        <v>3247.375</v>
      </c>
      <c r="C1182" s="12">
        <v>49.835000000000001</v>
      </c>
      <c r="D1182" s="12">
        <v>22.207999999999998</v>
      </c>
      <c r="E1182" s="12">
        <v>2.4129999999999998</v>
      </c>
      <c r="F1182" s="12">
        <v>169.09299999999999</v>
      </c>
      <c r="G1182" s="12">
        <v>2.7989999999999999</v>
      </c>
      <c r="H1182" s="12">
        <v>9.6080000000000005</v>
      </c>
      <c r="I1182" s="12">
        <v>3.649</v>
      </c>
      <c r="J1182" s="12">
        <v>705.73</v>
      </c>
      <c r="K1182" s="12">
        <v>887.76900000000001</v>
      </c>
      <c r="L1182" s="12">
        <v>0</v>
      </c>
      <c r="M1182" s="12">
        <v>0</v>
      </c>
      <c r="N1182" s="12">
        <v>100</v>
      </c>
      <c r="O1182" s="12">
        <v>0.20100000000000001</v>
      </c>
      <c r="P1182" s="12">
        <v>0.76</v>
      </c>
      <c r="Q1182" s="12">
        <v>0.22600000000000001</v>
      </c>
      <c r="R1182" s="12">
        <v>0.94099999999999995</v>
      </c>
      <c r="S1182" s="12">
        <v>0.56000000000000005</v>
      </c>
      <c r="U1182" s="12" t="s">
        <v>33</v>
      </c>
      <c r="V1182" s="12" t="s">
        <v>93</v>
      </c>
      <c r="W1182" s="12">
        <v>3</v>
      </c>
      <c r="Y1182" s="12">
        <f t="shared" si="37"/>
        <v>0.42700000000000005</v>
      </c>
      <c r="Z1182" s="12">
        <f t="shared" si="38"/>
        <v>-0.55899999999999994</v>
      </c>
    </row>
    <row r="1183" spans="1:26" x14ac:dyDescent="0.2">
      <c r="A1183" s="12" t="s">
        <v>47</v>
      </c>
      <c r="B1183" s="12">
        <v>3247.5</v>
      </c>
      <c r="C1183" s="12">
        <v>55.786000000000001</v>
      </c>
      <c r="D1183" s="12">
        <v>21.977</v>
      </c>
      <c r="E1183" s="12">
        <v>2.3980000000000001</v>
      </c>
      <c r="F1183" s="12">
        <v>163.41800000000001</v>
      </c>
      <c r="G1183" s="12">
        <v>2.802</v>
      </c>
      <c r="H1183" s="12">
        <v>9.5169999999999995</v>
      </c>
      <c r="I1183" s="12">
        <v>3.6019999999999999</v>
      </c>
      <c r="J1183" s="12">
        <v>497.45299999999997</v>
      </c>
      <c r="K1183" s="12">
        <v>604.41700000000003</v>
      </c>
      <c r="L1183" s="12">
        <v>0</v>
      </c>
      <c r="M1183" s="12">
        <v>0</v>
      </c>
      <c r="N1183" s="12">
        <v>100</v>
      </c>
      <c r="O1183" s="12">
        <v>0.23300000000000001</v>
      </c>
      <c r="P1183" s="12">
        <v>0.70599999999999996</v>
      </c>
      <c r="Q1183" s="12">
        <v>0.13600000000000001</v>
      </c>
      <c r="R1183" s="12">
        <v>0.94599999999999995</v>
      </c>
      <c r="S1183" s="12">
        <v>0.54400000000000004</v>
      </c>
      <c r="U1183" s="12" t="s">
        <v>33</v>
      </c>
      <c r="V1183" s="12" t="s">
        <v>93</v>
      </c>
      <c r="W1183" s="12">
        <v>3</v>
      </c>
      <c r="Y1183" s="12">
        <f t="shared" si="37"/>
        <v>0.36899999999999999</v>
      </c>
      <c r="Z1183" s="12">
        <f t="shared" si="38"/>
        <v>-0.47299999999999998</v>
      </c>
    </row>
    <row r="1184" spans="1:26" x14ac:dyDescent="0.2">
      <c r="A1184" s="12" t="s">
        <v>47</v>
      </c>
      <c r="B1184" s="12">
        <v>3247.625</v>
      </c>
      <c r="C1184" s="12">
        <v>57.616999999999997</v>
      </c>
      <c r="D1184" s="12">
        <v>21.922999999999998</v>
      </c>
      <c r="E1184" s="12">
        <v>2.3250000000000002</v>
      </c>
      <c r="F1184" s="12">
        <v>158.209</v>
      </c>
      <c r="G1184" s="12">
        <v>2.7959999999999998</v>
      </c>
      <c r="H1184" s="12">
        <v>9.3539999999999992</v>
      </c>
      <c r="I1184" s="12">
        <v>3.5259999999999998</v>
      </c>
      <c r="J1184" s="12">
        <v>500.55799999999999</v>
      </c>
      <c r="K1184" s="12">
        <v>580.13599999999997</v>
      </c>
      <c r="L1184" s="12">
        <v>0</v>
      </c>
      <c r="M1184" s="12">
        <v>0</v>
      </c>
      <c r="N1184" s="12">
        <v>100</v>
      </c>
      <c r="O1184" s="12">
        <v>0.23899999999999999</v>
      </c>
      <c r="P1184" s="12">
        <v>0.624</v>
      </c>
      <c r="Q1184" s="12">
        <v>5.8999999999999997E-2</v>
      </c>
      <c r="R1184" s="12">
        <v>0.92</v>
      </c>
      <c r="S1184" s="12">
        <v>0.51700000000000002</v>
      </c>
      <c r="U1184" s="12" t="s">
        <v>33</v>
      </c>
      <c r="V1184" s="12" t="s">
        <v>93</v>
      </c>
      <c r="W1184" s="12">
        <v>3</v>
      </c>
      <c r="Y1184" s="12">
        <f t="shared" si="37"/>
        <v>0.29799999999999999</v>
      </c>
      <c r="Z1184" s="12">
        <f t="shared" si="38"/>
        <v>-0.38500000000000001</v>
      </c>
    </row>
    <row r="1185" spans="1:26" x14ac:dyDescent="0.2">
      <c r="A1185" s="12" t="s">
        <v>47</v>
      </c>
      <c r="B1185" s="12">
        <v>3247.75</v>
      </c>
      <c r="C1185" s="12">
        <v>53.686999999999998</v>
      </c>
      <c r="D1185" s="12">
        <v>21.814</v>
      </c>
      <c r="E1185" s="12">
        <v>2.1269999999999998</v>
      </c>
      <c r="F1185" s="12">
        <v>155.262</v>
      </c>
      <c r="G1185" s="12">
        <v>2.774</v>
      </c>
      <c r="H1185" s="12">
        <v>9.1259999999999994</v>
      </c>
      <c r="I1185" s="12">
        <v>3.4319999999999999</v>
      </c>
      <c r="J1185" s="12">
        <v>498.89699999999999</v>
      </c>
      <c r="K1185" s="12">
        <v>554.02300000000002</v>
      </c>
      <c r="L1185" s="12">
        <v>0</v>
      </c>
      <c r="M1185" s="12">
        <v>0</v>
      </c>
      <c r="N1185" s="12">
        <v>100</v>
      </c>
      <c r="O1185" s="12">
        <v>0.215</v>
      </c>
      <c r="P1185" s="12">
        <v>0.52500000000000002</v>
      </c>
      <c r="Q1185" s="12">
        <v>2.1000000000000001E-2</v>
      </c>
      <c r="R1185" s="12">
        <v>0.84599999999999997</v>
      </c>
      <c r="S1185" s="12">
        <v>0.48299999999999998</v>
      </c>
      <c r="U1185" s="12" t="s">
        <v>33</v>
      </c>
      <c r="V1185" s="12" t="s">
        <v>93</v>
      </c>
      <c r="W1185" s="12">
        <v>3</v>
      </c>
      <c r="Y1185" s="12">
        <f t="shared" si="37"/>
        <v>0.23599999999999999</v>
      </c>
      <c r="Z1185" s="12">
        <f t="shared" si="38"/>
        <v>-0.31000000000000005</v>
      </c>
    </row>
    <row r="1186" spans="1:26" x14ac:dyDescent="0.2">
      <c r="A1186" s="12" t="s">
        <v>47</v>
      </c>
      <c r="B1186" s="12">
        <v>3247.875</v>
      </c>
      <c r="C1186" s="12">
        <v>50.408999999999999</v>
      </c>
      <c r="D1186" s="12">
        <v>21.692</v>
      </c>
      <c r="E1186" s="12">
        <v>2.0310000000000001</v>
      </c>
      <c r="F1186" s="12">
        <v>155.78399999999999</v>
      </c>
      <c r="G1186" s="12">
        <v>2.738</v>
      </c>
      <c r="H1186" s="12">
        <v>8.9870000000000001</v>
      </c>
      <c r="I1186" s="12">
        <v>3.331</v>
      </c>
      <c r="J1186" s="12">
        <v>460.17700000000002</v>
      </c>
      <c r="K1186" s="12">
        <v>497.38900000000001</v>
      </c>
      <c r="L1186" s="12">
        <v>0</v>
      </c>
      <c r="M1186" s="12">
        <v>0</v>
      </c>
      <c r="N1186" s="12">
        <v>100</v>
      </c>
      <c r="O1186" s="12">
        <v>0.2</v>
      </c>
      <c r="P1186" s="12">
        <v>0.42</v>
      </c>
      <c r="Q1186" s="12">
        <v>4.1000000000000002E-2</v>
      </c>
      <c r="R1186" s="12">
        <v>0.73499999999999999</v>
      </c>
      <c r="S1186" s="12">
        <v>0.46800000000000003</v>
      </c>
      <c r="U1186" s="12" t="s">
        <v>33</v>
      </c>
      <c r="V1186" s="12" t="s">
        <v>93</v>
      </c>
      <c r="W1186" s="12">
        <v>3</v>
      </c>
      <c r="Y1186" s="12">
        <f t="shared" si="37"/>
        <v>0.24100000000000002</v>
      </c>
      <c r="Z1186" s="12">
        <f t="shared" si="38"/>
        <v>-0.21999999999999997</v>
      </c>
    </row>
    <row r="1187" spans="1:26" x14ac:dyDescent="0.2">
      <c r="A1187" s="12" t="s">
        <v>47</v>
      </c>
      <c r="B1187" s="12">
        <v>3248</v>
      </c>
      <c r="C1187" s="12">
        <v>51.86</v>
      </c>
      <c r="D1187" s="12">
        <v>21.634</v>
      </c>
      <c r="E1187" s="12">
        <v>2.101</v>
      </c>
      <c r="F1187" s="12">
        <v>160.96100000000001</v>
      </c>
      <c r="G1187" s="12">
        <v>2.698</v>
      </c>
      <c r="H1187" s="12">
        <v>9.1029999999999998</v>
      </c>
      <c r="I1187" s="12">
        <v>3.2309999999999999</v>
      </c>
      <c r="J1187" s="12">
        <v>426.95699999999999</v>
      </c>
      <c r="K1187" s="12">
        <v>449.63200000000001</v>
      </c>
      <c r="L1187" s="12">
        <v>0</v>
      </c>
      <c r="M1187" s="12">
        <v>0</v>
      </c>
      <c r="N1187" s="12">
        <v>100</v>
      </c>
      <c r="O1187" s="12">
        <v>0.222</v>
      </c>
      <c r="P1187" s="12">
        <v>0.317</v>
      </c>
      <c r="Q1187" s="12">
        <v>0.13800000000000001</v>
      </c>
      <c r="R1187" s="12">
        <v>0.622</v>
      </c>
      <c r="S1187" s="12">
        <v>0.49299999999999999</v>
      </c>
      <c r="U1187" s="12" t="s">
        <v>33</v>
      </c>
      <c r="V1187" s="12" t="s">
        <v>93</v>
      </c>
      <c r="W1187" s="12">
        <v>3</v>
      </c>
      <c r="Y1187" s="12">
        <f t="shared" si="37"/>
        <v>0.36</v>
      </c>
      <c r="Z1187" s="12">
        <f t="shared" si="38"/>
        <v>-9.5000000000000001E-2</v>
      </c>
    </row>
    <row r="1188" spans="1:26" x14ac:dyDescent="0.2">
      <c r="A1188" s="12" t="s">
        <v>42</v>
      </c>
      <c r="B1188" s="12">
        <v>3929.25</v>
      </c>
      <c r="C1188" s="12">
        <v>41.921999999999997</v>
      </c>
      <c r="D1188" s="12">
        <v>22.36</v>
      </c>
      <c r="E1188" s="12">
        <v>4.3380000000000001</v>
      </c>
      <c r="F1188" s="12">
        <v>178.67400000000001</v>
      </c>
      <c r="G1188" s="12">
        <v>2.738</v>
      </c>
      <c r="H1188" s="12">
        <v>6.0650000000000004</v>
      </c>
      <c r="I1188" s="12">
        <v>3.5059999999999998</v>
      </c>
      <c r="J1188" s="12">
        <v>588.42399999999998</v>
      </c>
      <c r="K1188" s="12">
        <v>640.99</v>
      </c>
      <c r="L1188" s="12">
        <v>0.01</v>
      </c>
      <c r="M1188" s="12">
        <v>1E-3</v>
      </c>
      <c r="N1188" s="12">
        <v>100</v>
      </c>
      <c r="O1188" s="12">
        <v>0.20699999999999999</v>
      </c>
      <c r="P1188" s="12">
        <v>0.80200000000000005</v>
      </c>
      <c r="Q1188" s="12">
        <v>0.47699999999999998</v>
      </c>
      <c r="R1188" s="12">
        <v>0.51500000000000001</v>
      </c>
      <c r="S1188" s="12">
        <v>0.27700000000000002</v>
      </c>
      <c r="U1188" s="12" t="s">
        <v>22</v>
      </c>
      <c r="V1188" s="12" t="s">
        <v>93</v>
      </c>
      <c r="W1188" s="12">
        <v>2</v>
      </c>
      <c r="Y1188" s="12">
        <f t="shared" si="37"/>
        <v>0.68399999999999994</v>
      </c>
      <c r="Z1188" s="12">
        <f t="shared" ref="Z1188:Z1192" si="39">O1188-P1188</f>
        <v>-0.59500000000000008</v>
      </c>
    </row>
    <row r="1189" spans="1:26" x14ac:dyDescent="0.2">
      <c r="A1189" s="12" t="s">
        <v>42</v>
      </c>
      <c r="B1189" s="12">
        <v>3930.375</v>
      </c>
      <c r="C1189" s="12">
        <v>68.192999999999998</v>
      </c>
      <c r="D1189" s="12">
        <v>21.803000000000001</v>
      </c>
      <c r="E1189" s="12">
        <v>1.839</v>
      </c>
      <c r="F1189" s="12">
        <v>160.09800000000001</v>
      </c>
      <c r="G1189" s="12">
        <v>2.774</v>
      </c>
      <c r="H1189" s="12">
        <v>4.8369999999999997</v>
      </c>
      <c r="I1189" s="12">
        <v>3.2349999999999999</v>
      </c>
      <c r="J1189" s="12">
        <v>1230.1099999999999</v>
      </c>
      <c r="K1189" s="12">
        <v>1345.383</v>
      </c>
      <c r="L1189" s="12">
        <v>0.01</v>
      </c>
      <c r="M1189" s="12">
        <v>1E-3</v>
      </c>
      <c r="N1189" s="12">
        <v>100</v>
      </c>
      <c r="O1189" s="12">
        <v>0.48</v>
      </c>
      <c r="P1189" s="12">
        <v>0.52400000000000002</v>
      </c>
      <c r="Q1189" s="12">
        <v>0.13900000000000001</v>
      </c>
      <c r="R1189" s="12">
        <v>0.66</v>
      </c>
      <c r="S1189" s="12">
        <v>0.17399999999999999</v>
      </c>
      <c r="U1189" s="12" t="s">
        <v>33</v>
      </c>
      <c r="V1189" s="12" t="s">
        <v>93</v>
      </c>
      <c r="W1189" s="12">
        <v>3</v>
      </c>
      <c r="Y1189" s="12">
        <f t="shared" si="37"/>
        <v>0.61899999999999999</v>
      </c>
      <c r="Z1189" s="12">
        <f t="shared" si="39"/>
        <v>-4.4000000000000039E-2</v>
      </c>
    </row>
    <row r="1190" spans="1:26" x14ac:dyDescent="0.2">
      <c r="A1190" s="12" t="s">
        <v>42</v>
      </c>
      <c r="B1190" s="12">
        <v>3932.125</v>
      </c>
      <c r="C1190" s="12">
        <v>34.637</v>
      </c>
      <c r="D1190" s="12">
        <v>21.855</v>
      </c>
      <c r="E1190" s="12">
        <v>2.1030000000000002</v>
      </c>
      <c r="F1190" s="12">
        <v>161.81800000000001</v>
      </c>
      <c r="G1190" s="12">
        <v>2.8039999999999998</v>
      </c>
      <c r="H1190" s="12">
        <v>6.3079999999999998</v>
      </c>
      <c r="I1190" s="12">
        <v>3.1739999999999999</v>
      </c>
      <c r="J1190" s="12">
        <v>537.82799999999997</v>
      </c>
      <c r="K1190" s="12">
        <v>585.31600000000003</v>
      </c>
      <c r="L1190" s="12">
        <v>0.01</v>
      </c>
      <c r="M1190" s="12">
        <v>1E-3</v>
      </c>
      <c r="N1190" s="12">
        <v>100</v>
      </c>
      <c r="O1190" s="12">
        <v>0.157</v>
      </c>
      <c r="P1190" s="12">
        <v>0.45600000000000002</v>
      </c>
      <c r="Q1190" s="12">
        <v>0.14799999999999999</v>
      </c>
      <c r="R1190" s="12">
        <v>0.76300000000000001</v>
      </c>
      <c r="S1190" s="12">
        <v>0.31</v>
      </c>
      <c r="U1190" s="12" t="s">
        <v>33</v>
      </c>
      <c r="V1190" s="12" t="s">
        <v>93</v>
      </c>
      <c r="W1190" s="12">
        <v>6</v>
      </c>
      <c r="Y1190" s="12">
        <f t="shared" si="37"/>
        <v>0.30499999999999999</v>
      </c>
      <c r="Z1190" s="12">
        <f t="shared" si="39"/>
        <v>-0.29900000000000004</v>
      </c>
    </row>
    <row r="1191" spans="1:26" x14ac:dyDescent="0.2">
      <c r="A1191" s="12" t="s">
        <v>42</v>
      </c>
      <c r="B1191" s="12">
        <v>3932.25</v>
      </c>
      <c r="C1191" s="12">
        <v>42.652000000000001</v>
      </c>
      <c r="D1191" s="12">
        <v>21.91</v>
      </c>
      <c r="E1191" s="12">
        <v>2.1749999999999998</v>
      </c>
      <c r="F1191" s="12">
        <v>163.65100000000001</v>
      </c>
      <c r="G1191" s="12">
        <v>2.8079999999999998</v>
      </c>
      <c r="H1191" s="12">
        <v>6.3330000000000002</v>
      </c>
      <c r="I1191" s="12">
        <v>3.1850000000000001</v>
      </c>
      <c r="J1191" s="12">
        <v>451.327</v>
      </c>
      <c r="K1191" s="12">
        <v>491.02100000000002</v>
      </c>
      <c r="L1191" s="12">
        <v>0.01</v>
      </c>
      <c r="M1191" s="12">
        <v>1E-3</v>
      </c>
      <c r="N1191" s="12">
        <v>100</v>
      </c>
      <c r="O1191" s="12">
        <v>0.20399999999999999</v>
      </c>
      <c r="P1191" s="12">
        <v>0.47</v>
      </c>
      <c r="Q1191" s="12">
        <v>0.186</v>
      </c>
      <c r="R1191" s="12">
        <v>0.77600000000000002</v>
      </c>
      <c r="S1191" s="12">
        <v>0.312</v>
      </c>
      <c r="U1191" s="12" t="s">
        <v>33</v>
      </c>
      <c r="V1191" s="12" t="s">
        <v>93</v>
      </c>
      <c r="W1191" s="12">
        <v>6</v>
      </c>
      <c r="Y1191" s="12">
        <f t="shared" si="37"/>
        <v>0.39</v>
      </c>
      <c r="Z1191" s="12">
        <f t="shared" si="39"/>
        <v>-0.26600000000000001</v>
      </c>
    </row>
    <row r="1192" spans="1:26" x14ac:dyDescent="0.2">
      <c r="A1192" s="12" t="s">
        <v>42</v>
      </c>
      <c r="B1192" s="12">
        <v>3932.375</v>
      </c>
      <c r="C1192" s="12">
        <v>60.094000000000001</v>
      </c>
      <c r="D1192" s="12">
        <v>21.934000000000001</v>
      </c>
      <c r="E1192" s="12">
        <v>2.0459999999999998</v>
      </c>
      <c r="F1192" s="12">
        <v>164.45500000000001</v>
      </c>
      <c r="G1192" s="12">
        <v>2.8119999999999998</v>
      </c>
      <c r="H1192" s="12">
        <v>6.3650000000000002</v>
      </c>
      <c r="I1192" s="12">
        <v>3.1850000000000001</v>
      </c>
      <c r="J1192" s="12">
        <v>392.40600000000001</v>
      </c>
      <c r="K1192" s="12">
        <v>426.82799999999997</v>
      </c>
      <c r="L1192" s="12">
        <v>0.01</v>
      </c>
      <c r="M1192" s="12">
        <v>1E-3</v>
      </c>
      <c r="N1192" s="12">
        <v>100</v>
      </c>
      <c r="O1192" s="12">
        <v>0.33600000000000002</v>
      </c>
      <c r="P1192" s="12">
        <v>0.47299999999999998</v>
      </c>
      <c r="Q1192" s="12">
        <v>0.20699999999999999</v>
      </c>
      <c r="R1192" s="12">
        <v>0.79100000000000004</v>
      </c>
      <c r="S1192" s="12">
        <v>0.315</v>
      </c>
      <c r="U1192" s="12" t="s">
        <v>33</v>
      </c>
      <c r="V1192" s="12" t="s">
        <v>93</v>
      </c>
      <c r="W1192" s="12">
        <v>6</v>
      </c>
      <c r="Y1192" s="12">
        <f t="shared" si="37"/>
        <v>0.54300000000000004</v>
      </c>
      <c r="Z1192" s="12">
        <f t="shared" si="39"/>
        <v>-0.13699999999999996</v>
      </c>
    </row>
    <row r="1193" spans="1:26" x14ac:dyDescent="0.2">
      <c r="A1193" s="14" t="s">
        <v>74</v>
      </c>
      <c r="B1193" s="14">
        <v>3800.25</v>
      </c>
      <c r="C1193" s="14">
        <v>53.250999999999998</v>
      </c>
      <c r="D1193" s="14">
        <v>22.738</v>
      </c>
      <c r="E1193" s="14">
        <v>4.0259999999999998</v>
      </c>
      <c r="F1193" s="14">
        <v>169.61699999999999</v>
      </c>
      <c r="G1193" s="14">
        <v>2.7490000000000001</v>
      </c>
      <c r="H1193" s="14">
        <v>8.8670000000000009</v>
      </c>
      <c r="I1193" s="14">
        <v>4.2990000000000004</v>
      </c>
      <c r="J1193" s="14">
        <v>190.155</v>
      </c>
      <c r="K1193" s="14">
        <v>201.334</v>
      </c>
      <c r="L1193" s="14">
        <v>3.4729999999999999</v>
      </c>
      <c r="M1193" s="14">
        <v>4.5629999999999997</v>
      </c>
      <c r="N1193" s="14">
        <v>26.891999999999999</v>
      </c>
      <c r="O1193" s="14">
        <v>0.255</v>
      </c>
      <c r="P1193" s="14">
        <v>0.73599999999999999</v>
      </c>
      <c r="Q1193" s="14">
        <v>0.11</v>
      </c>
      <c r="R1193" s="14">
        <v>0.56000000000000005</v>
      </c>
      <c r="S1193" s="14">
        <v>0.34</v>
      </c>
      <c r="T1193" s="14"/>
      <c r="U1193" s="14" t="s">
        <v>22</v>
      </c>
      <c r="V1193" s="14" t="s">
        <v>93</v>
      </c>
      <c r="W1193" s="14">
        <v>2</v>
      </c>
      <c r="X1193" s="14" t="s">
        <v>85</v>
      </c>
      <c r="Y1193" s="12">
        <f t="shared" si="37"/>
        <v>0.36499999999999999</v>
      </c>
      <c r="Z1193" s="14">
        <v>-0.48099999999999998</v>
      </c>
    </row>
    <row r="1194" spans="1:26" x14ac:dyDescent="0.2">
      <c r="A1194" s="14" t="s">
        <v>74</v>
      </c>
      <c r="B1194" s="14">
        <v>3800.375</v>
      </c>
      <c r="C1194" s="14">
        <v>36.49</v>
      </c>
      <c r="D1194" s="14">
        <v>22.698</v>
      </c>
      <c r="E1194" s="14">
        <v>2.794</v>
      </c>
      <c r="F1194" s="14">
        <v>166.11500000000001</v>
      </c>
      <c r="G1194" s="14">
        <v>2.7450000000000001</v>
      </c>
      <c r="H1194" s="14">
        <v>8.4480000000000004</v>
      </c>
      <c r="I1194" s="14">
        <v>4.3209999999999997</v>
      </c>
      <c r="J1194" s="14">
        <v>164.57900000000001</v>
      </c>
      <c r="K1194" s="14">
        <v>173.49600000000001</v>
      </c>
      <c r="L1194" s="14">
        <v>3.657</v>
      </c>
      <c r="M1194" s="14">
        <v>5.9630000000000001</v>
      </c>
      <c r="N1194" s="14">
        <v>26.885999999999999</v>
      </c>
      <c r="O1194" s="14">
        <v>0.13700000000000001</v>
      </c>
      <c r="P1194" s="14">
        <v>0.74299999999999999</v>
      </c>
      <c r="Q1194" s="14">
        <v>0.08</v>
      </c>
      <c r="R1194" s="14">
        <v>0.54800000000000004</v>
      </c>
      <c r="S1194" s="14">
        <v>0.314</v>
      </c>
      <c r="T1194" s="14" t="s">
        <v>23</v>
      </c>
      <c r="U1194" s="14" t="s">
        <v>22</v>
      </c>
      <c r="V1194" s="14" t="s">
        <v>93</v>
      </c>
      <c r="W1194" s="14">
        <v>2</v>
      </c>
      <c r="X1194" s="14" t="s">
        <v>85</v>
      </c>
      <c r="Y1194" s="12">
        <f t="shared" si="37"/>
        <v>0.21700000000000003</v>
      </c>
      <c r="Z1194" s="14">
        <v>-0.60599999999999998</v>
      </c>
    </row>
    <row r="1195" spans="1:26" x14ac:dyDescent="0.2">
      <c r="A1195" s="14" t="s">
        <v>74</v>
      </c>
      <c r="B1195" s="14">
        <v>3800.5</v>
      </c>
      <c r="C1195" s="14">
        <v>24.994</v>
      </c>
      <c r="D1195" s="14">
        <v>22.658999999999999</v>
      </c>
      <c r="E1195" s="14">
        <v>2.194</v>
      </c>
      <c r="F1195" s="14">
        <v>165.316</v>
      </c>
      <c r="G1195" s="14">
        <v>2.7330000000000001</v>
      </c>
      <c r="H1195" s="14">
        <v>8.1389999999999993</v>
      </c>
      <c r="I1195" s="14">
        <v>4.3259999999999996</v>
      </c>
      <c r="J1195" s="14">
        <v>132.291</v>
      </c>
      <c r="K1195" s="14">
        <v>137.072</v>
      </c>
      <c r="L1195" s="14">
        <v>3.8210000000000002</v>
      </c>
      <c r="M1195" s="14">
        <v>7.4850000000000003</v>
      </c>
      <c r="N1195" s="14">
        <v>26.474</v>
      </c>
      <c r="O1195" s="14">
        <v>0.06</v>
      </c>
      <c r="P1195" s="14">
        <v>0.72499999999999998</v>
      </c>
      <c r="Q1195" s="14">
        <v>7.5999999999999998E-2</v>
      </c>
      <c r="R1195" s="14">
        <v>0.52</v>
      </c>
      <c r="S1195" s="14">
        <v>0.29899999999999999</v>
      </c>
      <c r="T1195" s="14" t="s">
        <v>23</v>
      </c>
      <c r="U1195" s="14" t="s">
        <v>22</v>
      </c>
      <c r="V1195" s="14" t="s">
        <v>93</v>
      </c>
      <c r="W1195" s="14">
        <v>2</v>
      </c>
      <c r="X1195" s="14" t="s">
        <v>85</v>
      </c>
      <c r="Y1195" s="12">
        <f t="shared" si="37"/>
        <v>0.13600000000000001</v>
      </c>
      <c r="Z1195" s="14">
        <v>-0.66500000000000004</v>
      </c>
    </row>
    <row r="1196" spans="1:26" x14ac:dyDescent="0.2">
      <c r="A1196" s="14" t="s">
        <v>74</v>
      </c>
      <c r="B1196" s="14">
        <v>3800.625</v>
      </c>
      <c r="C1196" s="14">
        <v>19.866</v>
      </c>
      <c r="D1196" s="14">
        <v>22.619</v>
      </c>
      <c r="E1196" s="14">
        <v>2.0910000000000002</v>
      </c>
      <c r="F1196" s="14">
        <v>166.422</v>
      </c>
      <c r="G1196" s="14">
        <v>2.7160000000000002</v>
      </c>
      <c r="H1196" s="14">
        <v>8.2989999999999995</v>
      </c>
      <c r="I1196" s="14">
        <v>4.0449999999999999</v>
      </c>
      <c r="J1196" s="14">
        <v>106.18300000000001</v>
      </c>
      <c r="K1196" s="14">
        <v>106.858</v>
      </c>
      <c r="L1196" s="14">
        <v>4.26</v>
      </c>
      <c r="M1196" s="14">
        <v>13.157999999999999</v>
      </c>
      <c r="N1196" s="14">
        <v>25.262</v>
      </c>
      <c r="O1196" s="14">
        <v>2.7E-2</v>
      </c>
      <c r="P1196" s="14">
        <v>0.6</v>
      </c>
      <c r="Q1196" s="14">
        <v>8.6999999999999994E-2</v>
      </c>
      <c r="R1196" s="14">
        <v>0.48399999999999999</v>
      </c>
      <c r="S1196" s="14">
        <v>0.316</v>
      </c>
      <c r="T1196" s="14" t="s">
        <v>23</v>
      </c>
      <c r="U1196" s="14" t="s">
        <v>22</v>
      </c>
      <c r="V1196" s="14" t="s">
        <v>93</v>
      </c>
      <c r="W1196" s="14">
        <v>2</v>
      </c>
      <c r="X1196" s="14" t="s">
        <v>85</v>
      </c>
      <c r="Y1196" s="12">
        <f t="shared" si="37"/>
        <v>0.11399999999999999</v>
      </c>
      <c r="Z1196" s="14">
        <v>-0.57299999999999995</v>
      </c>
    </row>
    <row r="1197" spans="1:26" x14ac:dyDescent="0.2">
      <c r="A1197" s="14" t="s">
        <v>74</v>
      </c>
      <c r="B1197" s="14">
        <v>3800.75</v>
      </c>
      <c r="C1197" s="14">
        <v>18.227</v>
      </c>
      <c r="D1197" s="14">
        <v>22.577000000000002</v>
      </c>
      <c r="E1197" s="14">
        <v>2.1280000000000001</v>
      </c>
      <c r="F1197" s="14">
        <v>167.29499999999999</v>
      </c>
      <c r="G1197" s="14">
        <v>2.7029999999999998</v>
      </c>
      <c r="H1197" s="14">
        <v>8.9610000000000003</v>
      </c>
      <c r="I1197" s="14">
        <v>3.5630000000000002</v>
      </c>
      <c r="J1197" s="14">
        <v>89.600999999999999</v>
      </c>
      <c r="K1197" s="14">
        <v>87.134</v>
      </c>
      <c r="L1197" s="14">
        <v>5.3090000000000002</v>
      </c>
      <c r="M1197" s="14">
        <v>41.171999999999997</v>
      </c>
      <c r="N1197" s="14">
        <v>21.66</v>
      </c>
      <c r="O1197" s="14">
        <v>1.7000000000000001E-2</v>
      </c>
      <c r="P1197" s="14">
        <v>0.41499999999999998</v>
      </c>
      <c r="Q1197" s="14">
        <v>9.4E-2</v>
      </c>
      <c r="R1197" s="14">
        <v>0.45800000000000002</v>
      </c>
      <c r="S1197" s="14">
        <v>0.36099999999999999</v>
      </c>
      <c r="T1197" s="14" t="s">
        <v>23</v>
      </c>
      <c r="U1197" s="14" t="s">
        <v>22</v>
      </c>
      <c r="V1197" s="14" t="s">
        <v>93</v>
      </c>
      <c r="W1197" s="14">
        <v>2</v>
      </c>
      <c r="X1197" s="14" t="s">
        <v>85</v>
      </c>
      <c r="Y1197" s="12">
        <f t="shared" si="37"/>
        <v>0.111</v>
      </c>
      <c r="Z1197" s="14">
        <v>-0.39799999999999996</v>
      </c>
    </row>
    <row r="1198" spans="1:26" x14ac:dyDescent="0.2">
      <c r="A1198" s="14" t="s">
        <v>74</v>
      </c>
      <c r="B1198" s="14">
        <v>3800.875</v>
      </c>
      <c r="C1198" s="14">
        <v>17.873000000000001</v>
      </c>
      <c r="D1198" s="14">
        <v>22.542999999999999</v>
      </c>
      <c r="E1198" s="14">
        <v>2.105</v>
      </c>
      <c r="F1198" s="14">
        <v>167.352</v>
      </c>
      <c r="G1198" s="14">
        <v>2.698</v>
      </c>
      <c r="H1198" s="14">
        <v>9.7330000000000005</v>
      </c>
      <c r="I1198" s="14">
        <v>3.1339999999999999</v>
      </c>
      <c r="J1198" s="14">
        <v>81.61</v>
      </c>
      <c r="K1198" s="14">
        <v>76.784000000000006</v>
      </c>
      <c r="L1198" s="14">
        <v>6.0709999999999997</v>
      </c>
      <c r="M1198" s="14">
        <v>82.474999999999994</v>
      </c>
      <c r="N1198" s="14">
        <v>19.536000000000001</v>
      </c>
      <c r="O1198" s="14">
        <v>1.4999999999999999E-2</v>
      </c>
      <c r="P1198" s="14">
        <v>0.26400000000000001</v>
      </c>
      <c r="Q1198" s="14">
        <v>9.2999999999999999E-2</v>
      </c>
      <c r="R1198" s="14">
        <v>0.44900000000000001</v>
      </c>
      <c r="S1198" s="14">
        <v>0.40699999999999997</v>
      </c>
      <c r="T1198" s="14" t="s">
        <v>23</v>
      </c>
      <c r="U1198" s="14" t="s">
        <v>22</v>
      </c>
      <c r="V1198" s="14" t="s">
        <v>93</v>
      </c>
      <c r="W1198" s="14">
        <v>2</v>
      </c>
      <c r="X1198" s="14" t="s">
        <v>85</v>
      </c>
      <c r="Y1198" s="12">
        <f t="shared" si="37"/>
        <v>0.108</v>
      </c>
      <c r="Z1198" s="14">
        <v>-0.249</v>
      </c>
    </row>
    <row r="1199" spans="1:26" x14ac:dyDescent="0.2">
      <c r="A1199" s="14" t="s">
        <v>74</v>
      </c>
      <c r="B1199" s="14">
        <v>3801</v>
      </c>
      <c r="C1199" s="14">
        <v>17.861999999999998</v>
      </c>
      <c r="D1199" s="14">
        <v>22.524999999999999</v>
      </c>
      <c r="E1199" s="14">
        <v>2.0390000000000001</v>
      </c>
      <c r="F1199" s="14">
        <v>166.59299999999999</v>
      </c>
      <c r="G1199" s="14">
        <v>2.698</v>
      </c>
      <c r="H1199" s="14">
        <v>10.002000000000001</v>
      </c>
      <c r="I1199" s="14">
        <v>2.948</v>
      </c>
      <c r="J1199" s="14">
        <v>81.358000000000004</v>
      </c>
      <c r="K1199" s="14">
        <v>74.519000000000005</v>
      </c>
      <c r="L1199" s="14">
        <v>6.1340000000000003</v>
      </c>
      <c r="M1199" s="14">
        <v>86.972999999999999</v>
      </c>
      <c r="N1199" s="14">
        <v>20.265999999999998</v>
      </c>
      <c r="O1199" s="14">
        <v>1.4999999999999999E-2</v>
      </c>
      <c r="P1199" s="14">
        <v>0.20799999999999999</v>
      </c>
      <c r="Q1199" s="14">
        <v>8.4000000000000005E-2</v>
      </c>
      <c r="R1199" s="14">
        <v>0.45100000000000001</v>
      </c>
      <c r="S1199" s="14">
        <v>0.42</v>
      </c>
      <c r="T1199" s="14" t="s">
        <v>23</v>
      </c>
      <c r="U1199" s="14" t="s">
        <v>22</v>
      </c>
      <c r="V1199" s="14" t="s">
        <v>93</v>
      </c>
      <c r="W1199" s="14">
        <v>2</v>
      </c>
      <c r="X1199" s="14" t="s">
        <v>85</v>
      </c>
      <c r="Y1199" s="12">
        <f t="shared" si="37"/>
        <v>9.9000000000000005E-2</v>
      </c>
      <c r="Z1199" s="14">
        <v>-0.193</v>
      </c>
    </row>
    <row r="1200" spans="1:26" x14ac:dyDescent="0.2">
      <c r="A1200" s="14" t="s">
        <v>74</v>
      </c>
      <c r="B1200" s="14">
        <v>3801.125</v>
      </c>
      <c r="C1200" s="14">
        <v>18.143000000000001</v>
      </c>
      <c r="D1200" s="14">
        <v>22.52</v>
      </c>
      <c r="E1200" s="14">
        <v>1.952</v>
      </c>
      <c r="F1200" s="14">
        <v>165.26400000000001</v>
      </c>
      <c r="G1200" s="14">
        <v>2.7029999999999998</v>
      </c>
      <c r="H1200" s="14">
        <v>9.8369999999999997</v>
      </c>
      <c r="I1200" s="14">
        <v>3</v>
      </c>
      <c r="J1200" s="14">
        <v>84.710999999999999</v>
      </c>
      <c r="K1200" s="14">
        <v>75.911000000000001</v>
      </c>
      <c r="L1200" s="14">
        <v>6.04</v>
      </c>
      <c r="M1200" s="14">
        <v>80.337999999999994</v>
      </c>
      <c r="N1200" s="14">
        <v>21.323</v>
      </c>
      <c r="O1200" s="14">
        <v>1.7000000000000001E-2</v>
      </c>
      <c r="P1200" s="14">
        <v>0.24199999999999999</v>
      </c>
      <c r="Q1200" s="14">
        <v>7.0000000000000007E-2</v>
      </c>
      <c r="R1200" s="14">
        <v>0.46600000000000003</v>
      </c>
      <c r="S1200" s="14">
        <v>0.40799999999999997</v>
      </c>
      <c r="T1200" s="14" t="s">
        <v>23</v>
      </c>
      <c r="U1200" s="14" t="s">
        <v>22</v>
      </c>
      <c r="V1200" s="14" t="s">
        <v>93</v>
      </c>
      <c r="W1200" s="14">
        <v>2</v>
      </c>
      <c r="X1200" s="14" t="s">
        <v>85</v>
      </c>
      <c r="Y1200" s="12">
        <f t="shared" si="37"/>
        <v>8.7000000000000008E-2</v>
      </c>
      <c r="Z1200" s="14">
        <v>-0.22499999999999998</v>
      </c>
    </row>
    <row r="1201" spans="1:26" x14ac:dyDescent="0.2">
      <c r="A1201" s="14" t="s">
        <v>74</v>
      </c>
      <c r="B1201" s="14">
        <v>3801.25</v>
      </c>
      <c r="C1201" s="14">
        <v>18.626000000000001</v>
      </c>
      <c r="D1201" s="14">
        <v>22.521000000000001</v>
      </c>
      <c r="E1201" s="14">
        <v>1.847</v>
      </c>
      <c r="F1201" s="14">
        <v>163.59800000000001</v>
      </c>
      <c r="G1201" s="14">
        <v>2.7170000000000001</v>
      </c>
      <c r="H1201" s="14">
        <v>9.5660000000000007</v>
      </c>
      <c r="I1201" s="14">
        <v>3.238</v>
      </c>
      <c r="J1201" s="14">
        <v>88.805000000000007</v>
      </c>
      <c r="K1201" s="14">
        <v>78.183000000000007</v>
      </c>
      <c r="L1201" s="14">
        <v>5.9039999999999999</v>
      </c>
      <c r="M1201" s="14">
        <v>71.378</v>
      </c>
      <c r="N1201" s="14">
        <v>22.126000000000001</v>
      </c>
      <c r="O1201" s="14">
        <v>0.02</v>
      </c>
      <c r="P1201" s="14">
        <v>0.33300000000000002</v>
      </c>
      <c r="Q1201" s="14">
        <v>5.3999999999999999E-2</v>
      </c>
      <c r="R1201" s="14">
        <v>0.5</v>
      </c>
      <c r="S1201" s="14">
        <v>0.39100000000000001</v>
      </c>
      <c r="T1201" s="14" t="s">
        <v>23</v>
      </c>
      <c r="U1201" s="14" t="s">
        <v>22</v>
      </c>
      <c r="V1201" s="14" t="s">
        <v>93</v>
      </c>
      <c r="W1201" s="14">
        <v>2</v>
      </c>
      <c r="X1201" s="14" t="s">
        <v>85</v>
      </c>
      <c r="Y1201" s="12">
        <f t="shared" si="37"/>
        <v>7.3999999999999996E-2</v>
      </c>
      <c r="Z1201" s="14">
        <v>-0.313</v>
      </c>
    </row>
    <row r="1202" spans="1:26" x14ac:dyDescent="0.2">
      <c r="A1202" s="14" t="s">
        <v>74</v>
      </c>
      <c r="B1202" s="14">
        <v>3802.25</v>
      </c>
      <c r="C1202" s="14">
        <v>16.998000000000001</v>
      </c>
      <c r="D1202" s="14">
        <v>22.536999999999999</v>
      </c>
      <c r="E1202" s="14">
        <v>1.4419999999999999</v>
      </c>
      <c r="F1202" s="14">
        <v>164.298</v>
      </c>
      <c r="G1202" s="14">
        <v>2.7349999999999999</v>
      </c>
      <c r="H1202" s="14">
        <v>10.170999999999999</v>
      </c>
      <c r="I1202" s="14">
        <v>3.5390000000000001</v>
      </c>
      <c r="J1202" s="14">
        <v>91.715999999999994</v>
      </c>
      <c r="K1202" s="14">
        <v>86.495000000000005</v>
      </c>
      <c r="L1202" s="14">
        <v>6.0940000000000003</v>
      </c>
      <c r="M1202" s="14">
        <v>84.11</v>
      </c>
      <c r="N1202" s="14">
        <v>18.417000000000002</v>
      </c>
      <c r="O1202" s="14">
        <v>8.0000000000000002E-3</v>
      </c>
      <c r="P1202" s="14">
        <v>0.438</v>
      </c>
      <c r="Q1202" s="14">
        <v>6.2E-2</v>
      </c>
      <c r="R1202" s="14">
        <v>0.53400000000000003</v>
      </c>
      <c r="S1202" s="14">
        <v>0.43</v>
      </c>
      <c r="T1202" s="14" t="s">
        <v>23</v>
      </c>
      <c r="U1202" s="14" t="s">
        <v>22</v>
      </c>
      <c r="V1202" s="14" t="s">
        <v>93</v>
      </c>
      <c r="W1202" s="14">
        <v>4</v>
      </c>
      <c r="X1202" s="14" t="s">
        <v>85</v>
      </c>
      <c r="Y1202" s="12">
        <f t="shared" si="37"/>
        <v>7.0000000000000007E-2</v>
      </c>
      <c r="Z1202" s="14">
        <v>-0.43</v>
      </c>
    </row>
    <row r="1203" spans="1:26" x14ac:dyDescent="0.2">
      <c r="A1203" s="14" t="s">
        <v>74</v>
      </c>
      <c r="B1203" s="14">
        <v>3802.375</v>
      </c>
      <c r="C1203" s="14">
        <v>17.048999999999999</v>
      </c>
      <c r="D1203" s="14">
        <v>22.54</v>
      </c>
      <c r="E1203" s="14">
        <v>1.516</v>
      </c>
      <c r="F1203" s="14">
        <v>163.24600000000001</v>
      </c>
      <c r="G1203" s="14">
        <v>2.7429999999999999</v>
      </c>
      <c r="H1203" s="14">
        <v>9.9209999999999994</v>
      </c>
      <c r="I1203" s="14">
        <v>3.5579999999999998</v>
      </c>
      <c r="J1203" s="14">
        <v>100.191</v>
      </c>
      <c r="K1203" s="14">
        <v>98.006</v>
      </c>
      <c r="L1203" s="14">
        <v>5.2370000000000001</v>
      </c>
      <c r="M1203" s="14">
        <v>38.359000000000002</v>
      </c>
      <c r="N1203" s="14">
        <v>19.559999999999999</v>
      </c>
      <c r="O1203" s="14">
        <v>8.9999999999999993E-3</v>
      </c>
      <c r="P1203" s="14">
        <v>0.44600000000000001</v>
      </c>
      <c r="Q1203" s="14">
        <v>5.0999999999999997E-2</v>
      </c>
      <c r="R1203" s="14">
        <v>0.55300000000000005</v>
      </c>
      <c r="S1203" s="14">
        <v>0.41299999999999998</v>
      </c>
      <c r="T1203" s="14" t="s">
        <v>23</v>
      </c>
      <c r="U1203" s="14" t="s">
        <v>22</v>
      </c>
      <c r="V1203" s="14" t="s">
        <v>93</v>
      </c>
      <c r="W1203" s="14">
        <v>4</v>
      </c>
      <c r="X1203" s="14" t="s">
        <v>85</v>
      </c>
      <c r="Y1203" s="12">
        <f t="shared" si="37"/>
        <v>0.06</v>
      </c>
      <c r="Z1203" s="14">
        <v>-0.437</v>
      </c>
    </row>
    <row r="1204" spans="1:26" x14ac:dyDescent="0.2">
      <c r="A1204" s="14" t="s">
        <v>74</v>
      </c>
      <c r="B1204" s="14">
        <v>3802.5</v>
      </c>
      <c r="C1204" s="14">
        <v>17.832000000000001</v>
      </c>
      <c r="D1204" s="14">
        <v>22.547999999999998</v>
      </c>
      <c r="E1204" s="14">
        <v>1.6459999999999999</v>
      </c>
      <c r="F1204" s="14">
        <v>162.16900000000001</v>
      </c>
      <c r="G1204" s="14">
        <v>2.7530000000000001</v>
      </c>
      <c r="H1204" s="14">
        <v>9.6059999999999999</v>
      </c>
      <c r="I1204" s="14">
        <v>3.5859999999999999</v>
      </c>
      <c r="J1204" s="14">
        <v>114.102</v>
      </c>
      <c r="K1204" s="14">
        <v>115.98399999999999</v>
      </c>
      <c r="L1204" s="14">
        <v>4.992</v>
      </c>
      <c r="M1204" s="14">
        <v>29.9</v>
      </c>
      <c r="N1204" s="14">
        <v>18.376000000000001</v>
      </c>
      <c r="O1204" s="14">
        <v>1.6E-2</v>
      </c>
      <c r="P1204" s="14">
        <v>0.45700000000000002</v>
      </c>
      <c r="Q1204" s="14">
        <v>0.04</v>
      </c>
      <c r="R1204" s="14">
        <v>0.57599999999999996</v>
      </c>
      <c r="S1204" s="14">
        <v>0.39200000000000002</v>
      </c>
      <c r="T1204" s="14" t="s">
        <v>23</v>
      </c>
      <c r="U1204" s="14" t="s">
        <v>22</v>
      </c>
      <c r="V1204" s="14" t="s">
        <v>93</v>
      </c>
      <c r="W1204" s="14">
        <v>4</v>
      </c>
      <c r="X1204" s="14" t="s">
        <v>85</v>
      </c>
      <c r="Y1204" s="12">
        <f t="shared" si="37"/>
        <v>5.6000000000000001E-2</v>
      </c>
      <c r="Z1204" s="14">
        <v>-0.441</v>
      </c>
    </row>
    <row r="1205" spans="1:26" x14ac:dyDescent="0.2">
      <c r="A1205" s="14" t="s">
        <v>74</v>
      </c>
      <c r="B1205" s="14">
        <v>3802.625</v>
      </c>
      <c r="C1205" s="14">
        <v>18.838000000000001</v>
      </c>
      <c r="D1205" s="14">
        <v>22.56</v>
      </c>
      <c r="E1205" s="14">
        <v>1.8340000000000001</v>
      </c>
      <c r="F1205" s="14">
        <v>160.80699999999999</v>
      </c>
      <c r="G1205" s="14">
        <v>2.766</v>
      </c>
      <c r="H1205" s="14">
        <v>9.3149999999999995</v>
      </c>
      <c r="I1205" s="14">
        <v>3.6120000000000001</v>
      </c>
      <c r="J1205" s="14">
        <v>133.16200000000001</v>
      </c>
      <c r="K1205" s="14">
        <v>140.416</v>
      </c>
      <c r="L1205" s="14">
        <v>4.8289999999999997</v>
      </c>
      <c r="M1205" s="14">
        <v>25.173999999999999</v>
      </c>
      <c r="N1205" s="14">
        <v>17.876999999999999</v>
      </c>
      <c r="O1205" s="14">
        <v>2.3E-2</v>
      </c>
      <c r="P1205" s="14">
        <v>0.46100000000000002</v>
      </c>
      <c r="Q1205" s="14">
        <v>2.7E-2</v>
      </c>
      <c r="R1205" s="14">
        <v>0.60399999999999998</v>
      </c>
      <c r="S1205" s="14">
        <v>0.374</v>
      </c>
      <c r="T1205" s="14" t="s">
        <v>23</v>
      </c>
      <c r="U1205" s="14" t="s">
        <v>22</v>
      </c>
      <c r="V1205" s="14" t="s">
        <v>93</v>
      </c>
      <c r="W1205" s="14">
        <v>4</v>
      </c>
      <c r="X1205" s="14" t="s">
        <v>85</v>
      </c>
      <c r="Y1205" s="12">
        <f t="shared" si="37"/>
        <v>0.05</v>
      </c>
      <c r="Z1205" s="14">
        <v>-0.438</v>
      </c>
    </row>
    <row r="1206" spans="1:26" x14ac:dyDescent="0.2">
      <c r="A1206" s="14" t="s">
        <v>74</v>
      </c>
      <c r="B1206" s="14">
        <v>3802.75</v>
      </c>
      <c r="C1206" s="14">
        <v>19.782</v>
      </c>
      <c r="D1206" s="14">
        <v>22.574000000000002</v>
      </c>
      <c r="E1206" s="14">
        <v>2.0409999999999999</v>
      </c>
      <c r="F1206" s="14">
        <v>159.547</v>
      </c>
      <c r="G1206" s="14">
        <v>2.7770000000000001</v>
      </c>
      <c r="H1206" s="14">
        <v>9.1999999999999993</v>
      </c>
      <c r="I1206" s="14">
        <v>3.5630000000000002</v>
      </c>
      <c r="J1206" s="14">
        <v>154.90700000000001</v>
      </c>
      <c r="K1206" s="14">
        <v>168.83600000000001</v>
      </c>
      <c r="L1206" s="14">
        <v>3.8450000000000002</v>
      </c>
      <c r="M1206" s="14">
        <v>7.7350000000000003</v>
      </c>
      <c r="N1206" s="14">
        <v>19.716000000000001</v>
      </c>
      <c r="O1206" s="14">
        <v>0.03</v>
      </c>
      <c r="P1206" s="14">
        <v>0.438</v>
      </c>
      <c r="Q1206" s="14">
        <v>1.4E-2</v>
      </c>
      <c r="R1206" s="14">
        <v>0.626</v>
      </c>
      <c r="S1206" s="14">
        <v>0.36799999999999999</v>
      </c>
      <c r="T1206" s="14" t="s">
        <v>23</v>
      </c>
      <c r="U1206" s="14" t="s">
        <v>22</v>
      </c>
      <c r="V1206" s="14" t="s">
        <v>93</v>
      </c>
      <c r="W1206" s="14">
        <v>4</v>
      </c>
      <c r="X1206" s="14" t="s">
        <v>85</v>
      </c>
      <c r="Y1206" s="12">
        <f t="shared" si="37"/>
        <v>4.3999999999999997E-2</v>
      </c>
      <c r="Z1206" s="14">
        <v>-0.40800000000000003</v>
      </c>
    </row>
    <row r="1207" spans="1:26" x14ac:dyDescent="0.2">
      <c r="A1207" s="14" t="s">
        <v>74</v>
      </c>
      <c r="B1207" s="14">
        <v>3802.875</v>
      </c>
      <c r="C1207" s="14">
        <v>20.675000000000001</v>
      </c>
      <c r="D1207" s="14">
        <v>22.58</v>
      </c>
      <c r="E1207" s="14">
        <v>2.1859999999999999</v>
      </c>
      <c r="F1207" s="14">
        <v>158.483</v>
      </c>
      <c r="G1207" s="14">
        <v>2.7829999999999999</v>
      </c>
      <c r="H1207" s="14">
        <v>9.2379999999999995</v>
      </c>
      <c r="I1207" s="14">
        <v>3.452</v>
      </c>
      <c r="J1207" s="14">
        <v>175.31200000000001</v>
      </c>
      <c r="K1207" s="14">
        <v>196.42099999999999</v>
      </c>
      <c r="L1207" s="14">
        <v>3.7280000000000002</v>
      </c>
      <c r="M1207" s="14">
        <v>6.5880000000000001</v>
      </c>
      <c r="N1207" s="14">
        <v>19.079000000000001</v>
      </c>
      <c r="O1207" s="14">
        <v>3.5999999999999997E-2</v>
      </c>
      <c r="P1207" s="14">
        <v>0.39600000000000002</v>
      </c>
      <c r="Q1207" s="14">
        <v>5.0000000000000001E-3</v>
      </c>
      <c r="R1207" s="14">
        <v>0.63800000000000001</v>
      </c>
      <c r="S1207" s="14">
        <v>0.371</v>
      </c>
      <c r="T1207" s="14" t="s">
        <v>23</v>
      </c>
      <c r="U1207" s="14" t="s">
        <v>22</v>
      </c>
      <c r="V1207" s="14" t="s">
        <v>93</v>
      </c>
      <c r="W1207" s="14">
        <v>4</v>
      </c>
      <c r="X1207" s="14" t="s">
        <v>85</v>
      </c>
      <c r="Y1207" s="12">
        <f t="shared" si="37"/>
        <v>4.0999999999999995E-2</v>
      </c>
      <c r="Z1207" s="14">
        <v>-0.36000000000000004</v>
      </c>
    </row>
    <row r="1208" spans="1:26" x14ac:dyDescent="0.2">
      <c r="A1208" s="14" t="s">
        <v>74</v>
      </c>
      <c r="B1208" s="14">
        <v>3805.25</v>
      </c>
      <c r="C1208" s="14">
        <v>18.998000000000001</v>
      </c>
      <c r="D1208" s="14">
        <v>22.898</v>
      </c>
      <c r="E1208" s="14">
        <v>2.8090000000000002</v>
      </c>
      <c r="F1208" s="14">
        <v>161.221</v>
      </c>
      <c r="G1208" s="14">
        <v>2.7269999999999999</v>
      </c>
      <c r="H1208" s="14">
        <v>6.117</v>
      </c>
      <c r="I1208" s="14">
        <v>3.7290000000000001</v>
      </c>
      <c r="J1208" s="14">
        <v>303.91899999999998</v>
      </c>
      <c r="K1208" s="14">
        <v>305.29300000000001</v>
      </c>
      <c r="L1208" s="14">
        <v>0.01</v>
      </c>
      <c r="M1208" s="14">
        <v>1E-3</v>
      </c>
      <c r="N1208" s="14">
        <v>100</v>
      </c>
      <c r="O1208" s="14">
        <v>1.9E-2</v>
      </c>
      <c r="P1208" s="14">
        <v>0.51400000000000001</v>
      </c>
      <c r="Q1208" s="14">
        <v>2.9000000000000001E-2</v>
      </c>
      <c r="R1208" s="14">
        <v>0.51900000000000002</v>
      </c>
      <c r="S1208" s="14">
        <v>0.16200000000000001</v>
      </c>
      <c r="T1208" s="14"/>
      <c r="U1208" s="14" t="s">
        <v>33</v>
      </c>
      <c r="V1208" s="14" t="s">
        <v>93</v>
      </c>
      <c r="W1208" s="14">
        <v>8</v>
      </c>
      <c r="X1208" s="14" t="s">
        <v>85</v>
      </c>
      <c r="Y1208" s="12">
        <f t="shared" si="37"/>
        <v>4.8000000000000001E-2</v>
      </c>
      <c r="Z1208" s="14">
        <v>-0.495</v>
      </c>
    </row>
    <row r="1209" spans="1:26" x14ac:dyDescent="0.2">
      <c r="A1209" s="14" t="s">
        <v>74</v>
      </c>
      <c r="B1209" s="14">
        <v>3805.375</v>
      </c>
      <c r="C1209" s="14">
        <v>16.201000000000001</v>
      </c>
      <c r="D1209" s="14">
        <v>22.952999999999999</v>
      </c>
      <c r="E1209" s="14">
        <v>2.2040000000000002</v>
      </c>
      <c r="F1209" s="14">
        <v>158.91999999999999</v>
      </c>
      <c r="G1209" s="14">
        <v>2.7410000000000001</v>
      </c>
      <c r="H1209" s="14">
        <v>6.234</v>
      </c>
      <c r="I1209" s="14">
        <v>3.7669999999999999</v>
      </c>
      <c r="J1209" s="14">
        <v>270.07400000000001</v>
      </c>
      <c r="K1209" s="14">
        <v>262.32299999999998</v>
      </c>
      <c r="L1209" s="14">
        <v>0.01</v>
      </c>
      <c r="M1209" s="14">
        <v>1E-3</v>
      </c>
      <c r="N1209" s="14">
        <v>100</v>
      </c>
      <c r="O1209" s="14">
        <v>2E-3</v>
      </c>
      <c r="P1209" s="14">
        <v>0.53200000000000003</v>
      </c>
      <c r="Q1209" s="14">
        <v>1.4999999999999999E-2</v>
      </c>
      <c r="R1209" s="14">
        <v>0.53900000000000003</v>
      </c>
      <c r="S1209" s="14">
        <v>0.17199999999999999</v>
      </c>
      <c r="T1209" s="14"/>
      <c r="U1209" s="14" t="s">
        <v>33</v>
      </c>
      <c r="V1209" s="14" t="s">
        <v>93</v>
      </c>
      <c r="W1209" s="14">
        <v>8</v>
      </c>
      <c r="X1209" s="14" t="s">
        <v>85</v>
      </c>
      <c r="Y1209" s="12">
        <f t="shared" si="37"/>
        <v>1.7000000000000001E-2</v>
      </c>
      <c r="Z1209" s="14">
        <v>-0.53</v>
      </c>
    </row>
    <row r="1210" spans="1:26" x14ac:dyDescent="0.2">
      <c r="A1210" s="14" t="s">
        <v>74</v>
      </c>
      <c r="B1210" s="14">
        <v>3805.5</v>
      </c>
      <c r="C1210" s="14">
        <v>15.919</v>
      </c>
      <c r="D1210" s="14">
        <v>22.98</v>
      </c>
      <c r="E1210" s="14">
        <v>2.0630000000000002</v>
      </c>
      <c r="F1210" s="14">
        <v>161.458</v>
      </c>
      <c r="G1210" s="14">
        <v>2.7290000000000001</v>
      </c>
      <c r="H1210" s="14">
        <v>6.5220000000000002</v>
      </c>
      <c r="I1210" s="14">
        <v>3.8479999999999999</v>
      </c>
      <c r="J1210" s="14">
        <v>246.352</v>
      </c>
      <c r="K1210" s="14">
        <v>233.39099999999999</v>
      </c>
      <c r="L1210" s="14">
        <v>0.01</v>
      </c>
      <c r="M1210" s="14">
        <v>1E-3</v>
      </c>
      <c r="N1210" s="14">
        <v>100</v>
      </c>
      <c r="O1210" s="14">
        <v>3.0000000000000001E-3</v>
      </c>
      <c r="P1210" s="14">
        <v>0.56799999999999995</v>
      </c>
      <c r="Q1210" s="14">
        <v>4.3999999999999997E-2</v>
      </c>
      <c r="R1210" s="14">
        <v>0.51300000000000001</v>
      </c>
      <c r="S1210" s="14">
        <v>0.192</v>
      </c>
      <c r="T1210" s="14"/>
      <c r="U1210" s="14" t="s">
        <v>33</v>
      </c>
      <c r="V1210" s="14" t="s">
        <v>93</v>
      </c>
      <c r="W1210" s="14">
        <v>8</v>
      </c>
      <c r="X1210" s="14" t="s">
        <v>85</v>
      </c>
      <c r="Y1210" s="12">
        <f t="shared" si="37"/>
        <v>4.7E-2</v>
      </c>
      <c r="Z1210" s="14">
        <v>-0.56499999999999995</v>
      </c>
    </row>
    <row r="1211" spans="1:26" x14ac:dyDescent="0.2">
      <c r="A1211" s="14" t="s">
        <v>74</v>
      </c>
      <c r="B1211" s="14">
        <v>3805.625</v>
      </c>
      <c r="C1211" s="14">
        <v>17.992999999999999</v>
      </c>
      <c r="D1211" s="14">
        <v>23.004000000000001</v>
      </c>
      <c r="E1211" s="14">
        <v>1.8819999999999999</v>
      </c>
      <c r="F1211" s="14">
        <v>166.12</v>
      </c>
      <c r="G1211" s="14">
        <v>2.718</v>
      </c>
      <c r="H1211" s="14">
        <v>6.8339999999999996</v>
      </c>
      <c r="I1211" s="14">
        <v>3.996</v>
      </c>
      <c r="J1211" s="14">
        <v>238.14599999999999</v>
      </c>
      <c r="K1211" s="14">
        <v>222.875</v>
      </c>
      <c r="L1211" s="14">
        <v>0.01</v>
      </c>
      <c r="M1211" s="14">
        <v>1E-3</v>
      </c>
      <c r="N1211" s="14">
        <v>100</v>
      </c>
      <c r="O1211" s="14">
        <v>2.1999999999999999E-2</v>
      </c>
      <c r="P1211" s="14">
        <v>0.625</v>
      </c>
      <c r="Q1211" s="14">
        <v>0.09</v>
      </c>
      <c r="R1211" s="14">
        <v>0.499</v>
      </c>
      <c r="S1211" s="14">
        <v>0.21</v>
      </c>
      <c r="T1211" s="14"/>
      <c r="U1211" s="14" t="s">
        <v>33</v>
      </c>
      <c r="V1211" s="14" t="s">
        <v>93</v>
      </c>
      <c r="W1211" s="14">
        <v>8</v>
      </c>
      <c r="X1211" s="14" t="s">
        <v>85</v>
      </c>
      <c r="Y1211" s="12">
        <f t="shared" si="37"/>
        <v>0.11199999999999999</v>
      </c>
      <c r="Z1211" s="14">
        <v>-0.60299999999999998</v>
      </c>
    </row>
    <row r="1212" spans="1:26" x14ac:dyDescent="0.2">
      <c r="A1212" s="14" t="s">
        <v>74</v>
      </c>
      <c r="B1212" s="14">
        <v>3807.25</v>
      </c>
      <c r="C1212" s="14">
        <v>42.308999999999997</v>
      </c>
      <c r="D1212" s="14">
        <v>23.91</v>
      </c>
      <c r="E1212" s="14">
        <v>2.8820000000000001</v>
      </c>
      <c r="F1212" s="14">
        <v>159.06899999999999</v>
      </c>
      <c r="G1212" s="14">
        <v>2.8730000000000002</v>
      </c>
      <c r="H1212" s="14">
        <v>9.452</v>
      </c>
      <c r="I1212" s="14">
        <v>3.2280000000000002</v>
      </c>
      <c r="J1212" s="14">
        <v>460.81</v>
      </c>
      <c r="K1212" s="14">
        <v>397.01100000000002</v>
      </c>
      <c r="L1212" s="14">
        <v>0.01</v>
      </c>
      <c r="M1212" s="14">
        <v>1E-3</v>
      </c>
      <c r="N1212" s="14">
        <v>100</v>
      </c>
      <c r="O1212" s="14">
        <v>0.188</v>
      </c>
      <c r="P1212" s="14">
        <v>0.312</v>
      </c>
      <c r="Q1212" s="14">
        <v>1.2E-2</v>
      </c>
      <c r="R1212" s="14">
        <v>0.83499999999999996</v>
      </c>
      <c r="S1212" s="14">
        <v>0.38100000000000001</v>
      </c>
      <c r="T1212" s="14"/>
      <c r="U1212" s="14" t="s">
        <v>33</v>
      </c>
      <c r="V1212" s="14" t="s">
        <v>93</v>
      </c>
      <c r="W1212" s="14">
        <v>11</v>
      </c>
      <c r="X1212" s="14" t="s">
        <v>85</v>
      </c>
      <c r="Y1212" s="12">
        <f t="shared" si="37"/>
        <v>0.2</v>
      </c>
      <c r="Z1212" s="14">
        <v>-0.124</v>
      </c>
    </row>
    <row r="1213" spans="1:26" x14ac:dyDescent="0.2">
      <c r="A1213" s="14" t="s">
        <v>74</v>
      </c>
      <c r="B1213" s="14">
        <v>3807.375</v>
      </c>
      <c r="C1213" s="14">
        <v>36.1</v>
      </c>
      <c r="D1213" s="14">
        <v>23.876999999999999</v>
      </c>
      <c r="E1213" s="14">
        <v>2.355</v>
      </c>
      <c r="F1213" s="14">
        <v>159.53299999999999</v>
      </c>
      <c r="G1213" s="14">
        <v>2.8740000000000001</v>
      </c>
      <c r="H1213" s="14">
        <v>9.1140000000000008</v>
      </c>
      <c r="I1213" s="14">
        <v>3.2</v>
      </c>
      <c r="J1213" s="14">
        <v>500.95699999999999</v>
      </c>
      <c r="K1213" s="14">
        <v>420.637</v>
      </c>
      <c r="L1213" s="14">
        <v>0.01</v>
      </c>
      <c r="M1213" s="14">
        <v>1E-3</v>
      </c>
      <c r="N1213" s="14">
        <v>100</v>
      </c>
      <c r="O1213" s="14">
        <v>0.14599999999999999</v>
      </c>
      <c r="P1213" s="14">
        <v>0.30099999999999999</v>
      </c>
      <c r="Q1213" s="14">
        <v>2.8000000000000001E-2</v>
      </c>
      <c r="R1213" s="14">
        <v>0.83499999999999996</v>
      </c>
      <c r="S1213" s="14">
        <v>0.35199999999999998</v>
      </c>
      <c r="T1213" s="14"/>
      <c r="U1213" s="14" t="s">
        <v>33</v>
      </c>
      <c r="V1213" s="14" t="s">
        <v>93</v>
      </c>
      <c r="W1213" s="14">
        <v>11</v>
      </c>
      <c r="X1213" s="14" t="s">
        <v>85</v>
      </c>
      <c r="Y1213" s="12">
        <f t="shared" si="37"/>
        <v>0.17399999999999999</v>
      </c>
      <c r="Z1213" s="14">
        <v>-0.155</v>
      </c>
    </row>
    <row r="1214" spans="1:26" x14ac:dyDescent="0.2">
      <c r="A1214" s="14" t="s">
        <v>74</v>
      </c>
      <c r="B1214" s="14">
        <v>3807.5</v>
      </c>
      <c r="C1214" s="14">
        <v>33.438000000000002</v>
      </c>
      <c r="D1214" s="14">
        <v>23.86</v>
      </c>
      <c r="E1214" s="14">
        <v>2.08</v>
      </c>
      <c r="F1214" s="14">
        <v>166.124</v>
      </c>
      <c r="G1214" s="14">
        <v>2.8690000000000002</v>
      </c>
      <c r="H1214" s="14">
        <v>8.2449999999999992</v>
      </c>
      <c r="I1214" s="14">
        <v>3.1680000000000001</v>
      </c>
      <c r="J1214" s="14">
        <v>469.61900000000003</v>
      </c>
      <c r="K1214" s="14">
        <v>385.23599999999999</v>
      </c>
      <c r="L1214" s="14">
        <v>0.01</v>
      </c>
      <c r="M1214" s="14">
        <v>1E-3</v>
      </c>
      <c r="N1214" s="14">
        <v>100</v>
      </c>
      <c r="O1214" s="14">
        <v>0.13500000000000001</v>
      </c>
      <c r="P1214" s="14">
        <v>0.29099999999999998</v>
      </c>
      <c r="Q1214" s="14">
        <v>0.112</v>
      </c>
      <c r="R1214" s="14">
        <v>0.81899999999999995</v>
      </c>
      <c r="S1214" s="14">
        <v>0.29699999999999999</v>
      </c>
      <c r="T1214" s="14"/>
      <c r="U1214" s="14" t="s">
        <v>33</v>
      </c>
      <c r="V1214" s="14" t="s">
        <v>93</v>
      </c>
      <c r="W1214" s="14">
        <v>11</v>
      </c>
      <c r="X1214" s="14" t="s">
        <v>85</v>
      </c>
      <c r="Y1214" s="12">
        <f t="shared" si="37"/>
        <v>0.247</v>
      </c>
      <c r="Z1214" s="14">
        <v>-0.15599999999999997</v>
      </c>
    </row>
    <row r="1215" spans="1:26" x14ac:dyDescent="0.2">
      <c r="A1215" s="14" t="s">
        <v>74</v>
      </c>
      <c r="B1215" s="14">
        <v>3807.625</v>
      </c>
      <c r="C1215" s="14">
        <v>36.718000000000004</v>
      </c>
      <c r="D1215" s="14">
        <v>23.826000000000001</v>
      </c>
      <c r="E1215" s="14">
        <v>2.0459999999999998</v>
      </c>
      <c r="F1215" s="14">
        <v>182.71</v>
      </c>
      <c r="G1215" s="14">
        <v>2.851</v>
      </c>
      <c r="H1215" s="14">
        <v>7.72</v>
      </c>
      <c r="I1215" s="14">
        <v>3.1760000000000002</v>
      </c>
      <c r="J1215" s="14">
        <v>361.23099999999999</v>
      </c>
      <c r="K1215" s="14">
        <v>290.26499999999999</v>
      </c>
      <c r="L1215" s="14">
        <v>0.01</v>
      </c>
      <c r="M1215" s="14">
        <v>1E-3</v>
      </c>
      <c r="N1215" s="14">
        <v>100</v>
      </c>
      <c r="O1215" s="14">
        <v>0.16700000000000001</v>
      </c>
      <c r="P1215" s="14">
        <v>0.30499999999999999</v>
      </c>
      <c r="Q1215" s="14">
        <v>0.28599999999999998</v>
      </c>
      <c r="R1215" s="14">
        <v>0.77400000000000002</v>
      </c>
      <c r="S1215" s="14">
        <v>0.27100000000000002</v>
      </c>
      <c r="T1215" s="14"/>
      <c r="U1215" s="14" t="s">
        <v>33</v>
      </c>
      <c r="V1215" s="14" t="s">
        <v>93</v>
      </c>
      <c r="W1215" s="14">
        <v>11</v>
      </c>
      <c r="X1215" s="14" t="s">
        <v>85</v>
      </c>
      <c r="Y1215" s="12">
        <f t="shared" si="37"/>
        <v>0.45299999999999996</v>
      </c>
      <c r="Z1215" s="14">
        <v>-0.13799999999999998</v>
      </c>
    </row>
    <row r="1216" spans="1:26" x14ac:dyDescent="0.2">
      <c r="A1216" s="14" t="s">
        <v>75</v>
      </c>
      <c r="B1216" s="14">
        <v>3877</v>
      </c>
      <c r="C1216" s="14">
        <v>40.325000000000003</v>
      </c>
      <c r="D1216" s="14">
        <v>21.433</v>
      </c>
      <c r="E1216" s="14">
        <v>1.8440000000000001</v>
      </c>
      <c r="F1216" s="14">
        <v>159.40100000000001</v>
      </c>
      <c r="G1216" s="14">
        <v>2.7970000000000002</v>
      </c>
      <c r="H1216" s="14">
        <v>7.2380000000000004</v>
      </c>
      <c r="I1216" s="14">
        <v>3.351</v>
      </c>
      <c r="J1216" s="14">
        <v>300.53199999999998</v>
      </c>
      <c r="K1216" s="14">
        <v>333.92399999999998</v>
      </c>
      <c r="L1216" s="14">
        <v>0</v>
      </c>
      <c r="M1216" s="14">
        <v>0</v>
      </c>
      <c r="N1216" s="14">
        <v>100</v>
      </c>
      <c r="O1216" s="14">
        <v>0.22</v>
      </c>
      <c r="P1216" s="14">
        <v>0.32600000000000001</v>
      </c>
      <c r="Q1216" s="14">
        <v>5.7000000000000002E-2</v>
      </c>
      <c r="R1216" s="14">
        <v>0.83599999999999997</v>
      </c>
      <c r="S1216" s="14">
        <v>0.16200000000000001</v>
      </c>
      <c r="T1216" s="14"/>
      <c r="U1216" s="14" t="s">
        <v>33</v>
      </c>
      <c r="V1216" s="14" t="s">
        <v>92</v>
      </c>
      <c r="W1216" s="14">
        <v>11</v>
      </c>
      <c r="X1216" s="14" t="s">
        <v>85</v>
      </c>
      <c r="Y1216" s="12">
        <f t="shared" si="37"/>
        <v>0.27700000000000002</v>
      </c>
      <c r="Z1216" s="14">
        <v>-0.10600000000000001</v>
      </c>
    </row>
    <row r="1217" spans="1:27" x14ac:dyDescent="0.2">
      <c r="A1217" s="14" t="s">
        <v>75</v>
      </c>
      <c r="B1217" s="14">
        <v>3877.125</v>
      </c>
      <c r="C1217" s="14">
        <v>31.186</v>
      </c>
      <c r="D1217" s="14">
        <v>21.395</v>
      </c>
      <c r="E1217" s="14">
        <v>2.0259999999999998</v>
      </c>
      <c r="F1217" s="14">
        <v>155.55600000000001</v>
      </c>
      <c r="G1217" s="14">
        <v>2.7989999999999999</v>
      </c>
      <c r="H1217" s="14">
        <v>6.407</v>
      </c>
      <c r="I1217" s="14">
        <v>3.3679999999999999</v>
      </c>
      <c r="J1217" s="14">
        <v>400.78500000000003</v>
      </c>
      <c r="K1217" s="14">
        <v>445.31599999999997</v>
      </c>
      <c r="L1217" s="14">
        <v>0</v>
      </c>
      <c r="M1217" s="14">
        <v>0</v>
      </c>
      <c r="N1217" s="14">
        <v>100</v>
      </c>
      <c r="O1217" s="14">
        <v>0.154</v>
      </c>
      <c r="P1217" s="14">
        <v>0.33500000000000002</v>
      </c>
      <c r="Q1217" s="14">
        <v>1.2E-2</v>
      </c>
      <c r="R1217" s="14">
        <v>0.84699999999999998</v>
      </c>
      <c r="S1217" s="14">
        <v>9.4E-2</v>
      </c>
      <c r="T1217" s="14"/>
      <c r="U1217" s="14" t="s">
        <v>33</v>
      </c>
      <c r="V1217" s="14" t="s">
        <v>92</v>
      </c>
      <c r="W1217" s="14">
        <v>11</v>
      </c>
      <c r="X1217" s="14" t="s">
        <v>85</v>
      </c>
      <c r="Y1217" s="12">
        <f t="shared" si="37"/>
        <v>0.16600000000000001</v>
      </c>
      <c r="Z1217" s="14">
        <v>-0.18100000000000002</v>
      </c>
    </row>
    <row r="1218" spans="1:27" x14ac:dyDescent="0.2">
      <c r="A1218" s="14" t="s">
        <v>75</v>
      </c>
      <c r="B1218" s="14">
        <v>3877.25</v>
      </c>
      <c r="C1218" s="14">
        <v>30.463000000000001</v>
      </c>
      <c r="D1218" s="14">
        <v>21.388000000000002</v>
      </c>
      <c r="E1218" s="14">
        <v>2.202</v>
      </c>
      <c r="F1218" s="14">
        <v>155.553</v>
      </c>
      <c r="G1218" s="14">
        <v>2.8010000000000002</v>
      </c>
      <c r="H1218" s="14">
        <v>6.1360000000000001</v>
      </c>
      <c r="I1218" s="14">
        <v>3.3849999999999998</v>
      </c>
      <c r="J1218" s="14">
        <v>456.42700000000002</v>
      </c>
      <c r="K1218" s="14">
        <v>507.142</v>
      </c>
      <c r="L1218" s="14">
        <v>0</v>
      </c>
      <c r="M1218" s="14">
        <v>0</v>
      </c>
      <c r="N1218" s="14">
        <v>100</v>
      </c>
      <c r="O1218" s="14">
        <v>0.16800000000000001</v>
      </c>
      <c r="P1218" s="14">
        <v>0.34499999999999997</v>
      </c>
      <c r="Q1218" s="14">
        <v>3.6999999999999998E-2</v>
      </c>
      <c r="R1218" s="14">
        <v>0.85099999999999998</v>
      </c>
      <c r="S1218" s="14">
        <v>8.8999999999999996E-2</v>
      </c>
      <c r="T1218" s="14"/>
      <c r="U1218" s="14" t="s">
        <v>33</v>
      </c>
      <c r="V1218" s="14" t="s">
        <v>92</v>
      </c>
      <c r="W1218" s="14">
        <v>11</v>
      </c>
      <c r="X1218" s="14" t="s">
        <v>85</v>
      </c>
      <c r="Y1218" s="12">
        <f t="shared" si="37"/>
        <v>0.20500000000000002</v>
      </c>
      <c r="Z1218" s="14">
        <v>-0.17699999999999996</v>
      </c>
    </row>
    <row r="1219" spans="1:27" x14ac:dyDescent="0.2">
      <c r="A1219" s="14" t="s">
        <v>75</v>
      </c>
      <c r="B1219" s="14">
        <v>3877.375</v>
      </c>
      <c r="C1219" s="14">
        <v>37.238</v>
      </c>
      <c r="D1219" s="14">
        <v>21.404</v>
      </c>
      <c r="E1219" s="14">
        <v>2.7389999999999999</v>
      </c>
      <c r="F1219" s="14">
        <v>160.96</v>
      </c>
      <c r="G1219" s="14">
        <v>2.798</v>
      </c>
      <c r="H1219" s="14">
        <v>6.6449999999999996</v>
      </c>
      <c r="I1219" s="14">
        <v>3.403</v>
      </c>
      <c r="J1219" s="14">
        <v>422.30900000000003</v>
      </c>
      <c r="K1219" s="14">
        <v>469.23200000000003</v>
      </c>
      <c r="L1219" s="14">
        <v>0</v>
      </c>
      <c r="M1219" s="14">
        <v>0</v>
      </c>
      <c r="N1219" s="14">
        <v>100</v>
      </c>
      <c r="O1219" s="14">
        <v>0.254</v>
      </c>
      <c r="P1219" s="14">
        <v>0.35899999999999999</v>
      </c>
      <c r="Q1219" s="14">
        <v>0.14199999999999999</v>
      </c>
      <c r="R1219" s="14">
        <v>0.82499999999999996</v>
      </c>
      <c r="S1219" s="14">
        <v>0.155</v>
      </c>
      <c r="T1219" s="14"/>
      <c r="U1219" s="14" t="s">
        <v>33</v>
      </c>
      <c r="V1219" s="14" t="s">
        <v>92</v>
      </c>
      <c r="W1219" s="14">
        <v>11</v>
      </c>
      <c r="X1219" s="14" t="s">
        <v>85</v>
      </c>
      <c r="Y1219" s="12">
        <f t="shared" ref="Y1219:Y1282" si="40">O1219+Q1219</f>
        <v>0.39600000000000002</v>
      </c>
      <c r="Z1219" s="14">
        <v>-0.10499999999999998</v>
      </c>
    </row>
    <row r="1220" spans="1:27" x14ac:dyDescent="0.2">
      <c r="A1220" s="14" t="s">
        <v>75</v>
      </c>
      <c r="B1220" s="14">
        <v>3877.5</v>
      </c>
      <c r="C1220" s="14">
        <v>50.991999999999997</v>
      </c>
      <c r="D1220" s="14">
        <v>21.446999999999999</v>
      </c>
      <c r="E1220" s="14">
        <v>3.6019999999999999</v>
      </c>
      <c r="F1220" s="14">
        <v>170.041</v>
      </c>
      <c r="G1220" s="14">
        <v>2.79</v>
      </c>
      <c r="H1220" s="14">
        <v>7.6420000000000003</v>
      </c>
      <c r="I1220" s="14">
        <v>3.4420000000000002</v>
      </c>
      <c r="J1220" s="14">
        <v>322.053</v>
      </c>
      <c r="K1220" s="14">
        <v>357.83699999999999</v>
      </c>
      <c r="L1220" s="14">
        <v>0</v>
      </c>
      <c r="M1220" s="14">
        <v>0</v>
      </c>
      <c r="N1220" s="14">
        <v>100</v>
      </c>
      <c r="O1220" s="14">
        <v>0.4</v>
      </c>
      <c r="P1220" s="14">
        <v>0.38400000000000001</v>
      </c>
      <c r="Q1220" s="14">
        <v>0.28599999999999998</v>
      </c>
      <c r="R1220" s="14">
        <v>0.77</v>
      </c>
      <c r="S1220" s="14">
        <v>0.26800000000000002</v>
      </c>
      <c r="T1220" s="14"/>
      <c r="U1220" s="14" t="s">
        <v>33</v>
      </c>
      <c r="V1220" s="14" t="s">
        <v>92</v>
      </c>
      <c r="W1220" s="14">
        <v>11</v>
      </c>
      <c r="X1220" s="14" t="s">
        <v>85</v>
      </c>
      <c r="Y1220" s="12">
        <f t="shared" si="40"/>
        <v>0.68599999999999994</v>
      </c>
      <c r="Z1220" s="14">
        <v>1.6000000000000014E-2</v>
      </c>
    </row>
    <row r="1221" spans="1:27" x14ac:dyDescent="0.2">
      <c r="A1221" s="14" t="s">
        <v>75</v>
      </c>
      <c r="B1221" s="14">
        <v>3877.875</v>
      </c>
      <c r="C1221" s="14">
        <v>84.287999999999997</v>
      </c>
      <c r="D1221" s="14">
        <v>21.658000000000001</v>
      </c>
      <c r="E1221" s="14">
        <v>4.7370000000000001</v>
      </c>
      <c r="F1221" s="14">
        <v>185.11799999999999</v>
      </c>
      <c r="G1221" s="14">
        <v>2.7589999999999999</v>
      </c>
      <c r="H1221" s="14">
        <v>10.282999999999999</v>
      </c>
      <c r="I1221" s="14">
        <v>3.669</v>
      </c>
      <c r="J1221" s="14">
        <v>134.54900000000001</v>
      </c>
      <c r="K1221" s="14">
        <v>149.499</v>
      </c>
      <c r="L1221" s="14">
        <v>0</v>
      </c>
      <c r="M1221" s="14">
        <v>0</v>
      </c>
      <c r="N1221" s="14">
        <v>100</v>
      </c>
      <c r="O1221" s="14">
        <v>0.65600000000000003</v>
      </c>
      <c r="P1221" s="14">
        <v>0.51800000000000002</v>
      </c>
      <c r="Q1221" s="14">
        <v>0.47699999999999998</v>
      </c>
      <c r="R1221" s="14">
        <v>0.61799999999999999</v>
      </c>
      <c r="S1221" s="14">
        <v>0.47699999999999998</v>
      </c>
      <c r="T1221" s="14"/>
      <c r="U1221" s="14" t="s">
        <v>33</v>
      </c>
      <c r="V1221" s="14" t="s">
        <v>92</v>
      </c>
      <c r="W1221" s="14">
        <v>14</v>
      </c>
      <c r="X1221" s="14" t="s">
        <v>85</v>
      </c>
      <c r="Y1221" s="12">
        <f t="shared" si="40"/>
        <v>1.133</v>
      </c>
      <c r="Z1221" s="14">
        <v>0.13800000000000001</v>
      </c>
    </row>
    <row r="1222" spans="1:27" x14ac:dyDescent="0.2">
      <c r="A1222" s="14" t="s">
        <v>75</v>
      </c>
      <c r="B1222" s="14">
        <v>3878</v>
      </c>
      <c r="C1222" s="14">
        <v>76.903000000000006</v>
      </c>
      <c r="D1222" s="14">
        <v>21.675000000000001</v>
      </c>
      <c r="E1222" s="14">
        <v>4.59</v>
      </c>
      <c r="F1222" s="14">
        <v>181.821</v>
      </c>
      <c r="G1222" s="14">
        <v>2.762</v>
      </c>
      <c r="H1222" s="14">
        <v>9.6999999999999993</v>
      </c>
      <c r="I1222" s="14">
        <v>3.7810000000000001</v>
      </c>
      <c r="J1222" s="14">
        <v>128.49799999999999</v>
      </c>
      <c r="K1222" s="14">
        <v>142.77600000000001</v>
      </c>
      <c r="L1222" s="14">
        <v>0</v>
      </c>
      <c r="M1222" s="14">
        <v>0</v>
      </c>
      <c r="N1222" s="14">
        <v>100</v>
      </c>
      <c r="O1222" s="14">
        <v>0.57899999999999996</v>
      </c>
      <c r="P1222" s="14">
        <v>0.57699999999999996</v>
      </c>
      <c r="Q1222" s="14">
        <v>0.41</v>
      </c>
      <c r="R1222" s="14">
        <v>0.64</v>
      </c>
      <c r="S1222" s="14">
        <v>0.42599999999999999</v>
      </c>
      <c r="T1222" s="14"/>
      <c r="U1222" s="14" t="s">
        <v>33</v>
      </c>
      <c r="V1222" s="14" t="s">
        <v>92</v>
      </c>
      <c r="W1222" s="14">
        <v>14</v>
      </c>
      <c r="X1222" s="14" t="s">
        <v>85</v>
      </c>
      <c r="Y1222" s="12">
        <f t="shared" si="40"/>
        <v>0.98899999999999988</v>
      </c>
      <c r="Z1222" s="14">
        <v>2.0000000000000018E-3</v>
      </c>
    </row>
    <row r="1223" spans="1:27" x14ac:dyDescent="0.2">
      <c r="A1223" s="14" t="s">
        <v>75</v>
      </c>
      <c r="B1223" s="14">
        <v>3878.625</v>
      </c>
      <c r="C1223" s="14">
        <v>71.289000000000001</v>
      </c>
      <c r="D1223" s="14">
        <v>21.606999999999999</v>
      </c>
      <c r="E1223" s="14">
        <v>5.3159999999999998</v>
      </c>
      <c r="F1223" s="14">
        <v>173.98</v>
      </c>
      <c r="G1223" s="14">
        <v>2.7519999999999998</v>
      </c>
      <c r="H1223" s="14">
        <v>10.227</v>
      </c>
      <c r="I1223" s="14">
        <v>4.3479999999999999</v>
      </c>
      <c r="J1223" s="14">
        <v>177.709</v>
      </c>
      <c r="K1223" s="14">
        <v>197.45400000000001</v>
      </c>
      <c r="L1223" s="14">
        <v>0</v>
      </c>
      <c r="M1223" s="14">
        <v>0</v>
      </c>
      <c r="N1223" s="14">
        <v>100</v>
      </c>
      <c r="O1223" s="14">
        <v>0.55700000000000005</v>
      </c>
      <c r="P1223" s="14">
        <v>0.91400000000000003</v>
      </c>
      <c r="Q1223" s="14">
        <v>0.32800000000000001</v>
      </c>
      <c r="R1223" s="14">
        <v>0.54400000000000004</v>
      </c>
      <c r="S1223" s="14">
        <v>0.47399999999999998</v>
      </c>
      <c r="T1223" s="14"/>
      <c r="U1223" s="14" t="s">
        <v>33</v>
      </c>
      <c r="V1223" s="14" t="s">
        <v>94</v>
      </c>
      <c r="W1223" s="14">
        <v>16</v>
      </c>
      <c r="X1223" s="14" t="s">
        <v>85</v>
      </c>
      <c r="Y1223" s="12">
        <f t="shared" si="40"/>
        <v>0.88500000000000001</v>
      </c>
      <c r="Z1223" s="14">
        <v>-0.35699999999999998</v>
      </c>
    </row>
    <row r="1224" spans="1:27" x14ac:dyDescent="0.2">
      <c r="A1224" s="14" t="s">
        <v>75</v>
      </c>
      <c r="B1224" s="14">
        <v>3878.75</v>
      </c>
      <c r="C1224" s="14">
        <v>74.168000000000006</v>
      </c>
      <c r="D1224" s="14">
        <v>21.684000000000001</v>
      </c>
      <c r="E1224" s="14">
        <v>5.5919999999999996</v>
      </c>
      <c r="F1224" s="14">
        <v>177.37299999999999</v>
      </c>
      <c r="G1224" s="14">
        <v>2.7349999999999999</v>
      </c>
      <c r="H1224" s="14">
        <v>9.7349999999999994</v>
      </c>
      <c r="I1224" s="14">
        <v>4.5650000000000004</v>
      </c>
      <c r="J1224" s="14">
        <v>171.084</v>
      </c>
      <c r="K1224" s="14">
        <v>190.09399999999999</v>
      </c>
      <c r="L1224" s="14">
        <v>0</v>
      </c>
      <c r="M1224" s="14">
        <v>0</v>
      </c>
      <c r="N1224" s="14">
        <v>100</v>
      </c>
      <c r="O1224" s="14">
        <v>0.57399999999999995</v>
      </c>
      <c r="P1224" s="14">
        <v>0.98699999999999999</v>
      </c>
      <c r="Q1224" s="14">
        <v>0.36799999999999999</v>
      </c>
      <c r="R1224" s="14">
        <v>0.45900000000000002</v>
      </c>
      <c r="S1224" s="14">
        <v>0.40799999999999997</v>
      </c>
      <c r="T1224" s="14"/>
      <c r="U1224" s="14" t="s">
        <v>33</v>
      </c>
      <c r="V1224" s="14" t="s">
        <v>94</v>
      </c>
      <c r="W1224" s="14">
        <v>16</v>
      </c>
      <c r="X1224" s="14" t="s">
        <v>85</v>
      </c>
      <c r="Y1224" s="12">
        <f t="shared" si="40"/>
        <v>0.94199999999999995</v>
      </c>
      <c r="Z1224" s="14">
        <v>-0.41300000000000003</v>
      </c>
    </row>
    <row r="1225" spans="1:27" x14ac:dyDescent="0.2">
      <c r="A1225" s="14" t="s">
        <v>75</v>
      </c>
      <c r="B1225" s="14">
        <v>3878.875</v>
      </c>
      <c r="C1225" s="14">
        <v>73.099000000000004</v>
      </c>
      <c r="D1225" s="14">
        <v>21.777000000000001</v>
      </c>
      <c r="E1225" s="14">
        <v>5.5720000000000001</v>
      </c>
      <c r="F1225" s="14">
        <v>177.61699999999999</v>
      </c>
      <c r="G1225" s="14">
        <v>2.726</v>
      </c>
      <c r="H1225" s="14">
        <v>8.673</v>
      </c>
      <c r="I1225" s="14">
        <v>4.4829999999999997</v>
      </c>
      <c r="J1225" s="14">
        <v>172.81700000000001</v>
      </c>
      <c r="K1225" s="14">
        <v>192.02</v>
      </c>
      <c r="L1225" s="14">
        <v>0</v>
      </c>
      <c r="M1225" s="14">
        <v>0</v>
      </c>
      <c r="N1225" s="14">
        <v>100</v>
      </c>
      <c r="O1225" s="14">
        <v>0.54500000000000004</v>
      </c>
      <c r="P1225" s="14">
        <v>0.90700000000000003</v>
      </c>
      <c r="Q1225" s="14">
        <v>0.36</v>
      </c>
      <c r="R1225" s="14">
        <v>0.432</v>
      </c>
      <c r="S1225" s="14">
        <v>0.309</v>
      </c>
      <c r="T1225" s="14"/>
      <c r="U1225" s="14" t="s">
        <v>33</v>
      </c>
      <c r="V1225" s="14" t="s">
        <v>94</v>
      </c>
      <c r="W1225" s="14">
        <v>16</v>
      </c>
      <c r="X1225" s="14" t="s">
        <v>85</v>
      </c>
      <c r="Y1225" s="12">
        <f t="shared" si="40"/>
        <v>0.90500000000000003</v>
      </c>
      <c r="Z1225" s="14">
        <v>-0.36199999999999999</v>
      </c>
    </row>
    <row r="1226" spans="1:27" x14ac:dyDescent="0.2">
      <c r="A1226" s="14" t="s">
        <v>75</v>
      </c>
      <c r="B1226" s="14">
        <v>3879.375</v>
      </c>
      <c r="C1226" s="14">
        <v>36.061</v>
      </c>
      <c r="D1226" s="14">
        <v>21.879000000000001</v>
      </c>
      <c r="E1226" s="14">
        <v>2.1280000000000001</v>
      </c>
      <c r="F1226" s="14">
        <v>165.05799999999999</v>
      </c>
      <c r="G1226" s="14">
        <v>2.7869999999999999</v>
      </c>
      <c r="H1226" s="14">
        <v>11.680999999999999</v>
      </c>
      <c r="I1226" s="14">
        <v>3.4929999999999999</v>
      </c>
      <c r="J1226" s="14">
        <v>237.64500000000001</v>
      </c>
      <c r="K1226" s="14">
        <v>264.04899999999998</v>
      </c>
      <c r="L1226" s="14">
        <v>0</v>
      </c>
      <c r="M1226" s="14">
        <v>0</v>
      </c>
      <c r="N1226" s="14">
        <v>100</v>
      </c>
      <c r="O1226" s="14">
        <v>0.216</v>
      </c>
      <c r="P1226" s="14">
        <v>0.379</v>
      </c>
      <c r="Q1226" s="14">
        <v>0.18099999999999999</v>
      </c>
      <c r="R1226" s="14">
        <v>0.79800000000000004</v>
      </c>
      <c r="S1226" s="14">
        <v>0.66600000000000004</v>
      </c>
      <c r="T1226" s="14"/>
      <c r="U1226" s="14" t="s">
        <v>33</v>
      </c>
      <c r="V1226" s="14" t="s">
        <v>92</v>
      </c>
      <c r="W1226" s="14">
        <v>19</v>
      </c>
      <c r="X1226" s="14" t="s">
        <v>85</v>
      </c>
      <c r="Y1226" s="12">
        <f t="shared" si="40"/>
        <v>0.39700000000000002</v>
      </c>
      <c r="Z1226" s="14">
        <v>-0.16300000000000001</v>
      </c>
    </row>
    <row r="1227" spans="1:27" x14ac:dyDescent="0.2">
      <c r="A1227" s="14" t="s">
        <v>75</v>
      </c>
      <c r="B1227" s="14">
        <v>3879.5</v>
      </c>
      <c r="C1227" s="14">
        <v>40.365000000000002</v>
      </c>
      <c r="D1227" s="14">
        <v>21.805</v>
      </c>
      <c r="E1227" s="14">
        <v>2.2040000000000002</v>
      </c>
      <c r="F1227" s="14">
        <v>168.21</v>
      </c>
      <c r="G1227" s="14">
        <v>2.8010000000000002</v>
      </c>
      <c r="H1227" s="14">
        <v>12.736000000000001</v>
      </c>
      <c r="I1227" s="14">
        <v>3.347</v>
      </c>
      <c r="J1227" s="14">
        <v>243.25299999999999</v>
      </c>
      <c r="K1227" s="14">
        <v>270.28100000000001</v>
      </c>
      <c r="L1227" s="14">
        <v>0</v>
      </c>
      <c r="M1227" s="14">
        <v>0</v>
      </c>
      <c r="N1227" s="14">
        <v>100</v>
      </c>
      <c r="O1227" s="14">
        <v>0.27700000000000002</v>
      </c>
      <c r="P1227" s="14">
        <v>0.30499999999999999</v>
      </c>
      <c r="Q1227" s="14">
        <v>0.25</v>
      </c>
      <c r="R1227" s="14">
        <v>0.86</v>
      </c>
      <c r="S1227" s="14">
        <v>0.747</v>
      </c>
      <c r="T1227" s="14"/>
      <c r="U1227" s="14" t="s">
        <v>33</v>
      </c>
      <c r="V1227" s="14" t="s">
        <v>92</v>
      </c>
      <c r="W1227" s="14">
        <v>19</v>
      </c>
      <c r="X1227" s="14" t="s">
        <v>85</v>
      </c>
      <c r="Y1227" s="12">
        <f t="shared" si="40"/>
        <v>0.52700000000000002</v>
      </c>
      <c r="Z1227" s="14">
        <v>-2.7999999999999969E-2</v>
      </c>
    </row>
    <row r="1228" spans="1:27" x14ac:dyDescent="0.2">
      <c r="A1228" s="14" t="s">
        <v>75</v>
      </c>
      <c r="B1228" s="14">
        <v>3879.625</v>
      </c>
      <c r="C1228" s="14">
        <v>51.338000000000001</v>
      </c>
      <c r="D1228" s="14">
        <v>21.733000000000001</v>
      </c>
      <c r="E1228" s="14">
        <v>2.63</v>
      </c>
      <c r="F1228" s="14">
        <v>175.16399999999999</v>
      </c>
      <c r="G1228" s="14">
        <v>2.8039999999999998</v>
      </c>
      <c r="H1228" s="14">
        <v>12.891</v>
      </c>
      <c r="I1228" s="14">
        <v>3.2469999999999999</v>
      </c>
      <c r="J1228" s="14">
        <v>227.25700000000001</v>
      </c>
      <c r="K1228" s="14">
        <v>252.50700000000001</v>
      </c>
      <c r="L1228" s="14">
        <v>0</v>
      </c>
      <c r="M1228" s="14">
        <v>0</v>
      </c>
      <c r="N1228" s="14">
        <v>100</v>
      </c>
      <c r="O1228" s="14">
        <v>0.38600000000000001</v>
      </c>
      <c r="P1228" s="14">
        <v>0.25</v>
      </c>
      <c r="Q1228" s="14">
        <v>0.378</v>
      </c>
      <c r="R1228" s="14">
        <v>0.85499999999999998</v>
      </c>
      <c r="S1228" s="14">
        <v>0.76900000000000002</v>
      </c>
      <c r="T1228" s="14"/>
      <c r="U1228" s="14" t="s">
        <v>33</v>
      </c>
      <c r="V1228" s="14" t="s">
        <v>92</v>
      </c>
      <c r="W1228" s="14">
        <v>19</v>
      </c>
      <c r="X1228" s="14" t="s">
        <v>85</v>
      </c>
      <c r="Y1228" s="12">
        <f t="shared" si="40"/>
        <v>0.76400000000000001</v>
      </c>
      <c r="Z1228" s="14">
        <v>0.13600000000000001</v>
      </c>
    </row>
    <row r="1229" spans="1:27" x14ac:dyDescent="0.2">
      <c r="A1229" s="14" t="s">
        <v>75</v>
      </c>
      <c r="B1229" s="14">
        <v>3879.75</v>
      </c>
      <c r="C1229" s="14">
        <v>62.695999999999998</v>
      </c>
      <c r="D1229" s="14">
        <v>21.695</v>
      </c>
      <c r="E1229" s="14">
        <v>3.2320000000000002</v>
      </c>
      <c r="F1229" s="14">
        <v>185.23099999999999</v>
      </c>
      <c r="G1229" s="14">
        <v>2.7930000000000001</v>
      </c>
      <c r="H1229" s="14">
        <v>13.243</v>
      </c>
      <c r="I1229" s="14">
        <v>3.15</v>
      </c>
      <c r="J1229" s="14">
        <v>190.82900000000001</v>
      </c>
      <c r="K1229" s="14">
        <v>212.03299999999999</v>
      </c>
      <c r="L1229" s="14">
        <v>0</v>
      </c>
      <c r="M1229" s="14">
        <v>0</v>
      </c>
      <c r="N1229" s="14">
        <v>100</v>
      </c>
      <c r="O1229" s="14">
        <v>0.48899999999999999</v>
      </c>
      <c r="P1229" s="14">
        <v>0.19500000000000001</v>
      </c>
      <c r="Q1229" s="14">
        <v>0.55900000000000005</v>
      </c>
      <c r="R1229" s="14">
        <v>0.77300000000000002</v>
      </c>
      <c r="S1229" s="14">
        <v>0.80800000000000005</v>
      </c>
      <c r="T1229" s="14"/>
      <c r="U1229" s="14" t="s">
        <v>33</v>
      </c>
      <c r="V1229" s="14" t="s">
        <v>92</v>
      </c>
      <c r="W1229" s="14">
        <v>19</v>
      </c>
      <c r="X1229" s="14" t="s">
        <v>85</v>
      </c>
      <c r="Y1229" s="12">
        <f t="shared" si="40"/>
        <v>1.048</v>
      </c>
      <c r="Z1229" s="14">
        <v>0.29399999999999998</v>
      </c>
    </row>
    <row r="1230" spans="1:27" x14ac:dyDescent="0.2">
      <c r="A1230" s="14" t="s">
        <v>75</v>
      </c>
      <c r="B1230" s="14">
        <v>3879.875</v>
      </c>
      <c r="C1230" s="14">
        <v>71.203999999999994</v>
      </c>
      <c r="D1230" s="14">
        <v>21.706</v>
      </c>
      <c r="E1230" s="14">
        <v>3.7829999999999999</v>
      </c>
      <c r="F1230" s="14">
        <v>198.93600000000001</v>
      </c>
      <c r="G1230" s="14">
        <v>2.7709999999999999</v>
      </c>
      <c r="H1230" s="14">
        <v>13.731</v>
      </c>
      <c r="I1230" s="14">
        <v>3.0470000000000002</v>
      </c>
      <c r="J1230" s="14">
        <v>147.767</v>
      </c>
      <c r="K1230" s="14">
        <v>164.185</v>
      </c>
      <c r="L1230" s="14">
        <v>0</v>
      </c>
      <c r="M1230" s="14">
        <v>0</v>
      </c>
      <c r="N1230" s="14">
        <v>100</v>
      </c>
      <c r="O1230" s="14">
        <v>0.56599999999999995</v>
      </c>
      <c r="P1230" s="14">
        <v>0.14399999999999999</v>
      </c>
      <c r="Q1230" s="14">
        <v>0.77</v>
      </c>
      <c r="R1230" s="14">
        <v>0.64400000000000002</v>
      </c>
      <c r="S1230" s="14">
        <v>0.85099999999999998</v>
      </c>
      <c r="T1230" s="14"/>
      <c r="U1230" s="14" t="s">
        <v>33</v>
      </c>
      <c r="V1230" s="14" t="s">
        <v>92</v>
      </c>
      <c r="W1230" s="14">
        <v>19</v>
      </c>
      <c r="X1230" s="14" t="s">
        <v>85</v>
      </c>
      <c r="Y1230" s="12">
        <f t="shared" si="40"/>
        <v>1.3359999999999999</v>
      </c>
      <c r="Z1230" s="14">
        <v>0.42199999999999993</v>
      </c>
    </row>
    <row r="1231" spans="1:27" x14ac:dyDescent="0.2">
      <c r="A1231" s="14" t="s">
        <v>75</v>
      </c>
      <c r="B1231" s="14">
        <v>3880</v>
      </c>
      <c r="C1231" s="14">
        <v>77.676000000000002</v>
      </c>
      <c r="D1231" s="14">
        <v>21.768000000000001</v>
      </c>
      <c r="E1231" s="14">
        <v>4.1870000000000003</v>
      </c>
      <c r="F1231" s="14">
        <v>210.173</v>
      </c>
      <c r="G1231" s="14">
        <v>2.7480000000000002</v>
      </c>
      <c r="H1231" s="14">
        <v>14.007</v>
      </c>
      <c r="I1231" s="14">
        <v>2.9830000000000001</v>
      </c>
      <c r="J1231" s="14">
        <v>112.83499999999999</v>
      </c>
      <c r="K1231" s="14">
        <v>125.371</v>
      </c>
      <c r="L1231" s="14">
        <v>0</v>
      </c>
      <c r="M1231" s="14">
        <v>0</v>
      </c>
      <c r="N1231" s="14">
        <v>100</v>
      </c>
      <c r="O1231" s="14">
        <v>0.63200000000000001</v>
      </c>
      <c r="P1231" s="14">
        <v>0.11799999999999999</v>
      </c>
      <c r="Q1231" s="14">
        <v>0.92100000000000004</v>
      </c>
      <c r="R1231" s="14">
        <v>0.52800000000000002</v>
      </c>
      <c r="S1231" s="14">
        <v>0.88400000000000001</v>
      </c>
      <c r="T1231" s="14"/>
      <c r="U1231" s="14" t="s">
        <v>33</v>
      </c>
      <c r="V1231" s="14" t="s">
        <v>92</v>
      </c>
      <c r="W1231" s="14">
        <v>19</v>
      </c>
      <c r="X1231" s="14" t="s">
        <v>85</v>
      </c>
      <c r="Y1231" s="12">
        <f t="shared" si="40"/>
        <v>1.5529999999999999</v>
      </c>
      <c r="Z1231" s="14">
        <v>0.51400000000000001</v>
      </c>
      <c r="AA1231" s="7">
        <v>110</v>
      </c>
    </row>
    <row r="1232" spans="1:27" x14ac:dyDescent="0.2">
      <c r="A1232" s="12" t="s">
        <v>42</v>
      </c>
      <c r="B1232" s="12">
        <v>3928.625</v>
      </c>
      <c r="C1232" s="12">
        <v>27.137</v>
      </c>
      <c r="D1232" s="12">
        <v>21.829000000000001</v>
      </c>
      <c r="E1232" s="12">
        <v>1.327</v>
      </c>
      <c r="F1232" s="12">
        <v>160.96700000000001</v>
      </c>
      <c r="G1232" s="12">
        <v>2.742</v>
      </c>
      <c r="H1232" s="12">
        <v>5.0679999999999996</v>
      </c>
      <c r="I1232" s="12">
        <v>3.0840000000000001</v>
      </c>
      <c r="J1232" s="12">
        <v>283.69900000000001</v>
      </c>
      <c r="K1232" s="12">
        <v>310.78899999999999</v>
      </c>
      <c r="L1232" s="12">
        <v>0.01</v>
      </c>
      <c r="M1232" s="12">
        <v>1E-3</v>
      </c>
      <c r="N1232" s="12">
        <v>100</v>
      </c>
      <c r="O1232" s="12">
        <v>8.2000000000000003E-2</v>
      </c>
      <c r="P1232" s="12">
        <v>0.34499999999999997</v>
      </c>
      <c r="Q1232" s="12">
        <v>0.14299999999999999</v>
      </c>
      <c r="R1232" s="12">
        <v>0.53300000000000003</v>
      </c>
      <c r="S1232" s="12">
        <v>0.193</v>
      </c>
      <c r="U1232" s="12" t="s">
        <v>22</v>
      </c>
      <c r="V1232" s="12" t="s">
        <v>99</v>
      </c>
      <c r="W1232" s="12">
        <v>1</v>
      </c>
      <c r="X1232" s="12" t="s">
        <v>32</v>
      </c>
      <c r="Y1232" s="12">
        <f t="shared" si="40"/>
        <v>0.22499999999999998</v>
      </c>
      <c r="Z1232" s="12">
        <f>O1232-P1232</f>
        <v>-0.26299999999999996</v>
      </c>
    </row>
    <row r="1233" spans="1:26" x14ac:dyDescent="0.2">
      <c r="A1233" s="12" t="s">
        <v>42</v>
      </c>
      <c r="B1233" s="12">
        <v>3928.75</v>
      </c>
      <c r="C1233" s="12">
        <v>28.702999999999999</v>
      </c>
      <c r="D1233" s="12">
        <v>21.885000000000002</v>
      </c>
      <c r="E1233" s="12">
        <v>2.06</v>
      </c>
      <c r="F1233" s="12">
        <v>162.82300000000001</v>
      </c>
      <c r="G1233" s="12">
        <v>2.7410000000000001</v>
      </c>
      <c r="H1233" s="12">
        <v>5.0510000000000002</v>
      </c>
      <c r="I1233" s="12">
        <v>3.1859999999999999</v>
      </c>
      <c r="J1233" s="12">
        <v>401.31900000000002</v>
      </c>
      <c r="K1233" s="12">
        <v>439.30700000000002</v>
      </c>
      <c r="L1233" s="12">
        <v>0.01</v>
      </c>
      <c r="M1233" s="12">
        <v>1E-3</v>
      </c>
      <c r="N1233" s="12">
        <v>100</v>
      </c>
      <c r="O1233" s="12">
        <v>9.6000000000000002E-2</v>
      </c>
      <c r="P1233" s="12">
        <v>0.44900000000000001</v>
      </c>
      <c r="Q1233" s="12">
        <v>0.17</v>
      </c>
      <c r="R1233" s="12">
        <v>0.52600000000000002</v>
      </c>
      <c r="S1233" s="12">
        <v>0.187</v>
      </c>
      <c r="U1233" s="12" t="s">
        <v>22</v>
      </c>
      <c r="V1233" s="12" t="s">
        <v>99</v>
      </c>
      <c r="W1233" s="12">
        <v>1</v>
      </c>
      <c r="X1233" s="12" t="s">
        <v>32</v>
      </c>
      <c r="Y1233" s="12">
        <f t="shared" si="40"/>
        <v>0.26600000000000001</v>
      </c>
      <c r="Z1233" s="12">
        <f t="shared" ref="Z1233:Z1250" si="41">O1233-P1233</f>
        <v>-0.35299999999999998</v>
      </c>
    </row>
    <row r="1234" spans="1:26" x14ac:dyDescent="0.2">
      <c r="A1234" s="12" t="s">
        <v>42</v>
      </c>
      <c r="B1234" s="12">
        <v>3928.875</v>
      </c>
      <c r="C1234" s="12">
        <v>32.143000000000001</v>
      </c>
      <c r="D1234" s="12">
        <v>21.988</v>
      </c>
      <c r="E1234" s="12">
        <v>2.9249999999999998</v>
      </c>
      <c r="F1234" s="12">
        <v>166.262</v>
      </c>
      <c r="G1234" s="12">
        <v>2.7410000000000001</v>
      </c>
      <c r="H1234" s="12">
        <v>5.157</v>
      </c>
      <c r="I1234" s="12">
        <v>3.2930000000000001</v>
      </c>
      <c r="J1234" s="12">
        <v>493.53899999999999</v>
      </c>
      <c r="K1234" s="12">
        <v>539.03200000000004</v>
      </c>
      <c r="L1234" s="12">
        <v>0.01</v>
      </c>
      <c r="M1234" s="12">
        <v>1E-3</v>
      </c>
      <c r="N1234" s="12">
        <v>100</v>
      </c>
      <c r="O1234" s="12">
        <v>0.122</v>
      </c>
      <c r="P1234" s="12">
        <v>0.56100000000000005</v>
      </c>
      <c r="Q1234" s="12">
        <v>0.23100000000000001</v>
      </c>
      <c r="R1234" s="12">
        <v>0.52500000000000002</v>
      </c>
      <c r="S1234" s="12">
        <v>0.19500000000000001</v>
      </c>
      <c r="U1234" s="12" t="s">
        <v>22</v>
      </c>
      <c r="V1234" s="12" t="s">
        <v>99</v>
      </c>
      <c r="W1234" s="12">
        <v>1</v>
      </c>
      <c r="X1234" s="12" t="s">
        <v>32</v>
      </c>
      <c r="Y1234" s="12">
        <f t="shared" si="40"/>
        <v>0.35299999999999998</v>
      </c>
      <c r="Z1234" s="12">
        <f t="shared" si="41"/>
        <v>-0.43900000000000006</v>
      </c>
    </row>
    <row r="1235" spans="1:26" x14ac:dyDescent="0.2">
      <c r="A1235" s="12" t="s">
        <v>42</v>
      </c>
      <c r="B1235" s="12">
        <v>3929</v>
      </c>
      <c r="C1235" s="12">
        <v>33.07</v>
      </c>
      <c r="D1235" s="12">
        <v>22.113</v>
      </c>
      <c r="E1235" s="12">
        <v>3.0920000000000001</v>
      </c>
      <c r="F1235" s="12">
        <v>170.428</v>
      </c>
      <c r="G1235" s="12">
        <v>2.7410000000000001</v>
      </c>
      <c r="H1235" s="12">
        <v>5.3630000000000004</v>
      </c>
      <c r="I1235" s="12">
        <v>3.391</v>
      </c>
      <c r="J1235" s="12">
        <v>524.904</v>
      </c>
      <c r="K1235" s="12">
        <v>572.48199999999997</v>
      </c>
      <c r="L1235" s="12">
        <v>0.01</v>
      </c>
      <c r="M1235" s="12">
        <v>1E-3</v>
      </c>
      <c r="N1235" s="12">
        <v>100</v>
      </c>
      <c r="O1235" s="12">
        <v>0.13500000000000001</v>
      </c>
      <c r="P1235" s="12">
        <v>0.66700000000000004</v>
      </c>
      <c r="Q1235" s="12">
        <v>0.311</v>
      </c>
      <c r="R1235" s="12">
        <v>0.52500000000000002</v>
      </c>
      <c r="S1235" s="12">
        <v>0.21299999999999999</v>
      </c>
      <c r="U1235" s="12" t="s">
        <v>22</v>
      </c>
      <c r="V1235" s="12" t="s">
        <v>99</v>
      </c>
      <c r="W1235" s="12">
        <v>1</v>
      </c>
      <c r="X1235" s="12" t="s">
        <v>32</v>
      </c>
      <c r="Y1235" s="12">
        <f t="shared" si="40"/>
        <v>0.44600000000000001</v>
      </c>
      <c r="Z1235" s="12">
        <f t="shared" si="41"/>
        <v>-0.53200000000000003</v>
      </c>
    </row>
    <row r="1236" spans="1:26" x14ac:dyDescent="0.2">
      <c r="A1236" s="12" t="s">
        <v>42</v>
      </c>
      <c r="B1236" s="12">
        <v>3929.125</v>
      </c>
      <c r="C1236" s="12">
        <v>38.344000000000001</v>
      </c>
      <c r="D1236" s="12">
        <v>22.239000000000001</v>
      </c>
      <c r="E1236" s="12">
        <v>3.8159999999999998</v>
      </c>
      <c r="F1236" s="12">
        <v>174.642</v>
      </c>
      <c r="G1236" s="12">
        <v>2.74</v>
      </c>
      <c r="H1236" s="12">
        <v>5.6589999999999998</v>
      </c>
      <c r="I1236" s="12">
        <v>3.4649999999999999</v>
      </c>
      <c r="J1236" s="12">
        <v>580.96500000000003</v>
      </c>
      <c r="K1236" s="12">
        <v>633.29200000000003</v>
      </c>
      <c r="L1236" s="12">
        <v>0.01</v>
      </c>
      <c r="M1236" s="12">
        <v>1E-3</v>
      </c>
      <c r="N1236" s="12">
        <v>100</v>
      </c>
      <c r="O1236" s="12">
        <v>0.17199999999999999</v>
      </c>
      <c r="P1236" s="12">
        <v>0.751</v>
      </c>
      <c r="Q1236" s="12">
        <v>0.39500000000000002</v>
      </c>
      <c r="R1236" s="12">
        <v>0.52200000000000002</v>
      </c>
      <c r="S1236" s="12">
        <v>0.24</v>
      </c>
      <c r="U1236" s="12" t="s">
        <v>22</v>
      </c>
      <c r="V1236" s="12" t="s">
        <v>99</v>
      </c>
      <c r="W1236" s="12">
        <v>1</v>
      </c>
      <c r="X1236" s="12" t="s">
        <v>32</v>
      </c>
      <c r="Y1236" s="12">
        <f t="shared" si="40"/>
        <v>0.56699999999999995</v>
      </c>
      <c r="Z1236" s="12">
        <f t="shared" si="41"/>
        <v>-0.57899999999999996</v>
      </c>
    </row>
    <row r="1237" spans="1:26" x14ac:dyDescent="0.2">
      <c r="A1237" s="12" t="s">
        <v>42</v>
      </c>
      <c r="B1237" s="12">
        <v>3929.25</v>
      </c>
      <c r="C1237" s="12">
        <v>41.921999999999997</v>
      </c>
      <c r="D1237" s="12">
        <v>22.36</v>
      </c>
      <c r="E1237" s="12">
        <v>4.3380000000000001</v>
      </c>
      <c r="F1237" s="12">
        <v>178.67400000000001</v>
      </c>
      <c r="G1237" s="12">
        <v>2.738</v>
      </c>
      <c r="H1237" s="12">
        <v>6.0650000000000004</v>
      </c>
      <c r="I1237" s="12">
        <v>3.5059999999999998</v>
      </c>
      <c r="J1237" s="12">
        <v>588.42399999999998</v>
      </c>
      <c r="K1237" s="12">
        <v>640.99</v>
      </c>
      <c r="L1237" s="12">
        <v>0.01</v>
      </c>
      <c r="M1237" s="12">
        <v>1E-3</v>
      </c>
      <c r="N1237" s="12">
        <v>100</v>
      </c>
      <c r="O1237" s="12">
        <v>0.20699999999999999</v>
      </c>
      <c r="P1237" s="12">
        <v>0.80200000000000005</v>
      </c>
      <c r="Q1237" s="12">
        <v>0.47699999999999998</v>
      </c>
      <c r="R1237" s="12">
        <v>0.51500000000000001</v>
      </c>
      <c r="S1237" s="12">
        <v>0.27700000000000002</v>
      </c>
      <c r="U1237" s="12" t="s">
        <v>22</v>
      </c>
      <c r="V1237" s="12" t="s">
        <v>99</v>
      </c>
      <c r="W1237" s="12">
        <v>1</v>
      </c>
      <c r="X1237" s="12" t="s">
        <v>32</v>
      </c>
      <c r="Y1237" s="12">
        <f t="shared" si="40"/>
        <v>0.68399999999999994</v>
      </c>
      <c r="Z1237" s="12">
        <f t="shared" si="41"/>
        <v>-0.59500000000000008</v>
      </c>
    </row>
    <row r="1238" spans="1:26" x14ac:dyDescent="0.2">
      <c r="A1238" s="12" t="s">
        <v>42</v>
      </c>
      <c r="B1238" s="12">
        <v>3930.5</v>
      </c>
      <c r="C1238" s="12">
        <v>50.125999999999998</v>
      </c>
      <c r="D1238" s="12">
        <v>21.776</v>
      </c>
      <c r="E1238" s="12">
        <v>1.728</v>
      </c>
      <c r="F1238" s="12">
        <v>159.19200000000001</v>
      </c>
      <c r="G1238" s="12">
        <v>2.762</v>
      </c>
      <c r="H1238" s="12">
        <v>4.7359999999999998</v>
      </c>
      <c r="I1238" s="12">
        <v>3.238</v>
      </c>
      <c r="J1238" s="12">
        <v>1755.2280000000001</v>
      </c>
      <c r="K1238" s="12">
        <v>1909.6659999999999</v>
      </c>
      <c r="L1238" s="12">
        <v>0.01</v>
      </c>
      <c r="M1238" s="12">
        <v>1E-3</v>
      </c>
      <c r="N1238" s="12">
        <v>100</v>
      </c>
      <c r="O1238" s="12">
        <v>0.32200000000000001</v>
      </c>
      <c r="P1238" s="12">
        <v>0.52800000000000002</v>
      </c>
      <c r="Q1238" s="12">
        <v>0.11</v>
      </c>
      <c r="R1238" s="12">
        <v>0.61499999999999999</v>
      </c>
      <c r="S1238" s="12">
        <v>0.158</v>
      </c>
      <c r="U1238" s="12" t="s">
        <v>33</v>
      </c>
      <c r="V1238" s="12" t="s">
        <v>99</v>
      </c>
      <c r="W1238" s="12">
        <v>4</v>
      </c>
      <c r="X1238" s="12" t="s">
        <v>32</v>
      </c>
      <c r="Y1238" s="12">
        <f t="shared" si="40"/>
        <v>0.432</v>
      </c>
      <c r="Z1238" s="12">
        <f t="shared" si="41"/>
        <v>-0.20600000000000002</v>
      </c>
    </row>
    <row r="1239" spans="1:26" x14ac:dyDescent="0.2">
      <c r="A1239" s="12" t="s">
        <v>42</v>
      </c>
      <c r="B1239" s="12">
        <v>3930.625</v>
      </c>
      <c r="C1239" s="12">
        <v>36.558999999999997</v>
      </c>
      <c r="D1239" s="12">
        <v>21.797999999999998</v>
      </c>
      <c r="E1239" s="12">
        <v>1.5469999999999999</v>
      </c>
      <c r="F1239" s="12">
        <v>159.93100000000001</v>
      </c>
      <c r="G1239" s="12">
        <v>2.7610000000000001</v>
      </c>
      <c r="H1239" s="12">
        <v>4.8090000000000002</v>
      </c>
      <c r="I1239" s="12">
        <v>3.2240000000000002</v>
      </c>
      <c r="J1239" s="12">
        <v>1637.961</v>
      </c>
      <c r="K1239" s="12">
        <v>1775.5160000000001</v>
      </c>
      <c r="L1239" s="12">
        <v>0.01</v>
      </c>
      <c r="M1239" s="12">
        <v>1E-3</v>
      </c>
      <c r="N1239" s="12">
        <v>100</v>
      </c>
      <c r="O1239" s="12">
        <v>0.19500000000000001</v>
      </c>
      <c r="P1239" s="12">
        <v>0.51800000000000002</v>
      </c>
      <c r="Q1239" s="12">
        <v>0.11700000000000001</v>
      </c>
      <c r="R1239" s="12">
        <v>0.60199999999999998</v>
      </c>
      <c r="S1239" s="12">
        <v>0.16200000000000001</v>
      </c>
      <c r="U1239" s="12" t="s">
        <v>33</v>
      </c>
      <c r="V1239" s="12" t="s">
        <v>99</v>
      </c>
      <c r="W1239" s="12">
        <v>4</v>
      </c>
      <c r="X1239" s="12" t="s">
        <v>32</v>
      </c>
      <c r="Y1239" s="12">
        <f t="shared" si="40"/>
        <v>0.312</v>
      </c>
      <c r="Z1239" s="12">
        <f t="shared" si="41"/>
        <v>-0.32300000000000001</v>
      </c>
    </row>
    <row r="1240" spans="1:26" x14ac:dyDescent="0.2">
      <c r="A1240" s="12" t="s">
        <v>42</v>
      </c>
      <c r="B1240" s="12">
        <v>3930.75</v>
      </c>
      <c r="C1240" s="12">
        <v>31.175000000000001</v>
      </c>
      <c r="D1240" s="12">
        <v>21.832999999999998</v>
      </c>
      <c r="E1240" s="12">
        <v>1.431</v>
      </c>
      <c r="F1240" s="12">
        <v>161.11000000000001</v>
      </c>
      <c r="G1240" s="12">
        <v>2.7719999999999998</v>
      </c>
      <c r="H1240" s="12">
        <v>4.97</v>
      </c>
      <c r="I1240" s="12">
        <v>3.1859999999999999</v>
      </c>
      <c r="J1240" s="12">
        <v>1282.049</v>
      </c>
      <c r="K1240" s="12">
        <v>1387.9749999999999</v>
      </c>
      <c r="L1240" s="12">
        <v>0.01</v>
      </c>
      <c r="M1240" s="12">
        <v>1E-3</v>
      </c>
      <c r="N1240" s="12">
        <v>100</v>
      </c>
      <c r="O1240" s="12">
        <v>0.13100000000000001</v>
      </c>
      <c r="P1240" s="12">
        <v>0.48299999999999998</v>
      </c>
      <c r="Q1240" s="12">
        <v>0.13900000000000001</v>
      </c>
      <c r="R1240" s="12">
        <v>0.63300000000000001</v>
      </c>
      <c r="S1240" s="12">
        <v>0.17499999999999999</v>
      </c>
      <c r="U1240" s="12" t="s">
        <v>33</v>
      </c>
      <c r="V1240" s="12" t="s">
        <v>99</v>
      </c>
      <c r="W1240" s="12">
        <v>4</v>
      </c>
      <c r="X1240" s="12" t="s">
        <v>32</v>
      </c>
      <c r="Y1240" s="12">
        <f t="shared" si="40"/>
        <v>0.27</v>
      </c>
      <c r="Z1240" s="12">
        <f t="shared" si="41"/>
        <v>-0.35199999999999998</v>
      </c>
    </row>
    <row r="1241" spans="1:26" x14ac:dyDescent="0.2">
      <c r="A1241" s="12" t="s">
        <v>42</v>
      </c>
      <c r="B1241" s="12">
        <v>3930.875</v>
      </c>
      <c r="C1241" s="12">
        <v>35.521000000000001</v>
      </c>
      <c r="D1241" s="12">
        <v>21.866</v>
      </c>
      <c r="E1241" s="12">
        <v>1.391</v>
      </c>
      <c r="F1241" s="12">
        <v>162.184</v>
      </c>
      <c r="G1241" s="12">
        <v>2.79</v>
      </c>
      <c r="H1241" s="12">
        <v>5.1989999999999998</v>
      </c>
      <c r="I1241" s="12">
        <v>3.129</v>
      </c>
      <c r="J1241" s="12">
        <v>988.149</v>
      </c>
      <c r="K1241" s="12">
        <v>1069.7650000000001</v>
      </c>
      <c r="L1241" s="12">
        <v>0.01</v>
      </c>
      <c r="M1241" s="12">
        <v>1E-3</v>
      </c>
      <c r="N1241" s="12">
        <v>100</v>
      </c>
      <c r="O1241" s="12">
        <v>0.15</v>
      </c>
      <c r="P1241" s="12">
        <v>0.42799999999999999</v>
      </c>
      <c r="Q1241" s="12">
        <v>0.161</v>
      </c>
      <c r="R1241" s="12">
        <v>0.69499999999999995</v>
      </c>
      <c r="S1241" s="12">
        <v>0.19600000000000001</v>
      </c>
      <c r="U1241" s="12" t="s">
        <v>33</v>
      </c>
      <c r="V1241" s="12" t="s">
        <v>99</v>
      </c>
      <c r="W1241" s="12">
        <v>4</v>
      </c>
      <c r="X1241" s="12" t="s">
        <v>32</v>
      </c>
      <c r="Y1241" s="12">
        <f t="shared" si="40"/>
        <v>0.311</v>
      </c>
      <c r="Z1241" s="12">
        <f t="shared" si="41"/>
        <v>-0.27800000000000002</v>
      </c>
    </row>
    <row r="1242" spans="1:26" x14ac:dyDescent="0.2">
      <c r="A1242" s="12" t="s">
        <v>42</v>
      </c>
      <c r="B1242" s="12">
        <v>3931</v>
      </c>
      <c r="C1242" s="12">
        <v>42.893999999999998</v>
      </c>
      <c r="D1242" s="12">
        <v>21.888000000000002</v>
      </c>
      <c r="E1242" s="12">
        <v>1.3640000000000001</v>
      </c>
      <c r="F1242" s="12">
        <v>162.94300000000001</v>
      </c>
      <c r="G1242" s="12">
        <v>2.806</v>
      </c>
      <c r="H1242" s="12">
        <v>5.4619999999999997</v>
      </c>
      <c r="I1242" s="12">
        <v>3.0640000000000001</v>
      </c>
      <c r="J1242" s="12">
        <v>791.98699999999997</v>
      </c>
      <c r="K1242" s="12">
        <v>858.29</v>
      </c>
      <c r="L1242" s="12">
        <v>0.01</v>
      </c>
      <c r="M1242" s="12">
        <v>1E-3</v>
      </c>
      <c r="N1242" s="12">
        <v>100</v>
      </c>
      <c r="O1242" s="12">
        <v>0.20699999999999999</v>
      </c>
      <c r="P1242" s="12">
        <v>0.36099999999999999</v>
      </c>
      <c r="Q1242" s="12">
        <v>0.17699999999999999</v>
      </c>
      <c r="R1242" s="12">
        <v>0.75800000000000001</v>
      </c>
      <c r="S1242" s="12">
        <v>0.221</v>
      </c>
      <c r="U1242" s="12" t="s">
        <v>33</v>
      </c>
      <c r="V1242" s="12" t="s">
        <v>99</v>
      </c>
      <c r="W1242" s="12">
        <v>4</v>
      </c>
      <c r="X1242" s="12" t="s">
        <v>32</v>
      </c>
      <c r="Y1242" s="12">
        <f t="shared" si="40"/>
        <v>0.38400000000000001</v>
      </c>
      <c r="Z1242" s="12">
        <f t="shared" si="41"/>
        <v>-0.154</v>
      </c>
    </row>
    <row r="1243" spans="1:26" x14ac:dyDescent="0.2">
      <c r="A1243" s="12" t="s">
        <v>42</v>
      </c>
      <c r="B1243" s="12">
        <v>3931.125</v>
      </c>
      <c r="C1243" s="12">
        <v>47.837000000000003</v>
      </c>
      <c r="D1243" s="12">
        <v>21.898</v>
      </c>
      <c r="E1243" s="12">
        <v>1.292</v>
      </c>
      <c r="F1243" s="12">
        <v>163.268</v>
      </c>
      <c r="G1243" s="12">
        <v>2.8140000000000001</v>
      </c>
      <c r="H1243" s="12">
        <v>5.6379999999999999</v>
      </c>
      <c r="I1243" s="12">
        <v>3.0089999999999999</v>
      </c>
      <c r="J1243" s="12">
        <v>661.05499999999995</v>
      </c>
      <c r="K1243" s="12">
        <v>717.01199999999994</v>
      </c>
      <c r="L1243" s="12">
        <v>0.01</v>
      </c>
      <c r="M1243" s="12">
        <v>1E-3</v>
      </c>
      <c r="N1243" s="12">
        <v>100</v>
      </c>
      <c r="O1243" s="12">
        <v>0.255</v>
      </c>
      <c r="P1243" s="12">
        <v>0.30099999999999999</v>
      </c>
      <c r="Q1243" s="12">
        <v>0.186</v>
      </c>
      <c r="R1243" s="12">
        <v>0.79500000000000004</v>
      </c>
      <c r="S1243" s="12">
        <v>0.24099999999999999</v>
      </c>
      <c r="U1243" s="12" t="s">
        <v>33</v>
      </c>
      <c r="V1243" s="12" t="s">
        <v>99</v>
      </c>
      <c r="W1243" s="12">
        <v>4</v>
      </c>
      <c r="X1243" s="12" t="s">
        <v>32</v>
      </c>
      <c r="Y1243" s="12">
        <f t="shared" si="40"/>
        <v>0.441</v>
      </c>
      <c r="Z1243" s="12">
        <f t="shared" si="41"/>
        <v>-4.5999999999999985E-2</v>
      </c>
    </row>
    <row r="1244" spans="1:26" x14ac:dyDescent="0.2">
      <c r="A1244" s="12" t="s">
        <v>42</v>
      </c>
      <c r="B1244" s="12">
        <v>3931.25</v>
      </c>
      <c r="C1244" s="12">
        <v>50.095999999999997</v>
      </c>
      <c r="D1244" s="12">
        <v>21.893999999999998</v>
      </c>
      <c r="E1244" s="12">
        <v>1.452</v>
      </c>
      <c r="F1244" s="12">
        <v>163.12100000000001</v>
      </c>
      <c r="G1244" s="12">
        <v>2.8140000000000001</v>
      </c>
      <c r="H1244" s="12">
        <v>5.6559999999999997</v>
      </c>
      <c r="I1244" s="12">
        <v>2.9740000000000002</v>
      </c>
      <c r="J1244" s="12">
        <v>601.05799999999999</v>
      </c>
      <c r="K1244" s="12">
        <v>652.19200000000001</v>
      </c>
      <c r="L1244" s="12">
        <v>0.01</v>
      </c>
      <c r="M1244" s="12">
        <v>1E-3</v>
      </c>
      <c r="N1244" s="12">
        <v>100</v>
      </c>
      <c r="O1244" s="12">
        <v>0.28000000000000003</v>
      </c>
      <c r="P1244" s="12">
        <v>0.25900000000000001</v>
      </c>
      <c r="Q1244" s="12">
        <v>0.185</v>
      </c>
      <c r="R1244" s="12">
        <v>0.80200000000000005</v>
      </c>
      <c r="S1244" s="12">
        <v>0.246</v>
      </c>
      <c r="U1244" s="12" t="s">
        <v>33</v>
      </c>
      <c r="V1244" s="12" t="s">
        <v>99</v>
      </c>
      <c r="W1244" s="12">
        <v>4</v>
      </c>
      <c r="X1244" s="12" t="s">
        <v>32</v>
      </c>
      <c r="Y1244" s="12">
        <f t="shared" si="40"/>
        <v>0.46500000000000002</v>
      </c>
      <c r="Z1244" s="12">
        <f t="shared" si="41"/>
        <v>2.1000000000000019E-2</v>
      </c>
    </row>
    <row r="1245" spans="1:26" x14ac:dyDescent="0.2">
      <c r="A1245" s="12" t="s">
        <v>42</v>
      </c>
      <c r="B1245" s="12">
        <v>3931.375</v>
      </c>
      <c r="C1245" s="12">
        <v>47.539000000000001</v>
      </c>
      <c r="D1245" s="12">
        <v>21.870999999999999</v>
      </c>
      <c r="E1245" s="12">
        <v>1.7729999999999999</v>
      </c>
      <c r="F1245" s="12">
        <v>162.358</v>
      </c>
      <c r="G1245" s="12">
        <v>2.8109999999999999</v>
      </c>
      <c r="H1245" s="12">
        <v>5.5359999999999996</v>
      </c>
      <c r="I1245" s="12">
        <v>2.9660000000000002</v>
      </c>
      <c r="J1245" s="12">
        <v>605.21600000000001</v>
      </c>
      <c r="K1245" s="12">
        <v>656.90899999999999</v>
      </c>
      <c r="L1245" s="12">
        <v>0.01</v>
      </c>
      <c r="M1245" s="12">
        <v>1E-3</v>
      </c>
      <c r="N1245" s="12">
        <v>100</v>
      </c>
      <c r="O1245" s="12">
        <v>0.26800000000000002</v>
      </c>
      <c r="P1245" s="12">
        <v>0.24399999999999999</v>
      </c>
      <c r="Q1245" s="12">
        <v>0.17299999999999999</v>
      </c>
      <c r="R1245" s="12">
        <v>0.79400000000000004</v>
      </c>
      <c r="S1245" s="12">
        <v>0.23699999999999999</v>
      </c>
      <c r="U1245" s="12" t="s">
        <v>33</v>
      </c>
      <c r="V1245" s="12" t="s">
        <v>99</v>
      </c>
      <c r="W1245" s="12">
        <v>4</v>
      </c>
      <c r="X1245" s="12" t="s">
        <v>32</v>
      </c>
      <c r="Y1245" s="12">
        <f t="shared" si="40"/>
        <v>0.441</v>
      </c>
      <c r="Z1245" s="12">
        <f t="shared" si="41"/>
        <v>2.4000000000000021E-2</v>
      </c>
    </row>
    <row r="1246" spans="1:26" x14ac:dyDescent="0.2">
      <c r="A1246" s="12" t="s">
        <v>42</v>
      </c>
      <c r="B1246" s="12">
        <v>3935.375</v>
      </c>
      <c r="C1246" s="12">
        <v>41.098999999999997</v>
      </c>
      <c r="D1246" s="12">
        <v>21.617000000000001</v>
      </c>
      <c r="E1246" s="12">
        <v>2.4209999999999998</v>
      </c>
      <c r="F1246" s="12">
        <v>153.90899999999999</v>
      </c>
      <c r="G1246" s="12">
        <v>2.7810000000000001</v>
      </c>
      <c r="H1246" s="12">
        <v>4.9219999999999997</v>
      </c>
      <c r="I1246" s="12">
        <v>3.19</v>
      </c>
      <c r="J1246" s="12">
        <v>711.91</v>
      </c>
      <c r="K1246" s="12">
        <v>776.92499999999995</v>
      </c>
      <c r="L1246" s="12">
        <v>0.01</v>
      </c>
      <c r="M1246" s="12">
        <v>1E-3</v>
      </c>
      <c r="N1246" s="12">
        <v>100</v>
      </c>
      <c r="O1246" s="12">
        <v>0.23799999999999999</v>
      </c>
      <c r="P1246" s="12">
        <v>0.51500000000000001</v>
      </c>
      <c r="Q1246" s="12">
        <v>0.01</v>
      </c>
      <c r="R1246" s="12">
        <v>0.67200000000000004</v>
      </c>
      <c r="S1246" s="12">
        <v>0.17799999999999999</v>
      </c>
      <c r="U1246" s="12" t="s">
        <v>33</v>
      </c>
      <c r="V1246" s="12" t="s">
        <v>99</v>
      </c>
      <c r="W1246" s="12">
        <v>11</v>
      </c>
      <c r="X1246" s="12" t="s">
        <v>32</v>
      </c>
      <c r="Y1246" s="12">
        <f t="shared" si="40"/>
        <v>0.248</v>
      </c>
      <c r="Z1246" s="12">
        <f t="shared" si="41"/>
        <v>-0.27700000000000002</v>
      </c>
    </row>
    <row r="1247" spans="1:26" x14ac:dyDescent="0.2">
      <c r="A1247" s="12" t="s">
        <v>42</v>
      </c>
      <c r="B1247" s="12">
        <v>3935.5</v>
      </c>
      <c r="C1247" s="12">
        <v>36.639000000000003</v>
      </c>
      <c r="D1247" s="12">
        <v>21.634</v>
      </c>
      <c r="E1247" s="12">
        <v>2.4049999999999998</v>
      </c>
      <c r="F1247" s="12">
        <v>154.477</v>
      </c>
      <c r="G1247" s="12">
        <v>2.77</v>
      </c>
      <c r="H1247" s="12">
        <v>5.2510000000000003</v>
      </c>
      <c r="I1247" s="12">
        <v>3.0339999999999998</v>
      </c>
      <c r="J1247" s="12">
        <v>883.45100000000002</v>
      </c>
      <c r="K1247" s="12">
        <v>957.58100000000002</v>
      </c>
      <c r="L1247" s="12">
        <v>0.01</v>
      </c>
      <c r="M1247" s="12">
        <v>1E-3</v>
      </c>
      <c r="N1247" s="12">
        <v>100</v>
      </c>
      <c r="O1247" s="12">
        <v>0.17699999999999999</v>
      </c>
      <c r="P1247" s="12">
        <v>0.35199999999999998</v>
      </c>
      <c r="Q1247" s="12">
        <v>8.9999999999999993E-3</v>
      </c>
      <c r="R1247" s="12">
        <v>0.64500000000000002</v>
      </c>
      <c r="S1247" s="12">
        <v>0.19900000000000001</v>
      </c>
      <c r="U1247" s="12" t="s">
        <v>33</v>
      </c>
      <c r="V1247" s="12" t="s">
        <v>99</v>
      </c>
      <c r="W1247" s="12">
        <v>11</v>
      </c>
      <c r="X1247" s="12" t="s">
        <v>32</v>
      </c>
      <c r="Y1247" s="12">
        <f t="shared" si="40"/>
        <v>0.186</v>
      </c>
      <c r="Z1247" s="12">
        <f t="shared" si="41"/>
        <v>-0.17499999999999999</v>
      </c>
    </row>
    <row r="1248" spans="1:26" x14ac:dyDescent="0.2">
      <c r="A1248" s="12" t="s">
        <v>42</v>
      </c>
      <c r="B1248" s="12">
        <v>3935.625</v>
      </c>
      <c r="C1248" s="12">
        <v>39.326999999999998</v>
      </c>
      <c r="D1248" s="12">
        <v>21.728000000000002</v>
      </c>
      <c r="E1248" s="12">
        <v>2.371</v>
      </c>
      <c r="F1248" s="12">
        <v>157.58799999999999</v>
      </c>
      <c r="G1248" s="12">
        <v>2.742</v>
      </c>
      <c r="H1248" s="12">
        <v>6.0510000000000002</v>
      </c>
      <c r="I1248" s="12">
        <v>2.8969999999999998</v>
      </c>
      <c r="J1248" s="12">
        <v>704.00300000000004</v>
      </c>
      <c r="K1248" s="12">
        <v>762.23800000000006</v>
      </c>
      <c r="L1248" s="12">
        <v>0.01</v>
      </c>
      <c r="M1248" s="12">
        <v>1E-3</v>
      </c>
      <c r="N1248" s="12">
        <v>100</v>
      </c>
      <c r="O1248" s="12">
        <v>0.186</v>
      </c>
      <c r="P1248" s="12">
        <v>0.20300000000000001</v>
      </c>
      <c r="Q1248" s="12">
        <v>5.8999999999999997E-2</v>
      </c>
      <c r="R1248" s="12">
        <v>0.55300000000000005</v>
      </c>
      <c r="S1248" s="12">
        <v>0.26700000000000002</v>
      </c>
      <c r="U1248" s="12" t="s">
        <v>33</v>
      </c>
      <c r="V1248" s="12" t="s">
        <v>99</v>
      </c>
      <c r="W1248" s="12">
        <v>11</v>
      </c>
      <c r="X1248" s="12" t="s">
        <v>32</v>
      </c>
      <c r="Y1248" s="12">
        <f t="shared" si="40"/>
        <v>0.245</v>
      </c>
      <c r="Z1248" s="12">
        <f t="shared" si="41"/>
        <v>-1.7000000000000015E-2</v>
      </c>
    </row>
    <row r="1249" spans="1:26" x14ac:dyDescent="0.2">
      <c r="A1249" s="12" t="s">
        <v>42</v>
      </c>
      <c r="B1249" s="12">
        <v>3935.75</v>
      </c>
      <c r="C1249" s="12">
        <v>39.334000000000003</v>
      </c>
      <c r="D1249" s="12">
        <v>21.878</v>
      </c>
      <c r="E1249" s="12">
        <v>2.4260000000000002</v>
      </c>
      <c r="F1249" s="12">
        <v>162.608</v>
      </c>
      <c r="G1249" s="12">
        <v>2.7029999999999998</v>
      </c>
      <c r="H1249" s="12">
        <v>7.26</v>
      </c>
      <c r="I1249" s="12">
        <v>2.7970000000000002</v>
      </c>
      <c r="J1249" s="12">
        <v>603.33799999999997</v>
      </c>
      <c r="K1249" s="12">
        <v>652.25199999999995</v>
      </c>
      <c r="L1249" s="12">
        <v>0.01</v>
      </c>
      <c r="M1249" s="12">
        <v>1E-3</v>
      </c>
      <c r="N1249" s="12">
        <v>100</v>
      </c>
      <c r="O1249" s="12">
        <v>0.191</v>
      </c>
      <c r="P1249" s="12">
        <v>8.7999999999999995E-2</v>
      </c>
      <c r="Q1249" s="12">
        <v>0.151</v>
      </c>
      <c r="R1249" s="12">
        <v>0.41499999999999998</v>
      </c>
      <c r="S1249" s="12">
        <v>0.376</v>
      </c>
      <c r="U1249" s="12" t="s">
        <v>33</v>
      </c>
      <c r="V1249" s="12" t="s">
        <v>99</v>
      </c>
      <c r="W1249" s="12">
        <v>11</v>
      </c>
      <c r="X1249" s="12" t="s">
        <v>32</v>
      </c>
      <c r="Y1249" s="12">
        <f t="shared" si="40"/>
        <v>0.34199999999999997</v>
      </c>
      <c r="Z1249" s="12">
        <f t="shared" si="41"/>
        <v>0.10300000000000001</v>
      </c>
    </row>
    <row r="1250" spans="1:26" x14ac:dyDescent="0.2">
      <c r="A1250" s="12" t="s">
        <v>42</v>
      </c>
      <c r="B1250" s="12">
        <v>3935.875</v>
      </c>
      <c r="C1250" s="12">
        <v>43.423999999999999</v>
      </c>
      <c r="D1250" s="12">
        <v>22.09</v>
      </c>
      <c r="E1250" s="12">
        <v>2.423</v>
      </c>
      <c r="F1250" s="12">
        <v>169.65299999999999</v>
      </c>
      <c r="G1250" s="12">
        <v>2.6619999999999999</v>
      </c>
      <c r="H1250" s="12">
        <v>8.6539999999999999</v>
      </c>
      <c r="I1250" s="12">
        <v>2.74</v>
      </c>
      <c r="J1250" s="12">
        <v>549.22400000000005</v>
      </c>
      <c r="K1250" s="12">
        <v>593.17499999999995</v>
      </c>
      <c r="L1250" s="12">
        <v>0.01</v>
      </c>
      <c r="M1250" s="12">
        <v>1E-3</v>
      </c>
      <c r="N1250" s="12">
        <v>100</v>
      </c>
      <c r="O1250" s="12">
        <v>0.219</v>
      </c>
      <c r="P1250" s="12">
        <v>1.7000000000000001E-2</v>
      </c>
      <c r="Q1250" s="12">
        <v>0.28199999999999997</v>
      </c>
      <c r="R1250" s="12">
        <v>0.26100000000000001</v>
      </c>
      <c r="S1250" s="12">
        <v>0.50900000000000001</v>
      </c>
      <c r="U1250" s="12" t="s">
        <v>33</v>
      </c>
      <c r="V1250" s="12" t="s">
        <v>99</v>
      </c>
      <c r="W1250" s="12">
        <v>11</v>
      </c>
      <c r="X1250" s="12" t="s">
        <v>32</v>
      </c>
      <c r="Y1250" s="12">
        <f t="shared" si="40"/>
        <v>0.501</v>
      </c>
      <c r="Z1250" s="12">
        <f t="shared" si="41"/>
        <v>0.20200000000000001</v>
      </c>
    </row>
    <row r="1251" spans="1:26" x14ac:dyDescent="0.2">
      <c r="A1251" s="12" t="s">
        <v>105</v>
      </c>
      <c r="B1251" s="12">
        <v>3780.75</v>
      </c>
      <c r="C1251" s="12">
        <v>30.352</v>
      </c>
      <c r="D1251" s="12">
        <v>158.33799999999999</v>
      </c>
      <c r="E1251" s="12">
        <v>22.751999999999999</v>
      </c>
      <c r="F1251" s="12">
        <v>158.33799999999999</v>
      </c>
      <c r="G1251" s="12">
        <v>2.7320000000000002</v>
      </c>
      <c r="H1251" s="12">
        <v>3.4740000000000002</v>
      </c>
      <c r="I1251" s="12">
        <v>4.3310000000000004</v>
      </c>
      <c r="J1251" s="12">
        <v>453.25099999999998</v>
      </c>
      <c r="K1251" s="12">
        <v>464.12</v>
      </c>
      <c r="L1251" s="12">
        <v>0</v>
      </c>
      <c r="M1251" s="12">
        <v>0</v>
      </c>
      <c r="N1251" s="12">
        <v>100</v>
      </c>
      <c r="O1251" s="12">
        <v>4.8000000000000001E-2</v>
      </c>
      <c r="P1251" s="12">
        <v>0.82</v>
      </c>
      <c r="Q1251" s="12">
        <v>8.6999999999999994E-2</v>
      </c>
      <c r="R1251" s="12">
        <v>0.56100000000000005</v>
      </c>
      <c r="U1251" s="12" t="s">
        <v>33</v>
      </c>
      <c r="V1251" s="12" t="s">
        <v>99</v>
      </c>
      <c r="X1251" s="12" t="s">
        <v>40</v>
      </c>
      <c r="Y1251" s="12">
        <f t="shared" si="40"/>
        <v>0.13500000000000001</v>
      </c>
      <c r="Z1251" s="12">
        <f t="shared" ref="Z1251:Z1265" si="42">O1251-P1251</f>
        <v>-0.77199999999999991</v>
      </c>
    </row>
    <row r="1252" spans="1:26" x14ac:dyDescent="0.2">
      <c r="A1252" s="12" t="s">
        <v>105</v>
      </c>
      <c r="B1252" s="12">
        <v>3780.875</v>
      </c>
      <c r="C1252" s="12">
        <v>31.518999999999998</v>
      </c>
      <c r="D1252" s="12">
        <v>158.53700000000001</v>
      </c>
      <c r="E1252" s="12">
        <v>22.710999999999999</v>
      </c>
      <c r="F1252" s="12">
        <v>158.53700000000001</v>
      </c>
      <c r="G1252" s="12">
        <v>2.74</v>
      </c>
      <c r="H1252" s="12">
        <v>3.625</v>
      </c>
      <c r="I1252" s="12">
        <v>4.4119999999999999</v>
      </c>
      <c r="J1252" s="12">
        <v>578.68799999999999</v>
      </c>
      <c r="K1252" s="12">
        <v>596.18100000000004</v>
      </c>
      <c r="L1252" s="12">
        <v>0</v>
      </c>
      <c r="M1252" s="12">
        <v>0</v>
      </c>
      <c r="N1252" s="12">
        <v>100</v>
      </c>
      <c r="O1252" s="12">
        <v>5.5E-2</v>
      </c>
      <c r="P1252" s="12">
        <v>0.88300000000000001</v>
      </c>
      <c r="Q1252" s="12">
        <v>9.0999999999999998E-2</v>
      </c>
      <c r="R1252" s="12">
        <v>0.57799999999999996</v>
      </c>
      <c r="U1252" s="12" t="s">
        <v>33</v>
      </c>
      <c r="V1252" s="12" t="s">
        <v>99</v>
      </c>
      <c r="X1252" s="12" t="s">
        <v>40</v>
      </c>
      <c r="Y1252" s="12">
        <f t="shared" si="40"/>
        <v>0.14599999999999999</v>
      </c>
      <c r="Z1252" s="12">
        <f t="shared" si="42"/>
        <v>-0.82799999999999996</v>
      </c>
    </row>
    <row r="1253" spans="1:26" x14ac:dyDescent="0.2">
      <c r="A1253" s="12" t="s">
        <v>105</v>
      </c>
      <c r="B1253" s="12">
        <v>3781</v>
      </c>
      <c r="C1253" s="12">
        <v>35.283000000000001</v>
      </c>
      <c r="D1253" s="12">
        <v>159.33799999999999</v>
      </c>
      <c r="E1253" s="12">
        <v>22.635999999999999</v>
      </c>
      <c r="F1253" s="12">
        <v>159.33799999999999</v>
      </c>
      <c r="G1253" s="12">
        <v>2.7440000000000002</v>
      </c>
      <c r="H1253" s="12">
        <v>3.9289999999999998</v>
      </c>
      <c r="I1253" s="12">
        <v>4.4870000000000001</v>
      </c>
      <c r="J1253" s="12">
        <v>698.64400000000001</v>
      </c>
      <c r="K1253" s="12">
        <v>727.303</v>
      </c>
      <c r="L1253" s="12">
        <v>0</v>
      </c>
      <c r="M1253" s="12">
        <v>0</v>
      </c>
      <c r="N1253" s="12">
        <v>100</v>
      </c>
      <c r="O1253" s="12">
        <v>7.9000000000000001E-2</v>
      </c>
      <c r="P1253" s="12">
        <v>0.94199999999999995</v>
      </c>
      <c r="Q1253" s="12">
        <v>0.105</v>
      </c>
      <c r="R1253" s="12">
        <v>0.58699999999999997</v>
      </c>
      <c r="U1253" s="12" t="s">
        <v>33</v>
      </c>
      <c r="V1253" s="12" t="s">
        <v>99</v>
      </c>
      <c r="X1253" s="12" t="s">
        <v>40</v>
      </c>
      <c r="Y1253" s="12">
        <f t="shared" si="40"/>
        <v>0.184</v>
      </c>
      <c r="Z1253" s="12">
        <f t="shared" si="42"/>
        <v>-0.86299999999999999</v>
      </c>
    </row>
    <row r="1254" spans="1:26" x14ac:dyDescent="0.2">
      <c r="A1254" s="12" t="s">
        <v>105</v>
      </c>
      <c r="B1254" s="12">
        <v>3781.125</v>
      </c>
      <c r="C1254" s="12">
        <v>39.392000000000003</v>
      </c>
      <c r="D1254" s="12">
        <v>160.94300000000001</v>
      </c>
      <c r="E1254" s="12">
        <v>22.553000000000001</v>
      </c>
      <c r="F1254" s="12">
        <v>160.94300000000001</v>
      </c>
      <c r="G1254" s="12">
        <v>2.7429999999999999</v>
      </c>
      <c r="H1254" s="12">
        <v>4.3659999999999997</v>
      </c>
      <c r="I1254" s="12">
        <v>4.5359999999999996</v>
      </c>
      <c r="J1254" s="12">
        <v>795.029</v>
      </c>
      <c r="K1254" s="12">
        <v>826.47299999999996</v>
      </c>
      <c r="L1254" s="12">
        <v>0</v>
      </c>
      <c r="M1254" s="12">
        <v>0</v>
      </c>
      <c r="N1254" s="12">
        <v>100</v>
      </c>
      <c r="O1254" s="12">
        <v>0.105</v>
      </c>
      <c r="P1254" s="12">
        <v>0.98</v>
      </c>
      <c r="Q1254" s="12">
        <v>0.13400000000000001</v>
      </c>
      <c r="R1254" s="12">
        <v>0.58499999999999996</v>
      </c>
      <c r="U1254" s="12" t="s">
        <v>33</v>
      </c>
      <c r="V1254" s="12" t="s">
        <v>99</v>
      </c>
      <c r="X1254" s="12" t="s">
        <v>40</v>
      </c>
      <c r="Y1254" s="12">
        <f t="shared" si="40"/>
        <v>0.23899999999999999</v>
      </c>
      <c r="Z1254" s="12">
        <f t="shared" si="42"/>
        <v>-0.875</v>
      </c>
    </row>
    <row r="1255" spans="1:26" x14ac:dyDescent="0.2">
      <c r="A1255" s="12" t="s">
        <v>105</v>
      </c>
      <c r="B1255" s="12">
        <v>3781.25</v>
      </c>
      <c r="C1255" s="12">
        <v>43.027999999999999</v>
      </c>
      <c r="D1255" s="12">
        <v>163.08699999999999</v>
      </c>
      <c r="E1255" s="12">
        <v>22.491</v>
      </c>
      <c r="F1255" s="12">
        <v>163.08699999999999</v>
      </c>
      <c r="G1255" s="12">
        <v>2.7450000000000001</v>
      </c>
      <c r="H1255" s="12">
        <v>4.8499999999999996</v>
      </c>
      <c r="I1255" s="12">
        <v>4.5490000000000004</v>
      </c>
      <c r="J1255" s="12">
        <v>821.226</v>
      </c>
      <c r="K1255" s="12">
        <v>833.93700000000001</v>
      </c>
      <c r="L1255" s="12">
        <v>0</v>
      </c>
      <c r="M1255" s="12">
        <v>0</v>
      </c>
      <c r="N1255" s="12">
        <v>100</v>
      </c>
      <c r="O1255" s="12">
        <v>0.128</v>
      </c>
      <c r="P1255" s="12">
        <v>0.99</v>
      </c>
      <c r="Q1255" s="12">
        <v>0.17199999999999999</v>
      </c>
      <c r="R1255" s="12">
        <v>0.59</v>
      </c>
      <c r="U1255" s="12" t="s">
        <v>33</v>
      </c>
      <c r="V1255" s="12" t="s">
        <v>99</v>
      </c>
      <c r="X1255" s="12" t="s">
        <v>40</v>
      </c>
      <c r="Y1255" s="12">
        <f t="shared" si="40"/>
        <v>0.3</v>
      </c>
      <c r="Z1255" s="12">
        <f t="shared" si="42"/>
        <v>-0.86199999999999999</v>
      </c>
    </row>
    <row r="1256" spans="1:26" x14ac:dyDescent="0.2">
      <c r="A1256" s="12" t="s">
        <v>105</v>
      </c>
      <c r="B1256" s="12">
        <v>3781.375</v>
      </c>
      <c r="C1256" s="12">
        <v>48.207000000000001</v>
      </c>
      <c r="D1256" s="12">
        <v>165.30799999999999</v>
      </c>
      <c r="E1256" s="12">
        <v>22.451000000000001</v>
      </c>
      <c r="F1256" s="12">
        <v>165.30799999999999</v>
      </c>
      <c r="G1256" s="12">
        <v>2.7549999999999999</v>
      </c>
      <c r="H1256" s="12">
        <v>5.3040000000000003</v>
      </c>
      <c r="I1256" s="12">
        <v>4.5289999999999999</v>
      </c>
      <c r="J1256" s="12">
        <v>754.76700000000005</v>
      </c>
      <c r="K1256" s="12">
        <v>733.60500000000002</v>
      </c>
      <c r="L1256" s="12">
        <v>0</v>
      </c>
      <c r="M1256" s="12">
        <v>0</v>
      </c>
      <c r="N1256" s="12">
        <v>100</v>
      </c>
      <c r="O1256" s="12">
        <v>0.161</v>
      </c>
      <c r="P1256" s="12">
        <v>0.97399999999999998</v>
      </c>
      <c r="Q1256" s="12">
        <v>0.21099999999999999</v>
      </c>
      <c r="R1256" s="12">
        <v>0.61199999999999999</v>
      </c>
      <c r="U1256" s="12" t="s">
        <v>33</v>
      </c>
      <c r="V1256" s="12" t="s">
        <v>99</v>
      </c>
      <c r="X1256" s="12" t="s">
        <v>40</v>
      </c>
      <c r="Y1256" s="12">
        <f t="shared" si="40"/>
        <v>0.372</v>
      </c>
      <c r="Z1256" s="12">
        <f t="shared" si="42"/>
        <v>-0.81299999999999994</v>
      </c>
    </row>
    <row r="1257" spans="1:26" x14ac:dyDescent="0.2">
      <c r="A1257" s="12" t="s">
        <v>105</v>
      </c>
      <c r="B1257" s="12">
        <v>3781.5</v>
      </c>
      <c r="C1257" s="12">
        <v>53.139000000000003</v>
      </c>
      <c r="D1257" s="12">
        <v>166.89</v>
      </c>
      <c r="E1257" s="12">
        <v>22.434000000000001</v>
      </c>
      <c r="F1257" s="12">
        <v>166.89</v>
      </c>
      <c r="G1257" s="12">
        <v>2.778</v>
      </c>
      <c r="H1257" s="12">
        <v>5.6630000000000003</v>
      </c>
      <c r="I1257" s="12">
        <v>4.4870000000000001</v>
      </c>
      <c r="J1257" s="12">
        <v>627.68200000000002</v>
      </c>
      <c r="K1257" s="12">
        <v>577.29700000000003</v>
      </c>
      <c r="L1257" s="12">
        <v>0</v>
      </c>
      <c r="M1257" s="12">
        <v>0</v>
      </c>
      <c r="N1257" s="12">
        <v>100</v>
      </c>
      <c r="O1257" s="12">
        <v>0.192</v>
      </c>
      <c r="P1257" s="12">
        <v>0.94199999999999995</v>
      </c>
      <c r="Q1257" s="12">
        <v>0.23899999999999999</v>
      </c>
      <c r="R1257" s="12">
        <v>0.66400000000000003</v>
      </c>
      <c r="U1257" s="12" t="s">
        <v>33</v>
      </c>
      <c r="V1257" s="12" t="s">
        <v>99</v>
      </c>
      <c r="X1257" s="12" t="s">
        <v>40</v>
      </c>
      <c r="Y1257" s="12">
        <f t="shared" si="40"/>
        <v>0.43099999999999999</v>
      </c>
      <c r="Z1257" s="12">
        <f t="shared" si="42"/>
        <v>-0.75</v>
      </c>
    </row>
    <row r="1258" spans="1:26" x14ac:dyDescent="0.2">
      <c r="A1258" s="12" t="s">
        <v>105</v>
      </c>
      <c r="B1258" s="12">
        <v>3781.625</v>
      </c>
      <c r="C1258" s="12">
        <v>54.134999999999998</v>
      </c>
      <c r="D1258" s="12">
        <v>166.77199999999999</v>
      </c>
      <c r="E1258" s="12">
        <v>22.446000000000002</v>
      </c>
      <c r="F1258" s="12">
        <v>166.77199999999999</v>
      </c>
      <c r="G1258" s="12">
        <v>2.8140000000000001</v>
      </c>
      <c r="H1258" s="12">
        <v>5.8650000000000002</v>
      </c>
      <c r="I1258" s="12">
        <v>4.4459999999999997</v>
      </c>
      <c r="J1258" s="12">
        <v>507.37799999999999</v>
      </c>
      <c r="K1258" s="12">
        <v>446.83600000000001</v>
      </c>
      <c r="L1258" s="12">
        <v>0</v>
      </c>
      <c r="M1258" s="12">
        <v>0</v>
      </c>
      <c r="N1258" s="12">
        <v>100</v>
      </c>
      <c r="O1258" s="12">
        <v>0.19800000000000001</v>
      </c>
      <c r="P1258" s="12">
        <v>0.91</v>
      </c>
      <c r="Q1258" s="12">
        <v>0.23699999999999999</v>
      </c>
      <c r="R1258" s="12">
        <v>0.74399999999999999</v>
      </c>
      <c r="U1258" s="12" t="s">
        <v>33</v>
      </c>
      <c r="V1258" s="12" t="s">
        <v>99</v>
      </c>
      <c r="X1258" s="12" t="s">
        <v>40</v>
      </c>
      <c r="Y1258" s="12">
        <f t="shared" si="40"/>
        <v>0.435</v>
      </c>
      <c r="Z1258" s="12">
        <f t="shared" si="42"/>
        <v>-0.71199999999999997</v>
      </c>
    </row>
    <row r="1259" spans="1:26" x14ac:dyDescent="0.2">
      <c r="A1259" s="12" t="s">
        <v>105</v>
      </c>
      <c r="B1259" s="12">
        <v>3781.75</v>
      </c>
      <c r="C1259" s="12">
        <v>48.71</v>
      </c>
      <c r="D1259" s="12">
        <v>164.898</v>
      </c>
      <c r="E1259" s="12">
        <v>22.475000000000001</v>
      </c>
      <c r="F1259" s="12">
        <v>164.898</v>
      </c>
      <c r="G1259" s="12">
        <v>2.8530000000000002</v>
      </c>
      <c r="H1259" s="12">
        <v>5.9530000000000003</v>
      </c>
      <c r="I1259" s="12">
        <v>4.4279999999999999</v>
      </c>
      <c r="J1259" s="12">
        <v>427.62599999999998</v>
      </c>
      <c r="K1259" s="12">
        <v>371.90199999999999</v>
      </c>
      <c r="L1259" s="12">
        <v>0</v>
      </c>
      <c r="M1259" s="12">
        <v>0</v>
      </c>
      <c r="N1259" s="12">
        <v>100</v>
      </c>
      <c r="O1259" s="12">
        <v>0.16400000000000001</v>
      </c>
      <c r="P1259" s="12">
        <v>0.89600000000000002</v>
      </c>
      <c r="Q1259" s="12">
        <v>0.20399999999999999</v>
      </c>
      <c r="R1259" s="12">
        <v>0.83199999999999996</v>
      </c>
      <c r="U1259" s="12" t="s">
        <v>33</v>
      </c>
      <c r="V1259" s="12" t="s">
        <v>99</v>
      </c>
      <c r="X1259" s="12" t="s">
        <v>40</v>
      </c>
      <c r="Y1259" s="12">
        <f t="shared" si="40"/>
        <v>0.36799999999999999</v>
      </c>
      <c r="Z1259" s="12">
        <f t="shared" si="42"/>
        <v>-0.73199999999999998</v>
      </c>
    </row>
    <row r="1260" spans="1:26" x14ac:dyDescent="0.2">
      <c r="A1260" s="12" t="s">
        <v>105</v>
      </c>
      <c r="B1260" s="12">
        <v>3781.875</v>
      </c>
      <c r="C1260" s="12">
        <v>39.390999999999998</v>
      </c>
      <c r="D1260" s="12">
        <v>161.78299999999999</v>
      </c>
      <c r="E1260" s="12">
        <v>22.509</v>
      </c>
      <c r="F1260" s="12">
        <v>161.78299999999999</v>
      </c>
      <c r="G1260" s="12">
        <v>2.8839999999999999</v>
      </c>
      <c r="H1260" s="12">
        <v>5.984</v>
      </c>
      <c r="I1260" s="12">
        <v>4.4409999999999998</v>
      </c>
      <c r="J1260" s="12">
        <v>425.14100000000002</v>
      </c>
      <c r="K1260" s="12">
        <v>383.84100000000001</v>
      </c>
      <c r="L1260" s="12">
        <v>0</v>
      </c>
      <c r="M1260" s="12">
        <v>0</v>
      </c>
      <c r="N1260" s="12">
        <v>100</v>
      </c>
      <c r="O1260" s="12">
        <v>0.105</v>
      </c>
      <c r="P1260" s="12">
        <v>0.90600000000000003</v>
      </c>
      <c r="Q1260" s="12">
        <v>0.14799999999999999</v>
      </c>
      <c r="R1260" s="12">
        <v>0.90100000000000002</v>
      </c>
      <c r="U1260" s="12" t="s">
        <v>33</v>
      </c>
      <c r="V1260" s="12" t="s">
        <v>99</v>
      </c>
      <c r="X1260" s="12" t="s">
        <v>40</v>
      </c>
      <c r="Y1260" s="12">
        <f t="shared" si="40"/>
        <v>0.253</v>
      </c>
      <c r="Z1260" s="12">
        <f t="shared" si="42"/>
        <v>-0.80100000000000005</v>
      </c>
    </row>
    <row r="1261" spans="1:26" x14ac:dyDescent="0.2">
      <c r="A1261" s="12" t="s">
        <v>105</v>
      </c>
      <c r="B1261" s="12">
        <v>3782</v>
      </c>
      <c r="C1261" s="12">
        <v>32.124000000000002</v>
      </c>
      <c r="D1261" s="12">
        <v>158.62899999999999</v>
      </c>
      <c r="E1261" s="12">
        <v>22.542000000000002</v>
      </c>
      <c r="F1261" s="12">
        <v>158.62899999999999</v>
      </c>
      <c r="G1261" s="12">
        <v>2.903</v>
      </c>
      <c r="H1261" s="12">
        <v>6.0380000000000003</v>
      </c>
      <c r="I1261" s="12">
        <v>4.4809999999999999</v>
      </c>
      <c r="J1261" s="12">
        <v>706.39300000000003</v>
      </c>
      <c r="K1261" s="12">
        <v>675.85699999999997</v>
      </c>
      <c r="L1261" s="12">
        <v>0</v>
      </c>
      <c r="M1261" s="12">
        <v>0</v>
      </c>
      <c r="N1261" s="12">
        <v>100</v>
      </c>
      <c r="O1261" s="12">
        <v>5.8999999999999997E-2</v>
      </c>
      <c r="P1261" s="12">
        <v>0.93700000000000006</v>
      </c>
      <c r="Q1261" s="12">
        <v>9.2999999999999999E-2</v>
      </c>
      <c r="R1261" s="12">
        <v>0.94399999999999995</v>
      </c>
      <c r="U1261" s="12" t="s">
        <v>33</v>
      </c>
      <c r="V1261" s="12" t="s">
        <v>99</v>
      </c>
      <c r="X1261" s="12" t="s">
        <v>40</v>
      </c>
      <c r="Y1261" s="12">
        <f t="shared" si="40"/>
        <v>0.152</v>
      </c>
      <c r="Z1261" s="12">
        <f t="shared" si="42"/>
        <v>-0.87800000000000011</v>
      </c>
    </row>
    <row r="1262" spans="1:26" x14ac:dyDescent="0.2">
      <c r="A1262" s="12" t="s">
        <v>105</v>
      </c>
      <c r="B1262" s="12">
        <v>3782.375</v>
      </c>
      <c r="C1262" s="12">
        <v>36.124000000000002</v>
      </c>
      <c r="D1262" s="12">
        <v>163.51499999999999</v>
      </c>
      <c r="E1262" s="12">
        <v>22.552</v>
      </c>
      <c r="F1262" s="12">
        <v>157.41999999999999</v>
      </c>
      <c r="G1262" s="12">
        <v>2.8929999999999998</v>
      </c>
      <c r="H1262" s="12">
        <v>6.806</v>
      </c>
      <c r="I1262" s="12">
        <v>4.5599999999999996</v>
      </c>
      <c r="J1262" s="12">
        <v>3148.143</v>
      </c>
      <c r="K1262" s="12">
        <v>3155.9009999999998</v>
      </c>
      <c r="L1262" s="12">
        <v>0</v>
      </c>
      <c r="M1262" s="12">
        <v>0</v>
      </c>
      <c r="N1262" s="12">
        <v>100</v>
      </c>
      <c r="O1262" s="12">
        <v>8.4000000000000005E-2</v>
      </c>
      <c r="P1262" s="12">
        <v>0.998</v>
      </c>
      <c r="Q1262" s="12">
        <v>0.17899999999999999</v>
      </c>
      <c r="R1262" s="12">
        <v>0.92200000000000004</v>
      </c>
      <c r="U1262" s="12" t="s">
        <v>33</v>
      </c>
      <c r="V1262" s="12" t="s">
        <v>99</v>
      </c>
      <c r="X1262" s="12" t="s">
        <v>40</v>
      </c>
      <c r="Y1262" s="12">
        <f t="shared" si="40"/>
        <v>0.26300000000000001</v>
      </c>
      <c r="Z1262" s="12">
        <f t="shared" si="42"/>
        <v>-0.91400000000000003</v>
      </c>
    </row>
    <row r="1263" spans="1:26" x14ac:dyDescent="0.2">
      <c r="A1263" s="12" t="s">
        <v>105</v>
      </c>
      <c r="B1263" s="12">
        <v>3782.5</v>
      </c>
      <c r="C1263" s="12">
        <v>46.56</v>
      </c>
      <c r="D1263" s="12">
        <v>169.36600000000001</v>
      </c>
      <c r="E1263" s="12">
        <v>22.529</v>
      </c>
      <c r="F1263" s="12">
        <v>159.08199999999999</v>
      </c>
      <c r="G1263" s="12">
        <v>2.8929999999999998</v>
      </c>
      <c r="H1263" s="12">
        <v>7.101</v>
      </c>
      <c r="I1263" s="12">
        <v>4.5149999999999997</v>
      </c>
      <c r="J1263" s="12">
        <v>1994.6110000000001</v>
      </c>
      <c r="K1263" s="12">
        <v>2051.1640000000002</v>
      </c>
      <c r="L1263" s="12">
        <v>0</v>
      </c>
      <c r="M1263" s="12">
        <v>0</v>
      </c>
      <c r="N1263" s="12">
        <v>100</v>
      </c>
      <c r="O1263" s="12">
        <v>0.15</v>
      </c>
      <c r="P1263" s="12">
        <v>0.96299999999999997</v>
      </c>
      <c r="Q1263" s="12">
        <v>0.28299999999999997</v>
      </c>
      <c r="R1263" s="12">
        <v>0.92200000000000004</v>
      </c>
      <c r="U1263" s="12" t="s">
        <v>33</v>
      </c>
      <c r="V1263" s="12" t="s">
        <v>99</v>
      </c>
      <c r="X1263" s="12" t="s">
        <v>40</v>
      </c>
      <c r="Y1263" s="12">
        <f t="shared" si="40"/>
        <v>0.43299999999999994</v>
      </c>
      <c r="Z1263" s="12">
        <f t="shared" si="42"/>
        <v>-0.81299999999999994</v>
      </c>
    </row>
    <row r="1264" spans="1:26" x14ac:dyDescent="0.2">
      <c r="A1264" s="12" t="s">
        <v>105</v>
      </c>
      <c r="B1264" s="12">
        <v>3782.625</v>
      </c>
      <c r="C1264" s="12">
        <v>53.654000000000003</v>
      </c>
      <c r="D1264" s="12">
        <v>173.87100000000001</v>
      </c>
      <c r="E1264" s="12">
        <v>22.521000000000001</v>
      </c>
      <c r="F1264" s="12">
        <v>163.51499999999999</v>
      </c>
      <c r="G1264" s="12">
        <v>2.903</v>
      </c>
      <c r="H1264" s="12">
        <v>7.2210000000000001</v>
      </c>
      <c r="I1264" s="12">
        <v>4.42</v>
      </c>
      <c r="J1264" s="12">
        <v>913.43799999999999</v>
      </c>
      <c r="K1264" s="12">
        <v>974.14200000000005</v>
      </c>
      <c r="L1264" s="12">
        <v>0</v>
      </c>
      <c r="M1264" s="12">
        <v>0</v>
      </c>
      <c r="N1264" s="12">
        <v>100</v>
      </c>
      <c r="O1264" s="12">
        <v>0.19500000000000001</v>
      </c>
      <c r="P1264" s="12">
        <v>0.89</v>
      </c>
      <c r="Q1264" s="12">
        <v>0.36299999999999999</v>
      </c>
      <c r="R1264" s="12">
        <v>0.94399999999999995</v>
      </c>
      <c r="U1264" s="12" t="s">
        <v>33</v>
      </c>
      <c r="V1264" s="12" t="s">
        <v>99</v>
      </c>
      <c r="X1264" s="12" t="s">
        <v>40</v>
      </c>
      <c r="Y1264" s="12">
        <f t="shared" si="40"/>
        <v>0.55800000000000005</v>
      </c>
      <c r="Z1264" s="12">
        <f t="shared" si="42"/>
        <v>-0.69500000000000006</v>
      </c>
    </row>
    <row r="1265" spans="1:27" x14ac:dyDescent="0.2">
      <c r="A1265" s="12" t="s">
        <v>105</v>
      </c>
      <c r="B1265" s="12">
        <v>3782.75</v>
      </c>
      <c r="C1265" s="12">
        <v>59.594000000000001</v>
      </c>
      <c r="D1265" s="12">
        <v>174.98699999999999</v>
      </c>
      <c r="E1265" s="12">
        <v>22.526</v>
      </c>
      <c r="F1265" s="12">
        <v>169.36600000000001</v>
      </c>
      <c r="G1265" s="12">
        <v>2.9169999999999998</v>
      </c>
      <c r="H1265" s="12">
        <v>7.1230000000000002</v>
      </c>
      <c r="I1265" s="12">
        <v>4.2949999999999999</v>
      </c>
      <c r="J1265" s="12">
        <v>549.95000000000005</v>
      </c>
      <c r="K1265" s="12">
        <v>592.99900000000002</v>
      </c>
      <c r="L1265" s="12">
        <v>0</v>
      </c>
      <c r="M1265" s="12">
        <v>0</v>
      </c>
      <c r="N1265" s="12">
        <v>100</v>
      </c>
      <c r="O1265" s="12">
        <v>0.23200000000000001</v>
      </c>
      <c r="P1265" s="12">
        <v>0.79200000000000004</v>
      </c>
      <c r="Q1265" s="12">
        <v>0.38300000000000001</v>
      </c>
      <c r="R1265" s="12">
        <v>0.97499999999999998</v>
      </c>
      <c r="U1265" s="12" t="s">
        <v>33</v>
      </c>
      <c r="V1265" s="12" t="s">
        <v>99</v>
      </c>
      <c r="X1265" s="12" t="s">
        <v>40</v>
      </c>
      <c r="Y1265" s="12">
        <f t="shared" si="40"/>
        <v>0.61499999999999999</v>
      </c>
      <c r="Z1265" s="12">
        <f t="shared" si="42"/>
        <v>-0.56000000000000005</v>
      </c>
    </row>
    <row r="1266" spans="1:27" x14ac:dyDescent="0.2">
      <c r="A1266" s="12" t="s">
        <v>106</v>
      </c>
      <c r="B1266" s="12">
        <v>3731.375</v>
      </c>
      <c r="C1266" s="12">
        <v>22.216999999999999</v>
      </c>
      <c r="D1266" s="12">
        <v>161.91200000000001</v>
      </c>
      <c r="E1266" s="12">
        <v>22.442</v>
      </c>
      <c r="F1266" s="12">
        <v>161.91200000000001</v>
      </c>
      <c r="G1266" s="12">
        <v>2.7629999999999999</v>
      </c>
      <c r="H1266" s="12">
        <v>2.6509999999999998</v>
      </c>
      <c r="I1266" s="12">
        <v>4.1909999999999998</v>
      </c>
      <c r="J1266" s="12">
        <v>972.36</v>
      </c>
      <c r="K1266" s="12">
        <v>922.10199999999998</v>
      </c>
      <c r="L1266" s="12">
        <v>0.01</v>
      </c>
      <c r="M1266" s="12">
        <v>0.01</v>
      </c>
      <c r="N1266" s="12">
        <v>100</v>
      </c>
      <c r="O1266" s="12">
        <v>5.2999999999999999E-2</v>
      </c>
      <c r="P1266" s="12">
        <v>0.71399999999999997</v>
      </c>
      <c r="Q1266" s="12">
        <v>0.14899999999999999</v>
      </c>
      <c r="R1266" s="12">
        <v>0.64800000000000002</v>
      </c>
      <c r="U1266" s="12" t="s">
        <v>33</v>
      </c>
      <c r="V1266" s="12" t="s">
        <v>99</v>
      </c>
      <c r="X1266" s="12" t="s">
        <v>40</v>
      </c>
      <c r="Y1266" s="12">
        <f t="shared" si="40"/>
        <v>0.20199999999999999</v>
      </c>
      <c r="Z1266" s="12">
        <f t="shared" ref="Z1266:Z1277" si="43">O1266-P1266</f>
        <v>-0.66099999999999992</v>
      </c>
    </row>
    <row r="1267" spans="1:27" x14ac:dyDescent="0.2">
      <c r="A1267" s="12" t="s">
        <v>106</v>
      </c>
      <c r="B1267" s="12">
        <v>3731.5</v>
      </c>
      <c r="C1267" s="12">
        <v>27.707000000000001</v>
      </c>
      <c r="D1267" s="12">
        <v>164.33099999999999</v>
      </c>
      <c r="E1267" s="12">
        <v>22.331</v>
      </c>
      <c r="F1267" s="12">
        <v>164.33099999999999</v>
      </c>
      <c r="G1267" s="12">
        <v>2.78</v>
      </c>
      <c r="H1267" s="12">
        <v>2.4660000000000002</v>
      </c>
      <c r="I1267" s="12">
        <v>4.5069999999999997</v>
      </c>
      <c r="J1267" s="12">
        <v>895.40599999999995</v>
      </c>
      <c r="K1267" s="12">
        <v>849.18700000000001</v>
      </c>
      <c r="L1267" s="12">
        <v>0.01</v>
      </c>
      <c r="M1267" s="12">
        <v>0.01</v>
      </c>
      <c r="N1267" s="12">
        <v>100</v>
      </c>
      <c r="O1267" s="12">
        <v>9.4E-2</v>
      </c>
      <c r="P1267" s="12">
        <v>0.84399999999999997</v>
      </c>
      <c r="Q1267" s="12">
        <v>0.20300000000000001</v>
      </c>
      <c r="R1267" s="12">
        <v>0.68799999999999994</v>
      </c>
      <c r="U1267" s="12" t="s">
        <v>33</v>
      </c>
      <c r="V1267" s="12" t="s">
        <v>99</v>
      </c>
      <c r="X1267" s="12" t="s">
        <v>40</v>
      </c>
      <c r="Y1267" s="12">
        <f t="shared" si="40"/>
        <v>0.29700000000000004</v>
      </c>
      <c r="Z1267" s="12">
        <f t="shared" si="43"/>
        <v>-0.75</v>
      </c>
    </row>
    <row r="1268" spans="1:27" x14ac:dyDescent="0.2">
      <c r="A1268" s="12" t="s">
        <v>106</v>
      </c>
      <c r="B1268" s="12">
        <v>3731.625</v>
      </c>
      <c r="C1268" s="12">
        <v>35.851999999999997</v>
      </c>
      <c r="D1268" s="12">
        <v>165.71799999999999</v>
      </c>
      <c r="E1268" s="12">
        <v>22.202000000000002</v>
      </c>
      <c r="F1268" s="12">
        <v>165.71799999999999</v>
      </c>
      <c r="G1268" s="12">
        <v>2.8</v>
      </c>
      <c r="H1268" s="12">
        <v>2.4289999999999998</v>
      </c>
      <c r="I1268" s="12">
        <v>4.76</v>
      </c>
      <c r="J1268" s="12">
        <v>849.36699999999996</v>
      </c>
      <c r="K1268" s="12">
        <v>803.63900000000001</v>
      </c>
      <c r="L1268" s="12">
        <v>0.01</v>
      </c>
      <c r="M1268" s="12">
        <v>0.01</v>
      </c>
      <c r="N1268" s="12">
        <v>100</v>
      </c>
      <c r="O1268" s="12">
        <v>0.154</v>
      </c>
      <c r="P1268" s="12">
        <v>0.94699999999999995</v>
      </c>
      <c r="Q1268" s="12">
        <v>0.23300000000000001</v>
      </c>
      <c r="R1268" s="12">
        <v>0.73399999999999999</v>
      </c>
      <c r="U1268" s="12" t="s">
        <v>33</v>
      </c>
      <c r="V1268" s="12" t="s">
        <v>99</v>
      </c>
      <c r="X1268" s="12" t="s">
        <v>40</v>
      </c>
      <c r="Y1268" s="12">
        <f t="shared" si="40"/>
        <v>0.38700000000000001</v>
      </c>
      <c r="Z1268" s="12">
        <f t="shared" si="43"/>
        <v>-0.79299999999999993</v>
      </c>
    </row>
    <row r="1269" spans="1:27" x14ac:dyDescent="0.2">
      <c r="A1269" s="12" t="s">
        <v>106</v>
      </c>
      <c r="B1269" s="12">
        <v>3731.75</v>
      </c>
      <c r="C1269" s="12">
        <v>42.262999999999998</v>
      </c>
      <c r="D1269" s="12">
        <v>166.87799999999999</v>
      </c>
      <c r="E1269" s="12">
        <v>22.077999999999999</v>
      </c>
      <c r="F1269" s="12">
        <v>166.87799999999999</v>
      </c>
      <c r="G1269" s="12">
        <v>2.8220000000000001</v>
      </c>
      <c r="H1269" s="12">
        <v>2.4390000000000001</v>
      </c>
      <c r="I1269" s="12">
        <v>4.8879999999999999</v>
      </c>
      <c r="J1269" s="12">
        <v>831.96600000000001</v>
      </c>
      <c r="K1269" s="12">
        <v>782.93600000000004</v>
      </c>
      <c r="L1269" s="12">
        <v>0.01</v>
      </c>
      <c r="M1269" s="12">
        <v>0.01</v>
      </c>
      <c r="N1269" s="12">
        <v>100</v>
      </c>
      <c r="O1269" s="12">
        <v>0.20100000000000001</v>
      </c>
      <c r="P1269" s="12">
        <v>1</v>
      </c>
      <c r="Q1269" s="12">
        <v>0.25900000000000001</v>
      </c>
      <c r="R1269" s="12">
        <v>0.78600000000000003</v>
      </c>
      <c r="U1269" s="12" t="s">
        <v>33</v>
      </c>
      <c r="V1269" s="12" t="s">
        <v>99</v>
      </c>
      <c r="X1269" s="12" t="s">
        <v>40</v>
      </c>
      <c r="Y1269" s="12">
        <f t="shared" si="40"/>
        <v>0.46</v>
      </c>
      <c r="Z1269" s="12">
        <f t="shared" si="43"/>
        <v>-0.79899999999999993</v>
      </c>
    </row>
    <row r="1270" spans="1:27" x14ac:dyDescent="0.2">
      <c r="A1270" s="12" t="s">
        <v>106</v>
      </c>
      <c r="B1270" s="12">
        <v>3731.875</v>
      </c>
      <c r="C1270" s="12">
        <v>43.369</v>
      </c>
      <c r="D1270" s="12">
        <v>168.495</v>
      </c>
      <c r="E1270" s="12">
        <v>22.001999999999999</v>
      </c>
      <c r="F1270" s="12">
        <v>168.495</v>
      </c>
      <c r="G1270" s="12">
        <v>2.843</v>
      </c>
      <c r="H1270" s="12">
        <v>2.3580000000000001</v>
      </c>
      <c r="I1270" s="12">
        <v>4.8849999999999998</v>
      </c>
      <c r="J1270" s="12">
        <v>874.83399999999995</v>
      </c>
      <c r="K1270" s="12">
        <v>818.96600000000001</v>
      </c>
      <c r="L1270" s="12">
        <v>0.01</v>
      </c>
      <c r="M1270" s="12">
        <v>0.01</v>
      </c>
      <c r="N1270" s="12">
        <v>100</v>
      </c>
      <c r="O1270" s="12">
        <v>0.21</v>
      </c>
      <c r="P1270" s="12">
        <v>0.999</v>
      </c>
      <c r="Q1270" s="12">
        <v>0.29499999999999998</v>
      </c>
      <c r="R1270" s="12">
        <v>0.83399999999999996</v>
      </c>
      <c r="U1270" s="12" t="s">
        <v>33</v>
      </c>
      <c r="V1270" s="12" t="s">
        <v>99</v>
      </c>
      <c r="X1270" s="12" t="s">
        <v>40</v>
      </c>
      <c r="Y1270" s="12">
        <f t="shared" si="40"/>
        <v>0.505</v>
      </c>
      <c r="Z1270" s="12">
        <f t="shared" si="43"/>
        <v>-0.78900000000000003</v>
      </c>
    </row>
    <row r="1271" spans="1:27" x14ac:dyDescent="0.2">
      <c r="A1271" s="12" t="s">
        <v>106</v>
      </c>
      <c r="B1271" s="12">
        <v>3732</v>
      </c>
      <c r="C1271" s="12">
        <v>40.345999999999997</v>
      </c>
      <c r="D1271" s="12">
        <v>169.61799999999999</v>
      </c>
      <c r="E1271" s="12">
        <v>21.983000000000001</v>
      </c>
      <c r="F1271" s="12">
        <v>169.61799999999999</v>
      </c>
      <c r="G1271" s="12">
        <v>2.8639999999999999</v>
      </c>
      <c r="H1271" s="12">
        <v>2.0819999999999999</v>
      </c>
      <c r="I1271" s="12">
        <v>4.7320000000000002</v>
      </c>
      <c r="J1271" s="12">
        <v>1009.953</v>
      </c>
      <c r="K1271" s="12">
        <v>949.84799999999996</v>
      </c>
      <c r="L1271" s="12">
        <v>0.01</v>
      </c>
      <c r="M1271" s="12">
        <v>0.01</v>
      </c>
      <c r="N1271" s="12">
        <v>100</v>
      </c>
      <c r="O1271" s="12">
        <v>0.187</v>
      </c>
      <c r="P1271" s="12">
        <v>0.93600000000000005</v>
      </c>
      <c r="Q1271" s="12">
        <v>0.31900000000000001</v>
      </c>
      <c r="R1271" s="12">
        <v>0.88300000000000001</v>
      </c>
      <c r="U1271" s="12" t="s">
        <v>33</v>
      </c>
      <c r="V1271" s="12" t="s">
        <v>99</v>
      </c>
      <c r="X1271" s="12" t="s">
        <v>40</v>
      </c>
      <c r="Y1271" s="12">
        <f t="shared" si="40"/>
        <v>0.50600000000000001</v>
      </c>
      <c r="Z1271" s="12">
        <f t="shared" si="43"/>
        <v>-0.74900000000000011</v>
      </c>
    </row>
    <row r="1272" spans="1:27" x14ac:dyDescent="0.2">
      <c r="A1272" s="12" t="s">
        <v>106</v>
      </c>
      <c r="B1272" s="12">
        <v>3732.125</v>
      </c>
      <c r="C1272" s="12">
        <v>36.631</v>
      </c>
      <c r="D1272" s="12">
        <v>168.53700000000001</v>
      </c>
      <c r="E1272" s="12">
        <v>22.006</v>
      </c>
      <c r="F1272" s="12">
        <v>168.53700000000001</v>
      </c>
      <c r="G1272" s="12">
        <v>2.8809999999999998</v>
      </c>
      <c r="H1272" s="12">
        <v>1.643</v>
      </c>
      <c r="I1272" s="12">
        <v>4.4059999999999997</v>
      </c>
      <c r="J1272" s="12">
        <v>1182.48</v>
      </c>
      <c r="K1272" s="12">
        <v>1145.3589999999999</v>
      </c>
      <c r="L1272" s="12">
        <v>0.01</v>
      </c>
      <c r="M1272" s="12">
        <v>0.01</v>
      </c>
      <c r="N1272" s="12">
        <v>100</v>
      </c>
      <c r="O1272" s="12">
        <v>0.16</v>
      </c>
      <c r="P1272" s="12">
        <v>0.80200000000000005</v>
      </c>
      <c r="Q1272" s="12">
        <v>0.29599999999999999</v>
      </c>
      <c r="R1272" s="12">
        <v>0.92300000000000004</v>
      </c>
      <c r="U1272" s="12" t="s">
        <v>33</v>
      </c>
      <c r="V1272" s="12" t="s">
        <v>99</v>
      </c>
      <c r="X1272" s="12" t="s">
        <v>40</v>
      </c>
      <c r="Y1272" s="12">
        <f t="shared" si="40"/>
        <v>0.45599999999999996</v>
      </c>
      <c r="Z1272" s="12">
        <f t="shared" si="43"/>
        <v>-0.64200000000000002</v>
      </c>
    </row>
    <row r="1273" spans="1:27" x14ac:dyDescent="0.2">
      <c r="A1273" s="12" t="s">
        <v>111</v>
      </c>
      <c r="B1273" s="12">
        <v>3612.5</v>
      </c>
      <c r="C1273" s="12">
        <v>75.447999999999993</v>
      </c>
      <c r="D1273" s="12">
        <v>171.91800000000001</v>
      </c>
      <c r="E1273" s="12">
        <v>21.995999999999999</v>
      </c>
      <c r="F1273" s="12">
        <v>171.91800000000001</v>
      </c>
      <c r="G1273" s="12">
        <v>2.8</v>
      </c>
      <c r="H1273" s="12">
        <v>3.879</v>
      </c>
      <c r="I1273" s="12">
        <v>4.3239999999999998</v>
      </c>
      <c r="J1273" s="12">
        <v>214.19499999999999</v>
      </c>
      <c r="K1273" s="12">
        <v>222.166</v>
      </c>
      <c r="L1273" s="12">
        <v>0</v>
      </c>
      <c r="M1273" s="12">
        <v>0</v>
      </c>
      <c r="N1273" s="12">
        <v>100</v>
      </c>
      <c r="O1273" s="12">
        <v>0.39400000000000002</v>
      </c>
      <c r="P1273" s="12">
        <v>0.81599999999999995</v>
      </c>
      <c r="Q1273" s="12">
        <v>0.16</v>
      </c>
      <c r="R1273" s="12">
        <v>0.90500000000000003</v>
      </c>
      <c r="U1273" s="12" t="s">
        <v>33</v>
      </c>
      <c r="V1273" s="12" t="s">
        <v>99</v>
      </c>
      <c r="X1273" s="12" t="s">
        <v>40</v>
      </c>
      <c r="Y1273" s="12">
        <f t="shared" si="40"/>
        <v>0.55400000000000005</v>
      </c>
      <c r="Z1273" s="12">
        <f t="shared" si="43"/>
        <v>-0.42199999999999993</v>
      </c>
    </row>
    <row r="1274" spans="1:27" x14ac:dyDescent="0.2">
      <c r="A1274" s="12" t="s">
        <v>111</v>
      </c>
      <c r="B1274" s="12">
        <v>3612.625</v>
      </c>
      <c r="C1274" s="12">
        <v>72.594999999999999</v>
      </c>
      <c r="D1274" s="12">
        <v>173.08799999999999</v>
      </c>
      <c r="E1274" s="12">
        <v>22.015999999999998</v>
      </c>
      <c r="F1274" s="12">
        <v>173.08799999999999</v>
      </c>
      <c r="G1274" s="12">
        <v>2.8140000000000001</v>
      </c>
      <c r="H1274" s="12">
        <v>3.335</v>
      </c>
      <c r="I1274" s="12">
        <v>4.4640000000000004</v>
      </c>
      <c r="J1274" s="12">
        <v>218.876</v>
      </c>
      <c r="K1274" s="12">
        <v>226.857</v>
      </c>
      <c r="L1274" s="12">
        <v>0</v>
      </c>
      <c r="M1274" s="12">
        <v>0</v>
      </c>
      <c r="N1274" s="12">
        <v>100</v>
      </c>
      <c r="O1274" s="12">
        <v>0.375</v>
      </c>
      <c r="P1274" s="12">
        <v>0.92200000000000004</v>
      </c>
      <c r="Q1274" s="12">
        <v>0.17599999999999999</v>
      </c>
      <c r="R1274" s="12">
        <v>0.96799999999999997</v>
      </c>
      <c r="U1274" s="12" t="s">
        <v>33</v>
      </c>
      <c r="V1274" s="12" t="s">
        <v>99</v>
      </c>
      <c r="X1274" s="12" t="s">
        <v>40</v>
      </c>
      <c r="Y1274" s="12">
        <f t="shared" si="40"/>
        <v>0.55099999999999993</v>
      </c>
      <c r="Z1274" s="12">
        <f t="shared" si="43"/>
        <v>-0.54700000000000004</v>
      </c>
    </row>
    <row r="1275" spans="1:27" x14ac:dyDescent="0.2">
      <c r="A1275" s="12" t="s">
        <v>111</v>
      </c>
      <c r="B1275" s="12">
        <v>3612.875</v>
      </c>
      <c r="C1275" s="12">
        <v>50.162999999999997</v>
      </c>
      <c r="D1275" s="12">
        <v>175.012</v>
      </c>
      <c r="E1275" s="12">
        <v>22.035</v>
      </c>
      <c r="F1275" s="12">
        <v>174.31200000000001</v>
      </c>
      <c r="G1275" s="12">
        <v>2.8210000000000002</v>
      </c>
      <c r="H1275" s="12">
        <v>3.2879999999999998</v>
      </c>
      <c r="I1275" s="12">
        <v>4.5659999999999998</v>
      </c>
      <c r="J1275" s="12">
        <v>256.44600000000003</v>
      </c>
      <c r="K1275" s="12">
        <v>266.13299999999998</v>
      </c>
      <c r="L1275" s="12">
        <v>0</v>
      </c>
      <c r="M1275" s="12">
        <v>0</v>
      </c>
      <c r="N1275" s="12">
        <v>100</v>
      </c>
      <c r="O1275" s="12">
        <v>0.223</v>
      </c>
      <c r="P1275" s="12">
        <v>1</v>
      </c>
      <c r="Q1275" s="12">
        <v>0.20300000000000001</v>
      </c>
      <c r="R1275" s="12">
        <v>1</v>
      </c>
      <c r="U1275" s="12" t="s">
        <v>33</v>
      </c>
      <c r="V1275" s="12" t="s">
        <v>99</v>
      </c>
      <c r="X1275" s="12" t="s">
        <v>40</v>
      </c>
      <c r="Y1275" s="12">
        <f t="shared" si="40"/>
        <v>0.42600000000000005</v>
      </c>
      <c r="Z1275" s="12">
        <f t="shared" si="43"/>
        <v>-0.77700000000000002</v>
      </c>
    </row>
    <row r="1276" spans="1:27" x14ac:dyDescent="0.2">
      <c r="A1276" s="12" t="s">
        <v>111</v>
      </c>
      <c r="B1276" s="12">
        <v>3613</v>
      </c>
      <c r="C1276" s="12">
        <v>43.792999999999999</v>
      </c>
      <c r="D1276" s="12">
        <v>174.75800000000001</v>
      </c>
      <c r="E1276" s="12">
        <v>22.039000000000001</v>
      </c>
      <c r="F1276" s="12">
        <v>175.012</v>
      </c>
      <c r="G1276" s="12">
        <v>2.8119999999999998</v>
      </c>
      <c r="H1276" s="12">
        <v>3.6789999999999998</v>
      </c>
      <c r="I1276" s="12">
        <v>4.5220000000000002</v>
      </c>
      <c r="J1276" s="12">
        <v>286.899</v>
      </c>
      <c r="K1276" s="12">
        <v>297.91699999999997</v>
      </c>
      <c r="L1276" s="12">
        <v>0</v>
      </c>
      <c r="M1276" s="12">
        <v>0</v>
      </c>
      <c r="N1276" s="12">
        <v>100</v>
      </c>
      <c r="O1276" s="12">
        <v>0.17899999999999999</v>
      </c>
      <c r="P1276" s="12">
        <v>0.96599999999999997</v>
      </c>
      <c r="Q1276" s="12">
        <v>0.19900000000000001</v>
      </c>
      <c r="R1276" s="12">
        <v>0.95899999999999996</v>
      </c>
      <c r="U1276" s="12" t="s">
        <v>33</v>
      </c>
      <c r="V1276" s="12" t="s">
        <v>99</v>
      </c>
      <c r="X1276" s="12" t="s">
        <v>40</v>
      </c>
      <c r="Y1276" s="12">
        <f t="shared" si="40"/>
        <v>0.378</v>
      </c>
      <c r="Z1276" s="12">
        <f t="shared" si="43"/>
        <v>-0.78699999999999992</v>
      </c>
    </row>
    <row r="1277" spans="1:27" x14ac:dyDescent="0.2">
      <c r="A1277" s="12" t="s">
        <v>111</v>
      </c>
      <c r="B1277" s="12">
        <v>3613.125</v>
      </c>
      <c r="C1277" s="12">
        <v>43.37</v>
      </c>
      <c r="D1277" s="12">
        <v>173.56</v>
      </c>
      <c r="E1277" s="12">
        <v>22.042000000000002</v>
      </c>
      <c r="F1277" s="12">
        <v>174.75800000000001</v>
      </c>
      <c r="G1277" s="12">
        <v>2.8</v>
      </c>
      <c r="H1277" s="12">
        <v>4.2889999999999997</v>
      </c>
      <c r="I1277" s="12">
        <v>4.4260000000000002</v>
      </c>
      <c r="J1277" s="12">
        <v>303.51799999999997</v>
      </c>
      <c r="K1277" s="12">
        <v>315.01499999999999</v>
      </c>
      <c r="L1277" s="12">
        <v>0</v>
      </c>
      <c r="M1277" s="12">
        <v>0</v>
      </c>
      <c r="N1277" s="12">
        <v>100</v>
      </c>
      <c r="O1277" s="12">
        <v>0.17599999999999999</v>
      </c>
      <c r="P1277" s="12">
        <v>0.89300000000000002</v>
      </c>
      <c r="Q1277" s="12">
        <v>0.183</v>
      </c>
      <c r="R1277" s="12">
        <v>0.90500000000000003</v>
      </c>
      <c r="U1277" s="12" t="s">
        <v>33</v>
      </c>
      <c r="V1277" s="12" t="s">
        <v>99</v>
      </c>
      <c r="X1277" s="12" t="s">
        <v>40</v>
      </c>
      <c r="Y1277" s="12">
        <f t="shared" si="40"/>
        <v>0.35899999999999999</v>
      </c>
      <c r="Z1277" s="12">
        <f t="shared" si="43"/>
        <v>-0.71700000000000008</v>
      </c>
    </row>
    <row r="1278" spans="1:27" x14ac:dyDescent="0.2">
      <c r="A1278" s="13" t="s">
        <v>84</v>
      </c>
      <c r="B1278" s="13">
        <v>3924.875</v>
      </c>
      <c r="C1278" s="13">
        <v>32.368000000000002</v>
      </c>
      <c r="D1278" s="13">
        <v>21.776</v>
      </c>
      <c r="E1278" s="13">
        <v>1.671</v>
      </c>
      <c r="F1278" s="13">
        <v>159.191</v>
      </c>
      <c r="G1278" s="13">
        <v>2.79</v>
      </c>
      <c r="H1278" s="13">
        <v>6.7939999999999996</v>
      </c>
      <c r="I1278" s="13">
        <v>2.8359999999999999</v>
      </c>
      <c r="J1278" s="13">
        <v>1353.33</v>
      </c>
      <c r="K1278" s="13">
        <v>1498.7470000000001</v>
      </c>
      <c r="L1278" s="13">
        <v>0.01</v>
      </c>
      <c r="M1278" s="13">
        <v>1E-3</v>
      </c>
      <c r="N1278" s="13">
        <v>100</v>
      </c>
      <c r="O1278" s="13">
        <v>9.5000000000000001E-2</v>
      </c>
      <c r="P1278" s="13">
        <v>0.12</v>
      </c>
      <c r="Q1278" s="13">
        <v>0.16</v>
      </c>
      <c r="R1278" s="13">
        <v>0.89200000000000002</v>
      </c>
      <c r="S1278" s="13">
        <v>0.36499999999999999</v>
      </c>
      <c r="T1278" s="13"/>
      <c r="U1278" s="13" t="s">
        <v>33</v>
      </c>
      <c r="V1278" s="13" t="s">
        <v>95</v>
      </c>
      <c r="W1278" s="13">
        <v>8</v>
      </c>
      <c r="X1278" s="13" t="s">
        <v>85</v>
      </c>
      <c r="Y1278" s="12">
        <f t="shared" si="40"/>
        <v>0.255</v>
      </c>
      <c r="Z1278" s="13">
        <v>-2.4999999999999994E-2</v>
      </c>
    </row>
    <row r="1279" spans="1:27" x14ac:dyDescent="0.2">
      <c r="A1279" s="13" t="s">
        <v>84</v>
      </c>
      <c r="B1279" s="13">
        <v>3925</v>
      </c>
      <c r="C1279" s="13">
        <v>38.076000000000001</v>
      </c>
      <c r="D1279" s="13">
        <v>21.79</v>
      </c>
      <c r="E1279" s="13">
        <v>1.931</v>
      </c>
      <c r="F1279" s="13">
        <v>159.67400000000001</v>
      </c>
      <c r="G1279" s="13">
        <v>2.8010000000000002</v>
      </c>
      <c r="H1279" s="13">
        <v>6.6449999999999996</v>
      </c>
      <c r="I1279" s="13">
        <v>2.774</v>
      </c>
      <c r="J1279" s="13">
        <v>1229.22</v>
      </c>
      <c r="K1279" s="13">
        <v>1367.3389999999999</v>
      </c>
      <c r="L1279" s="13">
        <v>0.01</v>
      </c>
      <c r="M1279" s="13">
        <v>1E-3</v>
      </c>
      <c r="N1279" s="13">
        <v>100</v>
      </c>
      <c r="O1279" s="13">
        <v>0.14599999999999999</v>
      </c>
      <c r="P1279" s="13">
        <v>7.6999999999999999E-2</v>
      </c>
      <c r="Q1279" s="13">
        <v>0.16900000000000001</v>
      </c>
      <c r="R1279" s="13">
        <v>0.94899999999999995</v>
      </c>
      <c r="S1279" s="13">
        <v>0.34799999999999998</v>
      </c>
      <c r="T1279" s="13"/>
      <c r="U1279" s="13" t="s">
        <v>33</v>
      </c>
      <c r="V1279" s="13" t="s">
        <v>95</v>
      </c>
      <c r="W1279" s="13">
        <v>8</v>
      </c>
      <c r="X1279" s="13" t="s">
        <v>85</v>
      </c>
      <c r="Y1279" s="12">
        <f t="shared" si="40"/>
        <v>0.315</v>
      </c>
      <c r="Z1279" s="13">
        <v>6.8999999999999992E-2</v>
      </c>
    </row>
    <row r="1280" spans="1:27" x14ac:dyDescent="0.2">
      <c r="A1280" s="13" t="s">
        <v>84</v>
      </c>
      <c r="B1280" s="13">
        <v>3925.125</v>
      </c>
      <c r="C1280" s="13">
        <v>42.402999999999999</v>
      </c>
      <c r="D1280" s="13">
        <v>21.824000000000002</v>
      </c>
      <c r="E1280" s="13">
        <v>2.1720000000000002</v>
      </c>
      <c r="F1280" s="13">
        <v>160.79300000000001</v>
      </c>
      <c r="G1280" s="13">
        <v>2.8069999999999999</v>
      </c>
      <c r="H1280" s="13">
        <v>6.6909999999999998</v>
      </c>
      <c r="I1280" s="13">
        <v>2.7229999999999999</v>
      </c>
      <c r="J1280" s="13">
        <v>1089.4780000000001</v>
      </c>
      <c r="K1280" s="13">
        <v>1215.894</v>
      </c>
      <c r="L1280" s="13">
        <v>0.01</v>
      </c>
      <c r="M1280" s="13">
        <v>1E-3</v>
      </c>
      <c r="N1280" s="13">
        <v>100</v>
      </c>
      <c r="O1280" s="13">
        <v>0.188</v>
      </c>
      <c r="P1280" s="13">
        <v>0.04</v>
      </c>
      <c r="Q1280" s="13">
        <v>0.20100000000000001</v>
      </c>
      <c r="R1280" s="13">
        <v>0.98399999999999999</v>
      </c>
      <c r="S1280" s="13">
        <v>0.34899999999999998</v>
      </c>
      <c r="T1280" s="13"/>
      <c r="U1280" s="13" t="s">
        <v>33</v>
      </c>
      <c r="V1280" s="13" t="s">
        <v>95</v>
      </c>
      <c r="W1280" s="13">
        <v>8</v>
      </c>
      <c r="X1280" s="13" t="s">
        <v>85</v>
      </c>
      <c r="Y1280" s="12">
        <f t="shared" si="40"/>
        <v>0.38900000000000001</v>
      </c>
      <c r="Z1280" s="13">
        <v>0.14799999999999999</v>
      </c>
      <c r="AA1280" s="5">
        <v>42</v>
      </c>
    </row>
    <row r="1281" spans="1:26" x14ac:dyDescent="0.2">
      <c r="A1281" s="13" t="s">
        <v>79</v>
      </c>
      <c r="B1281" s="13">
        <v>3379.875</v>
      </c>
      <c r="C1281" s="13">
        <v>15.016</v>
      </c>
      <c r="D1281" s="13">
        <v>23.620999999999999</v>
      </c>
      <c r="E1281" s="13">
        <v>1.214</v>
      </c>
      <c r="F1281" s="13">
        <v>161.29400000000001</v>
      </c>
      <c r="G1281" s="13">
        <v>2.9159999999999999</v>
      </c>
      <c r="H1281" s="13">
        <v>0.89100000000000001</v>
      </c>
      <c r="I1281" s="13">
        <v>4.4340000000000002</v>
      </c>
      <c r="J1281" s="13">
        <v>1687.7149999999999</v>
      </c>
      <c r="K1281" s="13">
        <v>1922.931</v>
      </c>
      <c r="L1281" s="13">
        <v>0.01</v>
      </c>
      <c r="M1281" s="13">
        <v>1E-3</v>
      </c>
      <c r="N1281" s="13">
        <v>100</v>
      </c>
      <c r="O1281" s="13">
        <v>2.1000000000000001E-2</v>
      </c>
      <c r="P1281" s="13">
        <v>0.96699999999999997</v>
      </c>
      <c r="Q1281" s="13">
        <v>0.13</v>
      </c>
      <c r="R1281" s="13">
        <v>0.92700000000000005</v>
      </c>
      <c r="S1281" s="13">
        <v>6.0000000000000001E-3</v>
      </c>
      <c r="T1281" s="13"/>
      <c r="U1281" s="13" t="s">
        <v>33</v>
      </c>
      <c r="V1281" s="13" t="s">
        <v>95</v>
      </c>
      <c r="W1281" s="13">
        <v>6</v>
      </c>
      <c r="X1281" s="13"/>
      <c r="Y1281" s="12">
        <f t="shared" si="40"/>
        <v>0.151</v>
      </c>
      <c r="Z1281" s="13">
        <v>-0.94599999999999995</v>
      </c>
    </row>
    <row r="1282" spans="1:26" x14ac:dyDescent="0.2">
      <c r="A1282" s="13" t="s">
        <v>79</v>
      </c>
      <c r="B1282" s="13">
        <v>3380</v>
      </c>
      <c r="C1282" s="13">
        <v>14.058999999999999</v>
      </c>
      <c r="D1282" s="13">
        <v>23.683</v>
      </c>
      <c r="E1282" s="13">
        <v>1.1639999999999999</v>
      </c>
      <c r="F1282" s="13">
        <v>162.81200000000001</v>
      </c>
      <c r="G1282" s="13">
        <v>2.9129999999999998</v>
      </c>
      <c r="H1282" s="13">
        <v>0.79500000000000004</v>
      </c>
      <c r="I1282" s="13">
        <v>4.5069999999999997</v>
      </c>
      <c r="J1282" s="13">
        <v>1590.2170000000001</v>
      </c>
      <c r="K1282" s="13">
        <v>1765.3789999999999</v>
      </c>
      <c r="L1282" s="13">
        <v>0.01</v>
      </c>
      <c r="M1282" s="13">
        <v>1E-3</v>
      </c>
      <c r="N1282" s="13">
        <v>100</v>
      </c>
      <c r="O1282" s="13">
        <v>1.4999999999999999E-2</v>
      </c>
      <c r="P1282" s="13">
        <v>0.999</v>
      </c>
      <c r="Q1282" s="13">
        <v>0.14499999999999999</v>
      </c>
      <c r="R1282" s="13">
        <v>0.91900000000000004</v>
      </c>
      <c r="S1282" s="13">
        <v>0</v>
      </c>
      <c r="T1282" s="13"/>
      <c r="U1282" s="13" t="s">
        <v>33</v>
      </c>
      <c r="V1282" s="13" t="s">
        <v>95</v>
      </c>
      <c r="W1282" s="13">
        <v>6</v>
      </c>
      <c r="X1282" s="13"/>
      <c r="Y1282" s="12">
        <f t="shared" si="40"/>
        <v>0.15999999999999998</v>
      </c>
      <c r="Z1282" s="13">
        <v>-0.98399999999999999</v>
      </c>
    </row>
    <row r="1283" spans="1:26" x14ac:dyDescent="0.2">
      <c r="A1283" s="13" t="s">
        <v>79</v>
      </c>
      <c r="B1283" s="13">
        <v>3380.125</v>
      </c>
      <c r="C1283" s="13">
        <v>13.457000000000001</v>
      </c>
      <c r="D1283" s="13">
        <v>23.74</v>
      </c>
      <c r="E1283" s="13">
        <v>1.123</v>
      </c>
      <c r="F1283" s="13">
        <v>163.29400000000001</v>
      </c>
      <c r="G1283" s="13">
        <v>2.911</v>
      </c>
      <c r="H1283" s="13">
        <v>0.79500000000000004</v>
      </c>
      <c r="I1283" s="13">
        <v>4.4829999999999997</v>
      </c>
      <c r="J1283" s="13">
        <v>1577.4649999999999</v>
      </c>
      <c r="K1283" s="13">
        <v>1717.4090000000001</v>
      </c>
      <c r="L1283" s="13">
        <v>0.01</v>
      </c>
      <c r="M1283" s="13">
        <v>1E-3</v>
      </c>
      <c r="N1283" s="13">
        <v>100</v>
      </c>
      <c r="O1283" s="13">
        <v>1.0999999999999999E-2</v>
      </c>
      <c r="P1283" s="13">
        <v>0.98499999999999999</v>
      </c>
      <c r="Q1283" s="13">
        <v>0.14899999999999999</v>
      </c>
      <c r="R1283" s="13">
        <v>0.91400000000000003</v>
      </c>
      <c r="S1283" s="13">
        <v>0</v>
      </c>
      <c r="T1283" s="13"/>
      <c r="U1283" s="13" t="s">
        <v>33</v>
      </c>
      <c r="V1283" s="13" t="s">
        <v>95</v>
      </c>
      <c r="W1283" s="13">
        <v>6</v>
      </c>
      <c r="X1283" s="13"/>
      <c r="Y1283" s="12">
        <f t="shared" ref="Y1283:Y1346" si="44">O1283+Q1283</f>
        <v>0.16</v>
      </c>
      <c r="Z1283" s="13">
        <v>-0.97399999999999998</v>
      </c>
    </row>
    <row r="1284" spans="1:26" x14ac:dyDescent="0.2">
      <c r="A1284" s="13" t="s">
        <v>79</v>
      </c>
      <c r="B1284" s="13">
        <v>3380.25</v>
      </c>
      <c r="C1284" s="13">
        <v>14.118</v>
      </c>
      <c r="D1284" s="13">
        <v>23.774999999999999</v>
      </c>
      <c r="E1284" s="13">
        <v>1.083</v>
      </c>
      <c r="F1284" s="13">
        <v>162.65700000000001</v>
      </c>
      <c r="G1284" s="13">
        <v>2.91</v>
      </c>
      <c r="H1284" s="13">
        <v>0.83599999999999997</v>
      </c>
      <c r="I1284" s="13">
        <v>4.3959999999999999</v>
      </c>
      <c r="J1284" s="13">
        <v>1572.847</v>
      </c>
      <c r="K1284" s="13">
        <v>1682.5039999999999</v>
      </c>
      <c r="L1284" s="13">
        <v>0.01</v>
      </c>
      <c r="M1284" s="13">
        <v>1E-3</v>
      </c>
      <c r="N1284" s="13">
        <v>100</v>
      </c>
      <c r="O1284" s="13">
        <v>1.6E-2</v>
      </c>
      <c r="P1284" s="13">
        <v>0.94299999999999995</v>
      </c>
      <c r="Q1284" s="13">
        <v>0.14199999999999999</v>
      </c>
      <c r="R1284" s="13">
        <v>0.91200000000000003</v>
      </c>
      <c r="S1284" s="13">
        <v>3.0000000000000001E-3</v>
      </c>
      <c r="T1284" s="13"/>
      <c r="U1284" s="13" t="s">
        <v>33</v>
      </c>
      <c r="V1284" s="13" t="s">
        <v>95</v>
      </c>
      <c r="W1284" s="13">
        <v>6</v>
      </c>
      <c r="X1284" s="13"/>
      <c r="Y1284" s="12">
        <f t="shared" si="44"/>
        <v>0.15799999999999997</v>
      </c>
      <c r="Z1284" s="13">
        <v>-0.92699999999999994</v>
      </c>
    </row>
    <row r="1285" spans="1:26" x14ac:dyDescent="0.2">
      <c r="A1285" s="13" t="s">
        <v>79</v>
      </c>
      <c r="B1285" s="13">
        <v>3380.375</v>
      </c>
      <c r="C1285" s="13">
        <v>16.068000000000001</v>
      </c>
      <c r="D1285" s="13">
        <v>23.76</v>
      </c>
      <c r="E1285" s="13">
        <v>1.05</v>
      </c>
      <c r="F1285" s="13">
        <v>161.637</v>
      </c>
      <c r="G1285" s="13">
        <v>2.9140000000000001</v>
      </c>
      <c r="H1285" s="13">
        <v>0.86799999999999999</v>
      </c>
      <c r="I1285" s="13">
        <v>4.298</v>
      </c>
      <c r="J1285" s="13">
        <v>1525.72</v>
      </c>
      <c r="K1285" s="13">
        <v>1602.943</v>
      </c>
      <c r="L1285" s="13">
        <v>0.01</v>
      </c>
      <c r="M1285" s="13">
        <v>1E-3</v>
      </c>
      <c r="N1285" s="13">
        <v>100</v>
      </c>
      <c r="O1285" s="13">
        <v>3.1E-2</v>
      </c>
      <c r="P1285" s="13">
        <v>0.89700000000000002</v>
      </c>
      <c r="Q1285" s="13">
        <v>0.13200000000000001</v>
      </c>
      <c r="R1285" s="13">
        <v>0.92200000000000004</v>
      </c>
      <c r="S1285" s="13">
        <v>5.0000000000000001E-3</v>
      </c>
      <c r="T1285" s="13"/>
      <c r="U1285" s="13" t="s">
        <v>33</v>
      </c>
      <c r="V1285" s="13" t="s">
        <v>95</v>
      </c>
      <c r="W1285" s="13">
        <v>6</v>
      </c>
      <c r="X1285" s="13"/>
      <c r="Y1285" s="12">
        <f t="shared" si="44"/>
        <v>0.16300000000000001</v>
      </c>
      <c r="Z1285" s="13">
        <v>-0.86599999999999999</v>
      </c>
    </row>
    <row r="1286" spans="1:26" x14ac:dyDescent="0.2">
      <c r="A1286" s="13" t="s">
        <v>79</v>
      </c>
      <c r="B1286" s="13">
        <v>3380.5</v>
      </c>
      <c r="C1286" s="13">
        <v>18.387</v>
      </c>
      <c r="D1286" s="13">
        <v>23.713999999999999</v>
      </c>
      <c r="E1286" s="13">
        <v>1.042</v>
      </c>
      <c r="F1286" s="13">
        <v>161.185</v>
      </c>
      <c r="G1286" s="13">
        <v>2.915</v>
      </c>
      <c r="H1286" s="13">
        <v>0.88500000000000001</v>
      </c>
      <c r="I1286" s="13">
        <v>4.2309999999999999</v>
      </c>
      <c r="J1286" s="13">
        <v>1424.425</v>
      </c>
      <c r="K1286" s="13">
        <v>1472.1389999999999</v>
      </c>
      <c r="L1286" s="13">
        <v>0.01</v>
      </c>
      <c r="M1286" s="13">
        <v>1E-3</v>
      </c>
      <c r="N1286" s="13">
        <v>100</v>
      </c>
      <c r="O1286" s="13">
        <v>4.7E-2</v>
      </c>
      <c r="P1286" s="13">
        <v>0.86699999999999999</v>
      </c>
      <c r="Q1286" s="13">
        <v>0.129</v>
      </c>
      <c r="R1286" s="13">
        <v>0.92100000000000004</v>
      </c>
      <c r="S1286" s="13">
        <v>7.0000000000000001E-3</v>
      </c>
      <c r="T1286" s="13"/>
      <c r="U1286" s="13" t="s">
        <v>33</v>
      </c>
      <c r="V1286" s="13" t="s">
        <v>95</v>
      </c>
      <c r="W1286" s="13">
        <v>6</v>
      </c>
      <c r="X1286" s="13"/>
      <c r="Y1286" s="12">
        <f t="shared" si="44"/>
        <v>0.17599999999999999</v>
      </c>
      <c r="Z1286" s="13">
        <v>-0.82</v>
      </c>
    </row>
    <row r="1287" spans="1:26" x14ac:dyDescent="0.2">
      <c r="A1287" s="13" t="s">
        <v>79</v>
      </c>
      <c r="B1287" s="13">
        <v>3380.625</v>
      </c>
      <c r="C1287" s="13">
        <v>19.853999999999999</v>
      </c>
      <c r="D1287" s="13">
        <v>23.690999999999999</v>
      </c>
      <c r="E1287" s="13">
        <v>1.0620000000000001</v>
      </c>
      <c r="F1287" s="13">
        <v>161.643</v>
      </c>
      <c r="G1287" s="13">
        <v>2.899</v>
      </c>
      <c r="H1287" s="13">
        <v>0.90900000000000003</v>
      </c>
      <c r="I1287" s="13">
        <v>4.2229999999999999</v>
      </c>
      <c r="J1287" s="13">
        <v>1351.5719999999999</v>
      </c>
      <c r="K1287" s="13">
        <v>1399.848</v>
      </c>
      <c r="L1287" s="13">
        <v>0.01</v>
      </c>
      <c r="M1287" s="13">
        <v>1E-3</v>
      </c>
      <c r="N1287" s="13">
        <v>100</v>
      </c>
      <c r="O1287" s="13">
        <v>5.7000000000000002E-2</v>
      </c>
      <c r="P1287" s="13">
        <v>0.86399999999999999</v>
      </c>
      <c r="Q1287" s="13">
        <v>0.13300000000000001</v>
      </c>
      <c r="R1287" s="13">
        <v>0.875</v>
      </c>
      <c r="S1287" s="13">
        <v>8.0000000000000002E-3</v>
      </c>
      <c r="T1287" s="13"/>
      <c r="U1287" s="13" t="s">
        <v>33</v>
      </c>
      <c r="V1287" s="13" t="s">
        <v>95</v>
      </c>
      <c r="W1287" s="13">
        <v>6</v>
      </c>
      <c r="X1287" s="13"/>
      <c r="Y1287" s="12">
        <f t="shared" si="44"/>
        <v>0.19</v>
      </c>
      <c r="Z1287" s="13">
        <v>-0.80699999999999994</v>
      </c>
    </row>
    <row r="1288" spans="1:26" x14ac:dyDescent="0.2">
      <c r="A1288" s="13" t="s">
        <v>79</v>
      </c>
      <c r="B1288" s="13">
        <v>3380.75</v>
      </c>
      <c r="C1288" s="13">
        <v>20.09</v>
      </c>
      <c r="D1288" s="13">
        <v>23.704999999999998</v>
      </c>
      <c r="E1288" s="13">
        <v>1.0900000000000001</v>
      </c>
      <c r="F1288" s="13">
        <v>162.268</v>
      </c>
      <c r="G1288" s="13">
        <v>2.867</v>
      </c>
      <c r="H1288" s="13">
        <v>0.93300000000000005</v>
      </c>
      <c r="I1288" s="13">
        <v>4.25</v>
      </c>
      <c r="J1288" s="13">
        <v>1421.711</v>
      </c>
      <c r="K1288" s="13">
        <v>1512.5350000000001</v>
      </c>
      <c r="L1288" s="13">
        <v>0.01</v>
      </c>
      <c r="M1288" s="13">
        <v>1E-3</v>
      </c>
      <c r="N1288" s="13">
        <v>100</v>
      </c>
      <c r="O1288" s="13">
        <v>5.8000000000000003E-2</v>
      </c>
      <c r="P1288" s="13">
        <v>0.878</v>
      </c>
      <c r="Q1288" s="13">
        <v>0.13900000000000001</v>
      </c>
      <c r="R1288" s="13">
        <v>0.79100000000000004</v>
      </c>
      <c r="S1288" s="13">
        <v>0.01</v>
      </c>
      <c r="T1288" s="13"/>
      <c r="U1288" s="13" t="s">
        <v>33</v>
      </c>
      <c r="V1288" s="13" t="s">
        <v>95</v>
      </c>
      <c r="W1288" s="13">
        <v>6</v>
      </c>
      <c r="X1288" s="13"/>
      <c r="Y1288" s="12">
        <f t="shared" si="44"/>
        <v>0.19700000000000001</v>
      </c>
      <c r="Z1288" s="13">
        <v>-0.82</v>
      </c>
    </row>
    <row r="1289" spans="1:26" x14ac:dyDescent="0.2">
      <c r="A1289" s="13" t="s">
        <v>79</v>
      </c>
      <c r="B1289" s="13">
        <v>3380.875</v>
      </c>
      <c r="C1289" s="13">
        <v>19.443000000000001</v>
      </c>
      <c r="D1289" s="13">
        <v>23.734000000000002</v>
      </c>
      <c r="E1289" s="13">
        <v>1.1279999999999999</v>
      </c>
      <c r="F1289" s="13">
        <v>162.49299999999999</v>
      </c>
      <c r="G1289" s="13">
        <v>2.8439999999999999</v>
      </c>
      <c r="H1289" s="13">
        <v>0.93700000000000006</v>
      </c>
      <c r="I1289" s="13">
        <v>4.298</v>
      </c>
      <c r="J1289" s="13">
        <v>1732.9110000000001</v>
      </c>
      <c r="K1289" s="13">
        <v>1950.165</v>
      </c>
      <c r="L1289" s="13">
        <v>0.01</v>
      </c>
      <c r="M1289" s="13">
        <v>1E-3</v>
      </c>
      <c r="N1289" s="13">
        <v>100</v>
      </c>
      <c r="O1289" s="13">
        <v>5.2999999999999999E-2</v>
      </c>
      <c r="P1289" s="13">
        <v>0.90100000000000002</v>
      </c>
      <c r="Q1289" s="13">
        <v>0.14099999999999999</v>
      </c>
      <c r="R1289" s="13">
        <v>0.73399999999999999</v>
      </c>
      <c r="S1289" s="13">
        <v>0.01</v>
      </c>
      <c r="T1289" s="13"/>
      <c r="U1289" s="13" t="s">
        <v>33</v>
      </c>
      <c r="V1289" s="13" t="s">
        <v>95</v>
      </c>
      <c r="W1289" s="13">
        <v>6</v>
      </c>
      <c r="X1289" s="13"/>
      <c r="Y1289" s="12">
        <f t="shared" si="44"/>
        <v>0.19399999999999998</v>
      </c>
      <c r="Z1289" s="13">
        <v>-0.84799999999999998</v>
      </c>
    </row>
    <row r="1290" spans="1:26" x14ac:dyDescent="0.2">
      <c r="A1290" s="13" t="s">
        <v>79</v>
      </c>
      <c r="B1290" s="13">
        <v>3381</v>
      </c>
      <c r="C1290" s="13">
        <v>18.302</v>
      </c>
      <c r="D1290" s="13">
        <v>23.73</v>
      </c>
      <c r="E1290" s="13">
        <v>1.1890000000000001</v>
      </c>
      <c r="F1290" s="13">
        <v>162.137</v>
      </c>
      <c r="G1290" s="13">
        <v>2.8460000000000001</v>
      </c>
      <c r="H1290" s="13">
        <v>0.92600000000000005</v>
      </c>
      <c r="I1290" s="13">
        <v>4.3579999999999997</v>
      </c>
      <c r="J1290" s="13">
        <v>3100.2139999999999</v>
      </c>
      <c r="K1290" s="13">
        <v>4366.5990000000002</v>
      </c>
      <c r="L1290" s="13">
        <v>0.01</v>
      </c>
      <c r="M1290" s="13">
        <v>1E-3</v>
      </c>
      <c r="N1290" s="13">
        <v>100</v>
      </c>
      <c r="O1290" s="13">
        <v>4.4999999999999998E-2</v>
      </c>
      <c r="P1290" s="13">
        <v>0.92900000000000005</v>
      </c>
      <c r="Q1290" s="13">
        <v>0.13700000000000001</v>
      </c>
      <c r="R1290" s="13">
        <v>0.74199999999999999</v>
      </c>
      <c r="S1290" s="13">
        <v>8.9999999999999993E-3</v>
      </c>
      <c r="T1290" s="13"/>
      <c r="U1290" s="13" t="s">
        <v>33</v>
      </c>
      <c r="V1290" s="13" t="s">
        <v>95</v>
      </c>
      <c r="W1290" s="13">
        <v>6</v>
      </c>
      <c r="X1290" s="13"/>
      <c r="Y1290" s="12">
        <f t="shared" si="44"/>
        <v>0.182</v>
      </c>
      <c r="Z1290" s="13">
        <v>-0.88400000000000001</v>
      </c>
    </row>
    <row r="1291" spans="1:26" x14ac:dyDescent="0.2">
      <c r="A1291" s="13" t="s">
        <v>79</v>
      </c>
      <c r="B1291" s="13">
        <v>3381.125</v>
      </c>
      <c r="C1291" s="13">
        <v>16.675000000000001</v>
      </c>
      <c r="D1291" s="13">
        <v>23.652999999999999</v>
      </c>
      <c r="E1291" s="13">
        <v>1.2709999999999999</v>
      </c>
      <c r="F1291" s="13">
        <v>160.88999999999999</v>
      </c>
      <c r="G1291" s="13">
        <v>2.863</v>
      </c>
      <c r="H1291" s="13">
        <v>0.93600000000000005</v>
      </c>
      <c r="I1291" s="13">
        <v>4.3710000000000004</v>
      </c>
      <c r="J1291" s="13">
        <v>6751.9470000000001</v>
      </c>
      <c r="K1291" s="13">
        <v>11288.259</v>
      </c>
      <c r="L1291" s="13">
        <v>0.01</v>
      </c>
      <c r="M1291" s="13">
        <v>1E-3</v>
      </c>
      <c r="N1291" s="13">
        <v>100</v>
      </c>
      <c r="O1291" s="13">
        <v>3.3000000000000002E-2</v>
      </c>
      <c r="P1291" s="13">
        <v>0.93100000000000005</v>
      </c>
      <c r="Q1291" s="13">
        <v>0.124</v>
      </c>
      <c r="R1291" s="13">
        <v>0.78800000000000003</v>
      </c>
      <c r="S1291" s="13">
        <v>0.01</v>
      </c>
      <c r="T1291" s="13"/>
      <c r="U1291" s="13" t="s">
        <v>33</v>
      </c>
      <c r="V1291" s="13" t="s">
        <v>95</v>
      </c>
      <c r="W1291" s="13">
        <v>6</v>
      </c>
      <c r="X1291" s="13"/>
      <c r="Y1291" s="12">
        <f t="shared" si="44"/>
        <v>0.157</v>
      </c>
      <c r="Z1291" s="13">
        <v>-0.89800000000000002</v>
      </c>
    </row>
    <row r="1292" spans="1:26" x14ac:dyDescent="0.2">
      <c r="A1292" s="13" t="s">
        <v>79</v>
      </c>
      <c r="B1292" s="13">
        <v>3381.25</v>
      </c>
      <c r="C1292" s="13">
        <v>14.638</v>
      </c>
      <c r="D1292" s="13">
        <v>23.545999999999999</v>
      </c>
      <c r="E1292" s="13">
        <v>1.3560000000000001</v>
      </c>
      <c r="F1292" s="13">
        <v>158.98099999999999</v>
      </c>
      <c r="G1292" s="13">
        <v>2.8820000000000001</v>
      </c>
      <c r="H1292" s="13">
        <v>0.97699999999999998</v>
      </c>
      <c r="I1292" s="13">
        <v>4.2590000000000003</v>
      </c>
      <c r="J1292" s="13">
        <v>12086.832</v>
      </c>
      <c r="K1292" s="13">
        <v>21583.33</v>
      </c>
      <c r="L1292" s="13">
        <v>0.01</v>
      </c>
      <c r="M1292" s="13">
        <v>1E-3</v>
      </c>
      <c r="N1292" s="13">
        <v>100</v>
      </c>
      <c r="O1292" s="13">
        <v>1.7999999999999999E-2</v>
      </c>
      <c r="P1292" s="13">
        <v>0.876</v>
      </c>
      <c r="Q1292" s="13">
        <v>0.106</v>
      </c>
      <c r="R1292" s="13">
        <v>0.83899999999999997</v>
      </c>
      <c r="S1292" s="13">
        <v>1.2999999999999999E-2</v>
      </c>
      <c r="T1292" s="13"/>
      <c r="U1292" s="13" t="s">
        <v>33</v>
      </c>
      <c r="V1292" s="13" t="s">
        <v>95</v>
      </c>
      <c r="W1292" s="13">
        <v>6</v>
      </c>
      <c r="X1292" s="13"/>
      <c r="Y1292" s="12">
        <f t="shared" si="44"/>
        <v>0.124</v>
      </c>
      <c r="Z1292" s="13">
        <v>-0.85799999999999998</v>
      </c>
    </row>
    <row r="1293" spans="1:26" x14ac:dyDescent="0.2">
      <c r="A1293" s="13" t="s">
        <v>79</v>
      </c>
      <c r="B1293" s="13">
        <v>3381.375</v>
      </c>
      <c r="C1293" s="13">
        <v>12.813000000000001</v>
      </c>
      <c r="D1293" s="13">
        <v>23.507000000000001</v>
      </c>
      <c r="E1293" s="13">
        <v>1.417</v>
      </c>
      <c r="F1293" s="13">
        <v>157.649</v>
      </c>
      <c r="G1293" s="13">
        <v>2.899</v>
      </c>
      <c r="H1293" s="13">
        <v>1.018</v>
      </c>
      <c r="I1293" s="13">
        <v>4.1420000000000003</v>
      </c>
      <c r="J1293" s="13">
        <v>15392.498</v>
      </c>
      <c r="K1293" s="13">
        <v>27929.842000000001</v>
      </c>
      <c r="L1293" s="13">
        <v>0.01</v>
      </c>
      <c r="M1293" s="13">
        <v>1E-3</v>
      </c>
      <c r="N1293" s="13">
        <v>100</v>
      </c>
      <c r="O1293" s="13">
        <v>6.0000000000000001E-3</v>
      </c>
      <c r="P1293" s="13">
        <v>0.82499999999999996</v>
      </c>
      <c r="Q1293" s="13">
        <v>9.2999999999999999E-2</v>
      </c>
      <c r="R1293" s="13">
        <v>0.88600000000000001</v>
      </c>
      <c r="S1293" s="13">
        <v>1.6E-2</v>
      </c>
      <c r="T1293" s="13"/>
      <c r="U1293" s="13" t="s">
        <v>33</v>
      </c>
      <c r="V1293" s="13" t="s">
        <v>95</v>
      </c>
      <c r="W1293" s="13">
        <v>6</v>
      </c>
      <c r="X1293" s="13"/>
      <c r="Y1293" s="12">
        <f t="shared" si="44"/>
        <v>9.9000000000000005E-2</v>
      </c>
      <c r="Z1293" s="13">
        <v>-0.81899999999999995</v>
      </c>
    </row>
    <row r="1294" spans="1:26" x14ac:dyDescent="0.2">
      <c r="A1294" s="13" t="s">
        <v>79</v>
      </c>
      <c r="B1294" s="13">
        <v>3382</v>
      </c>
      <c r="C1294" s="13">
        <v>30.038</v>
      </c>
      <c r="D1294" s="13">
        <v>23.597999999999999</v>
      </c>
      <c r="E1294" s="13">
        <v>2.0950000000000002</v>
      </c>
      <c r="F1294" s="13">
        <v>163.82300000000001</v>
      </c>
      <c r="G1294" s="13">
        <v>2.9009999999999998</v>
      </c>
      <c r="H1294" s="13">
        <v>1.1930000000000001</v>
      </c>
      <c r="I1294" s="13">
        <v>4.3449999999999998</v>
      </c>
      <c r="J1294" s="13">
        <v>763.44200000000001</v>
      </c>
      <c r="K1294" s="13">
        <v>836.64</v>
      </c>
      <c r="L1294" s="13">
        <v>0.01</v>
      </c>
      <c r="M1294" s="13">
        <v>1E-3</v>
      </c>
      <c r="N1294" s="13">
        <v>100</v>
      </c>
      <c r="O1294" s="13">
        <v>0.13200000000000001</v>
      </c>
      <c r="P1294" s="13">
        <v>0.91800000000000004</v>
      </c>
      <c r="Q1294" s="13">
        <v>0.155</v>
      </c>
      <c r="R1294" s="13">
        <v>0.88300000000000001</v>
      </c>
      <c r="S1294" s="13">
        <v>2.9000000000000001E-2</v>
      </c>
      <c r="T1294" s="13"/>
      <c r="U1294" s="13" t="s">
        <v>33</v>
      </c>
      <c r="V1294" s="13" t="s">
        <v>95</v>
      </c>
      <c r="W1294" s="13">
        <v>6</v>
      </c>
      <c r="X1294" s="13"/>
      <c r="Y1294" s="12">
        <f t="shared" si="44"/>
        <v>0.28700000000000003</v>
      </c>
      <c r="Z1294" s="13">
        <v>-0.78600000000000003</v>
      </c>
    </row>
    <row r="1295" spans="1:26" x14ac:dyDescent="0.2">
      <c r="A1295" s="12" t="s">
        <v>107</v>
      </c>
      <c r="B1295" s="12">
        <v>3823.25</v>
      </c>
      <c r="C1295" s="12">
        <v>51.354999999999997</v>
      </c>
      <c r="D1295" s="12">
        <v>168.608</v>
      </c>
      <c r="E1295" s="12">
        <v>23.138999999999999</v>
      </c>
      <c r="F1295" s="12">
        <v>168.608</v>
      </c>
      <c r="G1295" s="12">
        <v>2.6989999999999998</v>
      </c>
      <c r="H1295" s="12">
        <v>6.7560000000000002</v>
      </c>
      <c r="I1295" s="12">
        <v>4.024</v>
      </c>
      <c r="J1295" s="12">
        <v>1942.1389999999999</v>
      </c>
      <c r="K1295" s="12">
        <v>1918.6289999999999</v>
      </c>
      <c r="L1295" s="12">
        <v>0.01</v>
      </c>
      <c r="M1295" s="12">
        <v>1E-3</v>
      </c>
      <c r="N1295" s="12">
        <v>100</v>
      </c>
      <c r="O1295" s="12">
        <v>0.185</v>
      </c>
      <c r="P1295" s="12">
        <v>0.73199999999999998</v>
      </c>
      <c r="Q1295" s="12">
        <v>0.14899999999999999</v>
      </c>
      <c r="R1295" s="12">
        <v>0.46500000000000002</v>
      </c>
      <c r="U1295" s="12" t="s">
        <v>33</v>
      </c>
      <c r="V1295" s="12" t="s">
        <v>118</v>
      </c>
      <c r="X1295" s="12" t="s">
        <v>40</v>
      </c>
      <c r="Y1295" s="12">
        <f t="shared" si="44"/>
        <v>0.33399999999999996</v>
      </c>
      <c r="Z1295" s="12">
        <f t="shared" ref="Z1295:Z1297" si="45">O1295-P1295</f>
        <v>-0.54699999999999993</v>
      </c>
    </row>
    <row r="1296" spans="1:26" x14ac:dyDescent="0.2">
      <c r="A1296" s="12" t="s">
        <v>107</v>
      </c>
      <c r="B1296" s="12">
        <v>3823.375</v>
      </c>
      <c r="C1296" s="12">
        <v>60.633000000000003</v>
      </c>
      <c r="D1296" s="12">
        <v>181.15199999999999</v>
      </c>
      <c r="E1296" s="12">
        <v>22.827000000000002</v>
      </c>
      <c r="F1296" s="12">
        <v>181.15199999999999</v>
      </c>
      <c r="G1296" s="12">
        <v>2.7109999999999999</v>
      </c>
      <c r="H1296" s="12">
        <v>6.6970000000000001</v>
      </c>
      <c r="I1296" s="12">
        <v>4.2880000000000003</v>
      </c>
      <c r="J1296" s="12">
        <v>1237.402</v>
      </c>
      <c r="K1296" s="12">
        <v>1184.759</v>
      </c>
      <c r="L1296" s="12">
        <v>0.01</v>
      </c>
      <c r="M1296" s="12">
        <v>1E-3</v>
      </c>
      <c r="N1296" s="12">
        <v>100</v>
      </c>
      <c r="O1296" s="12">
        <v>0.246</v>
      </c>
      <c r="P1296" s="12">
        <v>0.83299999999999996</v>
      </c>
      <c r="Q1296" s="12">
        <v>0.23100000000000001</v>
      </c>
      <c r="R1296" s="12">
        <v>0.502</v>
      </c>
      <c r="U1296" s="12" t="s">
        <v>33</v>
      </c>
      <c r="V1296" s="12" t="s">
        <v>118</v>
      </c>
      <c r="X1296" s="12" t="s">
        <v>40</v>
      </c>
      <c r="Y1296" s="12">
        <f t="shared" si="44"/>
        <v>0.47699999999999998</v>
      </c>
      <c r="Z1296" s="12">
        <f t="shared" si="45"/>
        <v>-0.58699999999999997</v>
      </c>
    </row>
    <row r="1297" spans="1:26" x14ac:dyDescent="0.2">
      <c r="A1297" s="12" t="s">
        <v>107</v>
      </c>
      <c r="B1297" s="12">
        <v>3823.5</v>
      </c>
      <c r="C1297" s="12">
        <v>62.143000000000001</v>
      </c>
      <c r="D1297" s="12">
        <v>185.56100000000001</v>
      </c>
      <c r="E1297" s="12">
        <v>22.914000000000001</v>
      </c>
      <c r="F1297" s="12">
        <v>185.56100000000001</v>
      </c>
      <c r="G1297" s="12">
        <v>2.71</v>
      </c>
      <c r="H1297" s="12">
        <v>6.7409999999999997</v>
      </c>
      <c r="I1297" s="12">
        <v>4.4989999999999997</v>
      </c>
      <c r="J1297" s="12">
        <v>853.66600000000005</v>
      </c>
      <c r="K1297" s="12">
        <v>807.24300000000005</v>
      </c>
      <c r="L1297" s="12">
        <v>0.01</v>
      </c>
      <c r="M1297" s="12">
        <v>1E-3</v>
      </c>
      <c r="N1297" s="12">
        <v>100</v>
      </c>
      <c r="O1297" s="12">
        <v>0.25600000000000001</v>
      </c>
      <c r="P1297" s="12">
        <v>0.91400000000000003</v>
      </c>
      <c r="Q1297" s="12">
        <v>0.26</v>
      </c>
      <c r="R1297" s="12">
        <v>0.498</v>
      </c>
      <c r="U1297" s="12" t="s">
        <v>33</v>
      </c>
      <c r="V1297" s="12" t="s">
        <v>118</v>
      </c>
      <c r="X1297" s="12" t="s">
        <v>40</v>
      </c>
      <c r="Y1297" s="12">
        <f t="shared" si="44"/>
        <v>0.51600000000000001</v>
      </c>
      <c r="Z1297" s="12">
        <f t="shared" si="45"/>
        <v>-0.65800000000000003</v>
      </c>
    </row>
    <row r="1298" spans="1:26" x14ac:dyDescent="0.2">
      <c r="A1298" s="12" t="s">
        <v>107</v>
      </c>
      <c r="B1298" s="12">
        <v>3823.625</v>
      </c>
      <c r="C1298" s="12">
        <v>55.249000000000002</v>
      </c>
      <c r="D1298" s="12">
        <v>186.67400000000001</v>
      </c>
      <c r="E1298" s="12">
        <v>23.475999999999999</v>
      </c>
      <c r="F1298" s="12">
        <v>186.67400000000001</v>
      </c>
      <c r="G1298" s="12">
        <v>2.6859999999999999</v>
      </c>
      <c r="H1298" s="12">
        <v>6.9660000000000002</v>
      </c>
      <c r="I1298" s="12">
        <v>4.649</v>
      </c>
      <c r="J1298" s="12">
        <v>616.88400000000001</v>
      </c>
      <c r="K1298" s="12">
        <v>586.78099999999995</v>
      </c>
      <c r="L1298" s="12">
        <v>0.01</v>
      </c>
      <c r="M1298" s="12">
        <v>1E-3</v>
      </c>
      <c r="N1298" s="12">
        <v>100</v>
      </c>
      <c r="O1298" s="12">
        <v>0.21099999999999999</v>
      </c>
      <c r="P1298" s="12">
        <v>0.97199999999999998</v>
      </c>
      <c r="Q1298" s="12">
        <v>0.26700000000000002</v>
      </c>
      <c r="R1298" s="12">
        <v>0.42499999999999999</v>
      </c>
      <c r="U1298" s="12" t="s">
        <v>33</v>
      </c>
      <c r="V1298" s="12" t="s">
        <v>118</v>
      </c>
      <c r="X1298" s="12" t="s">
        <v>40</v>
      </c>
      <c r="Y1298" s="12">
        <f t="shared" si="44"/>
        <v>0.47799999999999998</v>
      </c>
      <c r="Z1298" s="12">
        <f t="shared" ref="Z1298:Z1306" si="46">O1298-P1298</f>
        <v>-0.76100000000000001</v>
      </c>
    </row>
    <row r="1299" spans="1:26" x14ac:dyDescent="0.2">
      <c r="A1299" s="12" t="s">
        <v>107</v>
      </c>
      <c r="B1299" s="12">
        <v>3823.75</v>
      </c>
      <c r="C1299" s="12">
        <v>49.146999999999998</v>
      </c>
      <c r="D1299" s="12">
        <v>186.26599999999999</v>
      </c>
      <c r="E1299" s="12">
        <v>23.872</v>
      </c>
      <c r="F1299" s="12">
        <v>186.26599999999999</v>
      </c>
      <c r="G1299" s="12">
        <v>2.6669999999999998</v>
      </c>
      <c r="H1299" s="12">
        <v>7.1760000000000002</v>
      </c>
      <c r="I1299" s="12">
        <v>4.7089999999999996</v>
      </c>
      <c r="J1299" s="12">
        <v>499.35599999999999</v>
      </c>
      <c r="K1299" s="12">
        <v>477.11399999999998</v>
      </c>
      <c r="L1299" s="12">
        <v>0.01</v>
      </c>
      <c r="M1299" s="12">
        <v>1E-3</v>
      </c>
      <c r="N1299" s="12">
        <v>100</v>
      </c>
      <c r="O1299" s="12">
        <v>0.17100000000000001</v>
      </c>
      <c r="P1299" s="12">
        <v>0.995</v>
      </c>
      <c r="Q1299" s="12">
        <v>0.26400000000000001</v>
      </c>
      <c r="R1299" s="12">
        <v>0.36699999999999999</v>
      </c>
      <c r="U1299" s="12" t="s">
        <v>33</v>
      </c>
      <c r="V1299" s="12" t="s">
        <v>118</v>
      </c>
      <c r="X1299" s="12" t="s">
        <v>40</v>
      </c>
      <c r="Y1299" s="12">
        <f t="shared" si="44"/>
        <v>0.43500000000000005</v>
      </c>
      <c r="Z1299" s="12">
        <f t="shared" si="46"/>
        <v>-0.82399999999999995</v>
      </c>
    </row>
    <row r="1300" spans="1:26" x14ac:dyDescent="0.2">
      <c r="A1300" s="12" t="s">
        <v>107</v>
      </c>
      <c r="B1300" s="12">
        <v>3823.875</v>
      </c>
      <c r="C1300" s="12">
        <v>48.542999999999999</v>
      </c>
      <c r="D1300" s="12">
        <v>184.20599999999999</v>
      </c>
      <c r="E1300" s="12">
        <v>23.763000000000002</v>
      </c>
      <c r="F1300" s="12">
        <v>184.20599999999999</v>
      </c>
      <c r="G1300" s="12">
        <v>2.6749999999999998</v>
      </c>
      <c r="H1300" s="12">
        <v>7.61</v>
      </c>
      <c r="I1300" s="12">
        <v>4.7229999999999999</v>
      </c>
      <c r="J1300" s="12">
        <v>422.31900000000002</v>
      </c>
      <c r="K1300" s="12">
        <v>403.92700000000002</v>
      </c>
      <c r="L1300" s="12">
        <v>0.01</v>
      </c>
      <c r="M1300" s="12">
        <v>1E-3</v>
      </c>
      <c r="N1300" s="12">
        <v>100</v>
      </c>
      <c r="O1300" s="12">
        <v>0.16700000000000001</v>
      </c>
      <c r="P1300" s="12">
        <v>1</v>
      </c>
      <c r="Q1300" s="12">
        <v>0.251</v>
      </c>
      <c r="R1300" s="12">
        <v>0.39100000000000001</v>
      </c>
      <c r="U1300" s="12" t="s">
        <v>33</v>
      </c>
      <c r="V1300" s="12" t="s">
        <v>118</v>
      </c>
      <c r="X1300" s="12" t="s">
        <v>40</v>
      </c>
      <c r="Y1300" s="12">
        <f t="shared" si="44"/>
        <v>0.41800000000000004</v>
      </c>
      <c r="Z1300" s="12">
        <f t="shared" si="46"/>
        <v>-0.83299999999999996</v>
      </c>
    </row>
    <row r="1301" spans="1:26" x14ac:dyDescent="0.2">
      <c r="A1301" s="12" t="s">
        <v>107</v>
      </c>
      <c r="B1301" s="12">
        <v>3824</v>
      </c>
      <c r="C1301" s="12">
        <v>57.896000000000001</v>
      </c>
      <c r="D1301" s="12">
        <v>184.21899999999999</v>
      </c>
      <c r="E1301" s="12">
        <v>23.033000000000001</v>
      </c>
      <c r="F1301" s="12">
        <v>184.21899999999999</v>
      </c>
      <c r="G1301" s="12">
        <v>2.7080000000000002</v>
      </c>
      <c r="H1301" s="12">
        <v>7.952</v>
      </c>
      <c r="I1301" s="12">
        <v>4.6580000000000004</v>
      </c>
      <c r="J1301" s="12">
        <v>354.69099999999997</v>
      </c>
      <c r="K1301" s="12">
        <v>340.23200000000003</v>
      </c>
      <c r="L1301" s="12">
        <v>0.01</v>
      </c>
      <c r="M1301" s="12">
        <v>1E-3</v>
      </c>
      <c r="N1301" s="12">
        <v>100</v>
      </c>
      <c r="O1301" s="12">
        <v>0.22800000000000001</v>
      </c>
      <c r="P1301" s="12">
        <v>0.97499999999999998</v>
      </c>
      <c r="Q1301" s="12">
        <v>0.251</v>
      </c>
      <c r="R1301" s="12">
        <v>0.49199999999999999</v>
      </c>
      <c r="U1301" s="12" t="s">
        <v>33</v>
      </c>
      <c r="V1301" s="12" t="s">
        <v>118</v>
      </c>
      <c r="X1301" s="12" t="s">
        <v>40</v>
      </c>
      <c r="Y1301" s="12">
        <f t="shared" si="44"/>
        <v>0.47899999999999998</v>
      </c>
      <c r="Z1301" s="12">
        <f t="shared" si="46"/>
        <v>-0.747</v>
      </c>
    </row>
    <row r="1302" spans="1:26" x14ac:dyDescent="0.2">
      <c r="A1302" s="12" t="s">
        <v>107</v>
      </c>
      <c r="B1302" s="12">
        <v>3824.125</v>
      </c>
      <c r="C1302" s="12">
        <v>67.016999999999996</v>
      </c>
      <c r="D1302" s="12">
        <v>184.172</v>
      </c>
      <c r="E1302" s="12">
        <v>22.43</v>
      </c>
      <c r="F1302" s="12">
        <v>184.172</v>
      </c>
      <c r="G1302" s="12">
        <v>2.7320000000000002</v>
      </c>
      <c r="H1302" s="12">
        <v>7.94</v>
      </c>
      <c r="I1302" s="12">
        <v>4.5010000000000003</v>
      </c>
      <c r="J1302" s="12">
        <v>327.34399999999999</v>
      </c>
      <c r="K1302" s="12">
        <v>314.19900000000001</v>
      </c>
      <c r="L1302" s="12">
        <v>0.01</v>
      </c>
      <c r="M1302" s="12">
        <v>1E-3</v>
      </c>
      <c r="N1302" s="12">
        <v>100</v>
      </c>
      <c r="O1302" s="12">
        <v>0.28799999999999998</v>
      </c>
      <c r="P1302" s="12">
        <v>0.91500000000000004</v>
      </c>
      <c r="Q1302" s="12">
        <v>0.25</v>
      </c>
      <c r="R1302" s="12">
        <v>0.56599999999999995</v>
      </c>
      <c r="U1302" s="12" t="s">
        <v>33</v>
      </c>
      <c r="V1302" s="12" t="s">
        <v>118</v>
      </c>
      <c r="X1302" s="12" t="s">
        <v>40</v>
      </c>
      <c r="Y1302" s="12">
        <f t="shared" si="44"/>
        <v>0.53800000000000003</v>
      </c>
      <c r="Z1302" s="12">
        <f t="shared" si="46"/>
        <v>-0.627</v>
      </c>
    </row>
    <row r="1303" spans="1:26" x14ac:dyDescent="0.2">
      <c r="A1303" s="12" t="s">
        <v>107</v>
      </c>
      <c r="B1303" s="12">
        <v>3824.25</v>
      </c>
      <c r="C1303" s="12">
        <v>73.843000000000004</v>
      </c>
      <c r="D1303" s="12">
        <v>179.90100000000001</v>
      </c>
      <c r="E1303" s="12">
        <v>21.948</v>
      </c>
      <c r="F1303" s="12">
        <v>179.90100000000001</v>
      </c>
      <c r="G1303" s="12">
        <v>2.76</v>
      </c>
      <c r="H1303" s="12">
        <v>7.7329999999999997</v>
      </c>
      <c r="I1303" s="12">
        <v>4.0659999999999998</v>
      </c>
      <c r="J1303" s="12">
        <v>331.1</v>
      </c>
      <c r="K1303" s="12">
        <v>315.80799999999999</v>
      </c>
      <c r="L1303" s="12">
        <v>0.01</v>
      </c>
      <c r="M1303" s="12">
        <v>1E-3</v>
      </c>
      <c r="N1303" s="12">
        <v>100</v>
      </c>
      <c r="O1303" s="12">
        <v>0.33200000000000002</v>
      </c>
      <c r="P1303" s="12">
        <v>0.748</v>
      </c>
      <c r="Q1303" s="12">
        <v>0.223</v>
      </c>
      <c r="R1303" s="12">
        <v>0.65100000000000002</v>
      </c>
      <c r="U1303" s="12" t="s">
        <v>33</v>
      </c>
      <c r="V1303" s="12" t="s">
        <v>118</v>
      </c>
      <c r="X1303" s="12" t="s">
        <v>40</v>
      </c>
      <c r="Y1303" s="12">
        <f t="shared" si="44"/>
        <v>0.55500000000000005</v>
      </c>
      <c r="Z1303" s="12">
        <f t="shared" si="46"/>
        <v>-0.41599999999999998</v>
      </c>
    </row>
    <row r="1304" spans="1:26" x14ac:dyDescent="0.2">
      <c r="A1304" s="12" t="s">
        <v>107</v>
      </c>
      <c r="B1304" s="12">
        <v>3824.375</v>
      </c>
      <c r="C1304" s="12">
        <v>71.997</v>
      </c>
      <c r="D1304" s="12">
        <v>170.798</v>
      </c>
      <c r="E1304" s="12">
        <v>21.672999999999998</v>
      </c>
      <c r="F1304" s="12">
        <v>170.798</v>
      </c>
      <c r="G1304" s="12">
        <v>2.798</v>
      </c>
      <c r="H1304" s="12">
        <v>7.8460000000000001</v>
      </c>
      <c r="I1304" s="12">
        <v>3.5779999999999998</v>
      </c>
      <c r="J1304" s="12">
        <v>382.096</v>
      </c>
      <c r="K1304" s="12">
        <v>360.74900000000002</v>
      </c>
      <c r="L1304" s="12">
        <v>0.01</v>
      </c>
      <c r="M1304" s="12">
        <v>1E-3</v>
      </c>
      <c r="N1304" s="12">
        <v>100</v>
      </c>
      <c r="O1304" s="12">
        <v>0.32</v>
      </c>
      <c r="P1304" s="12">
        <v>0.56100000000000005</v>
      </c>
      <c r="Q1304" s="12">
        <v>0.16300000000000001</v>
      </c>
      <c r="R1304" s="12">
        <v>0.76800000000000002</v>
      </c>
      <c r="U1304" s="12" t="s">
        <v>33</v>
      </c>
      <c r="V1304" s="12" t="s">
        <v>118</v>
      </c>
      <c r="X1304" s="12" t="s">
        <v>40</v>
      </c>
      <c r="Y1304" s="12">
        <f t="shared" si="44"/>
        <v>0.48299999999999998</v>
      </c>
      <c r="Z1304" s="12">
        <f t="shared" si="46"/>
        <v>-0.24100000000000005</v>
      </c>
    </row>
    <row r="1305" spans="1:26" x14ac:dyDescent="0.2">
      <c r="A1305" s="12" t="s">
        <v>110</v>
      </c>
      <c r="B1305" s="12">
        <v>3881.625</v>
      </c>
      <c r="C1305" s="12">
        <v>47.735999999999997</v>
      </c>
      <c r="D1305" s="12">
        <v>177.327</v>
      </c>
      <c r="E1305" s="12">
        <v>21.827000000000002</v>
      </c>
      <c r="F1305" s="12">
        <v>177.327</v>
      </c>
      <c r="G1305" s="12">
        <v>2.819</v>
      </c>
      <c r="H1305" s="12">
        <v>4.923</v>
      </c>
      <c r="I1305" s="12">
        <v>4.3310000000000004</v>
      </c>
      <c r="J1305" s="12">
        <v>767.95</v>
      </c>
      <c r="K1305" s="12">
        <v>713.70699999999999</v>
      </c>
      <c r="L1305" s="12">
        <v>0</v>
      </c>
      <c r="M1305" s="12">
        <v>0</v>
      </c>
      <c r="N1305" s="12">
        <v>100</v>
      </c>
      <c r="O1305" s="12">
        <v>0.17799999999999999</v>
      </c>
      <c r="P1305" s="12">
        <v>0.872</v>
      </c>
      <c r="Q1305" s="12">
        <v>0.27100000000000002</v>
      </c>
      <c r="R1305" s="12">
        <v>0.71499999999999997</v>
      </c>
      <c r="U1305" s="12" t="s">
        <v>33</v>
      </c>
      <c r="V1305" s="12" t="s">
        <v>118</v>
      </c>
      <c r="X1305" s="12" t="s">
        <v>40</v>
      </c>
      <c r="Y1305" s="12">
        <f t="shared" si="44"/>
        <v>0.44900000000000001</v>
      </c>
      <c r="Z1305" s="12">
        <f t="shared" si="46"/>
        <v>-0.69399999999999995</v>
      </c>
    </row>
    <row r="1306" spans="1:26" x14ac:dyDescent="0.2">
      <c r="A1306" s="12" t="s">
        <v>110</v>
      </c>
      <c r="B1306" s="12">
        <v>3881.75</v>
      </c>
      <c r="C1306" s="12">
        <v>59.482999999999997</v>
      </c>
      <c r="D1306" s="12">
        <v>172.108</v>
      </c>
      <c r="E1306" s="12">
        <v>21.806000000000001</v>
      </c>
      <c r="F1306" s="12">
        <v>172.108</v>
      </c>
      <c r="G1306" s="12">
        <v>2.8159999999999998</v>
      </c>
      <c r="H1306" s="12">
        <v>4.6219999999999999</v>
      </c>
      <c r="I1306" s="12">
        <v>4.3890000000000002</v>
      </c>
      <c r="J1306" s="12">
        <v>701.43600000000004</v>
      </c>
      <c r="K1306" s="12">
        <v>641.697</v>
      </c>
      <c r="L1306" s="12">
        <v>0</v>
      </c>
      <c r="M1306" s="12">
        <v>0</v>
      </c>
      <c r="N1306" s="12">
        <v>100</v>
      </c>
      <c r="O1306" s="12">
        <v>0.251</v>
      </c>
      <c r="P1306" s="12">
        <v>0.90500000000000003</v>
      </c>
      <c r="Q1306" s="12">
        <v>0.21099999999999999</v>
      </c>
      <c r="R1306" s="12">
        <v>0.70199999999999996</v>
      </c>
      <c r="U1306" s="12" t="s">
        <v>33</v>
      </c>
      <c r="V1306" s="12" t="s">
        <v>118</v>
      </c>
      <c r="X1306" s="12" t="s">
        <v>40</v>
      </c>
      <c r="Y1306" s="12">
        <f t="shared" si="44"/>
        <v>0.46199999999999997</v>
      </c>
      <c r="Z1306" s="12">
        <f t="shared" si="46"/>
        <v>-0.65400000000000003</v>
      </c>
    </row>
    <row r="1307" spans="1:26" x14ac:dyDescent="0.2">
      <c r="A1307" s="12" t="s">
        <v>110</v>
      </c>
      <c r="B1307" s="12">
        <v>3881.875</v>
      </c>
      <c r="C1307" s="12">
        <v>61.771000000000001</v>
      </c>
      <c r="D1307" s="12">
        <v>168.77500000000001</v>
      </c>
      <c r="E1307" s="12">
        <v>21.815000000000001</v>
      </c>
      <c r="F1307" s="12">
        <v>168.77500000000001</v>
      </c>
      <c r="G1307" s="12">
        <v>2.8090000000000002</v>
      </c>
      <c r="H1307" s="12">
        <v>4.2510000000000003</v>
      </c>
      <c r="I1307" s="12">
        <v>4.4580000000000002</v>
      </c>
      <c r="J1307" s="12">
        <v>595.71799999999996</v>
      </c>
      <c r="K1307" s="12">
        <v>553.77499999999998</v>
      </c>
      <c r="L1307" s="12">
        <v>0</v>
      </c>
      <c r="M1307" s="12">
        <v>0</v>
      </c>
      <c r="N1307" s="12">
        <v>100</v>
      </c>
      <c r="O1307" s="12">
        <v>0.26500000000000001</v>
      </c>
      <c r="P1307" s="12">
        <v>0.94399999999999995</v>
      </c>
      <c r="Q1307" s="12">
        <v>0.17299999999999999</v>
      </c>
      <c r="R1307" s="12">
        <v>0.67200000000000004</v>
      </c>
      <c r="U1307" s="12" t="s">
        <v>33</v>
      </c>
      <c r="V1307" s="12" t="s">
        <v>118</v>
      </c>
      <c r="X1307" s="12" t="s">
        <v>40</v>
      </c>
      <c r="Y1307" s="12">
        <f t="shared" si="44"/>
        <v>0.438</v>
      </c>
      <c r="Z1307" s="12">
        <f t="shared" ref="Z1307:Z1347" si="47">O1307-P1307</f>
        <v>-0.67899999999999994</v>
      </c>
    </row>
    <row r="1308" spans="1:26" x14ac:dyDescent="0.2">
      <c r="A1308" s="12" t="s">
        <v>110</v>
      </c>
      <c r="B1308" s="12">
        <v>3882</v>
      </c>
      <c r="C1308" s="12">
        <v>52.88</v>
      </c>
      <c r="D1308" s="12">
        <v>168.565</v>
      </c>
      <c r="E1308" s="12">
        <v>21.870999999999999</v>
      </c>
      <c r="F1308" s="12">
        <v>168.565</v>
      </c>
      <c r="G1308" s="12">
        <v>2.8010000000000002</v>
      </c>
      <c r="H1308" s="12">
        <v>3.8140000000000001</v>
      </c>
      <c r="I1308" s="12">
        <v>4.5220000000000002</v>
      </c>
      <c r="J1308" s="12">
        <v>511.52300000000002</v>
      </c>
      <c r="K1308" s="12">
        <v>486.71100000000001</v>
      </c>
      <c r="L1308" s="12">
        <v>0</v>
      </c>
      <c r="M1308" s="12">
        <v>0</v>
      </c>
      <c r="N1308" s="12">
        <v>100</v>
      </c>
      <c r="O1308" s="12">
        <v>0.21</v>
      </c>
      <c r="P1308" s="12">
        <v>0.98</v>
      </c>
      <c r="Q1308" s="12">
        <v>0.17</v>
      </c>
      <c r="R1308" s="12">
        <v>0.63800000000000001</v>
      </c>
      <c r="U1308" s="12" t="s">
        <v>33</v>
      </c>
      <c r="V1308" s="12" t="s">
        <v>118</v>
      </c>
      <c r="X1308" s="12" t="s">
        <v>40</v>
      </c>
      <c r="Y1308" s="12">
        <f t="shared" si="44"/>
        <v>0.38</v>
      </c>
      <c r="Z1308" s="12">
        <f t="shared" si="47"/>
        <v>-0.77</v>
      </c>
    </row>
    <row r="1309" spans="1:26" x14ac:dyDescent="0.2">
      <c r="A1309" s="12" t="s">
        <v>110</v>
      </c>
      <c r="B1309" s="12">
        <v>3882.125</v>
      </c>
      <c r="C1309" s="12">
        <v>44.713000000000001</v>
      </c>
      <c r="D1309" s="12">
        <v>171.32</v>
      </c>
      <c r="E1309" s="12">
        <v>21.922000000000001</v>
      </c>
      <c r="F1309" s="12">
        <v>171.32</v>
      </c>
      <c r="G1309" s="12">
        <v>2.8010000000000002</v>
      </c>
      <c r="H1309" s="12">
        <v>3.395</v>
      </c>
      <c r="I1309" s="12">
        <v>4.5579999999999998</v>
      </c>
      <c r="J1309" s="12">
        <v>529.63699999999994</v>
      </c>
      <c r="K1309" s="12">
        <v>501.71499999999997</v>
      </c>
      <c r="L1309" s="12">
        <v>0</v>
      </c>
      <c r="M1309" s="12">
        <v>0</v>
      </c>
      <c r="N1309" s="12">
        <v>100</v>
      </c>
      <c r="O1309" s="12">
        <v>0.159</v>
      </c>
      <c r="P1309" s="12">
        <v>1</v>
      </c>
      <c r="Q1309" s="12">
        <v>0.20200000000000001</v>
      </c>
      <c r="R1309" s="12">
        <v>0.63800000000000001</v>
      </c>
      <c r="U1309" s="12" t="s">
        <v>33</v>
      </c>
      <c r="V1309" s="12" t="s">
        <v>118</v>
      </c>
      <c r="X1309" s="12" t="s">
        <v>40</v>
      </c>
      <c r="Y1309" s="12">
        <f t="shared" si="44"/>
        <v>0.36099999999999999</v>
      </c>
      <c r="Z1309" s="12">
        <f t="shared" si="47"/>
        <v>-0.84099999999999997</v>
      </c>
    </row>
    <row r="1310" spans="1:26" x14ac:dyDescent="0.2">
      <c r="A1310" s="12" t="s">
        <v>110</v>
      </c>
      <c r="B1310" s="12">
        <v>3882.25</v>
      </c>
      <c r="C1310" s="12">
        <v>41.655999999999999</v>
      </c>
      <c r="D1310" s="12">
        <v>175.036</v>
      </c>
      <c r="E1310" s="12">
        <v>21.956</v>
      </c>
      <c r="F1310" s="12">
        <v>175.036</v>
      </c>
      <c r="G1310" s="12">
        <v>2.81</v>
      </c>
      <c r="H1310" s="12">
        <v>3.0920000000000001</v>
      </c>
      <c r="I1310" s="12">
        <v>4.5430000000000001</v>
      </c>
      <c r="J1310" s="12">
        <v>608.36099999999999</v>
      </c>
      <c r="K1310" s="12">
        <v>566.91999999999996</v>
      </c>
      <c r="L1310" s="12">
        <v>0</v>
      </c>
      <c r="M1310" s="12">
        <v>0</v>
      </c>
      <c r="N1310" s="12">
        <v>100</v>
      </c>
      <c r="O1310" s="12">
        <v>0.14000000000000001</v>
      </c>
      <c r="P1310" s="12">
        <v>0.99199999999999999</v>
      </c>
      <c r="Q1310" s="12">
        <v>0.24399999999999999</v>
      </c>
      <c r="R1310" s="12">
        <v>0.67700000000000005</v>
      </c>
      <c r="U1310" s="12" t="s">
        <v>33</v>
      </c>
      <c r="V1310" s="12" t="s">
        <v>118</v>
      </c>
      <c r="X1310" s="12" t="s">
        <v>40</v>
      </c>
      <c r="Y1310" s="12">
        <f t="shared" si="44"/>
        <v>0.38400000000000001</v>
      </c>
      <c r="Z1310" s="12">
        <f t="shared" si="47"/>
        <v>-0.85199999999999998</v>
      </c>
    </row>
    <row r="1311" spans="1:26" x14ac:dyDescent="0.2">
      <c r="A1311" s="12" t="s">
        <v>110</v>
      </c>
      <c r="B1311" s="12">
        <v>3882.375</v>
      </c>
      <c r="C1311" s="12">
        <v>38.454000000000001</v>
      </c>
      <c r="D1311" s="12">
        <v>178.803</v>
      </c>
      <c r="E1311" s="12">
        <v>21.945</v>
      </c>
      <c r="F1311" s="12">
        <v>178.803</v>
      </c>
      <c r="G1311" s="12">
        <v>2.8260000000000001</v>
      </c>
      <c r="H1311" s="12">
        <v>2.915</v>
      </c>
      <c r="I1311" s="12">
        <v>4.4649999999999999</v>
      </c>
      <c r="J1311" s="12">
        <v>658.91700000000003</v>
      </c>
      <c r="K1311" s="12">
        <v>603.62099999999998</v>
      </c>
      <c r="L1311" s="12">
        <v>0</v>
      </c>
      <c r="M1311" s="12">
        <v>0</v>
      </c>
      <c r="N1311" s="12">
        <v>100</v>
      </c>
      <c r="O1311" s="12">
        <v>0.12</v>
      </c>
      <c r="P1311" s="12">
        <v>0.94799999999999995</v>
      </c>
      <c r="Q1311" s="12">
        <v>0.28699999999999998</v>
      </c>
      <c r="R1311" s="12">
        <v>0.745</v>
      </c>
      <c r="U1311" s="12" t="s">
        <v>33</v>
      </c>
      <c r="V1311" s="12" t="s">
        <v>118</v>
      </c>
      <c r="X1311" s="12" t="s">
        <v>40</v>
      </c>
      <c r="Y1311" s="12">
        <f t="shared" si="44"/>
        <v>0.40699999999999997</v>
      </c>
      <c r="Z1311" s="12">
        <f t="shared" si="47"/>
        <v>-0.82799999999999996</v>
      </c>
    </row>
    <row r="1312" spans="1:26" x14ac:dyDescent="0.2">
      <c r="A1312" s="12" t="s">
        <v>114</v>
      </c>
      <c r="B1312" s="12">
        <v>3832</v>
      </c>
      <c r="C1312" s="12">
        <v>19.081</v>
      </c>
      <c r="D1312" s="12">
        <v>164.613</v>
      </c>
      <c r="E1312" s="12">
        <v>22.129000000000001</v>
      </c>
      <c r="F1312" s="12">
        <v>1.357</v>
      </c>
      <c r="G1312" s="12">
        <v>2.6120000000000001</v>
      </c>
      <c r="H1312" s="12">
        <v>9.9570000000000007</v>
      </c>
      <c r="I1312" s="12">
        <v>4.3090000000000002</v>
      </c>
      <c r="J1312" s="12">
        <v>235.01499999999999</v>
      </c>
      <c r="K1312" s="12">
        <v>236.59700000000001</v>
      </c>
      <c r="L1312" s="12">
        <v>4.6950000000000003</v>
      </c>
      <c r="M1312" s="12">
        <v>0.1</v>
      </c>
      <c r="N1312" s="12">
        <v>33.021000000000001</v>
      </c>
      <c r="O1312" s="12">
        <v>6.0000000000000001E-3</v>
      </c>
      <c r="P1312" s="12">
        <v>0.77500000000000002</v>
      </c>
      <c r="Q1312" s="12">
        <v>0.17799999999999999</v>
      </c>
      <c r="R1312" s="12">
        <v>0.63200000000000001</v>
      </c>
      <c r="U1312" s="12" t="s">
        <v>22</v>
      </c>
      <c r="V1312" s="12" t="s">
        <v>118</v>
      </c>
      <c r="X1312" s="12" t="s">
        <v>40</v>
      </c>
      <c r="Y1312" s="12">
        <f t="shared" si="44"/>
        <v>0.184</v>
      </c>
      <c r="Z1312" s="12">
        <f t="shared" si="47"/>
        <v>-0.76900000000000002</v>
      </c>
    </row>
    <row r="1313" spans="1:26" x14ac:dyDescent="0.2">
      <c r="A1313" s="12" t="s">
        <v>114</v>
      </c>
      <c r="B1313" s="12">
        <v>3832.125</v>
      </c>
      <c r="C1313" s="12">
        <v>18.896000000000001</v>
      </c>
      <c r="D1313" s="12">
        <v>166.38</v>
      </c>
      <c r="E1313" s="12">
        <v>22.129000000000001</v>
      </c>
      <c r="F1313" s="12">
        <v>1.2709999999999999</v>
      </c>
      <c r="G1313" s="12">
        <v>2.6059999999999999</v>
      </c>
      <c r="H1313" s="12">
        <v>9.9589999999999996</v>
      </c>
      <c r="I1313" s="12">
        <v>4.59</v>
      </c>
      <c r="J1313" s="12">
        <v>221.92500000000001</v>
      </c>
      <c r="K1313" s="12">
        <v>219.767</v>
      </c>
      <c r="L1313" s="12">
        <v>5.0519999999999996</v>
      </c>
      <c r="M1313" s="12">
        <v>0.105</v>
      </c>
      <c r="N1313" s="12">
        <v>32.283999999999999</v>
      </c>
      <c r="O1313" s="12">
        <v>4.0000000000000001E-3</v>
      </c>
      <c r="P1313" s="12">
        <v>0.84399999999999997</v>
      </c>
      <c r="Q1313" s="12">
        <v>0.19400000000000001</v>
      </c>
      <c r="R1313" s="12">
        <v>0.623</v>
      </c>
      <c r="U1313" s="12" t="s">
        <v>22</v>
      </c>
      <c r="V1313" s="12" t="s">
        <v>118</v>
      </c>
      <c r="X1313" s="12" t="s">
        <v>40</v>
      </c>
      <c r="Y1313" s="12">
        <f t="shared" si="44"/>
        <v>0.19800000000000001</v>
      </c>
      <c r="Z1313" s="12">
        <f t="shared" si="47"/>
        <v>-0.84</v>
      </c>
    </row>
    <row r="1314" spans="1:26" x14ac:dyDescent="0.2">
      <c r="A1314" s="12" t="s">
        <v>114</v>
      </c>
      <c r="B1314" s="12">
        <v>3832.25</v>
      </c>
      <c r="C1314" s="12">
        <v>18.542999999999999</v>
      </c>
      <c r="D1314" s="12">
        <v>167.87799999999999</v>
      </c>
      <c r="E1314" s="12">
        <v>22.123999999999999</v>
      </c>
      <c r="F1314" s="12">
        <v>1.1719999999999999</v>
      </c>
      <c r="G1314" s="12">
        <v>2.605</v>
      </c>
      <c r="H1314" s="12">
        <v>9.9710000000000001</v>
      </c>
      <c r="I1314" s="12">
        <v>4.9050000000000002</v>
      </c>
      <c r="J1314" s="12">
        <v>214.5</v>
      </c>
      <c r="K1314" s="12">
        <v>209.32400000000001</v>
      </c>
      <c r="L1314" s="12">
        <v>5.3049999999999997</v>
      </c>
      <c r="M1314" s="12">
        <v>0.111</v>
      </c>
      <c r="N1314" s="12">
        <v>32.6</v>
      </c>
      <c r="O1314" s="12">
        <v>2E-3</v>
      </c>
      <c r="P1314" s="12">
        <v>0.92200000000000004</v>
      </c>
      <c r="Q1314" s="12">
        <v>0.20699999999999999</v>
      </c>
      <c r="R1314" s="12">
        <v>0.621</v>
      </c>
      <c r="U1314" s="12" t="s">
        <v>22</v>
      </c>
      <c r="V1314" s="12" t="s">
        <v>118</v>
      </c>
      <c r="X1314" s="12" t="s">
        <v>40</v>
      </c>
      <c r="Y1314" s="12">
        <f t="shared" si="44"/>
        <v>0.20899999999999999</v>
      </c>
      <c r="Z1314" s="12">
        <f t="shared" si="47"/>
        <v>-0.92</v>
      </c>
    </row>
    <row r="1315" spans="1:26" x14ac:dyDescent="0.2">
      <c r="A1315" s="12" t="s">
        <v>114</v>
      </c>
      <c r="B1315" s="12">
        <v>3832.375</v>
      </c>
      <c r="C1315" s="12">
        <v>18.277000000000001</v>
      </c>
      <c r="D1315" s="12">
        <v>168.76499999999999</v>
      </c>
      <c r="E1315" s="12">
        <v>22.119</v>
      </c>
      <c r="F1315" s="12">
        <v>1.075</v>
      </c>
      <c r="G1315" s="12">
        <v>2.6080000000000001</v>
      </c>
      <c r="H1315" s="12">
        <v>9.9420000000000002</v>
      </c>
      <c r="I1315" s="12">
        <v>5.14</v>
      </c>
      <c r="J1315" s="12">
        <v>212.23599999999999</v>
      </c>
      <c r="K1315" s="12">
        <v>204.55699999999999</v>
      </c>
      <c r="L1315" s="12">
        <v>5.4020000000000001</v>
      </c>
      <c r="M1315" s="12">
        <v>0.114</v>
      </c>
      <c r="N1315" s="12">
        <v>33.968000000000004</v>
      </c>
      <c r="O1315" s="12">
        <v>0</v>
      </c>
      <c r="P1315" s="12">
        <v>0.98</v>
      </c>
      <c r="Q1315" s="12">
        <v>0.215</v>
      </c>
      <c r="R1315" s="12">
        <v>0.626</v>
      </c>
      <c r="U1315" s="12" t="s">
        <v>22</v>
      </c>
      <c r="V1315" s="12" t="s">
        <v>118</v>
      </c>
      <c r="X1315" s="12" t="s">
        <v>40</v>
      </c>
      <c r="Y1315" s="12">
        <f t="shared" si="44"/>
        <v>0.215</v>
      </c>
      <c r="Z1315" s="12">
        <f t="shared" si="47"/>
        <v>-0.98</v>
      </c>
    </row>
    <row r="1316" spans="1:26" x14ac:dyDescent="0.2">
      <c r="A1316" s="12" t="s">
        <v>114</v>
      </c>
      <c r="B1316" s="12">
        <v>3832.5</v>
      </c>
      <c r="C1316" s="12">
        <v>18.405999999999999</v>
      </c>
      <c r="D1316" s="12">
        <v>168.62899999999999</v>
      </c>
      <c r="E1316" s="12">
        <v>22.114999999999998</v>
      </c>
      <c r="F1316" s="12">
        <v>0.99199999999999999</v>
      </c>
      <c r="G1316" s="12">
        <v>2.6139999999999999</v>
      </c>
      <c r="H1316" s="12">
        <v>9.7910000000000004</v>
      </c>
      <c r="I1316" s="12">
        <v>5.2229999999999999</v>
      </c>
      <c r="J1316" s="12">
        <v>214.47399999999999</v>
      </c>
      <c r="K1316" s="12">
        <v>204.643</v>
      </c>
      <c r="L1316" s="12">
        <v>5.3120000000000003</v>
      </c>
      <c r="M1316" s="12">
        <v>0.112</v>
      </c>
      <c r="N1316" s="12">
        <v>36.268999999999998</v>
      </c>
      <c r="O1316" s="12">
        <v>1E-3</v>
      </c>
      <c r="P1316" s="12">
        <v>1</v>
      </c>
      <c r="Q1316" s="12">
        <v>0.214</v>
      </c>
      <c r="R1316" s="12">
        <v>0.63500000000000001</v>
      </c>
      <c r="U1316" s="12" t="s">
        <v>22</v>
      </c>
      <c r="V1316" s="12" t="s">
        <v>118</v>
      </c>
      <c r="X1316" s="12" t="s">
        <v>40</v>
      </c>
      <c r="Y1316" s="12">
        <f t="shared" si="44"/>
        <v>0.215</v>
      </c>
      <c r="Z1316" s="12">
        <f t="shared" si="47"/>
        <v>-0.999</v>
      </c>
    </row>
    <row r="1317" spans="1:26" x14ac:dyDescent="0.2">
      <c r="A1317" s="12" t="s">
        <v>114</v>
      </c>
      <c r="B1317" s="12">
        <v>3832.625</v>
      </c>
      <c r="C1317" s="12">
        <v>19.094000000000001</v>
      </c>
      <c r="D1317" s="12">
        <v>167.34100000000001</v>
      </c>
      <c r="E1317" s="12">
        <v>22.120999999999999</v>
      </c>
      <c r="F1317" s="12">
        <v>0.92600000000000005</v>
      </c>
      <c r="G1317" s="12">
        <v>2.621</v>
      </c>
      <c r="H1317" s="12">
        <v>9.5239999999999991</v>
      </c>
      <c r="I1317" s="12">
        <v>5.1539999999999999</v>
      </c>
      <c r="J1317" s="12">
        <v>220.65899999999999</v>
      </c>
      <c r="K1317" s="12">
        <v>208.94800000000001</v>
      </c>
      <c r="L1317" s="12">
        <v>5.0419999999999998</v>
      </c>
      <c r="M1317" s="12">
        <v>0.105</v>
      </c>
      <c r="N1317" s="12">
        <v>39.012</v>
      </c>
      <c r="O1317" s="12">
        <v>6.0000000000000001E-3</v>
      </c>
      <c r="P1317" s="12">
        <v>0.98299999999999998</v>
      </c>
      <c r="Q1317" s="12">
        <v>0.20200000000000001</v>
      </c>
      <c r="R1317" s="12">
        <v>0.64600000000000002</v>
      </c>
      <c r="U1317" s="12" t="s">
        <v>22</v>
      </c>
      <c r="V1317" s="12" t="s">
        <v>118</v>
      </c>
      <c r="X1317" s="12" t="s">
        <v>40</v>
      </c>
      <c r="Y1317" s="12">
        <f t="shared" si="44"/>
        <v>0.20800000000000002</v>
      </c>
      <c r="Z1317" s="12">
        <f t="shared" si="47"/>
        <v>-0.97699999999999998</v>
      </c>
    </row>
    <row r="1318" spans="1:26" x14ac:dyDescent="0.2">
      <c r="A1318" s="12" t="s">
        <v>114</v>
      </c>
      <c r="B1318" s="12">
        <v>3832.75</v>
      </c>
      <c r="C1318" s="12">
        <v>19.916</v>
      </c>
      <c r="D1318" s="12">
        <v>165.66</v>
      </c>
      <c r="E1318" s="12">
        <v>22.135999999999999</v>
      </c>
      <c r="F1318" s="12">
        <v>0.88900000000000001</v>
      </c>
      <c r="G1318" s="12">
        <v>2.63</v>
      </c>
      <c r="H1318" s="12">
        <v>9.2080000000000002</v>
      </c>
      <c r="I1318" s="12">
        <v>5.032</v>
      </c>
      <c r="J1318" s="12">
        <v>229.59</v>
      </c>
      <c r="K1318" s="12">
        <v>216.18700000000001</v>
      </c>
      <c r="L1318" s="12">
        <v>4.6959999999999997</v>
      </c>
      <c r="M1318" s="12">
        <v>0.10100000000000001</v>
      </c>
      <c r="N1318" s="12">
        <v>41.52</v>
      </c>
      <c r="O1318" s="12">
        <v>1.0999999999999999E-2</v>
      </c>
      <c r="P1318" s="12">
        <v>0.95299999999999996</v>
      </c>
      <c r="Q1318" s="12">
        <v>0.187</v>
      </c>
      <c r="R1318" s="12">
        <v>0.66100000000000003</v>
      </c>
      <c r="U1318" s="12" t="s">
        <v>22</v>
      </c>
      <c r="V1318" s="12" t="s">
        <v>118</v>
      </c>
      <c r="X1318" s="12" t="s">
        <v>40</v>
      </c>
      <c r="Y1318" s="12">
        <f t="shared" si="44"/>
        <v>0.19800000000000001</v>
      </c>
      <c r="Z1318" s="12">
        <f t="shared" si="47"/>
        <v>-0.94199999999999995</v>
      </c>
    </row>
    <row r="1319" spans="1:26" x14ac:dyDescent="0.2">
      <c r="A1319" s="12" t="s">
        <v>114</v>
      </c>
      <c r="B1319" s="12">
        <v>3832.875</v>
      </c>
      <c r="C1319" s="12">
        <v>20.687000000000001</v>
      </c>
      <c r="D1319" s="12">
        <v>164.05799999999999</v>
      </c>
      <c r="E1319" s="12">
        <v>22.15</v>
      </c>
      <c r="F1319" s="12">
        <v>0.90100000000000002</v>
      </c>
      <c r="G1319" s="12">
        <v>2.64</v>
      </c>
      <c r="H1319" s="12">
        <v>8.9120000000000008</v>
      </c>
      <c r="I1319" s="12">
        <v>4.91</v>
      </c>
      <c r="J1319" s="12">
        <v>240.79599999999999</v>
      </c>
      <c r="K1319" s="12">
        <v>225.815</v>
      </c>
      <c r="L1319" s="12">
        <v>4.3380000000000001</v>
      </c>
      <c r="M1319" s="12">
        <v>0.1</v>
      </c>
      <c r="N1319" s="12">
        <v>43.557000000000002</v>
      </c>
      <c r="O1319" s="12">
        <v>1.7000000000000001E-2</v>
      </c>
      <c r="P1319" s="12">
        <v>0.92300000000000004</v>
      </c>
      <c r="Q1319" s="12">
        <v>0.17299999999999999</v>
      </c>
      <c r="R1319" s="12">
        <v>0.67700000000000005</v>
      </c>
      <c r="U1319" s="12" t="s">
        <v>22</v>
      </c>
      <c r="V1319" s="12" t="s">
        <v>118</v>
      </c>
      <c r="X1319" s="12" t="s">
        <v>40</v>
      </c>
      <c r="Y1319" s="12">
        <f t="shared" si="44"/>
        <v>0.19</v>
      </c>
      <c r="Z1319" s="12">
        <f t="shared" si="47"/>
        <v>-0.90600000000000003</v>
      </c>
    </row>
    <row r="1320" spans="1:26" x14ac:dyDescent="0.2">
      <c r="A1320" s="12" t="s">
        <v>114</v>
      </c>
      <c r="B1320" s="12">
        <v>3833</v>
      </c>
      <c r="C1320" s="12">
        <v>21.385000000000002</v>
      </c>
      <c r="D1320" s="12">
        <v>162.63399999999999</v>
      </c>
      <c r="E1320" s="12">
        <v>22.143999999999998</v>
      </c>
      <c r="F1320" s="12">
        <v>0.96799999999999997</v>
      </c>
      <c r="G1320" s="12">
        <v>2.649</v>
      </c>
      <c r="H1320" s="12">
        <v>8.69</v>
      </c>
      <c r="I1320" s="12">
        <v>4.806</v>
      </c>
      <c r="J1320" s="12">
        <v>252.68899999999999</v>
      </c>
      <c r="K1320" s="12">
        <v>236.351</v>
      </c>
      <c r="L1320" s="12">
        <v>4.0010000000000003</v>
      </c>
      <c r="M1320" s="12">
        <v>0.1</v>
      </c>
      <c r="N1320" s="12">
        <v>45.122</v>
      </c>
      <c r="O1320" s="12">
        <v>2.1999999999999999E-2</v>
      </c>
      <c r="P1320" s="12">
        <v>0.89700000000000002</v>
      </c>
      <c r="Q1320" s="12">
        <v>0.16</v>
      </c>
      <c r="R1320" s="12">
        <v>0.69099999999999995</v>
      </c>
      <c r="U1320" s="12" t="s">
        <v>22</v>
      </c>
      <c r="V1320" s="12" t="s">
        <v>118</v>
      </c>
      <c r="X1320" s="12" t="s">
        <v>40</v>
      </c>
      <c r="Y1320" s="12">
        <f t="shared" si="44"/>
        <v>0.182</v>
      </c>
      <c r="Z1320" s="12">
        <f t="shared" si="47"/>
        <v>-0.875</v>
      </c>
    </row>
    <row r="1321" spans="1:26" x14ac:dyDescent="0.2">
      <c r="A1321" s="12" t="s">
        <v>115</v>
      </c>
      <c r="B1321" s="12">
        <v>3832.625</v>
      </c>
      <c r="C1321" s="12">
        <v>68.713999999999999</v>
      </c>
      <c r="D1321" s="12">
        <v>177.62100000000001</v>
      </c>
      <c r="E1321" s="12">
        <v>23.521000000000001</v>
      </c>
      <c r="F1321" s="12">
        <v>2.6589999999999998</v>
      </c>
      <c r="G1321" s="12">
        <v>2.778</v>
      </c>
      <c r="H1321" s="12">
        <v>6.67</v>
      </c>
      <c r="I1321" s="12">
        <v>4.8360000000000003</v>
      </c>
      <c r="J1321" s="12">
        <v>249.565</v>
      </c>
      <c r="K1321" s="12">
        <v>284.39699999999999</v>
      </c>
      <c r="L1321" s="12">
        <v>1E-3</v>
      </c>
      <c r="M1321" s="12">
        <v>0.01</v>
      </c>
      <c r="N1321" s="12">
        <v>100</v>
      </c>
      <c r="O1321" s="12">
        <v>0.4</v>
      </c>
      <c r="P1321" s="12">
        <v>0.81</v>
      </c>
      <c r="Q1321" s="12">
        <v>0.309</v>
      </c>
      <c r="R1321" s="12">
        <v>0.59599999999999997</v>
      </c>
      <c r="U1321" s="12" t="s">
        <v>33</v>
      </c>
      <c r="V1321" s="12" t="s">
        <v>118</v>
      </c>
      <c r="X1321" s="12" t="s">
        <v>40</v>
      </c>
      <c r="Y1321" s="12">
        <f t="shared" si="44"/>
        <v>0.70900000000000007</v>
      </c>
      <c r="Z1321" s="12">
        <f t="shared" si="47"/>
        <v>-0.41000000000000003</v>
      </c>
    </row>
    <row r="1322" spans="1:26" x14ac:dyDescent="0.2">
      <c r="A1322" s="12" t="s">
        <v>115</v>
      </c>
      <c r="B1322" s="12">
        <v>3832.75</v>
      </c>
      <c r="C1322" s="12">
        <v>57.819000000000003</v>
      </c>
      <c r="D1322" s="12">
        <v>171.453</v>
      </c>
      <c r="E1322" s="12">
        <v>23.486999999999998</v>
      </c>
      <c r="F1322" s="12">
        <v>2.7330000000000001</v>
      </c>
      <c r="G1322" s="12">
        <v>2.7650000000000001</v>
      </c>
      <c r="H1322" s="12">
        <v>6.375</v>
      </c>
      <c r="I1322" s="12">
        <v>4.8620000000000001</v>
      </c>
      <c r="J1322" s="12">
        <v>335.89100000000002</v>
      </c>
      <c r="K1322" s="12">
        <v>382.77300000000002</v>
      </c>
      <c r="L1322" s="12">
        <v>1E-3</v>
      </c>
      <c r="M1322" s="12">
        <v>0.01</v>
      </c>
      <c r="N1322" s="12">
        <v>100</v>
      </c>
      <c r="O1322" s="12">
        <v>0.31900000000000001</v>
      </c>
      <c r="P1322" s="12">
        <v>0.82099999999999995</v>
      </c>
      <c r="Q1322" s="12">
        <v>0.23899999999999999</v>
      </c>
      <c r="R1322" s="12">
        <v>0.57099999999999995</v>
      </c>
      <c r="U1322" s="12" t="s">
        <v>33</v>
      </c>
      <c r="V1322" s="12" t="s">
        <v>118</v>
      </c>
      <c r="X1322" s="12" t="s">
        <v>40</v>
      </c>
      <c r="Y1322" s="12">
        <f t="shared" si="44"/>
        <v>0.55800000000000005</v>
      </c>
      <c r="Z1322" s="12">
        <f t="shared" si="47"/>
        <v>-0.502</v>
      </c>
    </row>
    <row r="1323" spans="1:26" x14ac:dyDescent="0.2">
      <c r="A1323" s="12" t="s">
        <v>115</v>
      </c>
      <c r="B1323" s="12">
        <v>3832.875</v>
      </c>
      <c r="C1323" s="12">
        <v>53.067</v>
      </c>
      <c r="D1323" s="12">
        <v>165.47300000000001</v>
      </c>
      <c r="E1323" s="12">
        <v>23.431000000000001</v>
      </c>
      <c r="F1323" s="12">
        <v>2.7650000000000001</v>
      </c>
      <c r="G1323" s="12">
        <v>2.7559999999999998</v>
      </c>
      <c r="H1323" s="12">
        <v>6.3570000000000002</v>
      </c>
      <c r="I1323" s="12">
        <v>4.867</v>
      </c>
      <c r="J1323" s="12">
        <v>357.65600000000001</v>
      </c>
      <c r="K1323" s="12">
        <v>407.57499999999999</v>
      </c>
      <c r="L1323" s="12">
        <v>1E-3</v>
      </c>
      <c r="M1323" s="12">
        <v>0.01</v>
      </c>
      <c r="N1323" s="12">
        <v>100</v>
      </c>
      <c r="O1323" s="12">
        <v>0.28299999999999997</v>
      </c>
      <c r="P1323" s="12">
        <v>0.82299999999999995</v>
      </c>
      <c r="Q1323" s="12">
        <v>0.17</v>
      </c>
      <c r="R1323" s="12">
        <v>0.55300000000000005</v>
      </c>
      <c r="U1323" s="12" t="s">
        <v>33</v>
      </c>
      <c r="V1323" s="12" t="s">
        <v>118</v>
      </c>
      <c r="X1323" s="12" t="s">
        <v>40</v>
      </c>
      <c r="Y1323" s="12">
        <f t="shared" si="44"/>
        <v>0.45299999999999996</v>
      </c>
      <c r="Z1323" s="12">
        <f t="shared" si="47"/>
        <v>-0.54</v>
      </c>
    </row>
    <row r="1324" spans="1:26" x14ac:dyDescent="0.2">
      <c r="A1324" s="12" t="s">
        <v>115</v>
      </c>
      <c r="B1324" s="12">
        <v>3833</v>
      </c>
      <c r="C1324" s="12">
        <v>55.695999999999998</v>
      </c>
      <c r="D1324" s="12">
        <v>162.22</v>
      </c>
      <c r="E1324" s="12">
        <v>23.407</v>
      </c>
      <c r="F1324" s="12">
        <v>2.8319999999999999</v>
      </c>
      <c r="G1324" s="12">
        <v>2.76</v>
      </c>
      <c r="H1324" s="12">
        <v>5.9459999999999997</v>
      </c>
      <c r="I1324" s="12">
        <v>4.8860000000000001</v>
      </c>
      <c r="J1324" s="12">
        <v>319.74900000000002</v>
      </c>
      <c r="K1324" s="12">
        <v>364.37799999999999</v>
      </c>
      <c r="L1324" s="12">
        <v>1E-3</v>
      </c>
      <c r="M1324" s="12">
        <v>0.01</v>
      </c>
      <c r="N1324" s="12">
        <v>100</v>
      </c>
      <c r="O1324" s="12">
        <v>0.30299999999999999</v>
      </c>
      <c r="P1324" s="12">
        <v>0.83199999999999996</v>
      </c>
      <c r="Q1324" s="12">
        <v>0.13300000000000001</v>
      </c>
      <c r="R1324" s="12">
        <v>0.56100000000000005</v>
      </c>
      <c r="U1324" s="12" t="s">
        <v>33</v>
      </c>
      <c r="V1324" s="12" t="s">
        <v>118</v>
      </c>
      <c r="X1324" s="12" t="s">
        <v>40</v>
      </c>
      <c r="Y1324" s="12">
        <f t="shared" si="44"/>
        <v>0.436</v>
      </c>
      <c r="Z1324" s="12">
        <f t="shared" si="47"/>
        <v>-0.52899999999999991</v>
      </c>
    </row>
    <row r="1325" spans="1:26" x14ac:dyDescent="0.2">
      <c r="A1325" s="12" t="s">
        <v>115</v>
      </c>
      <c r="B1325" s="12">
        <v>3833.125</v>
      </c>
      <c r="C1325" s="12">
        <v>60.594999999999999</v>
      </c>
      <c r="D1325" s="12">
        <v>162.35900000000001</v>
      </c>
      <c r="E1325" s="12">
        <v>23.422000000000001</v>
      </c>
      <c r="F1325" s="12">
        <v>2.94</v>
      </c>
      <c r="G1325" s="12">
        <v>2.786</v>
      </c>
      <c r="H1325" s="12">
        <v>4.6420000000000003</v>
      </c>
      <c r="I1325" s="12">
        <v>4.9420000000000002</v>
      </c>
      <c r="J1325" s="12">
        <v>271.31200000000001</v>
      </c>
      <c r="K1325" s="12">
        <v>309.18</v>
      </c>
      <c r="L1325" s="12">
        <v>1E-3</v>
      </c>
      <c r="M1325" s="12">
        <v>0.01</v>
      </c>
      <c r="N1325" s="12">
        <v>100</v>
      </c>
      <c r="O1325" s="12">
        <v>0.34</v>
      </c>
      <c r="P1325" s="12">
        <v>0.85699999999999998</v>
      </c>
      <c r="Q1325" s="12">
        <v>0.13400000000000001</v>
      </c>
      <c r="R1325" s="12">
        <v>0.61199999999999999</v>
      </c>
      <c r="U1325" s="12" t="s">
        <v>33</v>
      </c>
      <c r="V1325" s="12" t="s">
        <v>118</v>
      </c>
      <c r="X1325" s="12" t="s">
        <v>40</v>
      </c>
      <c r="Y1325" s="12">
        <f t="shared" si="44"/>
        <v>0.47400000000000003</v>
      </c>
      <c r="Z1325" s="12">
        <f t="shared" si="47"/>
        <v>-0.5169999999999999</v>
      </c>
    </row>
    <row r="1326" spans="1:26" x14ac:dyDescent="0.2">
      <c r="A1326" s="12" t="s">
        <v>115</v>
      </c>
      <c r="B1326" s="12">
        <v>3833.25</v>
      </c>
      <c r="C1326" s="12">
        <v>61.037999999999997</v>
      </c>
      <c r="D1326" s="12">
        <v>164.238</v>
      </c>
      <c r="E1326" s="12">
        <v>23.47</v>
      </c>
      <c r="F1326" s="12">
        <v>2.9340000000000002</v>
      </c>
      <c r="G1326" s="12">
        <v>2.819</v>
      </c>
      <c r="H1326" s="12">
        <v>2.91</v>
      </c>
      <c r="I1326" s="12">
        <v>5.05</v>
      </c>
      <c r="J1326" s="12">
        <v>274.12200000000001</v>
      </c>
      <c r="K1326" s="12">
        <v>312.38200000000001</v>
      </c>
      <c r="L1326" s="12">
        <v>1E-3</v>
      </c>
      <c r="M1326" s="12">
        <v>0.01</v>
      </c>
      <c r="N1326" s="12">
        <v>100</v>
      </c>
      <c r="O1326" s="12">
        <v>0.34300000000000003</v>
      </c>
      <c r="P1326" s="12">
        <v>0.90500000000000003</v>
      </c>
      <c r="Q1326" s="12">
        <v>0.156</v>
      </c>
      <c r="R1326" s="12">
        <v>0.67600000000000005</v>
      </c>
      <c r="U1326" s="12" t="s">
        <v>33</v>
      </c>
      <c r="V1326" s="12" t="s">
        <v>118</v>
      </c>
      <c r="X1326" s="12" t="s">
        <v>40</v>
      </c>
      <c r="Y1326" s="12">
        <f t="shared" si="44"/>
        <v>0.499</v>
      </c>
      <c r="Z1326" s="12">
        <f t="shared" si="47"/>
        <v>-0.56200000000000006</v>
      </c>
    </row>
    <row r="1327" spans="1:26" x14ac:dyDescent="0.2">
      <c r="A1327" s="12" t="s">
        <v>115</v>
      </c>
      <c r="B1327" s="12">
        <v>3833.375</v>
      </c>
      <c r="C1327" s="12">
        <v>55.238</v>
      </c>
      <c r="D1327" s="12">
        <v>166.59899999999999</v>
      </c>
      <c r="E1327" s="12">
        <v>23.553999999999998</v>
      </c>
      <c r="F1327" s="12">
        <v>2.7839999999999998</v>
      </c>
      <c r="G1327" s="12">
        <v>2.8420000000000001</v>
      </c>
      <c r="H1327" s="12">
        <v>1.7150000000000001</v>
      </c>
      <c r="I1327" s="12">
        <v>5.1859999999999999</v>
      </c>
      <c r="J1327" s="12">
        <v>393.935</v>
      </c>
      <c r="K1327" s="12">
        <v>448.91800000000001</v>
      </c>
      <c r="L1327" s="12">
        <v>1E-3</v>
      </c>
      <c r="M1327" s="12">
        <v>0.01</v>
      </c>
      <c r="N1327" s="12">
        <v>100</v>
      </c>
      <c r="O1327" s="12">
        <v>0.3</v>
      </c>
      <c r="P1327" s="12">
        <v>0.96599999999999997</v>
      </c>
      <c r="Q1327" s="12">
        <v>0.183</v>
      </c>
      <c r="R1327" s="12">
        <v>0.72</v>
      </c>
      <c r="U1327" s="12" t="s">
        <v>33</v>
      </c>
      <c r="V1327" s="12" t="s">
        <v>118</v>
      </c>
      <c r="X1327" s="12" t="s">
        <v>40</v>
      </c>
      <c r="Y1327" s="12">
        <f t="shared" si="44"/>
        <v>0.48299999999999998</v>
      </c>
      <c r="Z1327" s="12">
        <f t="shared" si="47"/>
        <v>-0.66599999999999993</v>
      </c>
    </row>
    <row r="1328" spans="1:26" x14ac:dyDescent="0.2">
      <c r="A1328" s="12" t="s">
        <v>115</v>
      </c>
      <c r="B1328" s="12">
        <v>3833.5</v>
      </c>
      <c r="C1328" s="12">
        <v>46.277000000000001</v>
      </c>
      <c r="D1328" s="12">
        <v>169.14099999999999</v>
      </c>
      <c r="E1328" s="12">
        <v>23.709</v>
      </c>
      <c r="F1328" s="12">
        <v>2.645</v>
      </c>
      <c r="G1328" s="12">
        <v>2.851</v>
      </c>
      <c r="H1328" s="12">
        <v>1.7589999999999999</v>
      </c>
      <c r="I1328" s="12">
        <v>5.2629999999999999</v>
      </c>
      <c r="J1328" s="12">
        <v>619.00300000000004</v>
      </c>
      <c r="K1328" s="12">
        <v>705.4</v>
      </c>
      <c r="L1328" s="12">
        <v>1E-3</v>
      </c>
      <c r="M1328" s="12">
        <v>0.01</v>
      </c>
      <c r="N1328" s="12">
        <v>100</v>
      </c>
      <c r="O1328" s="12">
        <v>0.23200000000000001</v>
      </c>
      <c r="P1328" s="12">
        <v>1</v>
      </c>
      <c r="Q1328" s="12">
        <v>0.21199999999999999</v>
      </c>
      <c r="R1328" s="12">
        <v>0.73799999999999999</v>
      </c>
      <c r="U1328" s="12" t="s">
        <v>33</v>
      </c>
      <c r="V1328" s="12" t="s">
        <v>118</v>
      </c>
      <c r="X1328" s="12" t="s">
        <v>40</v>
      </c>
      <c r="Y1328" s="12">
        <f t="shared" si="44"/>
        <v>0.44400000000000001</v>
      </c>
      <c r="Z1328" s="12">
        <f t="shared" si="47"/>
        <v>-0.76800000000000002</v>
      </c>
    </row>
    <row r="1329" spans="1:26" x14ac:dyDescent="0.2">
      <c r="A1329" s="12" t="s">
        <v>115</v>
      </c>
      <c r="B1329" s="12">
        <v>3833.625</v>
      </c>
      <c r="C1329" s="12">
        <v>39.692</v>
      </c>
      <c r="D1329" s="12">
        <v>172.07599999999999</v>
      </c>
      <c r="E1329" s="12">
        <v>23.797999999999998</v>
      </c>
      <c r="F1329" s="12">
        <v>2.6230000000000002</v>
      </c>
      <c r="G1329" s="12">
        <v>2.8479999999999999</v>
      </c>
      <c r="H1329" s="12">
        <v>2.9220000000000002</v>
      </c>
      <c r="I1329" s="12">
        <v>5.1870000000000003</v>
      </c>
      <c r="J1329" s="12">
        <v>772.99300000000005</v>
      </c>
      <c r="K1329" s="12">
        <v>880.88300000000004</v>
      </c>
      <c r="L1329" s="12">
        <v>1E-3</v>
      </c>
      <c r="M1329" s="12">
        <v>0.01</v>
      </c>
      <c r="N1329" s="12">
        <v>100</v>
      </c>
      <c r="O1329" s="12">
        <v>0.183</v>
      </c>
      <c r="P1329" s="12">
        <v>0.96599999999999997</v>
      </c>
      <c r="Q1329" s="12">
        <v>0.246</v>
      </c>
      <c r="R1329" s="12">
        <v>0.73199999999999998</v>
      </c>
      <c r="U1329" s="12" t="s">
        <v>33</v>
      </c>
      <c r="V1329" s="12" t="s">
        <v>118</v>
      </c>
      <c r="X1329" s="12" t="s">
        <v>40</v>
      </c>
      <c r="Y1329" s="12">
        <f t="shared" si="44"/>
        <v>0.42899999999999999</v>
      </c>
      <c r="Z1329" s="12">
        <f t="shared" si="47"/>
        <v>-0.78299999999999992</v>
      </c>
    </row>
    <row r="1330" spans="1:26" x14ac:dyDescent="0.2">
      <c r="A1330" s="12" t="s">
        <v>115</v>
      </c>
      <c r="B1330" s="12">
        <v>3833.75</v>
      </c>
      <c r="C1330" s="12">
        <v>38.267000000000003</v>
      </c>
      <c r="D1330" s="12">
        <v>174.65199999999999</v>
      </c>
      <c r="E1330" s="12">
        <v>23.777000000000001</v>
      </c>
      <c r="F1330" s="12">
        <v>2.6110000000000002</v>
      </c>
      <c r="G1330" s="12">
        <v>2.8410000000000002</v>
      </c>
      <c r="H1330" s="12">
        <v>4.1150000000000002</v>
      </c>
      <c r="I1330" s="12">
        <v>5.0259999999999998</v>
      </c>
      <c r="J1330" s="12">
        <v>690.88099999999997</v>
      </c>
      <c r="K1330" s="12">
        <v>787.30899999999997</v>
      </c>
      <c r="L1330" s="12">
        <v>1E-3</v>
      </c>
      <c r="M1330" s="12">
        <v>0.01</v>
      </c>
      <c r="N1330" s="12">
        <v>100</v>
      </c>
      <c r="O1330" s="12">
        <v>0.17199999999999999</v>
      </c>
      <c r="P1330" s="12">
        <v>0.89400000000000002</v>
      </c>
      <c r="Q1330" s="12">
        <v>0.27500000000000002</v>
      </c>
      <c r="R1330" s="12">
        <v>0.71799999999999997</v>
      </c>
      <c r="U1330" s="12" t="s">
        <v>33</v>
      </c>
      <c r="V1330" s="12" t="s">
        <v>118</v>
      </c>
      <c r="X1330" s="12" t="s">
        <v>40</v>
      </c>
      <c r="Y1330" s="12">
        <f t="shared" si="44"/>
        <v>0.44700000000000001</v>
      </c>
      <c r="Z1330" s="12">
        <f t="shared" si="47"/>
        <v>-0.72199999999999998</v>
      </c>
    </row>
    <row r="1331" spans="1:26" x14ac:dyDescent="0.2">
      <c r="A1331" s="12" t="s">
        <v>115</v>
      </c>
      <c r="B1331" s="12">
        <v>3833.875</v>
      </c>
      <c r="C1331" s="12">
        <v>40.015000000000001</v>
      </c>
      <c r="D1331" s="12">
        <v>175.14400000000001</v>
      </c>
      <c r="E1331" s="12">
        <v>23.707999999999998</v>
      </c>
      <c r="F1331" s="12">
        <v>2.5750000000000002</v>
      </c>
      <c r="G1331" s="12">
        <v>2.83</v>
      </c>
      <c r="H1331" s="12">
        <v>4.7240000000000002</v>
      </c>
      <c r="I1331" s="12">
        <v>4.9039999999999999</v>
      </c>
      <c r="J1331" s="12">
        <v>498.642</v>
      </c>
      <c r="K1331" s="12">
        <v>568.23900000000003</v>
      </c>
      <c r="L1331" s="12">
        <v>1E-3</v>
      </c>
      <c r="M1331" s="12">
        <v>0.01</v>
      </c>
      <c r="N1331" s="12">
        <v>100</v>
      </c>
      <c r="O1331" s="12">
        <v>0.186</v>
      </c>
      <c r="P1331" s="12">
        <v>0.84</v>
      </c>
      <c r="Q1331" s="12">
        <v>0.28100000000000003</v>
      </c>
      <c r="R1331" s="12">
        <v>0.69699999999999995</v>
      </c>
      <c r="U1331" s="12" t="s">
        <v>33</v>
      </c>
      <c r="V1331" s="12" t="s">
        <v>118</v>
      </c>
      <c r="X1331" s="12" t="s">
        <v>40</v>
      </c>
      <c r="Y1331" s="12">
        <f t="shared" si="44"/>
        <v>0.46700000000000003</v>
      </c>
      <c r="Z1331" s="12">
        <f t="shared" si="47"/>
        <v>-0.65399999999999991</v>
      </c>
    </row>
    <row r="1332" spans="1:26" x14ac:dyDescent="0.2">
      <c r="A1332" s="12" t="s">
        <v>115</v>
      </c>
      <c r="B1332" s="12">
        <v>3834</v>
      </c>
      <c r="C1332" s="12">
        <v>41.189</v>
      </c>
      <c r="D1332" s="12">
        <v>171.95500000000001</v>
      </c>
      <c r="E1332" s="12">
        <v>23.687000000000001</v>
      </c>
      <c r="F1332" s="12">
        <v>2.605</v>
      </c>
      <c r="G1332" s="12">
        <v>2.819</v>
      </c>
      <c r="H1332" s="12">
        <v>4.8310000000000004</v>
      </c>
      <c r="I1332" s="12">
        <v>4.8659999999999997</v>
      </c>
      <c r="J1332" s="12">
        <v>377.09800000000001</v>
      </c>
      <c r="K1332" s="12">
        <v>429.73099999999999</v>
      </c>
      <c r="L1332" s="12">
        <v>1E-3</v>
      </c>
      <c r="M1332" s="12">
        <v>0.01</v>
      </c>
      <c r="N1332" s="12">
        <v>100</v>
      </c>
      <c r="O1332" s="12">
        <v>0.19400000000000001</v>
      </c>
      <c r="P1332" s="12">
        <v>0.82299999999999995</v>
      </c>
      <c r="Q1332" s="12">
        <v>0.24399999999999999</v>
      </c>
      <c r="R1332" s="12">
        <v>0.67600000000000005</v>
      </c>
      <c r="U1332" s="12" t="s">
        <v>33</v>
      </c>
      <c r="V1332" s="12" t="s">
        <v>118</v>
      </c>
      <c r="X1332" s="12" t="s">
        <v>40</v>
      </c>
      <c r="Y1332" s="12">
        <f t="shared" si="44"/>
        <v>0.438</v>
      </c>
      <c r="Z1332" s="12">
        <f t="shared" si="47"/>
        <v>-0.629</v>
      </c>
    </row>
    <row r="1333" spans="1:26" x14ac:dyDescent="0.2">
      <c r="A1333" s="12" t="s">
        <v>115</v>
      </c>
      <c r="B1333" s="12">
        <v>3834.125</v>
      </c>
      <c r="C1333" s="12">
        <v>39.761000000000003</v>
      </c>
      <c r="D1333" s="12">
        <v>165.584</v>
      </c>
      <c r="E1333" s="12">
        <v>23.739000000000001</v>
      </c>
      <c r="F1333" s="12">
        <v>2.7650000000000001</v>
      </c>
      <c r="G1333" s="12">
        <v>2.8079999999999998</v>
      </c>
      <c r="H1333" s="12">
        <v>4.8559999999999999</v>
      </c>
      <c r="I1333" s="12">
        <v>4.8760000000000003</v>
      </c>
      <c r="J1333" s="12">
        <v>373.02199999999999</v>
      </c>
      <c r="K1333" s="12">
        <v>425.08600000000001</v>
      </c>
      <c r="L1333" s="12">
        <v>1E-3</v>
      </c>
      <c r="M1333" s="12">
        <v>0.01</v>
      </c>
      <c r="N1333" s="12">
        <v>100</v>
      </c>
      <c r="O1333" s="12">
        <v>0.184</v>
      </c>
      <c r="P1333" s="12">
        <v>0.82699999999999996</v>
      </c>
      <c r="Q1333" s="12">
        <v>0.17100000000000001</v>
      </c>
      <c r="R1333" s="12">
        <v>0.65400000000000003</v>
      </c>
      <c r="U1333" s="12" t="s">
        <v>33</v>
      </c>
      <c r="V1333" s="12" t="s">
        <v>118</v>
      </c>
      <c r="X1333" s="12" t="s">
        <v>40</v>
      </c>
      <c r="Y1333" s="12">
        <f t="shared" si="44"/>
        <v>0.35499999999999998</v>
      </c>
      <c r="Z1333" s="12">
        <f t="shared" si="47"/>
        <v>-0.64300000000000002</v>
      </c>
    </row>
    <row r="1334" spans="1:26" x14ac:dyDescent="0.2">
      <c r="A1334" s="12" t="s">
        <v>115</v>
      </c>
      <c r="B1334" s="12">
        <v>3834.25</v>
      </c>
      <c r="C1334" s="12">
        <v>37.597000000000001</v>
      </c>
      <c r="D1334" s="12">
        <v>159.001</v>
      </c>
      <c r="E1334" s="12">
        <v>23.759</v>
      </c>
      <c r="F1334" s="12">
        <v>2.9590000000000001</v>
      </c>
      <c r="G1334" s="12">
        <v>2.7930000000000001</v>
      </c>
      <c r="H1334" s="12">
        <v>5.0650000000000004</v>
      </c>
      <c r="I1334" s="12">
        <v>4.8860000000000001</v>
      </c>
      <c r="J1334" s="12">
        <v>397.40800000000002</v>
      </c>
      <c r="K1334" s="12">
        <v>452.87599999999998</v>
      </c>
      <c r="L1334" s="12">
        <v>1E-3</v>
      </c>
      <c r="M1334" s="12">
        <v>0.01</v>
      </c>
      <c r="N1334" s="12">
        <v>100</v>
      </c>
      <c r="O1334" s="12">
        <v>0.16700000000000001</v>
      </c>
      <c r="P1334" s="12">
        <v>0.83199999999999996</v>
      </c>
      <c r="Q1334" s="12">
        <v>9.6000000000000002E-2</v>
      </c>
      <c r="R1334" s="12">
        <v>0.625</v>
      </c>
      <c r="U1334" s="12" t="s">
        <v>33</v>
      </c>
      <c r="V1334" s="12" t="s">
        <v>118</v>
      </c>
      <c r="X1334" s="12" t="s">
        <v>40</v>
      </c>
      <c r="Y1334" s="12">
        <f t="shared" si="44"/>
        <v>0.26300000000000001</v>
      </c>
      <c r="Z1334" s="12">
        <f t="shared" si="47"/>
        <v>-0.66499999999999992</v>
      </c>
    </row>
    <row r="1335" spans="1:26" x14ac:dyDescent="0.2">
      <c r="A1335" s="12" t="s">
        <v>115</v>
      </c>
      <c r="B1335" s="12">
        <v>3834.375</v>
      </c>
      <c r="C1335" s="12">
        <v>37.036999999999999</v>
      </c>
      <c r="D1335" s="12">
        <v>154.73099999999999</v>
      </c>
      <c r="E1335" s="12">
        <v>23.712</v>
      </c>
      <c r="F1335" s="12">
        <v>3.0710000000000002</v>
      </c>
      <c r="G1335" s="12">
        <v>2.7749999999999999</v>
      </c>
      <c r="H1335" s="12">
        <v>5.3680000000000003</v>
      </c>
      <c r="I1335" s="12">
        <v>4.867</v>
      </c>
      <c r="J1335" s="12">
        <v>418.71600000000001</v>
      </c>
      <c r="K1335" s="12">
        <v>477.15800000000002</v>
      </c>
      <c r="L1335" s="12">
        <v>1E-3</v>
      </c>
      <c r="M1335" s="12">
        <v>0.01</v>
      </c>
      <c r="N1335" s="12">
        <v>100</v>
      </c>
      <c r="O1335" s="12">
        <v>0.16300000000000001</v>
      </c>
      <c r="P1335" s="12">
        <v>0.82299999999999995</v>
      </c>
      <c r="Q1335" s="12">
        <v>4.7E-2</v>
      </c>
      <c r="R1335" s="12">
        <v>0.59</v>
      </c>
      <c r="U1335" s="12" t="s">
        <v>33</v>
      </c>
      <c r="V1335" s="12" t="s">
        <v>118</v>
      </c>
      <c r="X1335" s="12" t="s">
        <v>40</v>
      </c>
      <c r="Y1335" s="12">
        <f t="shared" si="44"/>
        <v>0.21000000000000002</v>
      </c>
      <c r="Z1335" s="12">
        <f t="shared" si="47"/>
        <v>-0.65999999999999992</v>
      </c>
    </row>
    <row r="1336" spans="1:26" x14ac:dyDescent="0.2">
      <c r="A1336" s="12" t="s">
        <v>115</v>
      </c>
      <c r="B1336" s="12">
        <v>3830.25</v>
      </c>
      <c r="C1336" s="12">
        <v>58.722000000000001</v>
      </c>
      <c r="D1336" s="12">
        <v>161.339</v>
      </c>
      <c r="E1336" s="12">
        <v>23.44</v>
      </c>
      <c r="F1336" s="12">
        <v>3.903</v>
      </c>
      <c r="G1336" s="12">
        <v>2.7410000000000001</v>
      </c>
      <c r="H1336" s="12">
        <v>6.8959999999999999</v>
      </c>
      <c r="I1336" s="12">
        <v>4.7869999999999999</v>
      </c>
      <c r="J1336" s="12">
        <v>179.18600000000001</v>
      </c>
      <c r="K1336" s="12">
        <v>204.19499999999999</v>
      </c>
      <c r="L1336" s="12">
        <v>1E-3</v>
      </c>
      <c r="M1336" s="12">
        <v>0.01</v>
      </c>
      <c r="N1336" s="12">
        <v>100</v>
      </c>
      <c r="O1336" s="12">
        <v>0.32600000000000001</v>
      </c>
      <c r="P1336" s="12">
        <v>0.78800000000000003</v>
      </c>
      <c r="Q1336" s="12">
        <v>0.123</v>
      </c>
      <c r="R1336" s="12">
        <v>0.52400000000000002</v>
      </c>
      <c r="U1336" s="12" t="s">
        <v>33</v>
      </c>
      <c r="V1336" s="12" t="s">
        <v>118</v>
      </c>
      <c r="X1336" s="12" t="s">
        <v>40</v>
      </c>
      <c r="Y1336" s="12">
        <f t="shared" si="44"/>
        <v>0.44900000000000001</v>
      </c>
      <c r="Z1336" s="12">
        <f t="shared" si="47"/>
        <v>-0.46200000000000002</v>
      </c>
    </row>
    <row r="1337" spans="1:26" x14ac:dyDescent="0.2">
      <c r="A1337" s="12" t="s">
        <v>115</v>
      </c>
      <c r="B1337" s="12">
        <v>3830.375</v>
      </c>
      <c r="C1337" s="12">
        <v>60.362000000000002</v>
      </c>
      <c r="D1337" s="12">
        <v>162.55099999999999</v>
      </c>
      <c r="E1337" s="12">
        <v>23.696000000000002</v>
      </c>
      <c r="F1337" s="12">
        <v>3.976</v>
      </c>
      <c r="G1337" s="12">
        <v>2.7469999999999999</v>
      </c>
      <c r="H1337" s="12">
        <v>6.266</v>
      </c>
      <c r="I1337" s="12">
        <v>4.8959999999999999</v>
      </c>
      <c r="J1337" s="12">
        <v>212.38300000000001</v>
      </c>
      <c r="K1337" s="12">
        <v>242.02600000000001</v>
      </c>
      <c r="L1337" s="12">
        <v>1E-3</v>
      </c>
      <c r="M1337" s="12">
        <v>0.01</v>
      </c>
      <c r="N1337" s="12">
        <v>100</v>
      </c>
      <c r="O1337" s="12">
        <v>0.33800000000000002</v>
      </c>
      <c r="P1337" s="12">
        <v>0.83599999999999997</v>
      </c>
      <c r="Q1337" s="12">
        <v>0.13700000000000001</v>
      </c>
      <c r="R1337" s="12">
        <v>0.53600000000000003</v>
      </c>
      <c r="U1337" s="12" t="s">
        <v>33</v>
      </c>
      <c r="V1337" s="12" t="s">
        <v>118</v>
      </c>
      <c r="X1337" s="12" t="s">
        <v>40</v>
      </c>
      <c r="Y1337" s="12">
        <f t="shared" si="44"/>
        <v>0.47500000000000003</v>
      </c>
      <c r="Z1337" s="12">
        <f t="shared" si="47"/>
        <v>-0.49799999999999994</v>
      </c>
    </row>
    <row r="1338" spans="1:26" x14ac:dyDescent="0.2">
      <c r="A1338" s="12" t="s">
        <v>115</v>
      </c>
      <c r="B1338" s="12">
        <v>3830.5</v>
      </c>
      <c r="C1338" s="12">
        <v>52.750999999999998</v>
      </c>
      <c r="D1338" s="12">
        <v>162.339</v>
      </c>
      <c r="E1338" s="12">
        <v>23.856000000000002</v>
      </c>
      <c r="F1338" s="12">
        <v>3.7290000000000001</v>
      </c>
      <c r="G1338" s="12">
        <v>2.754</v>
      </c>
      <c r="H1338" s="12">
        <v>6.4610000000000003</v>
      </c>
      <c r="I1338" s="12">
        <v>4.9930000000000003</v>
      </c>
      <c r="J1338" s="12">
        <v>383.73200000000003</v>
      </c>
      <c r="K1338" s="12">
        <v>437.291</v>
      </c>
      <c r="L1338" s="12">
        <v>1E-3</v>
      </c>
      <c r="M1338" s="12">
        <v>0.01</v>
      </c>
      <c r="N1338" s="12">
        <v>100</v>
      </c>
      <c r="O1338" s="12">
        <v>0.28100000000000003</v>
      </c>
      <c r="P1338" s="12">
        <v>0.88</v>
      </c>
      <c r="Q1338" s="12">
        <v>0.13400000000000001</v>
      </c>
      <c r="R1338" s="12">
        <v>0.55000000000000004</v>
      </c>
      <c r="U1338" s="12" t="s">
        <v>33</v>
      </c>
      <c r="V1338" s="12" t="s">
        <v>118</v>
      </c>
      <c r="X1338" s="12" t="s">
        <v>40</v>
      </c>
      <c r="Y1338" s="12">
        <f t="shared" si="44"/>
        <v>0.41500000000000004</v>
      </c>
      <c r="Z1338" s="12">
        <f t="shared" si="47"/>
        <v>-0.59899999999999998</v>
      </c>
    </row>
    <row r="1339" spans="1:26" x14ac:dyDescent="0.2">
      <c r="A1339" s="12" t="s">
        <v>115</v>
      </c>
      <c r="B1339" s="12">
        <v>3830.625</v>
      </c>
      <c r="C1339" s="12">
        <v>40.209000000000003</v>
      </c>
      <c r="D1339" s="12">
        <v>161.08500000000001</v>
      </c>
      <c r="E1339" s="12">
        <v>23.917999999999999</v>
      </c>
      <c r="F1339" s="12">
        <v>3.2069999999999999</v>
      </c>
      <c r="G1339" s="12">
        <v>2.7589999999999999</v>
      </c>
      <c r="H1339" s="12">
        <v>6.7919999999999998</v>
      </c>
      <c r="I1339" s="12">
        <v>5.0510000000000002</v>
      </c>
      <c r="J1339" s="12">
        <v>653.49199999999996</v>
      </c>
      <c r="K1339" s="12">
        <v>744.702</v>
      </c>
      <c r="L1339" s="12">
        <v>1E-3</v>
      </c>
      <c r="M1339" s="12">
        <v>0.01</v>
      </c>
      <c r="N1339" s="12">
        <v>100</v>
      </c>
      <c r="O1339" s="12">
        <v>0.187</v>
      </c>
      <c r="P1339" s="12">
        <v>0.90500000000000003</v>
      </c>
      <c r="Q1339" s="12">
        <v>0.12</v>
      </c>
      <c r="R1339" s="12">
        <v>0.55900000000000005</v>
      </c>
      <c r="U1339" s="12" t="s">
        <v>33</v>
      </c>
      <c r="V1339" s="12" t="s">
        <v>118</v>
      </c>
      <c r="X1339" s="12" t="s">
        <v>40</v>
      </c>
      <c r="Y1339" s="12">
        <f t="shared" si="44"/>
        <v>0.307</v>
      </c>
      <c r="Z1339" s="12">
        <f t="shared" si="47"/>
        <v>-0.71799999999999997</v>
      </c>
    </row>
    <row r="1340" spans="1:26" x14ac:dyDescent="0.2">
      <c r="A1340" s="12" t="s">
        <v>115</v>
      </c>
      <c r="B1340" s="12">
        <v>3830.75</v>
      </c>
      <c r="C1340" s="12">
        <v>30.878</v>
      </c>
      <c r="D1340" s="12">
        <v>159.78100000000001</v>
      </c>
      <c r="E1340" s="12">
        <v>23.911999999999999</v>
      </c>
      <c r="F1340" s="12">
        <v>2.7229999999999999</v>
      </c>
      <c r="G1340" s="12">
        <v>2.762</v>
      </c>
      <c r="H1340" s="12">
        <v>6.5730000000000004</v>
      </c>
      <c r="I1340" s="12">
        <v>5.0570000000000004</v>
      </c>
      <c r="J1340" s="12">
        <v>814.24699999999996</v>
      </c>
      <c r="K1340" s="12">
        <v>927.89400000000001</v>
      </c>
      <c r="L1340" s="12">
        <v>1E-3</v>
      </c>
      <c r="M1340" s="12">
        <v>0.01</v>
      </c>
      <c r="N1340" s="12">
        <v>100</v>
      </c>
      <c r="O1340" s="12">
        <v>0.11700000000000001</v>
      </c>
      <c r="P1340" s="12">
        <v>0.90800000000000003</v>
      </c>
      <c r="Q1340" s="12">
        <v>0.105</v>
      </c>
      <c r="R1340" s="12">
        <v>0.56499999999999995</v>
      </c>
      <c r="U1340" s="12" t="s">
        <v>33</v>
      </c>
      <c r="V1340" s="12" t="s">
        <v>118</v>
      </c>
      <c r="X1340" s="12" t="s">
        <v>40</v>
      </c>
      <c r="Y1340" s="12">
        <f t="shared" si="44"/>
        <v>0.222</v>
      </c>
      <c r="Z1340" s="12">
        <f t="shared" si="47"/>
        <v>-0.79100000000000004</v>
      </c>
    </row>
    <row r="1341" spans="1:26" x14ac:dyDescent="0.2">
      <c r="A1341" s="12" t="s">
        <v>115</v>
      </c>
      <c r="B1341" s="12">
        <v>3830.875</v>
      </c>
      <c r="C1341" s="12">
        <v>30.606999999999999</v>
      </c>
      <c r="D1341" s="12">
        <v>159.41200000000001</v>
      </c>
      <c r="E1341" s="12">
        <v>23.873000000000001</v>
      </c>
      <c r="F1341" s="12">
        <v>2.5369999999999999</v>
      </c>
      <c r="G1341" s="12">
        <v>2.7650000000000001</v>
      </c>
      <c r="H1341" s="12">
        <v>6.0810000000000004</v>
      </c>
      <c r="I1341" s="12">
        <v>5.0149999999999997</v>
      </c>
      <c r="J1341" s="12">
        <v>723.93499999999995</v>
      </c>
      <c r="K1341" s="12">
        <v>824.97799999999995</v>
      </c>
      <c r="L1341" s="12">
        <v>1E-3</v>
      </c>
      <c r="M1341" s="12">
        <v>0.01</v>
      </c>
      <c r="N1341" s="12">
        <v>100</v>
      </c>
      <c r="O1341" s="12">
        <v>0.115</v>
      </c>
      <c r="P1341" s="12">
        <v>0.88900000000000001</v>
      </c>
      <c r="Q1341" s="12">
        <v>0.10100000000000001</v>
      </c>
      <c r="R1341" s="12">
        <v>0.57099999999999995</v>
      </c>
      <c r="U1341" s="12" t="s">
        <v>33</v>
      </c>
      <c r="V1341" s="12" t="s">
        <v>118</v>
      </c>
      <c r="X1341" s="12" t="s">
        <v>40</v>
      </c>
      <c r="Y1341" s="12">
        <f t="shared" si="44"/>
        <v>0.21600000000000003</v>
      </c>
      <c r="Z1341" s="12">
        <f t="shared" si="47"/>
        <v>-0.77400000000000002</v>
      </c>
    </row>
    <row r="1342" spans="1:26" x14ac:dyDescent="0.2">
      <c r="A1342" s="12" t="s">
        <v>115</v>
      </c>
      <c r="B1342" s="12">
        <v>3831</v>
      </c>
      <c r="C1342" s="12">
        <v>38.71</v>
      </c>
      <c r="D1342" s="12">
        <v>160.62</v>
      </c>
      <c r="E1342" s="12">
        <v>23.852</v>
      </c>
      <c r="F1342" s="12">
        <v>2.5270000000000001</v>
      </c>
      <c r="G1342" s="12">
        <v>2.7730000000000001</v>
      </c>
      <c r="H1342" s="12">
        <v>5.6310000000000002</v>
      </c>
      <c r="I1342" s="12">
        <v>4.9269999999999996</v>
      </c>
      <c r="J1342" s="12">
        <v>478.358</v>
      </c>
      <c r="K1342" s="12">
        <v>545.12400000000002</v>
      </c>
      <c r="L1342" s="12">
        <v>1E-3</v>
      </c>
      <c r="M1342" s="12">
        <v>0.01</v>
      </c>
      <c r="N1342" s="12">
        <v>100</v>
      </c>
      <c r="O1342" s="12">
        <v>0.17599999999999999</v>
      </c>
      <c r="P1342" s="12">
        <v>0.85</v>
      </c>
      <c r="Q1342" s="12">
        <v>0.115</v>
      </c>
      <c r="R1342" s="12">
        <v>0.58599999999999997</v>
      </c>
      <c r="U1342" s="12" t="s">
        <v>33</v>
      </c>
      <c r="V1342" s="12" t="s">
        <v>118</v>
      </c>
      <c r="X1342" s="12" t="s">
        <v>40</v>
      </c>
      <c r="Y1342" s="12">
        <f t="shared" si="44"/>
        <v>0.29099999999999998</v>
      </c>
      <c r="Z1342" s="12">
        <f t="shared" si="47"/>
        <v>-0.67399999999999993</v>
      </c>
    </row>
    <row r="1343" spans="1:26" x14ac:dyDescent="0.2">
      <c r="A1343" s="12" t="s">
        <v>115</v>
      </c>
      <c r="B1343" s="12">
        <v>3831.125</v>
      </c>
      <c r="C1343" s="12">
        <v>47.033000000000001</v>
      </c>
      <c r="D1343" s="12">
        <v>162.596</v>
      </c>
      <c r="E1343" s="12">
        <v>23.895</v>
      </c>
      <c r="F1343" s="12">
        <v>2.508</v>
      </c>
      <c r="G1343" s="12">
        <v>2.79</v>
      </c>
      <c r="H1343" s="12">
        <v>5.1950000000000003</v>
      </c>
      <c r="I1343" s="12">
        <v>4.8</v>
      </c>
      <c r="J1343" s="12">
        <v>384.53300000000002</v>
      </c>
      <c r="K1343" s="12">
        <v>438.20299999999997</v>
      </c>
      <c r="L1343" s="12">
        <v>1E-3</v>
      </c>
      <c r="M1343" s="12">
        <v>0.01</v>
      </c>
      <c r="N1343" s="12">
        <v>100</v>
      </c>
      <c r="O1343" s="12">
        <v>0.23799999999999999</v>
      </c>
      <c r="P1343" s="12">
        <v>0.79300000000000004</v>
      </c>
      <c r="Q1343" s="12">
        <v>0.13700000000000001</v>
      </c>
      <c r="R1343" s="12">
        <v>0.61899999999999999</v>
      </c>
      <c r="U1343" s="12" t="s">
        <v>33</v>
      </c>
      <c r="V1343" s="12" t="s">
        <v>118</v>
      </c>
      <c r="X1343" s="12" t="s">
        <v>40</v>
      </c>
      <c r="Y1343" s="12">
        <f t="shared" si="44"/>
        <v>0.375</v>
      </c>
      <c r="Z1343" s="12">
        <f t="shared" si="47"/>
        <v>-0.55500000000000005</v>
      </c>
    </row>
    <row r="1344" spans="1:26" x14ac:dyDescent="0.2">
      <c r="A1344" s="12" t="s">
        <v>115</v>
      </c>
      <c r="B1344" s="12">
        <v>3831.25</v>
      </c>
      <c r="C1344" s="12">
        <v>47.676000000000002</v>
      </c>
      <c r="D1344" s="12">
        <v>163.374</v>
      </c>
      <c r="E1344" s="12">
        <v>23.981999999999999</v>
      </c>
      <c r="F1344" s="12">
        <v>2.5110000000000001</v>
      </c>
      <c r="G1344" s="12">
        <v>2.8130000000000002</v>
      </c>
      <c r="H1344" s="12">
        <v>4.6829999999999998</v>
      </c>
      <c r="I1344" s="12">
        <v>4.6630000000000003</v>
      </c>
      <c r="J1344" s="12">
        <v>710.178</v>
      </c>
      <c r="K1344" s="12">
        <v>809.3</v>
      </c>
      <c r="L1344" s="12">
        <v>1E-3</v>
      </c>
      <c r="M1344" s="12">
        <v>0.01</v>
      </c>
      <c r="N1344" s="12">
        <v>100</v>
      </c>
      <c r="O1344" s="12">
        <v>0.24299999999999999</v>
      </c>
      <c r="P1344" s="12">
        <v>0.73199999999999998</v>
      </c>
      <c r="Q1344" s="12">
        <v>0.14599999999999999</v>
      </c>
      <c r="R1344" s="12">
        <v>0.66400000000000003</v>
      </c>
      <c r="U1344" s="12" t="s">
        <v>33</v>
      </c>
      <c r="V1344" s="12" t="s">
        <v>118</v>
      </c>
      <c r="X1344" s="12" t="s">
        <v>40</v>
      </c>
      <c r="Y1344" s="12">
        <f t="shared" si="44"/>
        <v>0.38900000000000001</v>
      </c>
      <c r="Z1344" s="12">
        <f t="shared" si="47"/>
        <v>-0.48899999999999999</v>
      </c>
    </row>
    <row r="1345" spans="1:26" x14ac:dyDescent="0.2">
      <c r="A1345" s="12" t="s">
        <v>116</v>
      </c>
      <c r="B1345" s="12">
        <v>4014.875</v>
      </c>
      <c r="C1345" s="12">
        <v>25.376999999999999</v>
      </c>
      <c r="D1345" s="12">
        <v>159.779</v>
      </c>
      <c r="E1345" s="12">
        <v>23.47</v>
      </c>
      <c r="F1345" s="12">
        <v>2.1920000000000002</v>
      </c>
      <c r="G1345" s="12">
        <v>2.8159999999999998</v>
      </c>
      <c r="H1345" s="12">
        <v>4.0910000000000002</v>
      </c>
      <c r="I1345" s="12">
        <v>3.88</v>
      </c>
      <c r="J1345" s="12">
        <v>6339.7849999999999</v>
      </c>
      <c r="K1345" s="12">
        <v>7127.2910000000002</v>
      </c>
      <c r="L1345" s="12">
        <v>8.8999999999999996E-2</v>
      </c>
      <c r="M1345" s="12">
        <v>0.1</v>
      </c>
      <c r="N1345" s="12">
        <v>100</v>
      </c>
      <c r="O1345" s="12">
        <v>9.0999999999999998E-2</v>
      </c>
      <c r="P1345" s="12">
        <v>0.62</v>
      </c>
      <c r="Q1345" s="12">
        <v>0.128</v>
      </c>
      <c r="R1345" s="12">
        <v>0.54600000000000004</v>
      </c>
      <c r="U1345" s="12" t="s">
        <v>33</v>
      </c>
      <c r="V1345" s="12" t="s">
        <v>118</v>
      </c>
      <c r="X1345" s="12" t="s">
        <v>40</v>
      </c>
      <c r="Y1345" s="12">
        <f t="shared" si="44"/>
        <v>0.219</v>
      </c>
      <c r="Z1345" s="12">
        <f t="shared" si="47"/>
        <v>-0.52900000000000003</v>
      </c>
    </row>
    <row r="1346" spans="1:26" x14ac:dyDescent="0.2">
      <c r="A1346" s="12" t="s">
        <v>116</v>
      </c>
      <c r="B1346" s="12">
        <v>4015</v>
      </c>
      <c r="C1346" s="12">
        <v>19.050999999999998</v>
      </c>
      <c r="D1346" s="12">
        <v>156.40100000000001</v>
      </c>
      <c r="E1346" s="12">
        <v>23.472000000000001</v>
      </c>
      <c r="F1346" s="12">
        <v>2.0659999999999998</v>
      </c>
      <c r="G1346" s="12">
        <v>2.8180000000000001</v>
      </c>
      <c r="H1346" s="12">
        <v>3.2040000000000002</v>
      </c>
      <c r="I1346" s="12">
        <v>4.0780000000000003</v>
      </c>
      <c r="J1346" s="12">
        <v>9747.4709999999995</v>
      </c>
      <c r="K1346" s="12">
        <v>11000.081</v>
      </c>
      <c r="L1346" s="12">
        <v>9.0999999999999998E-2</v>
      </c>
      <c r="M1346" s="12">
        <v>0.1</v>
      </c>
      <c r="N1346" s="12">
        <v>100</v>
      </c>
      <c r="O1346" s="12">
        <v>4.7E-2</v>
      </c>
      <c r="P1346" s="12">
        <v>0.70899999999999996</v>
      </c>
      <c r="Q1346" s="12">
        <v>4.8000000000000001E-2</v>
      </c>
      <c r="R1346" s="12">
        <v>0.55400000000000005</v>
      </c>
      <c r="U1346" s="12" t="s">
        <v>33</v>
      </c>
      <c r="V1346" s="12" t="s">
        <v>118</v>
      </c>
      <c r="X1346" s="12" t="s">
        <v>40</v>
      </c>
      <c r="Y1346" s="12">
        <f t="shared" si="44"/>
        <v>9.5000000000000001E-2</v>
      </c>
      <c r="Z1346" s="12">
        <f t="shared" si="47"/>
        <v>-0.66199999999999992</v>
      </c>
    </row>
    <row r="1347" spans="1:26" x14ac:dyDescent="0.2">
      <c r="A1347" s="12" t="s">
        <v>116</v>
      </c>
      <c r="B1347" s="12">
        <v>4015.125</v>
      </c>
      <c r="C1347" s="12">
        <v>15.925000000000001</v>
      </c>
      <c r="D1347" s="12">
        <v>154.93100000000001</v>
      </c>
      <c r="E1347" s="12">
        <v>23.498999999999999</v>
      </c>
      <c r="F1347" s="12">
        <v>2.02</v>
      </c>
      <c r="G1347" s="12">
        <v>2.8250000000000002</v>
      </c>
      <c r="H1347" s="12">
        <v>2.6629999999999998</v>
      </c>
      <c r="I1347" s="12">
        <v>4.2089999999999996</v>
      </c>
      <c r="J1347" s="12">
        <v>13658.603999999999</v>
      </c>
      <c r="K1347" s="12">
        <v>16021.421</v>
      </c>
      <c r="L1347" s="12">
        <v>9.1999999999999998E-2</v>
      </c>
      <c r="M1347" s="12">
        <v>0.1</v>
      </c>
      <c r="N1347" s="12">
        <v>100</v>
      </c>
      <c r="O1347" s="12">
        <v>2.5000000000000001E-2</v>
      </c>
      <c r="P1347" s="12">
        <v>0.76800000000000002</v>
      </c>
      <c r="Q1347" s="12">
        <v>1.2999999999999999E-2</v>
      </c>
      <c r="R1347" s="12">
        <v>0.58099999999999996</v>
      </c>
      <c r="U1347" s="12" t="s">
        <v>33</v>
      </c>
      <c r="V1347" s="12" t="s">
        <v>118</v>
      </c>
      <c r="X1347" s="12" t="s">
        <v>40</v>
      </c>
      <c r="Y1347" s="12">
        <f t="shared" ref="Y1347:Y1410" si="48">O1347+Q1347</f>
        <v>3.7999999999999999E-2</v>
      </c>
      <c r="Z1347" s="12">
        <f t="shared" si="47"/>
        <v>-0.74299999999999999</v>
      </c>
    </row>
    <row r="1348" spans="1:26" x14ac:dyDescent="0.2">
      <c r="A1348" s="12" t="s">
        <v>116</v>
      </c>
      <c r="B1348" s="12">
        <v>4015.25</v>
      </c>
      <c r="C1348" s="12">
        <v>14.305999999999999</v>
      </c>
      <c r="D1348" s="12">
        <v>155.38900000000001</v>
      </c>
      <c r="E1348" s="12">
        <v>23.486999999999998</v>
      </c>
      <c r="F1348" s="12">
        <v>1.9870000000000001</v>
      </c>
      <c r="G1348" s="12">
        <v>2.8380000000000001</v>
      </c>
      <c r="H1348" s="12">
        <v>2.238</v>
      </c>
      <c r="I1348" s="12">
        <v>4.2240000000000002</v>
      </c>
      <c r="J1348" s="12">
        <v>18855.559000000001</v>
      </c>
      <c r="K1348" s="12">
        <v>23055.226999999999</v>
      </c>
      <c r="L1348" s="12">
        <v>9.2999999999999999E-2</v>
      </c>
      <c r="M1348" s="12">
        <v>0.1</v>
      </c>
      <c r="N1348" s="12">
        <v>100</v>
      </c>
      <c r="O1348" s="12">
        <v>1.4E-2</v>
      </c>
      <c r="P1348" s="12">
        <v>0.77500000000000002</v>
      </c>
      <c r="Q1348" s="12">
        <v>2.4E-2</v>
      </c>
      <c r="R1348" s="12">
        <v>0.63100000000000001</v>
      </c>
      <c r="U1348" s="12" t="s">
        <v>33</v>
      </c>
      <c r="V1348" s="12" t="s">
        <v>118</v>
      </c>
      <c r="X1348" s="12" t="s">
        <v>40</v>
      </c>
      <c r="Y1348" s="12">
        <f t="shared" si="48"/>
        <v>3.7999999999999999E-2</v>
      </c>
      <c r="Z1348" s="12">
        <f t="shared" ref="Z1348:Z1424" si="49">O1348-P1348</f>
        <v>-0.76100000000000001</v>
      </c>
    </row>
    <row r="1349" spans="1:26" x14ac:dyDescent="0.2">
      <c r="A1349" s="12" t="s">
        <v>116</v>
      </c>
      <c r="B1349" s="12">
        <v>4015.375</v>
      </c>
      <c r="C1349" s="12">
        <v>13.302</v>
      </c>
      <c r="D1349" s="12">
        <v>159.071</v>
      </c>
      <c r="E1349" s="12">
        <v>23.513000000000002</v>
      </c>
      <c r="F1349" s="12">
        <v>1.956</v>
      </c>
      <c r="G1349" s="12">
        <v>2.86</v>
      </c>
      <c r="H1349" s="12">
        <v>1.8959999999999999</v>
      </c>
      <c r="I1349" s="12">
        <v>4.109</v>
      </c>
      <c r="J1349" s="12">
        <v>30013.15</v>
      </c>
      <c r="K1349" s="12">
        <v>33933.925999999999</v>
      </c>
      <c r="L1349" s="12">
        <v>9.2999999999999999E-2</v>
      </c>
      <c r="M1349" s="12">
        <v>0.1</v>
      </c>
      <c r="N1349" s="12">
        <v>100</v>
      </c>
      <c r="O1349" s="12">
        <v>7.0000000000000001E-3</v>
      </c>
      <c r="P1349" s="12">
        <v>0.72299999999999998</v>
      </c>
      <c r="Q1349" s="12">
        <v>0.111</v>
      </c>
      <c r="R1349" s="12">
        <v>0.71499999999999997</v>
      </c>
      <c r="U1349" s="12" t="s">
        <v>33</v>
      </c>
      <c r="V1349" s="12" t="s">
        <v>118</v>
      </c>
      <c r="X1349" s="12" t="s">
        <v>40</v>
      </c>
      <c r="Y1349" s="12">
        <f t="shared" si="48"/>
        <v>0.11800000000000001</v>
      </c>
      <c r="Z1349" s="12">
        <f t="shared" si="49"/>
        <v>-0.71599999999999997</v>
      </c>
    </row>
    <row r="1350" spans="1:26" x14ac:dyDescent="0.2">
      <c r="A1350" s="12" t="s">
        <v>116</v>
      </c>
      <c r="B1350" s="12">
        <v>4015.5</v>
      </c>
      <c r="C1350" s="12">
        <v>12.577999999999999</v>
      </c>
      <c r="D1350" s="12">
        <v>163.70500000000001</v>
      </c>
      <c r="E1350" s="12">
        <v>23.555</v>
      </c>
      <c r="F1350" s="12">
        <v>1.9219999999999999</v>
      </c>
      <c r="G1350" s="12">
        <v>2.8889999999999998</v>
      </c>
      <c r="H1350" s="12">
        <v>1.655</v>
      </c>
      <c r="I1350" s="12">
        <v>3.9489999999999998</v>
      </c>
      <c r="J1350" s="12">
        <v>39472.601999999999</v>
      </c>
      <c r="K1350" s="12">
        <v>41125.550999999999</v>
      </c>
      <c r="L1350" s="12">
        <v>9.4E-2</v>
      </c>
      <c r="M1350" s="12">
        <v>0.1</v>
      </c>
      <c r="N1350" s="12">
        <v>100</v>
      </c>
      <c r="O1350" s="12">
        <v>2E-3</v>
      </c>
      <c r="P1350" s="12">
        <v>0.65100000000000002</v>
      </c>
      <c r="Q1350" s="12">
        <v>0.22</v>
      </c>
      <c r="R1350" s="12">
        <v>0.82699999999999996</v>
      </c>
      <c r="U1350" s="12" t="s">
        <v>33</v>
      </c>
      <c r="V1350" s="12" t="s">
        <v>118</v>
      </c>
      <c r="X1350" s="12" t="s">
        <v>40</v>
      </c>
      <c r="Y1350" s="12">
        <f t="shared" si="48"/>
        <v>0.222</v>
      </c>
      <c r="Z1350" s="12">
        <f t="shared" si="49"/>
        <v>-0.64900000000000002</v>
      </c>
    </row>
    <row r="1351" spans="1:26" x14ac:dyDescent="0.2">
      <c r="A1351" s="12" t="s">
        <v>116</v>
      </c>
      <c r="B1351" s="12">
        <v>4015.625</v>
      </c>
      <c r="C1351" s="12">
        <v>12.339</v>
      </c>
      <c r="D1351" s="12">
        <v>165.941</v>
      </c>
      <c r="E1351" s="12">
        <v>23.573</v>
      </c>
      <c r="F1351" s="12">
        <v>1.891</v>
      </c>
      <c r="G1351" s="12">
        <v>2.9159999999999999</v>
      </c>
      <c r="H1351" s="12">
        <v>1.585</v>
      </c>
      <c r="I1351" s="12">
        <v>3.9089999999999998</v>
      </c>
      <c r="J1351" s="12">
        <v>41481.555</v>
      </c>
      <c r="K1351" s="12">
        <v>41754.129000000001</v>
      </c>
      <c r="L1351" s="12">
        <v>9.5000000000000001E-2</v>
      </c>
      <c r="M1351" s="12">
        <v>0.1</v>
      </c>
      <c r="N1351" s="12">
        <v>100</v>
      </c>
      <c r="O1351" s="12">
        <v>0</v>
      </c>
      <c r="P1351" s="12">
        <v>0.63300000000000001</v>
      </c>
      <c r="Q1351" s="12">
        <v>0.27300000000000002</v>
      </c>
      <c r="R1351" s="12">
        <v>0.93100000000000005</v>
      </c>
      <c r="U1351" s="12" t="s">
        <v>33</v>
      </c>
      <c r="V1351" s="12" t="s">
        <v>118</v>
      </c>
      <c r="X1351" s="12" t="s">
        <v>40</v>
      </c>
      <c r="Y1351" s="12">
        <f t="shared" si="48"/>
        <v>0.27300000000000002</v>
      </c>
      <c r="Z1351" s="12">
        <f t="shared" si="49"/>
        <v>-0.63300000000000001</v>
      </c>
    </row>
    <row r="1352" spans="1:26" x14ac:dyDescent="0.2">
      <c r="A1352" s="12" t="s">
        <v>116</v>
      </c>
      <c r="B1352" s="12">
        <v>4015.75</v>
      </c>
      <c r="C1352" s="12">
        <v>12.85</v>
      </c>
      <c r="D1352" s="12">
        <v>166.613</v>
      </c>
      <c r="E1352" s="12">
        <v>23.581</v>
      </c>
      <c r="F1352" s="12">
        <v>1.871</v>
      </c>
      <c r="G1352" s="12">
        <v>2.9340000000000002</v>
      </c>
      <c r="H1352" s="12">
        <v>1.7709999999999999</v>
      </c>
      <c r="I1352" s="12">
        <v>4.0119999999999996</v>
      </c>
      <c r="J1352" s="12">
        <v>39890.144999999997</v>
      </c>
      <c r="K1352" s="12">
        <v>39616.809000000001</v>
      </c>
      <c r="L1352" s="12">
        <v>9.4E-2</v>
      </c>
      <c r="M1352" s="12">
        <v>0.1</v>
      </c>
      <c r="N1352" s="12">
        <v>100</v>
      </c>
      <c r="O1352" s="12">
        <v>4.0000000000000001E-3</v>
      </c>
      <c r="P1352" s="12">
        <v>0.68</v>
      </c>
      <c r="Q1352" s="12">
        <v>0.28899999999999998</v>
      </c>
      <c r="R1352" s="12">
        <v>1</v>
      </c>
      <c r="U1352" s="12" t="s">
        <v>33</v>
      </c>
      <c r="V1352" s="12" t="s">
        <v>118</v>
      </c>
      <c r="X1352" s="12" t="s">
        <v>40</v>
      </c>
      <c r="Y1352" s="12">
        <f t="shared" si="48"/>
        <v>0.29299999999999998</v>
      </c>
      <c r="Z1352" s="12">
        <f t="shared" si="49"/>
        <v>-0.67600000000000005</v>
      </c>
    </row>
    <row r="1353" spans="1:26" x14ac:dyDescent="0.2">
      <c r="A1353" s="12" t="s">
        <v>116</v>
      </c>
      <c r="B1353" s="12">
        <v>4015.875</v>
      </c>
      <c r="C1353" s="12">
        <v>14.553000000000001</v>
      </c>
      <c r="D1353" s="12">
        <v>166.16200000000001</v>
      </c>
      <c r="E1353" s="12">
        <v>23.577000000000002</v>
      </c>
      <c r="F1353" s="12">
        <v>1.8640000000000001</v>
      </c>
      <c r="G1353" s="12">
        <v>2.9209999999999998</v>
      </c>
      <c r="H1353" s="12">
        <v>2.173</v>
      </c>
      <c r="I1353" s="12">
        <v>4.1829999999999998</v>
      </c>
      <c r="J1353" s="12">
        <v>33133.18</v>
      </c>
      <c r="K1353" s="12">
        <v>32275.884999999998</v>
      </c>
      <c r="L1353" s="12">
        <v>9.0999999999999998E-2</v>
      </c>
      <c r="M1353" s="12">
        <v>0.1</v>
      </c>
      <c r="N1353" s="12">
        <v>100</v>
      </c>
      <c r="O1353" s="12">
        <v>1.6E-2</v>
      </c>
      <c r="P1353" s="12">
        <v>0.75600000000000001</v>
      </c>
      <c r="Q1353" s="12">
        <v>0.27800000000000002</v>
      </c>
      <c r="R1353" s="12">
        <v>0.95</v>
      </c>
      <c r="U1353" s="12" t="s">
        <v>33</v>
      </c>
      <c r="V1353" s="12" t="s">
        <v>118</v>
      </c>
      <c r="X1353" s="12" t="s">
        <v>40</v>
      </c>
      <c r="Y1353" s="12">
        <f t="shared" si="48"/>
        <v>0.29400000000000004</v>
      </c>
      <c r="Z1353" s="12">
        <f t="shared" si="49"/>
        <v>-0.74</v>
      </c>
    </row>
    <row r="1354" spans="1:26" x14ac:dyDescent="0.2">
      <c r="A1354" s="12" t="s">
        <v>116</v>
      </c>
      <c r="B1354" s="12">
        <v>4016</v>
      </c>
      <c r="C1354" s="12">
        <v>18.047999999999998</v>
      </c>
      <c r="D1354" s="12">
        <v>165.17699999999999</v>
      </c>
      <c r="E1354" s="12">
        <v>23.555</v>
      </c>
      <c r="F1354" s="12">
        <v>1.9059999999999999</v>
      </c>
      <c r="G1354" s="12">
        <v>2.891</v>
      </c>
      <c r="H1354" s="12">
        <v>2.8610000000000002</v>
      </c>
      <c r="I1354" s="12">
        <v>4.2629999999999999</v>
      </c>
      <c r="J1354" s="12">
        <v>20615.445</v>
      </c>
      <c r="K1354" s="12">
        <v>19388.088</v>
      </c>
      <c r="L1354" s="12">
        <v>8.7999999999999995E-2</v>
      </c>
      <c r="M1354" s="12">
        <v>0.1</v>
      </c>
      <c r="N1354" s="12">
        <v>100</v>
      </c>
      <c r="O1354" s="12">
        <v>0.04</v>
      </c>
      <c r="P1354" s="12">
        <v>0.79200000000000004</v>
      </c>
      <c r="Q1354" s="12">
        <v>0.255</v>
      </c>
      <c r="R1354" s="12">
        <v>0.83499999999999996</v>
      </c>
      <c r="U1354" s="12" t="s">
        <v>33</v>
      </c>
      <c r="V1354" s="12" t="s">
        <v>118</v>
      </c>
      <c r="X1354" s="12" t="s">
        <v>40</v>
      </c>
      <c r="Y1354" s="12">
        <f t="shared" si="48"/>
        <v>0.29499999999999998</v>
      </c>
      <c r="Z1354" s="12">
        <f t="shared" si="49"/>
        <v>-0.752</v>
      </c>
    </row>
    <row r="1355" spans="1:26" x14ac:dyDescent="0.2">
      <c r="A1355" s="12" t="s">
        <v>116</v>
      </c>
      <c r="B1355" s="12">
        <v>4016.125</v>
      </c>
      <c r="C1355" s="12">
        <v>23.405000000000001</v>
      </c>
      <c r="D1355" s="12">
        <v>164.00399999999999</v>
      </c>
      <c r="E1355" s="12">
        <v>23.515999999999998</v>
      </c>
      <c r="F1355" s="12">
        <v>2.032</v>
      </c>
      <c r="G1355" s="12">
        <v>2.859</v>
      </c>
      <c r="H1355" s="12">
        <v>3.8370000000000002</v>
      </c>
      <c r="I1355" s="12">
        <v>4.0389999999999997</v>
      </c>
      <c r="J1355" s="12">
        <v>9298.8860000000004</v>
      </c>
      <c r="K1355" s="12">
        <v>8204.2070000000003</v>
      </c>
      <c r="L1355" s="12">
        <v>8.4000000000000005E-2</v>
      </c>
      <c r="M1355" s="12">
        <v>0.1</v>
      </c>
      <c r="N1355" s="12">
        <v>100</v>
      </c>
      <c r="O1355" s="12">
        <v>7.8E-2</v>
      </c>
      <c r="P1355" s="12">
        <v>0.69199999999999995</v>
      </c>
      <c r="Q1355" s="12">
        <v>0.22700000000000001</v>
      </c>
      <c r="R1355" s="12">
        <v>0.71199999999999997</v>
      </c>
      <c r="U1355" s="12" t="s">
        <v>33</v>
      </c>
      <c r="V1355" s="12" t="s">
        <v>118</v>
      </c>
      <c r="X1355" s="12" t="s">
        <v>40</v>
      </c>
      <c r="Y1355" s="12">
        <f t="shared" si="48"/>
        <v>0.30499999999999999</v>
      </c>
      <c r="Z1355" s="12">
        <f t="shared" si="49"/>
        <v>-0.61399999999999999</v>
      </c>
    </row>
    <row r="1356" spans="1:26" x14ac:dyDescent="0.2">
      <c r="A1356" s="12" t="s">
        <v>108</v>
      </c>
      <c r="B1356" s="12">
        <v>3680.75</v>
      </c>
      <c r="C1356" s="12">
        <v>35.423000000000002</v>
      </c>
      <c r="D1356" s="12">
        <v>166.55799999999999</v>
      </c>
      <c r="E1356" s="12">
        <v>21.95</v>
      </c>
      <c r="F1356" s="12">
        <v>4.0679999999999996</v>
      </c>
      <c r="G1356" s="12">
        <v>2.84</v>
      </c>
      <c r="H1356" s="12">
        <v>6.4089999999999998</v>
      </c>
      <c r="I1356" s="12">
        <v>4.0449999999999999</v>
      </c>
      <c r="J1356" s="12">
        <v>408.71199999999999</v>
      </c>
      <c r="K1356" s="12">
        <v>478.48500000000001</v>
      </c>
      <c r="L1356" s="12">
        <v>0</v>
      </c>
      <c r="M1356" s="12">
        <v>0.1</v>
      </c>
      <c r="N1356" s="12">
        <v>100</v>
      </c>
      <c r="O1356" s="12">
        <v>0.14799999999999999</v>
      </c>
      <c r="P1356" s="12">
        <v>0.89700000000000002</v>
      </c>
      <c r="Q1356" s="12">
        <v>0.17</v>
      </c>
      <c r="R1356" s="12">
        <v>0.84799999999999998</v>
      </c>
      <c r="U1356" s="12" t="s">
        <v>33</v>
      </c>
      <c r="V1356" s="12" t="s">
        <v>97</v>
      </c>
      <c r="X1356" s="12" t="s">
        <v>40</v>
      </c>
      <c r="Y1356" s="12">
        <f t="shared" si="48"/>
        <v>0.318</v>
      </c>
      <c r="Z1356" s="12">
        <f t="shared" ref="Z1356:Z1399" si="50">O1356-P1356</f>
        <v>-0.749</v>
      </c>
    </row>
    <row r="1357" spans="1:26" x14ac:dyDescent="0.2">
      <c r="A1357" s="12" t="s">
        <v>108</v>
      </c>
      <c r="B1357" s="12">
        <v>3680.875</v>
      </c>
      <c r="C1357" s="12">
        <v>40.595999999999997</v>
      </c>
      <c r="D1357" s="12">
        <v>168.00200000000001</v>
      </c>
      <c r="E1357" s="12">
        <v>21.946000000000002</v>
      </c>
      <c r="F1357" s="12">
        <v>4.1479999999999997</v>
      </c>
      <c r="G1357" s="12">
        <v>2.8340000000000001</v>
      </c>
      <c r="H1357" s="12">
        <v>6.266</v>
      </c>
      <c r="I1357" s="12">
        <v>4.1959999999999997</v>
      </c>
      <c r="J1357" s="12">
        <v>448.798</v>
      </c>
      <c r="K1357" s="12">
        <v>525.64400000000001</v>
      </c>
      <c r="L1357" s="12">
        <v>0</v>
      </c>
      <c r="M1357" s="12">
        <v>0.1</v>
      </c>
      <c r="N1357" s="12">
        <v>100</v>
      </c>
      <c r="O1357" s="12">
        <v>0.184</v>
      </c>
      <c r="P1357" s="12">
        <v>0.94599999999999995</v>
      </c>
      <c r="Q1357" s="12">
        <v>0.187</v>
      </c>
      <c r="R1357" s="12">
        <v>0.81799999999999995</v>
      </c>
      <c r="U1357" s="12" t="s">
        <v>33</v>
      </c>
      <c r="V1357" s="12" t="s">
        <v>97</v>
      </c>
      <c r="X1357" s="12" t="s">
        <v>40</v>
      </c>
      <c r="Y1357" s="12">
        <f t="shared" si="48"/>
        <v>0.371</v>
      </c>
      <c r="Z1357" s="12">
        <f t="shared" si="50"/>
        <v>-0.76200000000000001</v>
      </c>
    </row>
    <row r="1358" spans="1:26" x14ac:dyDescent="0.2">
      <c r="A1358" s="12" t="s">
        <v>108</v>
      </c>
      <c r="B1358" s="12">
        <v>3681</v>
      </c>
      <c r="C1358" s="12">
        <v>43.098999999999997</v>
      </c>
      <c r="D1358" s="12">
        <v>169.36600000000001</v>
      </c>
      <c r="E1358" s="12">
        <v>21.972999999999999</v>
      </c>
      <c r="F1358" s="12">
        <v>4.0679999999999996</v>
      </c>
      <c r="G1358" s="12">
        <v>2.8239999999999998</v>
      </c>
      <c r="H1358" s="12">
        <v>6.2309999999999999</v>
      </c>
      <c r="I1358" s="12">
        <v>4.2889999999999997</v>
      </c>
      <c r="J1358" s="12">
        <v>513.94299999999998</v>
      </c>
      <c r="K1358" s="12">
        <v>602.28599999999994</v>
      </c>
      <c r="L1358" s="12">
        <v>0</v>
      </c>
      <c r="M1358" s="12">
        <v>0.1</v>
      </c>
      <c r="N1358" s="12">
        <v>100</v>
      </c>
      <c r="O1358" s="12">
        <v>0.20100000000000001</v>
      </c>
      <c r="P1358" s="12">
        <v>0.97599999999999998</v>
      </c>
      <c r="Q1358" s="12">
        <v>0.20300000000000001</v>
      </c>
      <c r="R1358" s="12">
        <v>0.76800000000000002</v>
      </c>
      <c r="U1358" s="12" t="s">
        <v>33</v>
      </c>
      <c r="V1358" s="12" t="s">
        <v>97</v>
      </c>
      <c r="X1358" s="12" t="s">
        <v>40</v>
      </c>
      <c r="Y1358" s="12">
        <f t="shared" si="48"/>
        <v>0.40400000000000003</v>
      </c>
      <c r="Z1358" s="12">
        <f t="shared" si="50"/>
        <v>-0.77499999999999991</v>
      </c>
    </row>
    <row r="1359" spans="1:26" x14ac:dyDescent="0.2">
      <c r="A1359" s="12" t="s">
        <v>108</v>
      </c>
      <c r="B1359" s="12">
        <v>3681.125</v>
      </c>
      <c r="C1359" s="12">
        <v>43.725999999999999</v>
      </c>
      <c r="D1359" s="12">
        <v>170.13900000000001</v>
      </c>
      <c r="E1359" s="12">
        <v>22.009</v>
      </c>
      <c r="F1359" s="12">
        <v>4.0140000000000002</v>
      </c>
      <c r="G1359" s="12">
        <v>2.8159999999999998</v>
      </c>
      <c r="H1359" s="12">
        <v>6.2279999999999998</v>
      </c>
      <c r="I1359" s="12">
        <v>4.3460000000000001</v>
      </c>
      <c r="J1359" s="12">
        <v>591.11900000000003</v>
      </c>
      <c r="K1359" s="12">
        <v>693.08100000000002</v>
      </c>
      <c r="L1359" s="12">
        <v>0</v>
      </c>
      <c r="M1359" s="12">
        <v>0.1</v>
      </c>
      <c r="N1359" s="12">
        <v>100</v>
      </c>
      <c r="O1359" s="12">
        <v>0.20599999999999999</v>
      </c>
      <c r="P1359" s="12">
        <v>0.99399999999999999</v>
      </c>
      <c r="Q1359" s="12">
        <v>0.21199999999999999</v>
      </c>
      <c r="R1359" s="12">
        <v>0.72699999999999998</v>
      </c>
      <c r="U1359" s="12" t="s">
        <v>33</v>
      </c>
      <c r="V1359" s="12" t="s">
        <v>97</v>
      </c>
      <c r="X1359" s="12" t="s">
        <v>40</v>
      </c>
      <c r="Y1359" s="12">
        <f t="shared" si="48"/>
        <v>0.41799999999999998</v>
      </c>
      <c r="Z1359" s="12">
        <f t="shared" si="50"/>
        <v>-0.78800000000000003</v>
      </c>
    </row>
    <row r="1360" spans="1:26" x14ac:dyDescent="0.2">
      <c r="A1360" s="12" t="s">
        <v>108</v>
      </c>
      <c r="B1360" s="12">
        <v>3681.25</v>
      </c>
      <c r="C1360" s="12">
        <v>44.402999999999999</v>
      </c>
      <c r="D1360" s="12">
        <v>170.00399999999999</v>
      </c>
      <c r="E1360" s="12">
        <v>22.047000000000001</v>
      </c>
      <c r="F1360" s="12">
        <v>3.907</v>
      </c>
      <c r="G1360" s="12">
        <v>2.8119999999999998</v>
      </c>
      <c r="H1360" s="12">
        <v>6.3419999999999996</v>
      </c>
      <c r="I1360" s="12">
        <v>4.3639999999999999</v>
      </c>
      <c r="J1360" s="12">
        <v>662.63400000000001</v>
      </c>
      <c r="K1360" s="12">
        <v>777.21699999999998</v>
      </c>
      <c r="L1360" s="12">
        <v>0</v>
      </c>
      <c r="M1360" s="12">
        <v>0.1</v>
      </c>
      <c r="N1360" s="12">
        <v>100</v>
      </c>
      <c r="O1360" s="12">
        <v>0.21</v>
      </c>
      <c r="P1360" s="12">
        <v>1</v>
      </c>
      <c r="Q1360" s="12">
        <v>0.21</v>
      </c>
      <c r="R1360" s="12">
        <v>0.70699999999999996</v>
      </c>
      <c r="U1360" s="12" t="s">
        <v>33</v>
      </c>
      <c r="V1360" s="12" t="s">
        <v>97</v>
      </c>
      <c r="X1360" s="12" t="s">
        <v>40</v>
      </c>
      <c r="Y1360" s="12">
        <f t="shared" si="48"/>
        <v>0.42</v>
      </c>
      <c r="Z1360" s="12">
        <f t="shared" si="50"/>
        <v>-0.79</v>
      </c>
    </row>
    <row r="1361" spans="1:26" x14ac:dyDescent="0.2">
      <c r="A1361" s="12" t="s">
        <v>108</v>
      </c>
      <c r="B1361" s="12">
        <v>3681.375</v>
      </c>
      <c r="C1361" s="12">
        <v>46.404000000000003</v>
      </c>
      <c r="D1361" s="12">
        <v>169.095</v>
      </c>
      <c r="E1361" s="12">
        <v>22.08</v>
      </c>
      <c r="F1361" s="12">
        <v>3.6179999999999999</v>
      </c>
      <c r="G1361" s="12">
        <v>2.8140000000000001</v>
      </c>
      <c r="H1361" s="12">
        <v>6.67</v>
      </c>
      <c r="I1361" s="12">
        <v>4.2290000000000001</v>
      </c>
      <c r="J1361" s="12">
        <v>708.00800000000004</v>
      </c>
      <c r="K1361" s="12">
        <v>830.59699999999998</v>
      </c>
      <c r="L1361" s="12">
        <v>0</v>
      </c>
      <c r="M1361" s="12">
        <v>0.1</v>
      </c>
      <c r="N1361" s="12">
        <v>100</v>
      </c>
      <c r="O1361" s="12">
        <v>0.224</v>
      </c>
      <c r="P1361" s="12">
        <v>0.95599999999999996</v>
      </c>
      <c r="Q1361" s="12">
        <v>0.2</v>
      </c>
      <c r="R1361" s="12">
        <v>0.71699999999999997</v>
      </c>
      <c r="U1361" s="12" t="s">
        <v>33</v>
      </c>
      <c r="V1361" s="12" t="s">
        <v>97</v>
      </c>
      <c r="X1361" s="12" t="s">
        <v>40</v>
      </c>
      <c r="Y1361" s="12">
        <f t="shared" si="48"/>
        <v>0.42400000000000004</v>
      </c>
      <c r="Z1361" s="12">
        <f t="shared" si="50"/>
        <v>-0.73199999999999998</v>
      </c>
    </row>
    <row r="1362" spans="1:26" x14ac:dyDescent="0.2">
      <c r="A1362" s="12" t="s">
        <v>109</v>
      </c>
      <c r="B1362" s="12">
        <v>3516.875</v>
      </c>
      <c r="C1362" s="12">
        <v>23.856999999999999</v>
      </c>
      <c r="D1362" s="12">
        <v>161.32499999999999</v>
      </c>
      <c r="E1362" s="12">
        <v>25.155000000000001</v>
      </c>
      <c r="F1362" s="12">
        <v>3.5720000000000001</v>
      </c>
      <c r="G1362" s="12">
        <v>2.7850000000000001</v>
      </c>
      <c r="H1362" s="12">
        <v>9.0069999999999997</v>
      </c>
      <c r="I1362" s="12">
        <v>3.3290000000000002</v>
      </c>
      <c r="J1362" s="12">
        <v>52.777000000000001</v>
      </c>
      <c r="K1362" s="12">
        <v>55.338999999999999</v>
      </c>
      <c r="L1362" s="12">
        <v>1.014</v>
      </c>
      <c r="M1362" s="12">
        <v>0.1</v>
      </c>
      <c r="N1362" s="12">
        <v>100</v>
      </c>
      <c r="O1362" s="12">
        <v>7.3999999999999996E-2</v>
      </c>
      <c r="P1362" s="12">
        <v>0.38800000000000001</v>
      </c>
      <c r="Q1362" s="12">
        <v>7.3999999999999996E-2</v>
      </c>
      <c r="R1362" s="12">
        <v>0.82699999999999996</v>
      </c>
      <c r="U1362" s="12" t="s">
        <v>22</v>
      </c>
      <c r="V1362" s="12" t="s">
        <v>97</v>
      </c>
      <c r="X1362" s="12" t="s">
        <v>40</v>
      </c>
      <c r="Y1362" s="12">
        <f t="shared" si="48"/>
        <v>0.14799999999999999</v>
      </c>
      <c r="Z1362" s="12">
        <f t="shared" si="50"/>
        <v>-0.314</v>
      </c>
    </row>
    <row r="1363" spans="1:26" x14ac:dyDescent="0.2">
      <c r="A1363" s="12" t="s">
        <v>109</v>
      </c>
      <c r="B1363" s="12">
        <v>3517</v>
      </c>
      <c r="C1363" s="12">
        <v>23.071000000000002</v>
      </c>
      <c r="D1363" s="12">
        <v>165.84399999999999</v>
      </c>
      <c r="E1363" s="12">
        <v>25.084</v>
      </c>
      <c r="F1363" s="12">
        <v>3.5880000000000001</v>
      </c>
      <c r="G1363" s="12">
        <v>2.758</v>
      </c>
      <c r="H1363" s="12">
        <v>8.8680000000000003</v>
      </c>
      <c r="I1363" s="12">
        <v>3.702</v>
      </c>
      <c r="J1363" s="12">
        <v>52.424999999999997</v>
      </c>
      <c r="K1363" s="12">
        <v>55.280999999999999</v>
      </c>
      <c r="L1363" s="12">
        <v>1.3560000000000001</v>
      </c>
      <c r="M1363" s="12">
        <v>0.1</v>
      </c>
      <c r="N1363" s="12">
        <v>100</v>
      </c>
      <c r="O1363" s="12">
        <v>6.8000000000000005E-2</v>
      </c>
      <c r="P1363" s="12">
        <v>0.505</v>
      </c>
      <c r="Q1363" s="12">
        <v>0.128</v>
      </c>
      <c r="R1363" s="12">
        <v>0.746</v>
      </c>
      <c r="U1363" s="12" t="s">
        <v>22</v>
      </c>
      <c r="V1363" s="12" t="s">
        <v>97</v>
      </c>
      <c r="X1363" s="12" t="s">
        <v>40</v>
      </c>
      <c r="Y1363" s="12">
        <f t="shared" si="48"/>
        <v>0.19600000000000001</v>
      </c>
      <c r="Z1363" s="12">
        <f t="shared" si="50"/>
        <v>-0.437</v>
      </c>
    </row>
    <row r="1364" spans="1:26" x14ac:dyDescent="0.2">
      <c r="A1364" s="12" t="s">
        <v>109</v>
      </c>
      <c r="B1364" s="12">
        <v>3517.125</v>
      </c>
      <c r="C1364" s="12">
        <v>21.818000000000001</v>
      </c>
      <c r="D1364" s="12">
        <v>168.76499999999999</v>
      </c>
      <c r="E1364" s="12">
        <v>25.030999999999999</v>
      </c>
      <c r="F1364" s="12">
        <v>3.5640000000000001</v>
      </c>
      <c r="G1364" s="12">
        <v>2.7440000000000002</v>
      </c>
      <c r="H1364" s="12">
        <v>8.4260000000000002</v>
      </c>
      <c r="I1364" s="12">
        <v>4.3209999999999997</v>
      </c>
      <c r="J1364" s="12">
        <v>54.667999999999999</v>
      </c>
      <c r="K1364" s="12">
        <v>58.072000000000003</v>
      </c>
      <c r="L1364" s="12">
        <v>1.403</v>
      </c>
      <c r="M1364" s="12">
        <v>0.1</v>
      </c>
      <c r="N1364" s="12">
        <v>100</v>
      </c>
      <c r="O1364" s="12">
        <v>5.8999999999999997E-2</v>
      </c>
      <c r="P1364" s="12">
        <v>0.69799999999999995</v>
      </c>
      <c r="Q1364" s="12">
        <v>0.16300000000000001</v>
      </c>
      <c r="R1364" s="12">
        <v>0.70399999999999996</v>
      </c>
      <c r="U1364" s="12" t="s">
        <v>22</v>
      </c>
      <c r="V1364" s="12" t="s">
        <v>97</v>
      </c>
      <c r="X1364" s="12" t="s">
        <v>40</v>
      </c>
      <c r="Y1364" s="12">
        <f t="shared" si="48"/>
        <v>0.222</v>
      </c>
      <c r="Z1364" s="12">
        <f t="shared" si="50"/>
        <v>-0.63900000000000001</v>
      </c>
    </row>
    <row r="1365" spans="1:26" x14ac:dyDescent="0.2">
      <c r="A1365" s="12" t="s">
        <v>109</v>
      </c>
      <c r="B1365" s="12">
        <v>3517.25</v>
      </c>
      <c r="C1365" s="12">
        <v>22.614000000000001</v>
      </c>
      <c r="D1365" s="12">
        <v>169.142</v>
      </c>
      <c r="E1365" s="12">
        <v>24.981000000000002</v>
      </c>
      <c r="F1365" s="12">
        <v>3.5449999999999999</v>
      </c>
      <c r="G1365" s="12">
        <v>2.7450000000000001</v>
      </c>
      <c r="H1365" s="12">
        <v>7.7190000000000003</v>
      </c>
      <c r="I1365" s="12">
        <v>4.92</v>
      </c>
      <c r="J1365" s="12">
        <v>61.354999999999997</v>
      </c>
      <c r="K1365" s="12">
        <v>65.682000000000002</v>
      </c>
      <c r="L1365" s="12">
        <v>1.097</v>
      </c>
      <c r="M1365" s="12">
        <v>0.1</v>
      </c>
      <c r="N1365" s="12">
        <v>100</v>
      </c>
      <c r="O1365" s="12">
        <v>6.5000000000000002E-2</v>
      </c>
      <c r="P1365" s="12">
        <v>0.88600000000000001</v>
      </c>
      <c r="Q1365" s="12">
        <v>0.16700000000000001</v>
      </c>
      <c r="R1365" s="12">
        <v>0.70699999999999996</v>
      </c>
      <c r="U1365" s="12" t="s">
        <v>22</v>
      </c>
      <c r="V1365" s="12" t="s">
        <v>97</v>
      </c>
      <c r="X1365" s="12" t="s">
        <v>40</v>
      </c>
      <c r="Y1365" s="12">
        <f t="shared" si="48"/>
        <v>0.23200000000000001</v>
      </c>
      <c r="Z1365" s="12">
        <f t="shared" si="50"/>
        <v>-0.82099999999999995</v>
      </c>
    </row>
    <row r="1366" spans="1:26" x14ac:dyDescent="0.2">
      <c r="A1366" s="12" t="s">
        <v>109</v>
      </c>
      <c r="B1366" s="12">
        <v>3517.375</v>
      </c>
      <c r="C1366" s="12">
        <v>28.408000000000001</v>
      </c>
      <c r="D1366" s="12">
        <v>167.94900000000001</v>
      </c>
      <c r="E1366" s="12">
        <v>24.933</v>
      </c>
      <c r="F1366" s="12">
        <v>3.649</v>
      </c>
      <c r="G1366" s="12">
        <v>2.7519999999999998</v>
      </c>
      <c r="H1366" s="12">
        <v>7.04</v>
      </c>
      <c r="I1366" s="12">
        <v>5.069</v>
      </c>
      <c r="J1366" s="12">
        <v>76.123000000000005</v>
      </c>
      <c r="K1366" s="12">
        <v>82.013000000000005</v>
      </c>
      <c r="L1366" s="12">
        <v>0.58699999999999997</v>
      </c>
      <c r="M1366" s="12">
        <v>0.1</v>
      </c>
      <c r="N1366" s="12">
        <v>100</v>
      </c>
      <c r="O1366" s="12">
        <v>0.106</v>
      </c>
      <c r="P1366" s="12">
        <v>0.93200000000000005</v>
      </c>
      <c r="Q1366" s="12">
        <v>0.153</v>
      </c>
      <c r="R1366" s="12">
        <v>0.72799999999999998</v>
      </c>
      <c r="U1366" s="12" t="s">
        <v>22</v>
      </c>
      <c r="V1366" s="12" t="s">
        <v>97</v>
      </c>
      <c r="X1366" s="12" t="s">
        <v>40</v>
      </c>
      <c r="Y1366" s="12">
        <f t="shared" si="48"/>
        <v>0.25900000000000001</v>
      </c>
      <c r="Z1366" s="12">
        <f t="shared" si="50"/>
        <v>-0.82600000000000007</v>
      </c>
    </row>
    <row r="1367" spans="1:26" x14ac:dyDescent="0.2">
      <c r="A1367" s="12" t="s">
        <v>109</v>
      </c>
      <c r="B1367" s="12">
        <v>3517.5</v>
      </c>
      <c r="C1367" s="12">
        <v>39.835000000000001</v>
      </c>
      <c r="D1367" s="12">
        <v>166.23500000000001</v>
      </c>
      <c r="E1367" s="12">
        <v>24.905000000000001</v>
      </c>
      <c r="F1367" s="12">
        <v>4.0599999999999996</v>
      </c>
      <c r="G1367" s="12">
        <v>2.754</v>
      </c>
      <c r="H1367" s="12">
        <v>6.7270000000000003</v>
      </c>
      <c r="I1367" s="12">
        <v>4.7320000000000002</v>
      </c>
      <c r="J1367" s="12">
        <v>103.119</v>
      </c>
      <c r="K1367" s="12">
        <v>111.367</v>
      </c>
      <c r="L1367" s="12">
        <v>0.224</v>
      </c>
      <c r="M1367" s="12">
        <v>0.1</v>
      </c>
      <c r="N1367" s="12">
        <v>100</v>
      </c>
      <c r="O1367" s="12">
        <v>0.188</v>
      </c>
      <c r="P1367" s="12">
        <v>0.82699999999999996</v>
      </c>
      <c r="Q1367" s="12">
        <v>0.13300000000000001</v>
      </c>
      <c r="R1367" s="12">
        <v>0.73399999999999999</v>
      </c>
      <c r="U1367" s="12" t="s">
        <v>22</v>
      </c>
      <c r="V1367" s="12" t="s">
        <v>97</v>
      </c>
      <c r="X1367" s="12" t="s">
        <v>40</v>
      </c>
      <c r="Y1367" s="12">
        <f t="shared" si="48"/>
        <v>0.32100000000000001</v>
      </c>
      <c r="Z1367" s="12">
        <f t="shared" si="50"/>
        <v>-0.63900000000000001</v>
      </c>
    </row>
    <row r="1368" spans="1:26" x14ac:dyDescent="0.2">
      <c r="A1368" s="12" t="s">
        <v>109</v>
      </c>
      <c r="B1368" s="12">
        <v>3518.625</v>
      </c>
      <c r="C1368" s="12">
        <v>66.173000000000002</v>
      </c>
      <c r="D1368" s="12">
        <v>173.18700000000001</v>
      </c>
      <c r="E1368" s="12">
        <v>24.291</v>
      </c>
      <c r="F1368" s="12">
        <v>4.9619999999999997</v>
      </c>
      <c r="G1368" s="12">
        <v>2.758</v>
      </c>
      <c r="H1368" s="12">
        <v>10.356999999999999</v>
      </c>
      <c r="I1368" s="12">
        <v>4.2210000000000001</v>
      </c>
      <c r="J1368" s="12">
        <v>176.953</v>
      </c>
      <c r="K1368" s="12">
        <v>187.43299999999999</v>
      </c>
      <c r="L1368" s="12">
        <v>0.51600000000000001</v>
      </c>
      <c r="M1368" s="12">
        <v>0.1</v>
      </c>
      <c r="N1368" s="12">
        <v>100</v>
      </c>
      <c r="O1368" s="12">
        <v>0.377</v>
      </c>
      <c r="P1368" s="12">
        <v>0.66700000000000004</v>
      </c>
      <c r="Q1368" s="12">
        <v>0.215</v>
      </c>
      <c r="R1368" s="12">
        <v>0.746</v>
      </c>
      <c r="U1368" s="12" t="s">
        <v>33</v>
      </c>
      <c r="V1368" s="12" t="s">
        <v>97</v>
      </c>
      <c r="X1368" s="12" t="s">
        <v>40</v>
      </c>
      <c r="Y1368" s="12">
        <f t="shared" si="48"/>
        <v>0.59199999999999997</v>
      </c>
      <c r="Z1368" s="12">
        <f t="shared" si="50"/>
        <v>-0.29000000000000004</v>
      </c>
    </row>
    <row r="1369" spans="1:26" x14ac:dyDescent="0.2">
      <c r="A1369" s="12" t="s">
        <v>109</v>
      </c>
      <c r="B1369" s="12">
        <v>3518.75</v>
      </c>
      <c r="C1369" s="12">
        <v>46.792999999999999</v>
      </c>
      <c r="D1369" s="12">
        <v>169.851</v>
      </c>
      <c r="E1369" s="12">
        <v>24.152999999999999</v>
      </c>
      <c r="F1369" s="12">
        <v>4.5679999999999996</v>
      </c>
      <c r="G1369" s="12">
        <v>2.7589999999999999</v>
      </c>
      <c r="H1369" s="12">
        <v>8.4429999999999996</v>
      </c>
      <c r="I1369" s="12">
        <v>4.6440000000000001</v>
      </c>
      <c r="J1369" s="12">
        <v>200.44399999999999</v>
      </c>
      <c r="K1369" s="12">
        <v>213.69</v>
      </c>
      <c r="L1369" s="12">
        <v>0.67500000000000004</v>
      </c>
      <c r="M1369" s="12">
        <v>0.1</v>
      </c>
      <c r="N1369" s="12">
        <v>100</v>
      </c>
      <c r="O1369" s="12">
        <v>0.23799999999999999</v>
      </c>
      <c r="P1369" s="12">
        <v>0.79900000000000004</v>
      </c>
      <c r="Q1369" s="12">
        <v>0.17499999999999999</v>
      </c>
      <c r="R1369" s="12">
        <v>0.749</v>
      </c>
      <c r="U1369" s="12" t="s">
        <v>33</v>
      </c>
      <c r="V1369" s="12" t="s">
        <v>97</v>
      </c>
      <c r="X1369" s="12" t="s">
        <v>40</v>
      </c>
      <c r="Y1369" s="12">
        <f t="shared" si="48"/>
        <v>0.41299999999999998</v>
      </c>
      <c r="Z1369" s="12">
        <f t="shared" si="50"/>
        <v>-0.56100000000000005</v>
      </c>
    </row>
    <row r="1370" spans="1:26" x14ac:dyDescent="0.2">
      <c r="A1370" s="12" t="s">
        <v>109</v>
      </c>
      <c r="B1370" s="12">
        <v>3512.125</v>
      </c>
      <c r="C1370" s="12">
        <v>51.046999999999997</v>
      </c>
      <c r="D1370" s="12">
        <v>162.798</v>
      </c>
      <c r="E1370" s="12">
        <v>25.577999999999999</v>
      </c>
      <c r="F1370" s="12">
        <v>5.1139999999999999</v>
      </c>
      <c r="G1370" s="12">
        <v>2.734</v>
      </c>
      <c r="H1370" s="12">
        <v>4.1420000000000003</v>
      </c>
      <c r="I1370" s="12">
        <v>5.0170000000000003</v>
      </c>
      <c r="J1370" s="12">
        <v>366.11500000000001</v>
      </c>
      <c r="K1370" s="12">
        <v>401.13200000000001</v>
      </c>
      <c r="L1370" s="12">
        <v>8.5999999999999993E-2</v>
      </c>
      <c r="M1370" s="12">
        <v>0.1</v>
      </c>
      <c r="N1370" s="12">
        <v>100</v>
      </c>
      <c r="O1370" s="12">
        <v>0.26900000000000002</v>
      </c>
      <c r="P1370" s="12">
        <v>0.91600000000000004</v>
      </c>
      <c r="Q1370" s="12">
        <v>9.1999999999999998E-2</v>
      </c>
      <c r="R1370" s="12">
        <v>0.67500000000000004</v>
      </c>
      <c r="U1370" s="12" t="s">
        <v>22</v>
      </c>
      <c r="V1370" s="12" t="s">
        <v>97</v>
      </c>
      <c r="X1370" s="12" t="s">
        <v>40</v>
      </c>
      <c r="Y1370" s="12">
        <f t="shared" si="48"/>
        <v>0.36099999999999999</v>
      </c>
      <c r="Z1370" s="12">
        <f t="shared" ref="Z1370:Z1373" si="51">O1370-P1370</f>
        <v>-0.64700000000000002</v>
      </c>
    </row>
    <row r="1371" spans="1:26" x14ac:dyDescent="0.2">
      <c r="A1371" s="12" t="s">
        <v>109</v>
      </c>
      <c r="B1371" s="12">
        <v>3512.25</v>
      </c>
      <c r="C1371" s="12">
        <v>33.156999999999996</v>
      </c>
      <c r="D1371" s="12">
        <v>160.512</v>
      </c>
      <c r="E1371" s="12">
        <v>25.686</v>
      </c>
      <c r="F1371" s="12">
        <v>4.5750000000000002</v>
      </c>
      <c r="G1371" s="12">
        <v>2.7250000000000001</v>
      </c>
      <c r="H1371" s="12">
        <v>3.0049999999999999</v>
      </c>
      <c r="I1371" s="12">
        <v>5.1319999999999997</v>
      </c>
      <c r="J1371" s="12">
        <v>666.61199999999997</v>
      </c>
      <c r="K1371" s="12">
        <v>729.02700000000004</v>
      </c>
      <c r="L1371" s="12">
        <v>9.0999999999999998E-2</v>
      </c>
      <c r="M1371" s="12">
        <v>0.1</v>
      </c>
      <c r="N1371" s="12">
        <v>100</v>
      </c>
      <c r="O1371" s="12">
        <v>0.14000000000000001</v>
      </c>
      <c r="P1371" s="12">
        <v>0.95199999999999996</v>
      </c>
      <c r="Q1371" s="12">
        <v>6.5000000000000002E-2</v>
      </c>
      <c r="R1371" s="12">
        <v>0.64800000000000002</v>
      </c>
      <c r="U1371" s="12" t="s">
        <v>22</v>
      </c>
      <c r="V1371" s="12" t="s">
        <v>97</v>
      </c>
      <c r="X1371" s="12" t="s">
        <v>40</v>
      </c>
      <c r="Y1371" s="12">
        <f t="shared" si="48"/>
        <v>0.20500000000000002</v>
      </c>
      <c r="Z1371" s="12">
        <f t="shared" si="51"/>
        <v>-0.81199999999999994</v>
      </c>
    </row>
    <row r="1372" spans="1:26" x14ac:dyDescent="0.2">
      <c r="A1372" s="12" t="s">
        <v>109</v>
      </c>
      <c r="B1372" s="12">
        <v>3512.375</v>
      </c>
      <c r="C1372" s="12">
        <v>22.962</v>
      </c>
      <c r="D1372" s="12">
        <v>160.13999999999999</v>
      </c>
      <c r="E1372" s="12">
        <v>25.774999999999999</v>
      </c>
      <c r="F1372" s="12">
        <v>4.2030000000000003</v>
      </c>
      <c r="G1372" s="12">
        <v>2.72</v>
      </c>
      <c r="H1372" s="12">
        <v>2.359</v>
      </c>
      <c r="I1372" s="12">
        <v>5.2859999999999996</v>
      </c>
      <c r="J1372" s="12">
        <v>992.779</v>
      </c>
      <c r="K1372" s="12">
        <v>1077.2629999999999</v>
      </c>
      <c r="L1372" s="12">
        <v>9.1999999999999998E-2</v>
      </c>
      <c r="M1372" s="12">
        <v>0.1</v>
      </c>
      <c r="N1372" s="12">
        <v>100</v>
      </c>
      <c r="O1372" s="12">
        <v>6.7000000000000004E-2</v>
      </c>
      <c r="P1372" s="12">
        <v>1</v>
      </c>
      <c r="Q1372" s="12">
        <v>0.06</v>
      </c>
      <c r="R1372" s="12">
        <v>0.63300000000000001</v>
      </c>
      <c r="U1372" s="12" t="s">
        <v>22</v>
      </c>
      <c r="V1372" s="12" t="s">
        <v>97</v>
      </c>
      <c r="X1372" s="12" t="s">
        <v>40</v>
      </c>
      <c r="Y1372" s="12">
        <f t="shared" si="48"/>
        <v>0.127</v>
      </c>
      <c r="Z1372" s="12">
        <f t="shared" si="51"/>
        <v>-0.93300000000000005</v>
      </c>
    </row>
    <row r="1373" spans="1:26" x14ac:dyDescent="0.2">
      <c r="A1373" s="12" t="s">
        <v>109</v>
      </c>
      <c r="B1373" s="12">
        <v>3512.5</v>
      </c>
      <c r="C1373" s="12">
        <v>19.103000000000002</v>
      </c>
      <c r="D1373" s="12">
        <v>160.53399999999999</v>
      </c>
      <c r="E1373" s="12">
        <v>25.888999999999999</v>
      </c>
      <c r="F1373" s="12">
        <v>4.1619999999999999</v>
      </c>
      <c r="G1373" s="12">
        <v>2.7250000000000001</v>
      </c>
      <c r="H1373" s="12">
        <v>2.141</v>
      </c>
      <c r="I1373" s="12">
        <v>5.0419999999999998</v>
      </c>
      <c r="J1373" s="12">
        <v>1167.9570000000001</v>
      </c>
      <c r="K1373" s="12">
        <v>1253.7439999999999</v>
      </c>
      <c r="L1373" s="12">
        <v>9.2999999999999999E-2</v>
      </c>
      <c r="M1373" s="12">
        <v>0.1</v>
      </c>
      <c r="N1373" s="12">
        <v>100</v>
      </c>
      <c r="O1373" s="12">
        <v>0.04</v>
      </c>
      <c r="P1373" s="12">
        <v>0.92400000000000004</v>
      </c>
      <c r="Q1373" s="12">
        <v>6.5000000000000002E-2</v>
      </c>
      <c r="R1373" s="12">
        <v>0.64800000000000002</v>
      </c>
      <c r="U1373" s="12" t="s">
        <v>22</v>
      </c>
      <c r="V1373" s="12" t="s">
        <v>97</v>
      </c>
      <c r="X1373" s="12" t="s">
        <v>40</v>
      </c>
      <c r="Y1373" s="12">
        <f t="shared" si="48"/>
        <v>0.10500000000000001</v>
      </c>
      <c r="Z1373" s="12">
        <f t="shared" si="51"/>
        <v>-0.88400000000000001</v>
      </c>
    </row>
    <row r="1374" spans="1:26" x14ac:dyDescent="0.2">
      <c r="A1374" s="12" t="s">
        <v>119</v>
      </c>
      <c r="B1374" s="12">
        <v>3635</v>
      </c>
      <c r="C1374" s="12">
        <v>30.032</v>
      </c>
      <c r="D1374" s="12">
        <v>159.905</v>
      </c>
      <c r="E1374" s="12">
        <v>21.998999999999999</v>
      </c>
      <c r="F1374" s="12">
        <v>2.0859999999999999</v>
      </c>
      <c r="G1374" s="12">
        <v>2.8570000000000002</v>
      </c>
      <c r="H1374" s="12">
        <v>6.8410000000000002</v>
      </c>
      <c r="I1374" s="12">
        <v>4.4189999999999996</v>
      </c>
      <c r="J1374" s="12">
        <v>19197.398000000001</v>
      </c>
      <c r="K1374" s="12">
        <v>15759.146000000001</v>
      </c>
      <c r="L1374" s="12">
        <v>0</v>
      </c>
      <c r="M1374" s="12">
        <v>0</v>
      </c>
      <c r="N1374" s="12">
        <v>100</v>
      </c>
      <c r="O1374" s="12">
        <v>9.9000000000000005E-2</v>
      </c>
      <c r="P1374" s="12">
        <v>0.9</v>
      </c>
      <c r="Q1374" s="12">
        <v>0.19900000000000001</v>
      </c>
      <c r="R1374" s="12">
        <v>0.86199999999999999</v>
      </c>
      <c r="U1374" s="12" t="s">
        <v>33</v>
      </c>
      <c r="V1374" s="12" t="s">
        <v>97</v>
      </c>
      <c r="X1374" s="12" t="s">
        <v>40</v>
      </c>
      <c r="Y1374" s="12">
        <f t="shared" si="48"/>
        <v>0.29800000000000004</v>
      </c>
      <c r="Z1374" s="12">
        <f t="shared" ref="Z1374:Z1384" si="52">O1374-P1374</f>
        <v>-0.80100000000000005</v>
      </c>
    </row>
    <row r="1375" spans="1:26" x14ac:dyDescent="0.2">
      <c r="A1375" s="12" t="s">
        <v>119</v>
      </c>
      <c r="B1375" s="12">
        <v>3635.125</v>
      </c>
      <c r="C1375" s="12">
        <v>29.027000000000001</v>
      </c>
      <c r="D1375" s="12">
        <v>160.85400000000001</v>
      </c>
      <c r="E1375" s="12">
        <v>21.951000000000001</v>
      </c>
      <c r="F1375" s="12">
        <v>1.829</v>
      </c>
      <c r="G1375" s="12">
        <v>2.87</v>
      </c>
      <c r="H1375" s="12">
        <v>5.6639999999999997</v>
      </c>
      <c r="I1375" s="12">
        <v>4.6020000000000003</v>
      </c>
      <c r="J1375" s="12">
        <v>20646.226999999999</v>
      </c>
      <c r="K1375" s="12">
        <v>17291.312999999998</v>
      </c>
      <c r="L1375" s="12">
        <v>0</v>
      </c>
      <c r="M1375" s="12">
        <v>0</v>
      </c>
      <c r="N1375" s="12">
        <v>100</v>
      </c>
      <c r="O1375" s="12">
        <v>9.0999999999999998E-2</v>
      </c>
      <c r="P1375" s="12">
        <v>0.95599999999999996</v>
      </c>
      <c r="Q1375" s="12">
        <v>0.219</v>
      </c>
      <c r="R1375" s="12">
        <v>0.89200000000000002</v>
      </c>
      <c r="U1375" s="12" t="s">
        <v>33</v>
      </c>
      <c r="V1375" s="12" t="s">
        <v>97</v>
      </c>
      <c r="X1375" s="12" t="s">
        <v>40</v>
      </c>
      <c r="Y1375" s="12">
        <f t="shared" si="48"/>
        <v>0.31</v>
      </c>
      <c r="Z1375" s="12">
        <f t="shared" si="52"/>
        <v>-0.86499999999999999</v>
      </c>
    </row>
    <row r="1376" spans="1:26" x14ac:dyDescent="0.2">
      <c r="A1376" s="12" t="s">
        <v>119</v>
      </c>
      <c r="B1376" s="12">
        <v>3635.25</v>
      </c>
      <c r="C1376" s="12">
        <v>27.818000000000001</v>
      </c>
      <c r="D1376" s="12">
        <v>164.185</v>
      </c>
      <c r="E1376" s="12">
        <v>21.957000000000001</v>
      </c>
      <c r="F1376" s="12">
        <v>1.5269999999999999</v>
      </c>
      <c r="G1376" s="12">
        <v>2.8860000000000001</v>
      </c>
      <c r="H1376" s="12">
        <v>4.6429999999999998</v>
      </c>
      <c r="I1376" s="12">
        <v>4.7050000000000001</v>
      </c>
      <c r="J1376" s="12">
        <v>14440.235000000001</v>
      </c>
      <c r="K1376" s="12">
        <v>12747.412</v>
      </c>
      <c r="L1376" s="12">
        <v>0</v>
      </c>
      <c r="M1376" s="12">
        <v>0</v>
      </c>
      <c r="N1376" s="12">
        <v>100</v>
      </c>
      <c r="O1376" s="12">
        <v>8.1000000000000003E-2</v>
      </c>
      <c r="P1376" s="12">
        <v>0.98799999999999999</v>
      </c>
      <c r="Q1376" s="12">
        <v>0.29299999999999998</v>
      </c>
      <c r="R1376" s="12">
        <v>0.92900000000000005</v>
      </c>
      <c r="U1376" s="12" t="s">
        <v>33</v>
      </c>
      <c r="V1376" s="12" t="s">
        <v>97</v>
      </c>
      <c r="X1376" s="12" t="s">
        <v>40</v>
      </c>
      <c r="Y1376" s="12">
        <f t="shared" si="48"/>
        <v>0.374</v>
      </c>
      <c r="Z1376" s="12">
        <f t="shared" si="52"/>
        <v>-0.90700000000000003</v>
      </c>
    </row>
    <row r="1377" spans="1:26" x14ac:dyDescent="0.2">
      <c r="A1377" s="12" t="s">
        <v>119</v>
      </c>
      <c r="B1377" s="12">
        <v>3635.375</v>
      </c>
      <c r="C1377" s="12">
        <v>26.161000000000001</v>
      </c>
      <c r="D1377" s="12">
        <v>166.809</v>
      </c>
      <c r="E1377" s="12">
        <v>22.016999999999999</v>
      </c>
      <c r="F1377" s="12">
        <v>1.4219999999999999</v>
      </c>
      <c r="G1377" s="12">
        <v>2.9039999999999999</v>
      </c>
      <c r="H1377" s="12">
        <v>3.8380000000000001</v>
      </c>
      <c r="I1377" s="12">
        <v>4.7450000000000001</v>
      </c>
      <c r="J1377" s="12">
        <v>7673.076</v>
      </c>
      <c r="K1377" s="12">
        <v>7449.6509999999998</v>
      </c>
      <c r="L1377" s="12">
        <v>0</v>
      </c>
      <c r="M1377" s="12">
        <v>0</v>
      </c>
      <c r="N1377" s="12">
        <v>100</v>
      </c>
      <c r="O1377" s="12">
        <v>6.7000000000000004E-2</v>
      </c>
      <c r="P1377" s="12">
        <v>1</v>
      </c>
      <c r="Q1377" s="12">
        <v>0.35</v>
      </c>
      <c r="R1377" s="12">
        <v>0.97</v>
      </c>
      <c r="U1377" s="12" t="s">
        <v>33</v>
      </c>
      <c r="V1377" s="12" t="s">
        <v>97</v>
      </c>
      <c r="X1377" s="12" t="s">
        <v>40</v>
      </c>
      <c r="Y1377" s="12">
        <f t="shared" si="48"/>
        <v>0.41699999999999998</v>
      </c>
      <c r="Z1377" s="12">
        <f t="shared" si="52"/>
        <v>-0.93300000000000005</v>
      </c>
    </row>
    <row r="1378" spans="1:26" x14ac:dyDescent="0.2">
      <c r="A1378" s="12" t="s">
        <v>119</v>
      </c>
      <c r="B1378" s="12">
        <v>3635.5</v>
      </c>
      <c r="C1378" s="12">
        <v>22.774999999999999</v>
      </c>
      <c r="D1378" s="12">
        <v>167.042</v>
      </c>
      <c r="E1378" s="12">
        <v>22.038</v>
      </c>
      <c r="F1378" s="12">
        <v>1.649</v>
      </c>
      <c r="G1378" s="12">
        <v>2.9169999999999998</v>
      </c>
      <c r="H1378" s="12">
        <v>3.1579999999999999</v>
      </c>
      <c r="I1378" s="12">
        <v>4.7450000000000001</v>
      </c>
      <c r="J1378" s="12">
        <v>4701.4409999999998</v>
      </c>
      <c r="K1378" s="12">
        <v>4885.0010000000002</v>
      </c>
      <c r="L1378" s="12">
        <v>0</v>
      </c>
      <c r="M1378" s="12">
        <v>0</v>
      </c>
      <c r="N1378" s="12">
        <v>100</v>
      </c>
      <c r="O1378" s="12">
        <v>0.04</v>
      </c>
      <c r="P1378" s="12">
        <v>1</v>
      </c>
      <c r="Q1378" s="12">
        <v>0.35499999999999998</v>
      </c>
      <c r="R1378" s="12">
        <v>1</v>
      </c>
      <c r="U1378" s="12" t="s">
        <v>33</v>
      </c>
      <c r="V1378" s="12" t="s">
        <v>97</v>
      </c>
      <c r="X1378" s="12" t="s">
        <v>40</v>
      </c>
      <c r="Y1378" s="12">
        <f t="shared" si="48"/>
        <v>0.39499999999999996</v>
      </c>
      <c r="Z1378" s="12">
        <f t="shared" si="52"/>
        <v>-0.96</v>
      </c>
    </row>
    <row r="1379" spans="1:26" x14ac:dyDescent="0.2">
      <c r="A1379" s="12" t="s">
        <v>119</v>
      </c>
      <c r="B1379" s="12">
        <v>3635.625</v>
      </c>
      <c r="C1379" s="12">
        <v>21.385000000000002</v>
      </c>
      <c r="D1379" s="12">
        <v>165.886</v>
      </c>
      <c r="E1379" s="12">
        <v>22.006</v>
      </c>
      <c r="F1379" s="12">
        <v>2.0659999999999998</v>
      </c>
      <c r="G1379" s="12">
        <v>2.915</v>
      </c>
      <c r="H1379" s="12">
        <v>2.6030000000000002</v>
      </c>
      <c r="I1379" s="12">
        <v>4.7279999999999998</v>
      </c>
      <c r="J1379" s="12">
        <v>4332.1710000000003</v>
      </c>
      <c r="K1379" s="12">
        <v>4400.76</v>
      </c>
      <c r="L1379" s="12">
        <v>0</v>
      </c>
      <c r="M1379" s="12">
        <v>0</v>
      </c>
      <c r="N1379" s="12">
        <v>100</v>
      </c>
      <c r="O1379" s="12">
        <v>2.8000000000000001E-2</v>
      </c>
      <c r="P1379" s="12">
        <v>0.995</v>
      </c>
      <c r="Q1379" s="12">
        <v>0.33</v>
      </c>
      <c r="R1379" s="12">
        <v>0.995</v>
      </c>
      <c r="U1379" s="12" t="s">
        <v>33</v>
      </c>
      <c r="V1379" s="12" t="s">
        <v>97</v>
      </c>
      <c r="X1379" s="12" t="s">
        <v>40</v>
      </c>
      <c r="Y1379" s="12">
        <f t="shared" si="48"/>
        <v>0.35800000000000004</v>
      </c>
      <c r="Z1379" s="12">
        <f t="shared" si="52"/>
        <v>-0.96699999999999997</v>
      </c>
    </row>
    <row r="1380" spans="1:26" x14ac:dyDescent="0.2">
      <c r="A1380" s="12" t="s">
        <v>119</v>
      </c>
      <c r="B1380" s="12">
        <v>3635.75</v>
      </c>
      <c r="C1380" s="12">
        <v>20.568999999999999</v>
      </c>
      <c r="D1380" s="12">
        <v>165.49799999999999</v>
      </c>
      <c r="E1380" s="12">
        <v>22.033000000000001</v>
      </c>
      <c r="F1380" s="12">
        <v>2.383</v>
      </c>
      <c r="G1380" s="12">
        <v>2.9049999999999998</v>
      </c>
      <c r="H1380" s="12">
        <v>2.1960000000000002</v>
      </c>
      <c r="I1380" s="12">
        <v>4.7069999999999999</v>
      </c>
      <c r="J1380" s="12">
        <v>4448.7749999999996</v>
      </c>
      <c r="K1380" s="12">
        <v>4294.2610000000004</v>
      </c>
      <c r="L1380" s="12">
        <v>0</v>
      </c>
      <c r="M1380" s="12">
        <v>0</v>
      </c>
      <c r="N1380" s="12">
        <v>100</v>
      </c>
      <c r="O1380" s="12">
        <v>2.1000000000000001E-2</v>
      </c>
      <c r="P1380" s="12">
        <v>0.98799999999999999</v>
      </c>
      <c r="Q1380" s="12">
        <v>0.32100000000000001</v>
      </c>
      <c r="R1380" s="12">
        <v>0.97199999999999998</v>
      </c>
      <c r="U1380" s="12" t="s">
        <v>33</v>
      </c>
      <c r="V1380" s="12" t="s">
        <v>97</v>
      </c>
      <c r="X1380" s="12" t="s">
        <v>40</v>
      </c>
      <c r="Y1380" s="12">
        <f t="shared" si="48"/>
        <v>0.34200000000000003</v>
      </c>
      <c r="Z1380" s="12">
        <f t="shared" si="52"/>
        <v>-0.96699999999999997</v>
      </c>
    </row>
    <row r="1381" spans="1:26" x14ac:dyDescent="0.2">
      <c r="A1381" s="12" t="s">
        <v>119</v>
      </c>
      <c r="B1381" s="12">
        <v>3635.875</v>
      </c>
      <c r="C1381" s="12">
        <v>20.254999999999999</v>
      </c>
      <c r="D1381" s="12">
        <v>166.565</v>
      </c>
      <c r="E1381" s="12">
        <v>22.117999999999999</v>
      </c>
      <c r="F1381" s="12">
        <v>2.5289999999999999</v>
      </c>
      <c r="G1381" s="12">
        <v>2.8959999999999999</v>
      </c>
      <c r="H1381" s="12">
        <v>1.954</v>
      </c>
      <c r="I1381" s="12">
        <v>4.6749999999999998</v>
      </c>
      <c r="J1381" s="12">
        <v>4555.75</v>
      </c>
      <c r="K1381" s="12">
        <v>4086.2809999999999</v>
      </c>
      <c r="L1381" s="12">
        <v>0</v>
      </c>
      <c r="M1381" s="12">
        <v>0</v>
      </c>
      <c r="N1381" s="12">
        <v>100</v>
      </c>
      <c r="O1381" s="12">
        <v>1.9E-2</v>
      </c>
      <c r="P1381" s="12">
        <v>0.97899999999999998</v>
      </c>
      <c r="Q1381" s="12">
        <v>0.34499999999999997</v>
      </c>
      <c r="R1381" s="12">
        <v>0.95199999999999996</v>
      </c>
      <c r="U1381" s="12" t="s">
        <v>33</v>
      </c>
      <c r="V1381" s="12" t="s">
        <v>97</v>
      </c>
      <c r="X1381" s="12" t="s">
        <v>40</v>
      </c>
      <c r="Y1381" s="12">
        <f t="shared" si="48"/>
        <v>0.36399999999999999</v>
      </c>
      <c r="Z1381" s="12">
        <f t="shared" si="52"/>
        <v>-0.96</v>
      </c>
    </row>
    <row r="1382" spans="1:26" x14ac:dyDescent="0.2">
      <c r="A1382" s="12" t="s">
        <v>119</v>
      </c>
      <c r="B1382" s="12">
        <v>3636</v>
      </c>
      <c r="C1382" s="12">
        <v>21.050999999999998</v>
      </c>
      <c r="D1382" s="12">
        <v>168.32599999999999</v>
      </c>
      <c r="E1382" s="12">
        <v>22.363</v>
      </c>
      <c r="F1382" s="12">
        <v>2.42</v>
      </c>
      <c r="G1382" s="12">
        <v>2.89</v>
      </c>
      <c r="H1382" s="12">
        <v>1.8260000000000001</v>
      </c>
      <c r="I1382" s="12">
        <v>4.6150000000000002</v>
      </c>
      <c r="J1382" s="12">
        <v>4452.6379999999999</v>
      </c>
      <c r="K1382" s="12">
        <v>3637.192</v>
      </c>
      <c r="L1382" s="12">
        <v>0</v>
      </c>
      <c r="M1382" s="12">
        <v>0</v>
      </c>
      <c r="N1382" s="12">
        <v>100</v>
      </c>
      <c r="O1382" s="12">
        <v>2.5000000000000001E-2</v>
      </c>
      <c r="P1382" s="12">
        <v>0.96</v>
      </c>
      <c r="Q1382" s="12">
        <v>0.38300000000000001</v>
      </c>
      <c r="R1382" s="12">
        <v>0.93799999999999994</v>
      </c>
      <c r="U1382" s="12" t="s">
        <v>33</v>
      </c>
      <c r="V1382" s="12" t="s">
        <v>97</v>
      </c>
      <c r="X1382" s="12" t="s">
        <v>40</v>
      </c>
      <c r="Y1382" s="12">
        <f t="shared" si="48"/>
        <v>0.40800000000000003</v>
      </c>
      <c r="Z1382" s="12">
        <f t="shared" si="52"/>
        <v>-0.93499999999999994</v>
      </c>
    </row>
    <row r="1383" spans="1:26" x14ac:dyDescent="0.2">
      <c r="A1383" s="12" t="s">
        <v>119</v>
      </c>
      <c r="B1383" s="12">
        <v>3636.125</v>
      </c>
      <c r="C1383" s="12">
        <v>22.571000000000002</v>
      </c>
      <c r="D1383" s="12">
        <v>168.928</v>
      </c>
      <c r="E1383" s="12">
        <v>22.661000000000001</v>
      </c>
      <c r="F1383" s="12">
        <v>2.2130000000000001</v>
      </c>
      <c r="G1383" s="12">
        <v>2.879</v>
      </c>
      <c r="H1383" s="12">
        <v>1.8</v>
      </c>
      <c r="I1383" s="12">
        <v>4.5019999999999998</v>
      </c>
      <c r="J1383" s="12">
        <v>4183.83</v>
      </c>
      <c r="K1383" s="12">
        <v>3276.4740000000002</v>
      </c>
      <c r="L1383" s="12">
        <v>0</v>
      </c>
      <c r="M1383" s="12">
        <v>0</v>
      </c>
      <c r="N1383" s="12">
        <v>100</v>
      </c>
      <c r="O1383" s="12">
        <v>3.7999999999999999E-2</v>
      </c>
      <c r="P1383" s="12">
        <v>0.92600000000000005</v>
      </c>
      <c r="Q1383" s="12">
        <v>0.39700000000000002</v>
      </c>
      <c r="R1383" s="12">
        <v>0.91200000000000003</v>
      </c>
      <c r="U1383" s="12" t="s">
        <v>33</v>
      </c>
      <c r="V1383" s="12" t="s">
        <v>97</v>
      </c>
      <c r="X1383" s="12" t="s">
        <v>40</v>
      </c>
      <c r="Y1383" s="12">
        <f t="shared" si="48"/>
        <v>0.435</v>
      </c>
      <c r="Z1383" s="12">
        <f t="shared" si="52"/>
        <v>-0.88800000000000001</v>
      </c>
    </row>
    <row r="1384" spans="1:26" x14ac:dyDescent="0.2">
      <c r="A1384" s="12" t="s">
        <v>119</v>
      </c>
      <c r="B1384" s="12">
        <v>3636.25</v>
      </c>
      <c r="C1384" s="12">
        <v>24.082000000000001</v>
      </c>
      <c r="D1384" s="12">
        <v>167.893</v>
      </c>
      <c r="E1384" s="12">
        <v>22.637</v>
      </c>
      <c r="F1384" s="12">
        <v>2.1800000000000002</v>
      </c>
      <c r="G1384" s="12">
        <v>2.8759999999999999</v>
      </c>
      <c r="H1384" s="12">
        <v>1.84</v>
      </c>
      <c r="I1384" s="12">
        <v>4.3419999999999996</v>
      </c>
      <c r="J1384" s="12">
        <v>4573.3620000000001</v>
      </c>
      <c r="K1384" s="12">
        <v>4015.4140000000002</v>
      </c>
      <c r="L1384" s="12">
        <v>0</v>
      </c>
      <c r="M1384" s="12">
        <v>0</v>
      </c>
      <c r="N1384" s="12">
        <v>100</v>
      </c>
      <c r="O1384" s="12">
        <v>0.05</v>
      </c>
      <c r="P1384" s="12">
        <v>0.877</v>
      </c>
      <c r="Q1384" s="12">
        <v>0.374</v>
      </c>
      <c r="R1384" s="12">
        <v>0.90600000000000003</v>
      </c>
      <c r="U1384" s="12" t="s">
        <v>33</v>
      </c>
      <c r="V1384" s="12" t="s">
        <v>97</v>
      </c>
      <c r="X1384" s="12" t="s">
        <v>40</v>
      </c>
      <c r="Y1384" s="12">
        <f t="shared" si="48"/>
        <v>0.42399999999999999</v>
      </c>
      <c r="Z1384" s="12">
        <f t="shared" si="52"/>
        <v>-0.82699999999999996</v>
      </c>
    </row>
    <row r="1385" spans="1:26" x14ac:dyDescent="0.2">
      <c r="A1385" s="12" t="s">
        <v>120</v>
      </c>
      <c r="B1385" s="12">
        <v>3712.75</v>
      </c>
      <c r="C1385" s="12">
        <v>26.271000000000001</v>
      </c>
      <c r="D1385" s="12">
        <v>156.02600000000001</v>
      </c>
      <c r="E1385" s="12">
        <v>22.504999999999999</v>
      </c>
      <c r="F1385" s="12">
        <v>1.331</v>
      </c>
      <c r="G1385" s="12">
        <v>2.8519999999999999</v>
      </c>
      <c r="H1385" s="12">
        <v>1.9950000000000001</v>
      </c>
      <c r="I1385" s="12">
        <v>4.1349999999999998</v>
      </c>
      <c r="J1385" s="12">
        <v>978.93499999999995</v>
      </c>
      <c r="K1385" s="12">
        <v>1053.1769999999999</v>
      </c>
      <c r="L1385" s="12">
        <v>0</v>
      </c>
      <c r="M1385" s="12">
        <v>0</v>
      </c>
      <c r="N1385" s="12">
        <v>100</v>
      </c>
      <c r="O1385" s="12">
        <v>9.6000000000000002E-2</v>
      </c>
      <c r="P1385" s="12">
        <v>0.71199999999999997</v>
      </c>
      <c r="Q1385" s="12">
        <v>0.109</v>
      </c>
      <c r="R1385" s="12">
        <v>0.83599999999999997</v>
      </c>
      <c r="U1385" s="12" t="s">
        <v>33</v>
      </c>
      <c r="V1385" s="12" t="s">
        <v>97</v>
      </c>
      <c r="X1385" s="12" t="s">
        <v>40</v>
      </c>
      <c r="Y1385" s="12">
        <f t="shared" si="48"/>
        <v>0.20500000000000002</v>
      </c>
      <c r="Z1385" s="12">
        <f t="shared" ref="Z1385:Z1398" si="53">O1385-P1385</f>
        <v>-0.61599999999999999</v>
      </c>
    </row>
    <row r="1386" spans="1:26" x14ac:dyDescent="0.2">
      <c r="A1386" s="12" t="s">
        <v>120</v>
      </c>
      <c r="B1386" s="12">
        <v>3712.875</v>
      </c>
      <c r="C1386" s="12">
        <v>23.178000000000001</v>
      </c>
      <c r="D1386" s="12">
        <v>158.422</v>
      </c>
      <c r="E1386" s="12">
        <v>22.552</v>
      </c>
      <c r="F1386" s="12">
        <v>1.2310000000000001</v>
      </c>
      <c r="G1386" s="12">
        <v>2.879</v>
      </c>
      <c r="H1386" s="12">
        <v>1.6990000000000001</v>
      </c>
      <c r="I1386" s="12">
        <v>4.2460000000000004</v>
      </c>
      <c r="J1386" s="12">
        <v>1032.559</v>
      </c>
      <c r="K1386" s="12">
        <v>1091.2270000000001</v>
      </c>
      <c r="L1386" s="12">
        <v>0</v>
      </c>
      <c r="M1386" s="12">
        <v>0</v>
      </c>
      <c r="N1386" s="12">
        <v>100</v>
      </c>
      <c r="O1386" s="12">
        <v>7.0000000000000007E-2</v>
      </c>
      <c r="P1386" s="12">
        <v>0.77300000000000002</v>
      </c>
      <c r="Q1386" s="12">
        <v>0.14199999999999999</v>
      </c>
      <c r="R1386" s="12">
        <v>0.90300000000000002</v>
      </c>
      <c r="U1386" s="12" t="s">
        <v>33</v>
      </c>
      <c r="V1386" s="12" t="s">
        <v>97</v>
      </c>
      <c r="X1386" s="12" t="s">
        <v>40</v>
      </c>
      <c r="Y1386" s="12">
        <f t="shared" si="48"/>
        <v>0.21199999999999999</v>
      </c>
      <c r="Z1386" s="12">
        <f t="shared" si="53"/>
        <v>-0.70300000000000007</v>
      </c>
    </row>
    <row r="1387" spans="1:26" x14ac:dyDescent="0.2">
      <c r="A1387" s="12" t="s">
        <v>120</v>
      </c>
      <c r="B1387" s="12">
        <v>3713</v>
      </c>
      <c r="C1387" s="12">
        <v>19.219000000000001</v>
      </c>
      <c r="D1387" s="12">
        <v>160.38999999999999</v>
      </c>
      <c r="E1387" s="12">
        <v>22.545999999999999</v>
      </c>
      <c r="F1387" s="12">
        <v>1.1679999999999999</v>
      </c>
      <c r="G1387" s="12">
        <v>2.9039999999999999</v>
      </c>
      <c r="H1387" s="12">
        <v>1.5549999999999999</v>
      </c>
      <c r="I1387" s="12">
        <v>4.3520000000000003</v>
      </c>
      <c r="J1387" s="12">
        <v>1153.2180000000001</v>
      </c>
      <c r="K1387" s="12">
        <v>1132.2070000000001</v>
      </c>
      <c r="L1387" s="12">
        <v>0</v>
      </c>
      <c r="M1387" s="12">
        <v>0</v>
      </c>
      <c r="N1387" s="12">
        <v>100</v>
      </c>
      <c r="O1387" s="12">
        <v>3.5999999999999997E-2</v>
      </c>
      <c r="P1387" s="12">
        <v>0.83</v>
      </c>
      <c r="Q1387" s="12">
        <v>0.16900000000000001</v>
      </c>
      <c r="R1387" s="12">
        <v>0.96499999999999997</v>
      </c>
      <c r="U1387" s="12" t="s">
        <v>33</v>
      </c>
      <c r="V1387" s="12" t="s">
        <v>97</v>
      </c>
      <c r="X1387" s="12" t="s">
        <v>40</v>
      </c>
      <c r="Y1387" s="12">
        <f t="shared" si="48"/>
        <v>0.20500000000000002</v>
      </c>
      <c r="Z1387" s="12">
        <f t="shared" si="53"/>
        <v>-0.79399999999999993</v>
      </c>
    </row>
    <row r="1388" spans="1:26" x14ac:dyDescent="0.2">
      <c r="A1388" s="12" t="s">
        <v>120</v>
      </c>
      <c r="B1388" s="12">
        <v>3713.125</v>
      </c>
      <c r="C1388" s="12">
        <v>20.303000000000001</v>
      </c>
      <c r="D1388" s="12">
        <v>161.86199999999999</v>
      </c>
      <c r="E1388" s="12">
        <v>22.446999999999999</v>
      </c>
      <c r="F1388" s="12">
        <v>1.2829999999999999</v>
      </c>
      <c r="G1388" s="12">
        <v>2.9159999999999999</v>
      </c>
      <c r="H1388" s="12">
        <v>1.5640000000000001</v>
      </c>
      <c r="I1388" s="12">
        <v>4.3970000000000002</v>
      </c>
      <c r="J1388" s="12">
        <v>978.49699999999996</v>
      </c>
      <c r="K1388" s="12">
        <v>927.81</v>
      </c>
      <c r="L1388" s="12">
        <v>0</v>
      </c>
      <c r="M1388" s="12">
        <v>0</v>
      </c>
      <c r="N1388" s="12">
        <v>100</v>
      </c>
      <c r="O1388" s="12">
        <v>4.4999999999999998E-2</v>
      </c>
      <c r="P1388" s="12">
        <v>0.85499999999999998</v>
      </c>
      <c r="Q1388" s="12">
        <v>0.19</v>
      </c>
      <c r="R1388" s="12">
        <v>0.995</v>
      </c>
      <c r="U1388" s="12" t="s">
        <v>33</v>
      </c>
      <c r="V1388" s="12" t="s">
        <v>97</v>
      </c>
      <c r="X1388" s="12" t="s">
        <v>40</v>
      </c>
      <c r="Y1388" s="12">
        <f t="shared" si="48"/>
        <v>0.23499999999999999</v>
      </c>
      <c r="Z1388" s="12">
        <f t="shared" si="53"/>
        <v>-0.80999999999999994</v>
      </c>
    </row>
    <row r="1389" spans="1:26" x14ac:dyDescent="0.2">
      <c r="A1389" s="12" t="s">
        <v>120</v>
      </c>
      <c r="B1389" s="12">
        <v>3713.25</v>
      </c>
      <c r="C1389" s="12">
        <v>25.193999999999999</v>
      </c>
      <c r="D1389" s="12">
        <v>162.73699999999999</v>
      </c>
      <c r="E1389" s="12">
        <v>22.33</v>
      </c>
      <c r="F1389" s="12">
        <v>1.339</v>
      </c>
      <c r="G1389" s="12">
        <v>2.9180000000000001</v>
      </c>
      <c r="H1389" s="12">
        <v>1.6579999999999999</v>
      </c>
      <c r="I1389" s="12">
        <v>4.3630000000000004</v>
      </c>
      <c r="J1389" s="12">
        <v>904.10599999999999</v>
      </c>
      <c r="K1389" s="12">
        <v>856.03899999999999</v>
      </c>
      <c r="L1389" s="12">
        <v>0</v>
      </c>
      <c r="M1389" s="12">
        <v>0</v>
      </c>
      <c r="N1389" s="12">
        <v>100</v>
      </c>
      <c r="O1389" s="12">
        <v>8.6999999999999994E-2</v>
      </c>
      <c r="P1389" s="12">
        <v>0.83599999999999997</v>
      </c>
      <c r="Q1389" s="12">
        <v>0.20200000000000001</v>
      </c>
      <c r="R1389" s="12">
        <v>1</v>
      </c>
      <c r="U1389" s="12" t="s">
        <v>33</v>
      </c>
      <c r="V1389" s="12" t="s">
        <v>97</v>
      </c>
      <c r="X1389" s="12" t="s">
        <v>40</v>
      </c>
      <c r="Y1389" s="12">
        <f t="shared" si="48"/>
        <v>0.28900000000000003</v>
      </c>
      <c r="Z1389" s="12">
        <f t="shared" si="53"/>
        <v>-0.749</v>
      </c>
    </row>
    <row r="1390" spans="1:26" x14ac:dyDescent="0.2">
      <c r="A1390" s="12" t="s">
        <v>120</v>
      </c>
      <c r="B1390" s="12">
        <v>3713.375</v>
      </c>
      <c r="C1390" s="12">
        <v>30.585000000000001</v>
      </c>
      <c r="D1390" s="12">
        <v>162.83699999999999</v>
      </c>
      <c r="E1390" s="12">
        <v>22.279</v>
      </c>
      <c r="F1390" s="12">
        <v>1.1990000000000001</v>
      </c>
      <c r="G1390" s="12">
        <v>2.9129999999999998</v>
      </c>
      <c r="H1390" s="12">
        <v>1.716</v>
      </c>
      <c r="I1390" s="12">
        <v>4.274</v>
      </c>
      <c r="J1390" s="12">
        <v>868.89800000000002</v>
      </c>
      <c r="K1390" s="12">
        <v>817.173</v>
      </c>
      <c r="L1390" s="12">
        <v>0</v>
      </c>
      <c r="M1390" s="12">
        <v>0</v>
      </c>
      <c r="N1390" s="12">
        <v>100</v>
      </c>
      <c r="O1390" s="12">
        <v>0.13200000000000001</v>
      </c>
      <c r="P1390" s="12">
        <v>0.78800000000000003</v>
      </c>
      <c r="Q1390" s="12">
        <v>0.20300000000000001</v>
      </c>
      <c r="R1390" s="12">
        <v>0.98799999999999999</v>
      </c>
      <c r="U1390" s="12" t="s">
        <v>33</v>
      </c>
      <c r="V1390" s="12" t="s">
        <v>97</v>
      </c>
      <c r="X1390" s="12" t="s">
        <v>40</v>
      </c>
      <c r="Y1390" s="12">
        <f t="shared" si="48"/>
        <v>0.33500000000000002</v>
      </c>
      <c r="Z1390" s="12">
        <f t="shared" si="53"/>
        <v>-0.65600000000000003</v>
      </c>
    </row>
    <row r="1391" spans="1:26" x14ac:dyDescent="0.2">
      <c r="A1391" s="12" t="s">
        <v>120</v>
      </c>
      <c r="B1391" s="12">
        <v>3713.5</v>
      </c>
      <c r="C1391" s="12">
        <v>33.877000000000002</v>
      </c>
      <c r="D1391" s="12">
        <v>162.136</v>
      </c>
      <c r="E1391" s="12">
        <v>22.300999999999998</v>
      </c>
      <c r="F1391" s="12">
        <v>1.0529999999999999</v>
      </c>
      <c r="G1391" s="12">
        <v>2.9079999999999999</v>
      </c>
      <c r="H1391" s="12">
        <v>1.6950000000000001</v>
      </c>
      <c r="I1391" s="12">
        <v>4.2030000000000003</v>
      </c>
      <c r="J1391" s="12">
        <v>793.15099999999995</v>
      </c>
      <c r="K1391" s="12">
        <v>741.11500000000001</v>
      </c>
      <c r="L1391" s="12">
        <v>0</v>
      </c>
      <c r="M1391" s="12">
        <v>0</v>
      </c>
      <c r="N1391" s="12">
        <v>100</v>
      </c>
      <c r="O1391" s="12">
        <v>0.16</v>
      </c>
      <c r="P1391" s="12">
        <v>0.749</v>
      </c>
      <c r="Q1391" s="12">
        <v>0.19400000000000001</v>
      </c>
      <c r="R1391" s="12">
        <v>0.97499999999999998</v>
      </c>
      <c r="U1391" s="12" t="s">
        <v>33</v>
      </c>
      <c r="V1391" s="12" t="s">
        <v>97</v>
      </c>
      <c r="X1391" s="12" t="s">
        <v>40</v>
      </c>
      <c r="Y1391" s="12">
        <f t="shared" si="48"/>
        <v>0.35399999999999998</v>
      </c>
      <c r="Z1391" s="12">
        <f t="shared" si="53"/>
        <v>-0.58899999999999997</v>
      </c>
    </row>
    <row r="1392" spans="1:26" x14ac:dyDescent="0.2">
      <c r="A1392" s="12" t="s">
        <v>120</v>
      </c>
      <c r="B1392" s="12">
        <v>3713.625</v>
      </c>
      <c r="C1392" s="12">
        <v>31.81</v>
      </c>
      <c r="D1392" s="12">
        <v>160.92099999999999</v>
      </c>
      <c r="E1392" s="12">
        <v>22.466000000000001</v>
      </c>
      <c r="F1392" s="12">
        <v>1.0569999999999999</v>
      </c>
      <c r="G1392" s="12">
        <v>2.9039999999999999</v>
      </c>
      <c r="H1392" s="12">
        <v>1.6919999999999999</v>
      </c>
      <c r="I1392" s="12">
        <v>4.1970000000000001</v>
      </c>
      <c r="J1392" s="12">
        <v>811.28700000000003</v>
      </c>
      <c r="K1392" s="12">
        <v>769.197</v>
      </c>
      <c r="L1392" s="12">
        <v>0</v>
      </c>
      <c r="M1392" s="12">
        <v>0</v>
      </c>
      <c r="N1392" s="12">
        <v>100</v>
      </c>
      <c r="O1392" s="12">
        <v>0.14199999999999999</v>
      </c>
      <c r="P1392" s="12">
        <v>0.746</v>
      </c>
      <c r="Q1392" s="12">
        <v>0.17699999999999999</v>
      </c>
      <c r="R1392" s="12">
        <v>0.96499999999999997</v>
      </c>
      <c r="U1392" s="12" t="s">
        <v>33</v>
      </c>
      <c r="V1392" s="12" t="s">
        <v>97</v>
      </c>
      <c r="X1392" s="12" t="s">
        <v>40</v>
      </c>
      <c r="Y1392" s="12">
        <f t="shared" si="48"/>
        <v>0.31899999999999995</v>
      </c>
      <c r="Z1392" s="12">
        <f t="shared" si="53"/>
        <v>-0.60399999999999998</v>
      </c>
    </row>
    <row r="1393" spans="1:26" x14ac:dyDescent="0.2">
      <c r="A1393" s="12" t="s">
        <v>120</v>
      </c>
      <c r="B1393" s="12">
        <v>3713.75</v>
      </c>
      <c r="C1393" s="12">
        <v>26.352</v>
      </c>
      <c r="D1393" s="12">
        <v>159.87899999999999</v>
      </c>
      <c r="E1393" s="12">
        <v>22.488</v>
      </c>
      <c r="F1393" s="12">
        <v>1.08</v>
      </c>
      <c r="G1393" s="12">
        <v>2.8959999999999999</v>
      </c>
      <c r="H1393" s="12">
        <v>1.7110000000000001</v>
      </c>
      <c r="I1393" s="12">
        <v>4.2539999999999996</v>
      </c>
      <c r="J1393" s="12">
        <v>1094.279</v>
      </c>
      <c r="K1393" s="12">
        <v>1088.7529999999999</v>
      </c>
      <c r="L1393" s="12">
        <v>0</v>
      </c>
      <c r="M1393" s="12">
        <v>0</v>
      </c>
      <c r="N1393" s="12">
        <v>100</v>
      </c>
      <c r="O1393" s="12">
        <v>9.6000000000000002E-2</v>
      </c>
      <c r="P1393" s="12">
        <v>0.77700000000000002</v>
      </c>
      <c r="Q1393" s="12">
        <v>0.16200000000000001</v>
      </c>
      <c r="R1393" s="12">
        <v>0.94499999999999995</v>
      </c>
      <c r="U1393" s="12" t="s">
        <v>33</v>
      </c>
      <c r="V1393" s="12" t="s">
        <v>97</v>
      </c>
      <c r="X1393" s="12" t="s">
        <v>40</v>
      </c>
      <c r="Y1393" s="12">
        <f t="shared" si="48"/>
        <v>0.25800000000000001</v>
      </c>
      <c r="Z1393" s="12">
        <f t="shared" si="53"/>
        <v>-0.68100000000000005</v>
      </c>
    </row>
    <row r="1394" spans="1:26" x14ac:dyDescent="0.2">
      <c r="A1394" s="12" t="s">
        <v>120</v>
      </c>
      <c r="B1394" s="12">
        <v>3713.875</v>
      </c>
      <c r="C1394" s="12">
        <v>21.106999999999999</v>
      </c>
      <c r="D1394" s="12">
        <v>159.44800000000001</v>
      </c>
      <c r="E1394" s="12">
        <v>22.486000000000001</v>
      </c>
      <c r="F1394" s="12">
        <v>1.242</v>
      </c>
      <c r="G1394" s="12">
        <v>2.8849999999999998</v>
      </c>
      <c r="H1394" s="12">
        <v>1.8149999999999999</v>
      </c>
      <c r="I1394" s="12">
        <v>4.3620000000000001</v>
      </c>
      <c r="J1394" s="12">
        <v>1598.7570000000001</v>
      </c>
      <c r="K1394" s="12">
        <v>1642.6759999999999</v>
      </c>
      <c r="L1394" s="12">
        <v>0</v>
      </c>
      <c r="M1394" s="12">
        <v>0</v>
      </c>
      <c r="N1394" s="12">
        <v>100</v>
      </c>
      <c r="O1394" s="12">
        <v>5.1999999999999998E-2</v>
      </c>
      <c r="P1394" s="12">
        <v>0.83599999999999997</v>
      </c>
      <c r="Q1394" s="12">
        <v>0.156</v>
      </c>
      <c r="R1394" s="12">
        <v>0.91800000000000004</v>
      </c>
      <c r="U1394" s="12" t="s">
        <v>33</v>
      </c>
      <c r="V1394" s="12" t="s">
        <v>97</v>
      </c>
      <c r="X1394" s="12" t="s">
        <v>40</v>
      </c>
      <c r="Y1394" s="12">
        <f t="shared" si="48"/>
        <v>0.20799999999999999</v>
      </c>
      <c r="Z1394" s="12">
        <f t="shared" si="53"/>
        <v>-0.78399999999999992</v>
      </c>
    </row>
    <row r="1395" spans="1:26" x14ac:dyDescent="0.2">
      <c r="A1395" s="12" t="s">
        <v>120</v>
      </c>
      <c r="B1395" s="12">
        <v>3714</v>
      </c>
      <c r="C1395" s="12">
        <v>17.928000000000001</v>
      </c>
      <c r="D1395" s="12">
        <v>159.715</v>
      </c>
      <c r="E1395" s="12">
        <v>22.510999999999999</v>
      </c>
      <c r="F1395" s="12">
        <v>1.508</v>
      </c>
      <c r="G1395" s="12">
        <v>2.8759999999999999</v>
      </c>
      <c r="H1395" s="12">
        <v>2.0249999999999999</v>
      </c>
      <c r="I1395" s="12">
        <v>4.4630000000000001</v>
      </c>
      <c r="J1395" s="12">
        <v>1379.3389999999999</v>
      </c>
      <c r="K1395" s="12">
        <v>1544.6790000000001</v>
      </c>
      <c r="L1395" s="12">
        <v>0</v>
      </c>
      <c r="M1395" s="12">
        <v>0</v>
      </c>
      <c r="N1395" s="12">
        <v>100</v>
      </c>
      <c r="O1395" s="12">
        <v>2.5000000000000001E-2</v>
      </c>
      <c r="P1395" s="12">
        <v>0.89100000000000001</v>
      </c>
      <c r="Q1395" s="12">
        <v>0.16</v>
      </c>
      <c r="R1395" s="12">
        <v>0.89600000000000002</v>
      </c>
      <c r="U1395" s="12" t="s">
        <v>33</v>
      </c>
      <c r="V1395" s="12" t="s">
        <v>97</v>
      </c>
      <c r="X1395" s="12" t="s">
        <v>40</v>
      </c>
      <c r="Y1395" s="12">
        <f t="shared" si="48"/>
        <v>0.185</v>
      </c>
      <c r="Z1395" s="12">
        <f t="shared" si="53"/>
        <v>-0.86599999999999999</v>
      </c>
    </row>
    <row r="1396" spans="1:26" x14ac:dyDescent="0.2">
      <c r="A1396" s="12" t="s">
        <v>120</v>
      </c>
      <c r="B1396" s="12">
        <v>3714.125</v>
      </c>
      <c r="C1396" s="12">
        <v>16.66</v>
      </c>
      <c r="D1396" s="12">
        <v>160.37899999999999</v>
      </c>
      <c r="E1396" s="12">
        <v>22.484999999999999</v>
      </c>
      <c r="F1396" s="12">
        <v>1.6839999999999999</v>
      </c>
      <c r="G1396" s="12">
        <v>2.8740000000000001</v>
      </c>
      <c r="H1396" s="12">
        <v>2.37</v>
      </c>
      <c r="I1396" s="12">
        <v>4.4889999999999999</v>
      </c>
      <c r="J1396" s="12">
        <v>356.77699999999999</v>
      </c>
      <c r="K1396" s="12">
        <v>388.40600000000001</v>
      </c>
      <c r="L1396" s="12">
        <v>0</v>
      </c>
      <c r="M1396" s="12">
        <v>0</v>
      </c>
      <c r="N1396" s="12">
        <v>100</v>
      </c>
      <c r="O1396" s="12">
        <v>1.4999999999999999E-2</v>
      </c>
      <c r="P1396" s="12">
        <v>0.90500000000000003</v>
      </c>
      <c r="Q1396" s="12">
        <v>0.16900000000000001</v>
      </c>
      <c r="R1396" s="12">
        <v>0.89100000000000001</v>
      </c>
      <c r="U1396" s="12" t="s">
        <v>33</v>
      </c>
      <c r="V1396" s="12" t="s">
        <v>97</v>
      </c>
      <c r="X1396" s="12" t="s">
        <v>40</v>
      </c>
      <c r="Y1396" s="12">
        <f t="shared" si="48"/>
        <v>0.184</v>
      </c>
      <c r="Z1396" s="12">
        <f t="shared" si="53"/>
        <v>-0.89</v>
      </c>
    </row>
    <row r="1397" spans="1:26" x14ac:dyDescent="0.2">
      <c r="A1397" s="12" t="s">
        <v>120</v>
      </c>
      <c r="B1397" s="12">
        <v>3714.25</v>
      </c>
      <c r="C1397" s="12">
        <v>21.972000000000001</v>
      </c>
      <c r="D1397" s="12">
        <v>160.84299999999999</v>
      </c>
      <c r="E1397" s="12">
        <v>22.518000000000001</v>
      </c>
      <c r="F1397" s="12">
        <v>1.7569999999999999</v>
      </c>
      <c r="G1397" s="12">
        <v>2.8730000000000002</v>
      </c>
      <c r="H1397" s="12">
        <v>2.9769999999999999</v>
      </c>
      <c r="I1397" s="12">
        <v>4.4290000000000003</v>
      </c>
      <c r="J1397" s="12">
        <v>286.52199999999999</v>
      </c>
      <c r="K1397" s="12">
        <v>306.36399999999998</v>
      </c>
      <c r="L1397" s="12">
        <v>0</v>
      </c>
      <c r="M1397" s="12">
        <v>0</v>
      </c>
      <c r="N1397" s="12">
        <v>100</v>
      </c>
      <c r="O1397" s="12">
        <v>5.8999999999999997E-2</v>
      </c>
      <c r="P1397" s="12">
        <v>0.872</v>
      </c>
      <c r="Q1397" s="12">
        <v>0.17599999999999999</v>
      </c>
      <c r="R1397" s="12">
        <v>0.88800000000000001</v>
      </c>
      <c r="U1397" s="12" t="s">
        <v>33</v>
      </c>
      <c r="V1397" s="12" t="s">
        <v>97</v>
      </c>
      <c r="X1397" s="12" t="s">
        <v>40</v>
      </c>
      <c r="Y1397" s="12">
        <f t="shared" si="48"/>
        <v>0.23499999999999999</v>
      </c>
      <c r="Z1397" s="12">
        <f t="shared" si="53"/>
        <v>-0.81299999999999994</v>
      </c>
    </row>
    <row r="1398" spans="1:26" x14ac:dyDescent="0.2">
      <c r="A1398" s="12" t="s">
        <v>120</v>
      </c>
      <c r="B1398" s="12">
        <v>3714.375</v>
      </c>
      <c r="C1398" s="12">
        <v>37.026000000000003</v>
      </c>
      <c r="D1398" s="12">
        <v>160.81899999999999</v>
      </c>
      <c r="E1398" s="12">
        <v>22.53</v>
      </c>
      <c r="F1398" s="12">
        <v>1.78</v>
      </c>
      <c r="G1398" s="12">
        <v>2.8660000000000001</v>
      </c>
      <c r="H1398" s="12">
        <v>4.0119999999999996</v>
      </c>
      <c r="I1398" s="12">
        <v>4.29</v>
      </c>
      <c r="J1398" s="12">
        <v>269.98200000000003</v>
      </c>
      <c r="K1398" s="12">
        <v>282.53399999999999</v>
      </c>
      <c r="L1398" s="12">
        <v>0</v>
      </c>
      <c r="M1398" s="12">
        <v>0</v>
      </c>
      <c r="N1398" s="12">
        <v>100</v>
      </c>
      <c r="O1398" s="12">
        <v>0.186</v>
      </c>
      <c r="P1398" s="12">
        <v>0.79700000000000004</v>
      </c>
      <c r="Q1398" s="12">
        <v>0.17499999999999999</v>
      </c>
      <c r="R1398" s="12">
        <v>0.871</v>
      </c>
      <c r="U1398" s="12" t="s">
        <v>33</v>
      </c>
      <c r="V1398" s="12" t="s">
        <v>97</v>
      </c>
      <c r="X1398" s="12" t="s">
        <v>40</v>
      </c>
      <c r="Y1398" s="12">
        <f t="shared" si="48"/>
        <v>0.36099999999999999</v>
      </c>
      <c r="Z1398" s="12">
        <f t="shared" si="53"/>
        <v>-0.61099999999999999</v>
      </c>
    </row>
    <row r="1399" spans="1:26" x14ac:dyDescent="0.2">
      <c r="A1399" s="12" t="s">
        <v>109</v>
      </c>
      <c r="B1399" s="12">
        <v>3518.875</v>
      </c>
      <c r="C1399" s="12">
        <v>30.425999999999998</v>
      </c>
      <c r="D1399" s="12">
        <v>165.822</v>
      </c>
      <c r="E1399" s="12">
        <v>24.106000000000002</v>
      </c>
      <c r="F1399" s="12">
        <v>4.2359999999999998</v>
      </c>
      <c r="G1399" s="12">
        <v>2.7530000000000001</v>
      </c>
      <c r="H1399" s="12">
        <v>6.6269999999999998</v>
      </c>
      <c r="I1399" s="12">
        <v>4.6740000000000004</v>
      </c>
      <c r="J1399" s="12">
        <v>239.80500000000001</v>
      </c>
      <c r="K1399" s="12">
        <v>257.51299999999998</v>
      </c>
      <c r="L1399" s="12">
        <v>0.68799999999999994</v>
      </c>
      <c r="M1399" s="12">
        <v>0.1</v>
      </c>
      <c r="N1399" s="12">
        <v>100</v>
      </c>
      <c r="O1399" s="12">
        <v>0.121</v>
      </c>
      <c r="P1399" s="12">
        <v>0.80900000000000005</v>
      </c>
      <c r="Q1399" s="12">
        <v>0.128</v>
      </c>
      <c r="R1399" s="12">
        <v>0.73099999999999998</v>
      </c>
      <c r="U1399" s="12" t="s">
        <v>33</v>
      </c>
      <c r="V1399" s="12" t="s">
        <v>97</v>
      </c>
      <c r="X1399" s="12" t="s">
        <v>40</v>
      </c>
      <c r="Y1399" s="12">
        <f t="shared" si="48"/>
        <v>0.249</v>
      </c>
      <c r="Z1399" s="12">
        <f t="shared" si="50"/>
        <v>-0.68800000000000006</v>
      </c>
    </row>
    <row r="1400" spans="1:26" x14ac:dyDescent="0.2">
      <c r="A1400" s="12" t="s">
        <v>113</v>
      </c>
      <c r="B1400" s="12">
        <v>3737.375</v>
      </c>
      <c r="C1400" s="12">
        <v>43.991</v>
      </c>
      <c r="D1400" s="12">
        <v>162.43199999999999</v>
      </c>
      <c r="E1400" s="12">
        <v>22.007000000000001</v>
      </c>
      <c r="F1400" s="12">
        <v>1.9910000000000001</v>
      </c>
      <c r="G1400" s="12">
        <v>2.7759999999999998</v>
      </c>
      <c r="H1400" s="12">
        <v>6.0010000000000003</v>
      </c>
      <c r="I1400" s="12">
        <v>4.1660000000000004</v>
      </c>
      <c r="J1400" s="12">
        <v>719.88900000000001</v>
      </c>
      <c r="K1400" s="12">
        <v>698.29300000000001</v>
      </c>
      <c r="L1400" s="12">
        <v>0</v>
      </c>
      <c r="M1400" s="12">
        <v>0</v>
      </c>
      <c r="N1400" s="12">
        <v>100</v>
      </c>
      <c r="O1400" s="12">
        <v>0.219</v>
      </c>
      <c r="P1400" s="12">
        <v>0.80700000000000005</v>
      </c>
      <c r="Q1400" s="12">
        <v>0.11899999999999999</v>
      </c>
      <c r="R1400" s="12">
        <v>0.80100000000000005</v>
      </c>
      <c r="U1400" s="12" t="s">
        <v>33</v>
      </c>
      <c r="V1400" s="12" t="s">
        <v>97</v>
      </c>
      <c r="X1400" s="12" t="s">
        <v>40</v>
      </c>
      <c r="Y1400" s="12">
        <f t="shared" si="48"/>
        <v>0.33799999999999997</v>
      </c>
      <c r="Z1400" s="12">
        <f>O1400-P1400</f>
        <v>-0.58800000000000008</v>
      </c>
    </row>
    <row r="1401" spans="1:26" x14ac:dyDescent="0.2">
      <c r="A1401" s="12" t="s">
        <v>113</v>
      </c>
      <c r="B1401" s="12">
        <v>3737.5</v>
      </c>
      <c r="C1401" s="12">
        <v>51.417000000000002</v>
      </c>
      <c r="D1401" s="12">
        <v>167.51</v>
      </c>
      <c r="E1401" s="12">
        <v>22.044</v>
      </c>
      <c r="F1401" s="12">
        <v>1.974</v>
      </c>
      <c r="G1401" s="12">
        <v>2.7829999999999999</v>
      </c>
      <c r="H1401" s="12">
        <v>4.9950000000000001</v>
      </c>
      <c r="I1401" s="12">
        <v>4.4089999999999998</v>
      </c>
      <c r="J1401" s="12">
        <v>609.01199999999994</v>
      </c>
      <c r="K1401" s="12">
        <v>590.74199999999996</v>
      </c>
      <c r="L1401" s="12">
        <v>0</v>
      </c>
      <c r="M1401" s="12">
        <v>0</v>
      </c>
      <c r="N1401" s="12">
        <v>100</v>
      </c>
      <c r="O1401" s="12">
        <v>0.27500000000000002</v>
      </c>
      <c r="P1401" s="12">
        <v>0.91700000000000004</v>
      </c>
      <c r="Q1401" s="12">
        <v>0.16500000000000001</v>
      </c>
      <c r="R1401" s="12">
        <v>0.82399999999999995</v>
      </c>
      <c r="U1401" s="12" t="s">
        <v>33</v>
      </c>
      <c r="V1401" s="12" t="s">
        <v>97</v>
      </c>
      <c r="X1401" s="12" t="s">
        <v>40</v>
      </c>
      <c r="Y1401" s="12">
        <f t="shared" si="48"/>
        <v>0.44000000000000006</v>
      </c>
      <c r="Z1401" s="12">
        <f>O1401-P1401</f>
        <v>-0.64200000000000002</v>
      </c>
    </row>
    <row r="1402" spans="1:26" x14ac:dyDescent="0.2">
      <c r="A1402" s="12" t="s">
        <v>113</v>
      </c>
      <c r="B1402" s="12">
        <v>3737.625</v>
      </c>
      <c r="C1402" s="12">
        <v>51.683</v>
      </c>
      <c r="D1402" s="12">
        <v>171.94</v>
      </c>
      <c r="E1402" s="12">
        <v>22.068999999999999</v>
      </c>
      <c r="F1402" s="12">
        <v>2.0299999999999998</v>
      </c>
      <c r="G1402" s="12">
        <v>2.7909999999999999</v>
      </c>
      <c r="H1402" s="12">
        <v>4.492</v>
      </c>
      <c r="I1402" s="12">
        <v>4.5919999999999996</v>
      </c>
      <c r="J1402" s="12">
        <v>571.08900000000006</v>
      </c>
      <c r="K1402" s="12">
        <v>553.95600000000002</v>
      </c>
      <c r="L1402" s="12">
        <v>0</v>
      </c>
      <c r="M1402" s="12">
        <v>0</v>
      </c>
      <c r="N1402" s="12">
        <v>100</v>
      </c>
      <c r="O1402" s="12">
        <v>0.27700000000000002</v>
      </c>
      <c r="P1402" s="12">
        <v>1</v>
      </c>
      <c r="Q1402" s="12">
        <v>0.20599999999999999</v>
      </c>
      <c r="R1402" s="12">
        <v>0.85</v>
      </c>
      <c r="U1402" s="12" t="s">
        <v>33</v>
      </c>
      <c r="V1402" s="12" t="s">
        <v>97</v>
      </c>
      <c r="X1402" s="12" t="s">
        <v>40</v>
      </c>
      <c r="Y1402" s="12">
        <f t="shared" si="48"/>
        <v>0.48299999999999998</v>
      </c>
      <c r="Z1402" s="12">
        <f>O1402-P1402</f>
        <v>-0.72299999999999998</v>
      </c>
    </row>
    <row r="1403" spans="1:26" x14ac:dyDescent="0.2">
      <c r="A1403" s="12" t="s">
        <v>113</v>
      </c>
      <c r="B1403" s="12">
        <v>3737.75</v>
      </c>
      <c r="C1403" s="12">
        <v>47.594000000000001</v>
      </c>
      <c r="D1403" s="12">
        <v>174.60900000000001</v>
      </c>
      <c r="E1403" s="12">
        <v>22.077000000000002</v>
      </c>
      <c r="F1403" s="12">
        <v>2.1469999999999998</v>
      </c>
      <c r="G1403" s="12">
        <v>2.8039999999999998</v>
      </c>
      <c r="H1403" s="12">
        <v>4.601</v>
      </c>
      <c r="I1403" s="12">
        <v>4.5119999999999996</v>
      </c>
      <c r="J1403" s="12">
        <v>629.35</v>
      </c>
      <c r="K1403" s="12">
        <v>610.46900000000005</v>
      </c>
      <c r="L1403" s="12">
        <v>0</v>
      </c>
      <c r="M1403" s="12">
        <v>0</v>
      </c>
      <c r="N1403" s="12">
        <v>100</v>
      </c>
      <c r="O1403" s="12">
        <v>0.246</v>
      </c>
      <c r="P1403" s="12">
        <v>0.96399999999999997</v>
      </c>
      <c r="Q1403" s="12">
        <v>0.23</v>
      </c>
      <c r="R1403" s="12">
        <v>0.89300000000000002</v>
      </c>
      <c r="U1403" s="12" t="s">
        <v>33</v>
      </c>
      <c r="V1403" s="12" t="s">
        <v>97</v>
      </c>
      <c r="X1403" s="12" t="s">
        <v>40</v>
      </c>
      <c r="Y1403" s="12">
        <f t="shared" si="48"/>
        <v>0.47599999999999998</v>
      </c>
      <c r="Z1403" s="12">
        <f>O1403-P1403</f>
        <v>-0.71799999999999997</v>
      </c>
    </row>
    <row r="1404" spans="1:26" x14ac:dyDescent="0.2">
      <c r="A1404" s="12" t="s">
        <v>116</v>
      </c>
      <c r="B1404" s="12">
        <v>4019.875</v>
      </c>
      <c r="C1404" s="12">
        <v>61.905000000000001</v>
      </c>
      <c r="D1404" s="12">
        <v>162.34800000000001</v>
      </c>
      <c r="E1404" s="12">
        <v>23.117999999999999</v>
      </c>
      <c r="F1404" s="12">
        <v>2.29</v>
      </c>
      <c r="G1404" s="12">
        <v>2.79</v>
      </c>
      <c r="H1404" s="12">
        <v>7.2210000000000001</v>
      </c>
      <c r="I1404" s="12">
        <v>4.117</v>
      </c>
      <c r="J1404" s="12">
        <v>660.68700000000001</v>
      </c>
      <c r="K1404" s="12">
        <v>471.82900000000001</v>
      </c>
      <c r="L1404" s="12">
        <v>6.6000000000000003E-2</v>
      </c>
      <c r="M1404" s="12">
        <v>0.1</v>
      </c>
      <c r="N1404" s="12">
        <v>100</v>
      </c>
      <c r="O1404" s="12">
        <v>0.34799999999999998</v>
      </c>
      <c r="P1404" s="12">
        <v>0.72699999999999998</v>
      </c>
      <c r="Q1404" s="12">
        <v>0.188</v>
      </c>
      <c r="R1404" s="12">
        <v>0.44600000000000001</v>
      </c>
      <c r="U1404" s="12" t="s">
        <v>33</v>
      </c>
      <c r="V1404" s="12" t="s">
        <v>97</v>
      </c>
      <c r="X1404" s="12" t="s">
        <v>40</v>
      </c>
      <c r="Y1404" s="12">
        <f t="shared" si="48"/>
        <v>0.53600000000000003</v>
      </c>
      <c r="Z1404" s="12">
        <f t="shared" si="49"/>
        <v>-0.379</v>
      </c>
    </row>
    <row r="1405" spans="1:26" x14ac:dyDescent="0.2">
      <c r="A1405" s="12" t="s">
        <v>116</v>
      </c>
      <c r="B1405" s="12">
        <v>4020</v>
      </c>
      <c r="C1405" s="12">
        <v>64.626000000000005</v>
      </c>
      <c r="D1405" s="12">
        <v>162.56200000000001</v>
      </c>
      <c r="E1405" s="12">
        <v>23.102</v>
      </c>
      <c r="F1405" s="12">
        <v>2.4169999999999998</v>
      </c>
      <c r="G1405" s="12">
        <v>2.798</v>
      </c>
      <c r="H1405" s="12">
        <v>6.1289999999999996</v>
      </c>
      <c r="I1405" s="12">
        <v>4.226</v>
      </c>
      <c r="J1405" s="12">
        <v>720.82600000000002</v>
      </c>
      <c r="K1405" s="12">
        <v>539.27200000000005</v>
      </c>
      <c r="L1405" s="12">
        <v>6.5000000000000002E-2</v>
      </c>
      <c r="M1405" s="12">
        <v>0.1</v>
      </c>
      <c r="N1405" s="12">
        <v>100</v>
      </c>
      <c r="O1405" s="12">
        <v>0.36699999999999999</v>
      </c>
      <c r="P1405" s="12">
        <v>0.77600000000000002</v>
      </c>
      <c r="Q1405" s="12">
        <v>0.193</v>
      </c>
      <c r="R1405" s="12">
        <v>0.47699999999999998</v>
      </c>
      <c r="U1405" s="12" t="s">
        <v>33</v>
      </c>
      <c r="V1405" s="12" t="s">
        <v>97</v>
      </c>
      <c r="X1405" s="12" t="s">
        <v>40</v>
      </c>
      <c r="Y1405" s="12">
        <f t="shared" si="48"/>
        <v>0.56000000000000005</v>
      </c>
      <c r="Z1405" s="12">
        <f t="shared" si="49"/>
        <v>-0.40900000000000003</v>
      </c>
    </row>
    <row r="1406" spans="1:26" x14ac:dyDescent="0.2">
      <c r="A1406" s="12" t="s">
        <v>116</v>
      </c>
      <c r="B1406" s="12">
        <v>4020.125</v>
      </c>
      <c r="C1406" s="12">
        <v>60.21</v>
      </c>
      <c r="D1406" s="12">
        <v>161.55000000000001</v>
      </c>
      <c r="E1406" s="12">
        <v>23.091999999999999</v>
      </c>
      <c r="F1406" s="12">
        <v>2.4630000000000001</v>
      </c>
      <c r="G1406" s="12">
        <v>2.8039999999999998</v>
      </c>
      <c r="H1406" s="12">
        <v>5.0570000000000004</v>
      </c>
      <c r="I1406" s="12">
        <v>4.343</v>
      </c>
      <c r="J1406" s="12">
        <v>1167.8240000000001</v>
      </c>
      <c r="K1406" s="12">
        <v>852.11500000000001</v>
      </c>
      <c r="L1406" s="12">
        <v>7.0999999999999994E-2</v>
      </c>
      <c r="M1406" s="12">
        <v>0.1</v>
      </c>
      <c r="N1406" s="12">
        <v>100</v>
      </c>
      <c r="O1406" s="12">
        <v>0.33600000000000002</v>
      </c>
      <c r="P1406" s="12">
        <v>0.82799999999999996</v>
      </c>
      <c r="Q1406" s="12">
        <v>0.16900000000000001</v>
      </c>
      <c r="R1406" s="12">
        <v>0.5</v>
      </c>
      <c r="U1406" s="12" t="s">
        <v>33</v>
      </c>
      <c r="V1406" s="12" t="s">
        <v>97</v>
      </c>
      <c r="X1406" s="12" t="s">
        <v>40</v>
      </c>
      <c r="Y1406" s="12">
        <f t="shared" si="48"/>
        <v>0.505</v>
      </c>
      <c r="Z1406" s="12">
        <f t="shared" si="49"/>
        <v>-0.49199999999999994</v>
      </c>
    </row>
    <row r="1407" spans="1:26" x14ac:dyDescent="0.2">
      <c r="A1407" s="12" t="s">
        <v>116</v>
      </c>
      <c r="B1407" s="12">
        <v>4020.25</v>
      </c>
      <c r="C1407" s="12">
        <v>53.093000000000004</v>
      </c>
      <c r="D1407" s="12">
        <v>159.95099999999999</v>
      </c>
      <c r="E1407" s="12">
        <v>23.135999999999999</v>
      </c>
      <c r="F1407" s="12">
        <v>2.4929999999999999</v>
      </c>
      <c r="G1407" s="12">
        <v>2.806</v>
      </c>
      <c r="H1407" s="12">
        <v>4.532</v>
      </c>
      <c r="I1407" s="12">
        <v>4.5229999999999997</v>
      </c>
      <c r="J1407" s="12">
        <v>1614.396</v>
      </c>
      <c r="K1407" s="12">
        <v>1126.79</v>
      </c>
      <c r="L1407" s="12">
        <v>7.6999999999999999E-2</v>
      </c>
      <c r="M1407" s="12">
        <v>0.1</v>
      </c>
      <c r="N1407" s="12">
        <v>100</v>
      </c>
      <c r="O1407" s="12">
        <v>0.28599999999999998</v>
      </c>
      <c r="P1407" s="12">
        <v>0.90900000000000003</v>
      </c>
      <c r="Q1407" s="12">
        <v>0.13200000000000001</v>
      </c>
      <c r="R1407" s="12">
        <v>0.50800000000000001</v>
      </c>
      <c r="U1407" s="12" t="s">
        <v>33</v>
      </c>
      <c r="V1407" s="12" t="s">
        <v>97</v>
      </c>
      <c r="X1407" s="12" t="s">
        <v>40</v>
      </c>
      <c r="Y1407" s="12">
        <f t="shared" si="48"/>
        <v>0.41799999999999998</v>
      </c>
      <c r="Z1407" s="12">
        <f t="shared" si="49"/>
        <v>-0.623</v>
      </c>
    </row>
    <row r="1408" spans="1:26" x14ac:dyDescent="0.2">
      <c r="A1408" s="12" t="s">
        <v>116</v>
      </c>
      <c r="B1408" s="12">
        <v>4020.375</v>
      </c>
      <c r="C1408" s="12">
        <v>48.039000000000001</v>
      </c>
      <c r="D1408" s="12">
        <v>159.08799999999999</v>
      </c>
      <c r="E1408" s="12">
        <v>23.28</v>
      </c>
      <c r="F1408" s="12">
        <v>2.5150000000000001</v>
      </c>
      <c r="G1408" s="12">
        <v>2.802</v>
      </c>
      <c r="H1408" s="12">
        <v>4.7290000000000001</v>
      </c>
      <c r="I1408" s="12">
        <v>4.6559999999999997</v>
      </c>
      <c r="J1408" s="12">
        <v>1602.8209999999999</v>
      </c>
      <c r="K1408" s="12">
        <v>1078.242</v>
      </c>
      <c r="L1408" s="12">
        <v>7.6999999999999999E-2</v>
      </c>
      <c r="M1408" s="12">
        <v>0.1</v>
      </c>
      <c r="N1408" s="12">
        <v>100</v>
      </c>
      <c r="O1408" s="12">
        <v>0.25</v>
      </c>
      <c r="P1408" s="12">
        <v>0.96899999999999997</v>
      </c>
      <c r="Q1408" s="12">
        <v>0.111</v>
      </c>
      <c r="R1408" s="12">
        <v>0.49199999999999999</v>
      </c>
      <c r="U1408" s="12" t="s">
        <v>33</v>
      </c>
      <c r="V1408" s="12" t="s">
        <v>97</v>
      </c>
      <c r="X1408" s="12" t="s">
        <v>40</v>
      </c>
      <c r="Y1408" s="12">
        <f t="shared" si="48"/>
        <v>0.36099999999999999</v>
      </c>
      <c r="Z1408" s="12">
        <f t="shared" si="49"/>
        <v>-0.71899999999999997</v>
      </c>
    </row>
    <row r="1409" spans="1:26" x14ac:dyDescent="0.2">
      <c r="A1409" s="12" t="s">
        <v>116</v>
      </c>
      <c r="B1409" s="12">
        <v>4020.5</v>
      </c>
      <c r="C1409" s="12">
        <v>46.929000000000002</v>
      </c>
      <c r="D1409" s="12">
        <v>159.46600000000001</v>
      </c>
      <c r="E1409" s="12">
        <v>23.507999999999999</v>
      </c>
      <c r="F1409" s="12">
        <v>2.4990000000000001</v>
      </c>
      <c r="G1409" s="12">
        <v>2.7949999999999999</v>
      </c>
      <c r="H1409" s="12">
        <v>5.407</v>
      </c>
      <c r="I1409" s="12">
        <v>4.726</v>
      </c>
      <c r="J1409" s="12">
        <v>1165.5360000000001</v>
      </c>
      <c r="K1409" s="12">
        <v>774.38599999999997</v>
      </c>
      <c r="L1409" s="12">
        <v>7.3999999999999996E-2</v>
      </c>
      <c r="M1409" s="12">
        <v>0.1</v>
      </c>
      <c r="N1409" s="12">
        <v>100</v>
      </c>
      <c r="O1409" s="12">
        <v>0.24299999999999999</v>
      </c>
      <c r="P1409" s="12">
        <v>1</v>
      </c>
      <c r="Q1409" s="12">
        <v>0.12</v>
      </c>
      <c r="R1409" s="12">
        <v>0.46500000000000002</v>
      </c>
      <c r="U1409" s="12" t="s">
        <v>33</v>
      </c>
      <c r="V1409" s="12" t="s">
        <v>97</v>
      </c>
      <c r="X1409" s="12" t="s">
        <v>40</v>
      </c>
      <c r="Y1409" s="12">
        <f t="shared" si="48"/>
        <v>0.36299999999999999</v>
      </c>
      <c r="Z1409" s="12">
        <f t="shared" si="49"/>
        <v>-0.75700000000000001</v>
      </c>
    </row>
    <row r="1410" spans="1:26" x14ac:dyDescent="0.2">
      <c r="A1410" s="12" t="s">
        <v>116</v>
      </c>
      <c r="B1410" s="12">
        <v>4020.625</v>
      </c>
      <c r="C1410" s="12">
        <v>47.448999999999998</v>
      </c>
      <c r="D1410" s="12">
        <v>160.28</v>
      </c>
      <c r="E1410" s="12">
        <v>23.65</v>
      </c>
      <c r="F1410" s="12">
        <v>2.4510000000000001</v>
      </c>
      <c r="G1410" s="12">
        <v>2.7919999999999998</v>
      </c>
      <c r="H1410" s="12">
        <v>6.173</v>
      </c>
      <c r="I1410" s="12">
        <v>4.6680000000000001</v>
      </c>
      <c r="J1410" s="12">
        <v>778.56799999999998</v>
      </c>
      <c r="K1410" s="12">
        <v>531.67399999999998</v>
      </c>
      <c r="L1410" s="12">
        <v>7.4999999999999997E-2</v>
      </c>
      <c r="M1410" s="12">
        <v>0.1</v>
      </c>
      <c r="N1410" s="12">
        <v>100</v>
      </c>
      <c r="O1410" s="12">
        <v>0.246</v>
      </c>
      <c r="P1410" s="12">
        <v>0.97399999999999998</v>
      </c>
      <c r="Q1410" s="12">
        <v>0.13900000000000001</v>
      </c>
      <c r="R1410" s="12">
        <v>0.45400000000000001</v>
      </c>
      <c r="U1410" s="12" t="s">
        <v>33</v>
      </c>
      <c r="V1410" s="12" t="s">
        <v>97</v>
      </c>
      <c r="X1410" s="12" t="s">
        <v>40</v>
      </c>
      <c r="Y1410" s="12">
        <f t="shared" si="48"/>
        <v>0.38500000000000001</v>
      </c>
      <c r="Z1410" s="12">
        <f t="shared" si="49"/>
        <v>-0.72799999999999998</v>
      </c>
    </row>
    <row r="1411" spans="1:26" x14ac:dyDescent="0.2">
      <c r="A1411" s="12" t="s">
        <v>116</v>
      </c>
      <c r="B1411" s="12">
        <v>4020.75</v>
      </c>
      <c r="C1411" s="12">
        <v>47.25</v>
      </c>
      <c r="D1411" s="12">
        <v>160.44999999999999</v>
      </c>
      <c r="E1411" s="12">
        <v>23.661000000000001</v>
      </c>
      <c r="F1411" s="12">
        <v>2.3959999999999999</v>
      </c>
      <c r="G1411" s="12">
        <v>2.7970000000000002</v>
      </c>
      <c r="H1411" s="12">
        <v>6.8520000000000003</v>
      </c>
      <c r="I1411" s="12">
        <v>4.3769999999999998</v>
      </c>
      <c r="J1411" s="12">
        <v>663.29399999999998</v>
      </c>
      <c r="K1411" s="12">
        <v>457.48</v>
      </c>
      <c r="L1411" s="12">
        <v>7.6999999999999999E-2</v>
      </c>
      <c r="M1411" s="12">
        <v>0.1</v>
      </c>
      <c r="N1411" s="12">
        <v>100</v>
      </c>
      <c r="O1411" s="12">
        <v>0.245</v>
      </c>
      <c r="P1411" s="12">
        <v>0.84299999999999997</v>
      </c>
      <c r="Q1411" s="12">
        <v>0.14299999999999999</v>
      </c>
      <c r="R1411" s="12">
        <v>0.47299999999999998</v>
      </c>
      <c r="U1411" s="12" t="s">
        <v>33</v>
      </c>
      <c r="V1411" s="12" t="s">
        <v>97</v>
      </c>
      <c r="X1411" s="12" t="s">
        <v>40</v>
      </c>
      <c r="Y1411" s="12">
        <f t="shared" ref="Y1411:Y1474" si="54">O1411+Q1411</f>
        <v>0.38800000000000001</v>
      </c>
      <c r="Z1411" s="12">
        <f t="shared" si="49"/>
        <v>-0.59799999999999998</v>
      </c>
    </row>
    <row r="1412" spans="1:26" x14ac:dyDescent="0.2">
      <c r="A1412" s="12" t="s">
        <v>116</v>
      </c>
      <c r="B1412" s="12">
        <v>4020.875</v>
      </c>
      <c r="C1412" s="12">
        <v>46.619</v>
      </c>
      <c r="D1412" s="12">
        <v>159.83699999999999</v>
      </c>
      <c r="E1412" s="12">
        <v>23.597999999999999</v>
      </c>
      <c r="F1412" s="12">
        <v>2.379</v>
      </c>
      <c r="G1412" s="12">
        <v>2.8079999999999998</v>
      </c>
      <c r="H1412" s="12">
        <v>7.452</v>
      </c>
      <c r="I1412" s="12">
        <v>3.8330000000000002</v>
      </c>
      <c r="J1412" s="12">
        <v>687.55499999999995</v>
      </c>
      <c r="K1412" s="12">
        <v>468.084</v>
      </c>
      <c r="L1412" s="12">
        <v>7.6999999999999999E-2</v>
      </c>
      <c r="M1412" s="12">
        <v>0.1</v>
      </c>
      <c r="N1412" s="12">
        <v>100</v>
      </c>
      <c r="O1412" s="12">
        <v>0.24</v>
      </c>
      <c r="P1412" s="12">
        <v>0.59899999999999998</v>
      </c>
      <c r="Q1412" s="12">
        <v>0.129</v>
      </c>
      <c r="R1412" s="12">
        <v>0.51500000000000001</v>
      </c>
      <c r="U1412" s="12" t="s">
        <v>33</v>
      </c>
      <c r="V1412" s="12" t="s">
        <v>97</v>
      </c>
      <c r="X1412" s="12" t="s">
        <v>40</v>
      </c>
      <c r="Y1412" s="12">
        <f t="shared" si="54"/>
        <v>0.36899999999999999</v>
      </c>
      <c r="Z1412" s="12">
        <f t="shared" si="49"/>
        <v>-0.35899999999999999</v>
      </c>
    </row>
    <row r="1413" spans="1:26" x14ac:dyDescent="0.2">
      <c r="A1413" s="12" t="s">
        <v>117</v>
      </c>
      <c r="B1413" s="12">
        <v>3449.375</v>
      </c>
      <c r="C1413" s="12">
        <v>29.204000000000001</v>
      </c>
      <c r="D1413" s="12">
        <v>168.82300000000001</v>
      </c>
      <c r="E1413" s="12">
        <v>22.241</v>
      </c>
      <c r="F1413" s="12">
        <v>1.724</v>
      </c>
      <c r="G1413" s="12">
        <v>2.9119999999999999</v>
      </c>
      <c r="H1413" s="12">
        <v>2.9420000000000002</v>
      </c>
      <c r="I1413" s="12">
        <v>4.0270000000000001</v>
      </c>
      <c r="J1413" s="12">
        <v>6891.7330000000002</v>
      </c>
      <c r="K1413" s="12">
        <v>6793.683</v>
      </c>
      <c r="L1413" s="12">
        <v>0.01</v>
      </c>
      <c r="M1413" s="12">
        <v>1E-3</v>
      </c>
      <c r="N1413" s="12">
        <v>100</v>
      </c>
      <c r="O1413" s="12">
        <v>4.9000000000000002E-2</v>
      </c>
      <c r="P1413" s="12">
        <v>0.436</v>
      </c>
      <c r="Q1413" s="12">
        <v>0.126</v>
      </c>
      <c r="R1413" s="12">
        <v>0.92900000000000005</v>
      </c>
      <c r="U1413" s="12" t="s">
        <v>33</v>
      </c>
      <c r="V1413" s="12" t="s">
        <v>97</v>
      </c>
      <c r="X1413" s="12" t="s">
        <v>40</v>
      </c>
      <c r="Y1413" s="12">
        <f t="shared" si="54"/>
        <v>0.17499999999999999</v>
      </c>
      <c r="Z1413" s="12">
        <f t="shared" si="49"/>
        <v>-0.38700000000000001</v>
      </c>
    </row>
    <row r="1414" spans="1:26" x14ac:dyDescent="0.2">
      <c r="A1414" s="12" t="s">
        <v>117</v>
      </c>
      <c r="B1414" s="12">
        <v>3449.5</v>
      </c>
      <c r="C1414" s="12">
        <v>30.324000000000002</v>
      </c>
      <c r="D1414" s="12">
        <v>171.08099999999999</v>
      </c>
      <c r="E1414" s="12">
        <v>22.268000000000001</v>
      </c>
      <c r="F1414" s="12">
        <v>1.794</v>
      </c>
      <c r="G1414" s="12">
        <v>2.9220000000000002</v>
      </c>
      <c r="H1414" s="12">
        <v>2.3809999999999998</v>
      </c>
      <c r="I1414" s="12">
        <v>4.8079999999999998</v>
      </c>
      <c r="J1414" s="12">
        <v>3278.2469999999998</v>
      </c>
      <c r="K1414" s="12">
        <v>3181.67</v>
      </c>
      <c r="L1414" s="12">
        <v>0.01</v>
      </c>
      <c r="M1414" s="12">
        <v>1E-3</v>
      </c>
      <c r="N1414" s="12">
        <v>100</v>
      </c>
      <c r="O1414" s="12">
        <v>5.5E-2</v>
      </c>
      <c r="P1414" s="12">
        <v>0.65500000000000003</v>
      </c>
      <c r="Q1414" s="12">
        <v>0.153</v>
      </c>
      <c r="R1414" s="12">
        <v>0.96</v>
      </c>
      <c r="U1414" s="12" t="s">
        <v>33</v>
      </c>
      <c r="V1414" s="12" t="s">
        <v>97</v>
      </c>
      <c r="X1414" s="12" t="s">
        <v>40</v>
      </c>
      <c r="Y1414" s="12">
        <f t="shared" si="54"/>
        <v>0.20799999999999999</v>
      </c>
      <c r="Z1414" s="12">
        <f t="shared" si="49"/>
        <v>-0.6</v>
      </c>
    </row>
    <row r="1415" spans="1:26" x14ac:dyDescent="0.2">
      <c r="A1415" s="12" t="s">
        <v>117</v>
      </c>
      <c r="B1415" s="12">
        <v>3449.625</v>
      </c>
      <c r="C1415" s="12">
        <v>30.696000000000002</v>
      </c>
      <c r="D1415" s="12">
        <v>172.584</v>
      </c>
      <c r="E1415" s="12">
        <v>22.295999999999999</v>
      </c>
      <c r="F1415" s="12">
        <v>1.85</v>
      </c>
      <c r="G1415" s="12">
        <v>2.9260000000000002</v>
      </c>
      <c r="H1415" s="12">
        <v>2.359</v>
      </c>
      <c r="I1415" s="12">
        <v>5.5519999999999996</v>
      </c>
      <c r="J1415" s="12">
        <v>2290.79</v>
      </c>
      <c r="K1415" s="12">
        <v>2274.3310000000001</v>
      </c>
      <c r="L1415" s="12">
        <v>0.01</v>
      </c>
      <c r="M1415" s="12">
        <v>1E-3</v>
      </c>
      <c r="N1415" s="12">
        <v>100</v>
      </c>
      <c r="O1415" s="12">
        <v>5.8000000000000003E-2</v>
      </c>
      <c r="P1415" s="12">
        <v>0.86299999999999999</v>
      </c>
      <c r="Q1415" s="12">
        <v>0.17199999999999999</v>
      </c>
      <c r="R1415" s="12">
        <v>0.97199999999999998</v>
      </c>
      <c r="U1415" s="12" t="s">
        <v>33</v>
      </c>
      <c r="V1415" s="12" t="s">
        <v>97</v>
      </c>
      <c r="X1415" s="12" t="s">
        <v>40</v>
      </c>
      <c r="Y1415" s="12">
        <f t="shared" si="54"/>
        <v>0.22999999999999998</v>
      </c>
      <c r="Z1415" s="12">
        <f t="shared" si="49"/>
        <v>-0.80499999999999994</v>
      </c>
    </row>
    <row r="1416" spans="1:26" x14ac:dyDescent="0.2">
      <c r="A1416" s="12" t="s">
        <v>117</v>
      </c>
      <c r="B1416" s="12">
        <v>3449.75</v>
      </c>
      <c r="C1416" s="12">
        <v>29.585000000000001</v>
      </c>
      <c r="D1416" s="12">
        <v>173.07300000000001</v>
      </c>
      <c r="E1416" s="12">
        <v>22.308</v>
      </c>
      <c r="F1416" s="12">
        <v>1.8919999999999999</v>
      </c>
      <c r="G1416" s="12">
        <v>2.9279999999999999</v>
      </c>
      <c r="H1416" s="12">
        <v>1.706</v>
      </c>
      <c r="I1416" s="12">
        <v>6.0380000000000003</v>
      </c>
      <c r="J1416" s="12">
        <v>2385.15</v>
      </c>
      <c r="K1416" s="12">
        <v>2397.3649999999998</v>
      </c>
      <c r="L1416" s="12">
        <v>0.01</v>
      </c>
      <c r="M1416" s="12">
        <v>1E-3</v>
      </c>
      <c r="N1416" s="12">
        <v>100</v>
      </c>
      <c r="O1416" s="12">
        <v>5.0999999999999997E-2</v>
      </c>
      <c r="P1416" s="12">
        <v>0.999</v>
      </c>
      <c r="Q1416" s="12">
        <v>0.17799999999999999</v>
      </c>
      <c r="R1416" s="12">
        <v>0.97799999999999998</v>
      </c>
      <c r="U1416" s="12" t="s">
        <v>33</v>
      </c>
      <c r="V1416" s="12" t="s">
        <v>97</v>
      </c>
      <c r="X1416" s="12" t="s">
        <v>40</v>
      </c>
      <c r="Y1416" s="12">
        <f t="shared" si="54"/>
        <v>0.22899999999999998</v>
      </c>
      <c r="Z1416" s="12">
        <f t="shared" si="49"/>
        <v>-0.94799999999999995</v>
      </c>
    </row>
    <row r="1417" spans="1:26" x14ac:dyDescent="0.2">
      <c r="A1417" s="12" t="s">
        <v>117</v>
      </c>
      <c r="B1417" s="12">
        <v>3449.875</v>
      </c>
      <c r="C1417" s="12">
        <v>25.454999999999998</v>
      </c>
      <c r="D1417" s="12">
        <v>172.964</v>
      </c>
      <c r="E1417" s="12">
        <v>22.308</v>
      </c>
      <c r="F1417" s="12">
        <v>1.67</v>
      </c>
      <c r="G1417" s="12">
        <v>2.9319999999999999</v>
      </c>
      <c r="H1417" s="12">
        <v>1.3740000000000001</v>
      </c>
      <c r="I1417" s="12">
        <v>6.04</v>
      </c>
      <c r="J1417" s="12">
        <v>3080.4859999999999</v>
      </c>
      <c r="K1417" s="12">
        <v>3123.3470000000002</v>
      </c>
      <c r="L1417" s="12">
        <v>0.01</v>
      </c>
      <c r="M1417" s="12">
        <v>1E-3</v>
      </c>
      <c r="N1417" s="12">
        <v>100</v>
      </c>
      <c r="O1417" s="12">
        <v>2.7E-2</v>
      </c>
      <c r="P1417" s="12">
        <v>1</v>
      </c>
      <c r="Q1417" s="12">
        <v>0.17599999999999999</v>
      </c>
      <c r="R1417" s="12">
        <v>0.99099999999999999</v>
      </c>
      <c r="U1417" s="12" t="s">
        <v>33</v>
      </c>
      <c r="V1417" s="12" t="s">
        <v>97</v>
      </c>
      <c r="X1417" s="12" t="s">
        <v>40</v>
      </c>
      <c r="Y1417" s="12">
        <f t="shared" si="54"/>
        <v>0.20299999999999999</v>
      </c>
      <c r="Z1417" s="12">
        <f t="shared" si="49"/>
        <v>-0.97299999999999998</v>
      </c>
    </row>
    <row r="1418" spans="1:26" x14ac:dyDescent="0.2">
      <c r="A1418" s="12" t="s">
        <v>112</v>
      </c>
      <c r="B1418" s="12">
        <v>3643.875</v>
      </c>
      <c r="C1418" s="12">
        <v>40.564999999999998</v>
      </c>
      <c r="D1418" s="12">
        <v>154.86000000000001</v>
      </c>
      <c r="E1418" s="12">
        <v>22.093</v>
      </c>
      <c r="F1418" s="12">
        <v>4.0949999999999998</v>
      </c>
      <c r="G1418" s="12">
        <v>2.8050000000000002</v>
      </c>
      <c r="H1418" s="12">
        <v>1.577</v>
      </c>
      <c r="I1418" s="12">
        <v>4.415</v>
      </c>
      <c r="J1418" s="12">
        <v>204.41300000000001</v>
      </c>
      <c r="K1418" s="12">
        <v>223.09</v>
      </c>
      <c r="L1418" s="12">
        <v>8.4000000000000005E-2</v>
      </c>
      <c r="M1418" s="12">
        <v>1E-3</v>
      </c>
      <c r="N1418" s="12">
        <v>100</v>
      </c>
      <c r="O1418" s="12">
        <v>0.13900000000000001</v>
      </c>
      <c r="P1418" s="12">
        <v>0.86599999999999999</v>
      </c>
      <c r="Q1418" s="12">
        <v>3.4000000000000002E-2</v>
      </c>
      <c r="R1418" s="12">
        <v>0.83799999999999997</v>
      </c>
      <c r="U1418" s="12" t="s">
        <v>22</v>
      </c>
      <c r="V1418" s="12" t="s">
        <v>97</v>
      </c>
      <c r="X1418" s="12" t="s">
        <v>40</v>
      </c>
      <c r="Y1418" s="12">
        <f t="shared" si="54"/>
        <v>0.17300000000000001</v>
      </c>
      <c r="Z1418" s="12">
        <f t="shared" ref="Z1418:Z1423" si="55">O1418-P1418</f>
        <v>-0.72699999999999998</v>
      </c>
    </row>
    <row r="1419" spans="1:26" x14ac:dyDescent="0.2">
      <c r="A1419" s="12" t="s">
        <v>112</v>
      </c>
      <c r="B1419" s="12">
        <v>3644</v>
      </c>
      <c r="C1419" s="12">
        <v>32.527000000000001</v>
      </c>
      <c r="D1419" s="12">
        <v>155.91900000000001</v>
      </c>
      <c r="E1419" s="12">
        <v>22.108000000000001</v>
      </c>
      <c r="F1419" s="12">
        <v>3.6859999999999999</v>
      </c>
      <c r="G1419" s="12">
        <v>2.802</v>
      </c>
      <c r="H1419" s="12">
        <v>2.0939999999999999</v>
      </c>
      <c r="I1419" s="12">
        <v>4.4969999999999999</v>
      </c>
      <c r="J1419" s="12">
        <v>226.35499999999999</v>
      </c>
      <c r="K1419" s="12">
        <v>254.16800000000001</v>
      </c>
      <c r="L1419" s="12">
        <v>8.7999999999999995E-2</v>
      </c>
      <c r="M1419" s="12">
        <v>1E-3</v>
      </c>
      <c r="N1419" s="12">
        <v>100</v>
      </c>
      <c r="O1419" s="12">
        <v>8.8999999999999996E-2</v>
      </c>
      <c r="P1419" s="12">
        <v>0.91400000000000003</v>
      </c>
      <c r="Q1419" s="12">
        <v>4.7E-2</v>
      </c>
      <c r="R1419" s="12">
        <v>0.82899999999999996</v>
      </c>
      <c r="U1419" s="12" t="s">
        <v>22</v>
      </c>
      <c r="V1419" s="12" t="s">
        <v>97</v>
      </c>
      <c r="X1419" s="12" t="s">
        <v>40</v>
      </c>
      <c r="Y1419" s="12">
        <f t="shared" si="54"/>
        <v>0.13600000000000001</v>
      </c>
      <c r="Z1419" s="12">
        <f t="shared" si="55"/>
        <v>-0.82500000000000007</v>
      </c>
    </row>
    <row r="1420" spans="1:26" x14ac:dyDescent="0.2">
      <c r="A1420" s="12" t="s">
        <v>112</v>
      </c>
      <c r="B1420" s="12">
        <v>3644.125</v>
      </c>
      <c r="C1420" s="12">
        <v>30.93</v>
      </c>
      <c r="D1420" s="12">
        <v>157.45599999999999</v>
      </c>
      <c r="E1420" s="12">
        <v>22.088000000000001</v>
      </c>
      <c r="F1420" s="12">
        <v>3.6230000000000002</v>
      </c>
      <c r="G1420" s="12">
        <v>2.7959999999999998</v>
      </c>
      <c r="H1420" s="12">
        <v>3.1080000000000001</v>
      </c>
      <c r="I1420" s="12">
        <v>4.5590000000000002</v>
      </c>
      <c r="J1420" s="12">
        <v>235.69900000000001</v>
      </c>
      <c r="K1420" s="12">
        <v>259.31900000000002</v>
      </c>
      <c r="L1420" s="12">
        <v>8.8999999999999996E-2</v>
      </c>
      <c r="M1420" s="12">
        <v>1E-3</v>
      </c>
      <c r="N1420" s="12">
        <v>100</v>
      </c>
      <c r="O1420" s="12">
        <v>7.9000000000000001E-2</v>
      </c>
      <c r="P1420" s="12">
        <v>0.95</v>
      </c>
      <c r="Q1420" s="12">
        <v>6.5000000000000002E-2</v>
      </c>
      <c r="R1420" s="12">
        <v>0.81100000000000005</v>
      </c>
      <c r="U1420" s="12" t="s">
        <v>22</v>
      </c>
      <c r="V1420" s="12" t="s">
        <v>97</v>
      </c>
      <c r="X1420" s="12" t="s">
        <v>40</v>
      </c>
      <c r="Y1420" s="12">
        <f t="shared" si="54"/>
        <v>0.14400000000000002</v>
      </c>
      <c r="Z1420" s="12">
        <f t="shared" si="55"/>
        <v>-0.871</v>
      </c>
    </row>
    <row r="1421" spans="1:26" x14ac:dyDescent="0.2">
      <c r="A1421" s="12" t="s">
        <v>112</v>
      </c>
      <c r="B1421" s="12">
        <v>3644.25</v>
      </c>
      <c r="C1421" s="12">
        <v>30.585000000000001</v>
      </c>
      <c r="D1421" s="12">
        <v>159.18600000000001</v>
      </c>
      <c r="E1421" s="12">
        <v>21.995999999999999</v>
      </c>
      <c r="F1421" s="12">
        <v>3.5259999999999998</v>
      </c>
      <c r="G1421" s="12">
        <v>2.7879999999999998</v>
      </c>
      <c r="H1421" s="12">
        <v>4.6660000000000004</v>
      </c>
      <c r="I1421" s="12">
        <v>4.6230000000000002</v>
      </c>
      <c r="J1421" s="12">
        <v>209.452</v>
      </c>
      <c r="K1421" s="12">
        <v>230.06899999999999</v>
      </c>
      <c r="L1421" s="12">
        <v>0.49</v>
      </c>
      <c r="M1421" s="12">
        <v>1E-3</v>
      </c>
      <c r="N1421" s="12">
        <v>100</v>
      </c>
      <c r="O1421" s="12">
        <v>7.6999999999999999E-2</v>
      </c>
      <c r="P1421" s="12">
        <v>0.98799999999999999</v>
      </c>
      <c r="Q1421" s="12">
        <v>8.5000000000000006E-2</v>
      </c>
      <c r="R1421" s="12">
        <v>0.78700000000000003</v>
      </c>
      <c r="U1421" s="12" t="s">
        <v>22</v>
      </c>
      <c r="V1421" s="12" t="s">
        <v>97</v>
      </c>
      <c r="X1421" s="12" t="s">
        <v>40</v>
      </c>
      <c r="Y1421" s="12">
        <f t="shared" si="54"/>
        <v>0.16200000000000001</v>
      </c>
      <c r="Z1421" s="12">
        <f t="shared" si="55"/>
        <v>-0.91100000000000003</v>
      </c>
    </row>
    <row r="1422" spans="1:26" x14ac:dyDescent="0.2">
      <c r="A1422" s="12" t="s">
        <v>112</v>
      </c>
      <c r="B1422" s="12">
        <v>3644.375</v>
      </c>
      <c r="C1422" s="12">
        <v>29.361999999999998</v>
      </c>
      <c r="D1422" s="12">
        <v>160.92599999999999</v>
      </c>
      <c r="E1422" s="12">
        <v>21.896999999999998</v>
      </c>
      <c r="F1422" s="12">
        <v>3.2010000000000001</v>
      </c>
      <c r="G1422" s="12">
        <v>2.7770000000000001</v>
      </c>
      <c r="H1422" s="12">
        <v>6.9390000000000001</v>
      </c>
      <c r="I1422" s="12">
        <v>4.6440000000000001</v>
      </c>
      <c r="J1422" s="12">
        <v>157.953</v>
      </c>
      <c r="K1422" s="12">
        <v>173.501</v>
      </c>
      <c r="L1422" s="12">
        <v>2.2970000000000002</v>
      </c>
      <c r="M1422" s="12">
        <v>1E-3</v>
      </c>
      <c r="N1422" s="12">
        <v>44.042999999999999</v>
      </c>
      <c r="O1422" s="12">
        <v>7.0000000000000007E-2</v>
      </c>
      <c r="P1422" s="12">
        <v>1</v>
      </c>
      <c r="Q1422" s="12">
        <v>0.106</v>
      </c>
      <c r="R1422" s="12">
        <v>0.753</v>
      </c>
      <c r="U1422" s="12" t="s">
        <v>22</v>
      </c>
      <c r="V1422" s="12" t="s">
        <v>97</v>
      </c>
      <c r="X1422" s="12" t="s">
        <v>40</v>
      </c>
      <c r="Y1422" s="12">
        <f t="shared" si="54"/>
        <v>0.17599999999999999</v>
      </c>
      <c r="Z1422" s="12">
        <f t="shared" si="55"/>
        <v>-0.92999999999999994</v>
      </c>
    </row>
    <row r="1423" spans="1:26" x14ac:dyDescent="0.2">
      <c r="A1423" s="12" t="s">
        <v>112</v>
      </c>
      <c r="B1423" s="12">
        <v>3644.5</v>
      </c>
      <c r="C1423" s="12">
        <v>27.128</v>
      </c>
      <c r="D1423" s="12">
        <v>162.50899999999999</v>
      </c>
      <c r="E1423" s="12">
        <v>21.864000000000001</v>
      </c>
      <c r="F1423" s="12">
        <v>2.6440000000000001</v>
      </c>
      <c r="G1423" s="12">
        <v>2.7650000000000001</v>
      </c>
      <c r="H1423" s="12">
        <v>9.8010000000000002</v>
      </c>
      <c r="I1423" s="12">
        <v>4.5030000000000001</v>
      </c>
      <c r="J1423" s="12">
        <v>102.66500000000001</v>
      </c>
      <c r="K1423" s="12">
        <v>112.771</v>
      </c>
      <c r="L1423" s="12">
        <v>4.5519999999999996</v>
      </c>
      <c r="M1423" s="12">
        <v>2.5000000000000001E-2</v>
      </c>
      <c r="N1423" s="12">
        <v>24.917000000000002</v>
      </c>
      <c r="O1423" s="12">
        <v>5.6000000000000001E-2</v>
      </c>
      <c r="P1423" s="12">
        <v>0.91700000000000004</v>
      </c>
      <c r="Q1423" s="12">
        <v>0.125</v>
      </c>
      <c r="R1423" s="12">
        <v>0.71599999999999997</v>
      </c>
      <c r="U1423" s="12" t="s">
        <v>22</v>
      </c>
      <c r="V1423" s="12" t="s">
        <v>97</v>
      </c>
      <c r="X1423" s="12" t="s">
        <v>40</v>
      </c>
      <c r="Y1423" s="12">
        <f t="shared" si="54"/>
        <v>0.18099999999999999</v>
      </c>
      <c r="Z1423" s="12">
        <f t="shared" si="55"/>
        <v>-0.86099999999999999</v>
      </c>
    </row>
    <row r="1424" spans="1:26" x14ac:dyDescent="0.2">
      <c r="A1424" s="12" t="s">
        <v>117</v>
      </c>
      <c r="B1424" s="12">
        <v>3450</v>
      </c>
      <c r="C1424" s="12">
        <v>22.986000000000001</v>
      </c>
      <c r="D1424" s="12">
        <v>172.98599999999999</v>
      </c>
      <c r="E1424" s="12">
        <v>22.292000000000002</v>
      </c>
      <c r="F1424" s="12">
        <v>1.528</v>
      </c>
      <c r="G1424" s="12">
        <v>2.9350000000000001</v>
      </c>
      <c r="H1424" s="12">
        <v>1.464</v>
      </c>
      <c r="I1424" s="12">
        <v>5.4020000000000001</v>
      </c>
      <c r="J1424" s="12">
        <v>4094.4470000000001</v>
      </c>
      <c r="K1424" s="12">
        <v>4068.33</v>
      </c>
      <c r="L1424" s="12">
        <v>0.01</v>
      </c>
      <c r="M1424" s="12">
        <v>1E-3</v>
      </c>
      <c r="N1424" s="12">
        <v>100</v>
      </c>
      <c r="O1424" s="12">
        <v>1.2999999999999999E-2</v>
      </c>
      <c r="P1424" s="12">
        <v>0.82099999999999995</v>
      </c>
      <c r="Q1424" s="12">
        <v>0.17699999999999999</v>
      </c>
      <c r="R1424" s="12">
        <v>1</v>
      </c>
      <c r="U1424" s="12" t="s">
        <v>33</v>
      </c>
      <c r="V1424" s="12" t="s">
        <v>97</v>
      </c>
      <c r="X1424" s="12" t="s">
        <v>40</v>
      </c>
      <c r="Y1424" s="12">
        <f t="shared" si="54"/>
        <v>0.19</v>
      </c>
      <c r="Z1424" s="12">
        <f t="shared" si="49"/>
        <v>-0.80799999999999994</v>
      </c>
    </row>
    <row r="1425" spans="1:26" x14ac:dyDescent="0.2">
      <c r="A1425" s="9" t="s">
        <v>81</v>
      </c>
      <c r="B1425" s="9">
        <v>3398.625</v>
      </c>
      <c r="C1425" s="9">
        <v>18.074000000000002</v>
      </c>
      <c r="D1425" s="9">
        <v>21.861999999999998</v>
      </c>
      <c r="E1425" s="9">
        <v>1.659</v>
      </c>
      <c r="F1425" s="9">
        <v>168.60300000000001</v>
      </c>
      <c r="G1425" s="9">
        <v>2.9289999999999998</v>
      </c>
      <c r="H1425" s="9">
        <v>2.94</v>
      </c>
      <c r="I1425" s="9">
        <v>5.0209999999999999</v>
      </c>
      <c r="J1425" s="9">
        <v>1353.954</v>
      </c>
      <c r="K1425" s="9">
        <v>1313.373</v>
      </c>
      <c r="L1425" s="9">
        <v>8.6999999999999994E-2</v>
      </c>
      <c r="M1425" s="9">
        <v>0.1</v>
      </c>
      <c r="N1425" s="9">
        <v>100</v>
      </c>
      <c r="O1425" s="9">
        <v>5.6000000000000001E-2</v>
      </c>
      <c r="P1425" s="9">
        <v>0.70199999999999996</v>
      </c>
      <c r="Q1425" s="9">
        <v>0.222</v>
      </c>
      <c r="R1425" s="9">
        <v>0.94599999999999995</v>
      </c>
      <c r="S1425" s="9">
        <v>9.5000000000000001E-2</v>
      </c>
      <c r="T1425" s="9"/>
      <c r="U1425" s="9" t="s">
        <v>33</v>
      </c>
      <c r="V1425" s="9" t="s">
        <v>96</v>
      </c>
      <c r="W1425" s="9">
        <v>8</v>
      </c>
      <c r="X1425" s="9"/>
      <c r="Y1425" s="12">
        <f t="shared" si="54"/>
        <v>0.27800000000000002</v>
      </c>
      <c r="Z1425" s="9">
        <v>-0.64599999999999991</v>
      </c>
    </row>
    <row r="1426" spans="1:26" x14ac:dyDescent="0.2">
      <c r="A1426" s="9" t="s">
        <v>81</v>
      </c>
      <c r="B1426" s="9">
        <v>3398.75</v>
      </c>
      <c r="C1426" s="9">
        <v>21.292000000000002</v>
      </c>
      <c r="D1426" s="9">
        <v>21.83</v>
      </c>
      <c r="E1426" s="9">
        <v>1.724</v>
      </c>
      <c r="F1426" s="9">
        <v>169.03</v>
      </c>
      <c r="G1426" s="9">
        <v>2.9249999999999998</v>
      </c>
      <c r="H1426" s="9">
        <v>3</v>
      </c>
      <c r="I1426" s="9">
        <v>5.0220000000000002</v>
      </c>
      <c r="J1426" s="9">
        <v>1123.4269999999999</v>
      </c>
      <c r="K1426" s="9">
        <v>1077.7139999999999</v>
      </c>
      <c r="L1426" s="9">
        <v>8.5999999999999993E-2</v>
      </c>
      <c r="M1426" s="9">
        <v>0.1</v>
      </c>
      <c r="N1426" s="9">
        <v>100</v>
      </c>
      <c r="O1426" s="9">
        <v>8.1000000000000003E-2</v>
      </c>
      <c r="P1426" s="9">
        <v>0.70299999999999996</v>
      </c>
      <c r="Q1426" s="9">
        <v>0.22700000000000001</v>
      </c>
      <c r="R1426" s="9">
        <v>0.93600000000000005</v>
      </c>
      <c r="S1426" s="9">
        <v>9.8000000000000004E-2</v>
      </c>
      <c r="T1426" s="9"/>
      <c r="U1426" s="9" t="s">
        <v>33</v>
      </c>
      <c r="V1426" s="9" t="s">
        <v>96</v>
      </c>
      <c r="W1426" s="9">
        <v>8</v>
      </c>
      <c r="X1426" s="9"/>
      <c r="Y1426" s="12">
        <f t="shared" si="54"/>
        <v>0.308</v>
      </c>
      <c r="Z1426" s="9">
        <v>-0.622</v>
      </c>
    </row>
    <row r="1427" spans="1:26" x14ac:dyDescent="0.2">
      <c r="A1427" s="9" t="s">
        <v>81</v>
      </c>
      <c r="B1427" s="9">
        <v>3398.875</v>
      </c>
      <c r="C1427" s="9">
        <v>23.472000000000001</v>
      </c>
      <c r="D1427" s="9">
        <v>21.812999999999999</v>
      </c>
      <c r="E1427" s="9">
        <v>1.861</v>
      </c>
      <c r="F1427" s="9">
        <v>169.21199999999999</v>
      </c>
      <c r="G1427" s="9">
        <v>2.923</v>
      </c>
      <c r="H1427" s="9">
        <v>3.1160000000000001</v>
      </c>
      <c r="I1427" s="9">
        <v>4.9729999999999999</v>
      </c>
      <c r="J1427" s="9">
        <v>1166.059</v>
      </c>
      <c r="K1427" s="9">
        <v>1157.5909999999999</v>
      </c>
      <c r="L1427" s="9">
        <v>8.6999999999999994E-2</v>
      </c>
      <c r="M1427" s="9">
        <v>0.1</v>
      </c>
      <c r="N1427" s="9">
        <v>100</v>
      </c>
      <c r="O1427" s="9">
        <v>9.8000000000000004E-2</v>
      </c>
      <c r="P1427" s="9">
        <v>0.68799999999999994</v>
      </c>
      <c r="Q1427" s="9">
        <v>0.22900000000000001</v>
      </c>
      <c r="R1427" s="9">
        <v>0.93100000000000005</v>
      </c>
      <c r="S1427" s="9">
        <v>0.105</v>
      </c>
      <c r="T1427" s="9"/>
      <c r="U1427" s="9" t="s">
        <v>33</v>
      </c>
      <c r="V1427" s="9" t="s">
        <v>96</v>
      </c>
      <c r="W1427" s="9">
        <v>8</v>
      </c>
      <c r="X1427" s="9"/>
      <c r="Y1427" s="12">
        <f t="shared" si="54"/>
        <v>0.32700000000000001</v>
      </c>
      <c r="Z1427" s="9">
        <v>-0.59</v>
      </c>
    </row>
    <row r="1428" spans="1:26" x14ac:dyDescent="0.2">
      <c r="A1428" s="9" t="s">
        <v>81</v>
      </c>
      <c r="B1428" s="9">
        <v>3399</v>
      </c>
      <c r="C1428" s="9">
        <v>22.914999999999999</v>
      </c>
      <c r="D1428" s="9">
        <v>21.812000000000001</v>
      </c>
      <c r="E1428" s="9">
        <v>1.976</v>
      </c>
      <c r="F1428" s="9">
        <v>169.25299999999999</v>
      </c>
      <c r="G1428" s="9">
        <v>2.9220000000000002</v>
      </c>
      <c r="H1428" s="9">
        <v>2.7229999999999999</v>
      </c>
      <c r="I1428" s="9">
        <v>4.9859999999999998</v>
      </c>
      <c r="J1428" s="9">
        <v>1595.3030000000001</v>
      </c>
      <c r="K1428" s="9">
        <v>1699.98</v>
      </c>
      <c r="L1428" s="9">
        <v>8.6999999999999994E-2</v>
      </c>
      <c r="M1428" s="9">
        <v>0.1</v>
      </c>
      <c r="N1428" s="9">
        <v>100</v>
      </c>
      <c r="O1428" s="9">
        <v>9.4E-2</v>
      </c>
      <c r="P1428" s="9">
        <v>0.69199999999999995</v>
      </c>
      <c r="Q1428" s="9">
        <v>0.22900000000000001</v>
      </c>
      <c r="R1428" s="9">
        <v>0.92900000000000005</v>
      </c>
      <c r="S1428" s="9">
        <v>8.3000000000000004E-2</v>
      </c>
      <c r="T1428" s="9"/>
      <c r="U1428" s="9" t="s">
        <v>33</v>
      </c>
      <c r="V1428" s="9" t="s">
        <v>96</v>
      </c>
      <c r="W1428" s="9">
        <v>8</v>
      </c>
      <c r="X1428" s="9"/>
      <c r="Y1428" s="12">
        <f t="shared" si="54"/>
        <v>0.32300000000000001</v>
      </c>
      <c r="Z1428" s="9">
        <v>-0.59799999999999998</v>
      </c>
    </row>
    <row r="1429" spans="1:26" x14ac:dyDescent="0.2">
      <c r="A1429" s="9" t="s">
        <v>81</v>
      </c>
      <c r="B1429" s="9">
        <v>3399.125</v>
      </c>
      <c r="C1429" s="9">
        <v>19.815999999999999</v>
      </c>
      <c r="D1429" s="9">
        <v>21.82</v>
      </c>
      <c r="E1429" s="9">
        <v>2.0550000000000002</v>
      </c>
      <c r="F1429" s="9">
        <v>169.327</v>
      </c>
      <c r="G1429" s="9">
        <v>2.923</v>
      </c>
      <c r="H1429" s="9">
        <v>2.0489999999999999</v>
      </c>
      <c r="I1429" s="9">
        <v>5.0049999999999999</v>
      </c>
      <c r="J1429" s="9">
        <v>2474.2240000000002</v>
      </c>
      <c r="K1429" s="9">
        <v>2793.1080000000002</v>
      </c>
      <c r="L1429" s="9">
        <v>8.7999999999999995E-2</v>
      </c>
      <c r="M1429" s="9">
        <v>0.1</v>
      </c>
      <c r="N1429" s="9">
        <v>100</v>
      </c>
      <c r="O1429" s="9">
        <v>7.0000000000000007E-2</v>
      </c>
      <c r="P1429" s="9">
        <v>0.69799999999999995</v>
      </c>
      <c r="Q1429" s="9">
        <v>0.23</v>
      </c>
      <c r="R1429" s="9">
        <v>0.93100000000000005</v>
      </c>
      <c r="S1429" s="9">
        <v>4.4999999999999998E-2</v>
      </c>
      <c r="T1429" s="9"/>
      <c r="U1429" s="9" t="s">
        <v>33</v>
      </c>
      <c r="V1429" s="9" t="s">
        <v>96</v>
      </c>
      <c r="W1429" s="9">
        <v>8</v>
      </c>
      <c r="X1429" s="9"/>
      <c r="Y1429" s="12">
        <f t="shared" si="54"/>
        <v>0.30000000000000004</v>
      </c>
      <c r="Z1429" s="9">
        <v>-0.62799999999999989</v>
      </c>
    </row>
    <row r="1430" spans="1:26" x14ac:dyDescent="0.2">
      <c r="A1430" s="9" t="s">
        <v>81</v>
      </c>
      <c r="B1430" s="9">
        <v>3399.25</v>
      </c>
      <c r="C1430" s="9">
        <v>16.216999999999999</v>
      </c>
      <c r="D1430" s="9">
        <v>21.83</v>
      </c>
      <c r="E1430" s="9">
        <v>2.1970000000000001</v>
      </c>
      <c r="F1430" s="9">
        <v>169.46100000000001</v>
      </c>
      <c r="G1430" s="9">
        <v>2.927</v>
      </c>
      <c r="H1430" s="9">
        <v>1.5329999999999999</v>
      </c>
      <c r="I1430" s="9">
        <v>4.9779999999999998</v>
      </c>
      <c r="J1430" s="9">
        <v>3518.3</v>
      </c>
      <c r="K1430" s="9">
        <v>4079.873</v>
      </c>
      <c r="L1430" s="9">
        <v>8.8999999999999996E-2</v>
      </c>
      <c r="M1430" s="9">
        <v>0.1</v>
      </c>
      <c r="N1430" s="9">
        <v>100</v>
      </c>
      <c r="O1430" s="9">
        <v>4.1000000000000002E-2</v>
      </c>
      <c r="P1430" s="9">
        <v>0.68899999999999995</v>
      </c>
      <c r="Q1430" s="9">
        <v>0.23100000000000001</v>
      </c>
      <c r="R1430" s="9">
        <v>0.94099999999999995</v>
      </c>
      <c r="S1430" s="9">
        <v>1.7000000000000001E-2</v>
      </c>
      <c r="T1430" s="9"/>
      <c r="U1430" s="9" t="s">
        <v>33</v>
      </c>
      <c r="V1430" s="9" t="s">
        <v>96</v>
      </c>
      <c r="W1430" s="9">
        <v>8</v>
      </c>
      <c r="X1430" s="9"/>
      <c r="Y1430" s="12">
        <f t="shared" si="54"/>
        <v>0.27200000000000002</v>
      </c>
      <c r="Z1430" s="9">
        <v>-0.64799999999999991</v>
      </c>
    </row>
    <row r="1431" spans="1:26" x14ac:dyDescent="0.2">
      <c r="A1431" s="9" t="s">
        <v>81</v>
      </c>
      <c r="B1431" s="9">
        <v>3399.375</v>
      </c>
      <c r="C1431" s="9">
        <v>14.718999999999999</v>
      </c>
      <c r="D1431" s="9">
        <v>21.835999999999999</v>
      </c>
      <c r="E1431" s="9">
        <v>2.339</v>
      </c>
      <c r="F1431" s="9">
        <v>169.596</v>
      </c>
      <c r="G1431" s="9">
        <v>2.9329999999999998</v>
      </c>
      <c r="H1431" s="9">
        <v>1.429</v>
      </c>
      <c r="I1431" s="9">
        <v>4.9800000000000004</v>
      </c>
      <c r="J1431" s="9">
        <v>4243.07</v>
      </c>
      <c r="K1431" s="9">
        <v>4984.643</v>
      </c>
      <c r="L1431" s="9">
        <v>0.09</v>
      </c>
      <c r="M1431" s="9">
        <v>0.1</v>
      </c>
      <c r="N1431" s="9">
        <v>100</v>
      </c>
      <c r="O1431" s="9">
        <v>2.9000000000000001E-2</v>
      </c>
      <c r="P1431" s="9">
        <v>0.69</v>
      </c>
      <c r="Q1431" s="9">
        <v>0.23300000000000001</v>
      </c>
      <c r="R1431" s="9">
        <v>0.95599999999999996</v>
      </c>
      <c r="S1431" s="9">
        <v>1.0999999999999999E-2</v>
      </c>
      <c r="T1431" s="9"/>
      <c r="U1431" s="9" t="s">
        <v>33</v>
      </c>
      <c r="V1431" s="9" t="s">
        <v>96</v>
      </c>
      <c r="W1431" s="9">
        <v>8</v>
      </c>
      <c r="X1431" s="9"/>
      <c r="Y1431" s="12">
        <f t="shared" si="54"/>
        <v>0.26200000000000001</v>
      </c>
      <c r="Z1431" s="9">
        <v>-0.66099999999999992</v>
      </c>
    </row>
    <row r="1432" spans="1:26" x14ac:dyDescent="0.2">
      <c r="A1432" s="9" t="s">
        <v>81</v>
      </c>
      <c r="B1432" s="9">
        <v>3399.5</v>
      </c>
      <c r="C1432" s="9">
        <v>16.239999999999998</v>
      </c>
      <c r="D1432" s="9">
        <v>21.838000000000001</v>
      </c>
      <c r="E1432" s="9">
        <v>2.419</v>
      </c>
      <c r="F1432" s="9">
        <v>169.86</v>
      </c>
      <c r="G1432" s="9">
        <v>2.9369999999999998</v>
      </c>
      <c r="H1432" s="9">
        <v>1.7310000000000001</v>
      </c>
      <c r="I1432" s="9">
        <v>5.0650000000000004</v>
      </c>
      <c r="J1432" s="9">
        <v>4426.9399999999996</v>
      </c>
      <c r="K1432" s="9">
        <v>5259.6850000000004</v>
      </c>
      <c r="L1432" s="9">
        <v>9.0999999999999998E-2</v>
      </c>
      <c r="M1432" s="9">
        <v>0.1</v>
      </c>
      <c r="N1432" s="9">
        <v>100</v>
      </c>
      <c r="O1432" s="9">
        <v>4.1000000000000002E-2</v>
      </c>
      <c r="P1432" s="9">
        <v>0.71599999999999997</v>
      </c>
      <c r="Q1432" s="9">
        <v>0.23599999999999999</v>
      </c>
      <c r="R1432" s="9">
        <v>0.96599999999999997</v>
      </c>
      <c r="S1432" s="9">
        <v>2.8000000000000001E-2</v>
      </c>
      <c r="T1432" s="9"/>
      <c r="U1432" s="9" t="s">
        <v>33</v>
      </c>
      <c r="V1432" s="9" t="s">
        <v>96</v>
      </c>
      <c r="W1432" s="9">
        <v>8</v>
      </c>
      <c r="X1432" s="9"/>
      <c r="Y1432" s="12">
        <f t="shared" si="54"/>
        <v>0.27699999999999997</v>
      </c>
      <c r="Z1432" s="9">
        <v>-0.67499999999999993</v>
      </c>
    </row>
    <row r="1433" spans="1:26" x14ac:dyDescent="0.2">
      <c r="A1433" s="9" t="s">
        <v>81</v>
      </c>
      <c r="B1433" s="9">
        <v>3399.625</v>
      </c>
      <c r="C1433" s="9">
        <v>19.79</v>
      </c>
      <c r="D1433" s="9">
        <v>21.853000000000002</v>
      </c>
      <c r="E1433" s="9">
        <v>2.4159999999999999</v>
      </c>
      <c r="F1433" s="9">
        <v>170.24799999999999</v>
      </c>
      <c r="G1433" s="9">
        <v>2.9359999999999999</v>
      </c>
      <c r="H1433" s="9">
        <v>2.331</v>
      </c>
      <c r="I1433" s="9">
        <v>5.2130000000000001</v>
      </c>
      <c r="J1433" s="9">
        <v>4322.7849999999999</v>
      </c>
      <c r="K1433" s="9">
        <v>5231.1549999999997</v>
      </c>
      <c r="L1433" s="9">
        <v>9.1999999999999998E-2</v>
      </c>
      <c r="M1433" s="9">
        <v>0.1</v>
      </c>
      <c r="N1433" s="9">
        <v>100</v>
      </c>
      <c r="O1433" s="9">
        <v>6.9000000000000006E-2</v>
      </c>
      <c r="P1433" s="9">
        <v>0.76</v>
      </c>
      <c r="Q1433" s="9">
        <v>0.24</v>
      </c>
      <c r="R1433" s="9">
        <v>0.96299999999999997</v>
      </c>
      <c r="S1433" s="9">
        <v>6.0999999999999999E-2</v>
      </c>
      <c r="T1433" s="9"/>
      <c r="U1433" s="9" t="s">
        <v>33</v>
      </c>
      <c r="V1433" s="9" t="s">
        <v>96</v>
      </c>
      <c r="W1433" s="9">
        <v>8</v>
      </c>
      <c r="X1433" s="9"/>
      <c r="Y1433" s="12">
        <f t="shared" si="54"/>
        <v>0.309</v>
      </c>
      <c r="Z1433" s="9">
        <v>-0.69100000000000006</v>
      </c>
    </row>
    <row r="1434" spans="1:26" x14ac:dyDescent="0.2">
      <c r="A1434" s="9" t="s">
        <v>81</v>
      </c>
      <c r="B1434" s="9">
        <v>3399.75</v>
      </c>
      <c r="C1434" s="9">
        <v>22.29</v>
      </c>
      <c r="D1434" s="9">
        <v>21.879000000000001</v>
      </c>
      <c r="E1434" s="9">
        <v>2.403</v>
      </c>
      <c r="F1434" s="9">
        <v>170.43899999999999</v>
      </c>
      <c r="G1434" s="9">
        <v>2.9289999999999998</v>
      </c>
      <c r="H1434" s="9">
        <v>2.9449999999999998</v>
      </c>
      <c r="I1434" s="9">
        <v>5.266</v>
      </c>
      <c r="J1434" s="9">
        <v>4607.0360000000001</v>
      </c>
      <c r="K1434" s="9">
        <v>5854.3509999999997</v>
      </c>
      <c r="L1434" s="9">
        <v>9.0999999999999998E-2</v>
      </c>
      <c r="M1434" s="9">
        <v>0.1</v>
      </c>
      <c r="N1434" s="9">
        <v>100</v>
      </c>
      <c r="O1434" s="9">
        <v>8.8999999999999996E-2</v>
      </c>
      <c r="P1434" s="9">
        <v>0.77600000000000002</v>
      </c>
      <c r="Q1434" s="9">
        <v>0.24299999999999999</v>
      </c>
      <c r="R1434" s="9">
        <v>0.94599999999999995</v>
      </c>
      <c r="S1434" s="9">
        <v>9.5000000000000001E-2</v>
      </c>
      <c r="T1434" s="9"/>
      <c r="U1434" s="9" t="s">
        <v>33</v>
      </c>
      <c r="V1434" s="9" t="s">
        <v>96</v>
      </c>
      <c r="W1434" s="9">
        <v>8</v>
      </c>
      <c r="X1434" s="9"/>
      <c r="Y1434" s="12">
        <f t="shared" si="54"/>
        <v>0.33199999999999996</v>
      </c>
      <c r="Z1434" s="9">
        <v>-0.68700000000000006</v>
      </c>
    </row>
    <row r="1435" spans="1:26" x14ac:dyDescent="0.2">
      <c r="A1435" s="9" t="s">
        <v>81</v>
      </c>
      <c r="B1435" s="9">
        <v>3399.875</v>
      </c>
      <c r="C1435" s="9">
        <v>21.808</v>
      </c>
      <c r="D1435" s="9">
        <v>21.905000000000001</v>
      </c>
      <c r="E1435" s="9">
        <v>2.415</v>
      </c>
      <c r="F1435" s="9">
        <v>170.06100000000001</v>
      </c>
      <c r="G1435" s="9">
        <v>2.919</v>
      </c>
      <c r="H1435" s="9">
        <v>3.2080000000000002</v>
      </c>
      <c r="I1435" s="9">
        <v>5.0640000000000001</v>
      </c>
      <c r="J1435" s="9">
        <v>6696.7730000000001</v>
      </c>
      <c r="K1435" s="9">
        <v>9596.7860000000001</v>
      </c>
      <c r="L1435" s="9">
        <v>9.0999999999999998E-2</v>
      </c>
      <c r="M1435" s="9">
        <v>0.1</v>
      </c>
      <c r="N1435" s="9">
        <v>100</v>
      </c>
      <c r="O1435" s="9">
        <v>8.5000000000000006E-2</v>
      </c>
      <c r="P1435" s="9">
        <v>0.71499999999999997</v>
      </c>
      <c r="Q1435" s="9">
        <v>0.23799999999999999</v>
      </c>
      <c r="R1435" s="9">
        <v>0.92100000000000004</v>
      </c>
      <c r="S1435" s="9">
        <v>0.11</v>
      </c>
      <c r="T1435" s="9"/>
      <c r="U1435" s="9" t="s">
        <v>33</v>
      </c>
      <c r="V1435" s="9" t="s">
        <v>96</v>
      </c>
      <c r="W1435" s="9">
        <v>8</v>
      </c>
      <c r="X1435" s="9"/>
      <c r="Y1435" s="12">
        <f t="shared" si="54"/>
        <v>0.32300000000000001</v>
      </c>
      <c r="Z1435" s="9">
        <v>-0.63</v>
      </c>
    </row>
    <row r="1436" spans="1:26" x14ac:dyDescent="0.2">
      <c r="A1436" s="9" t="s">
        <v>81</v>
      </c>
      <c r="B1436" s="9">
        <v>3400</v>
      </c>
      <c r="C1436" s="9">
        <v>19.161999999999999</v>
      </c>
      <c r="D1436" s="9">
        <v>21.925000000000001</v>
      </c>
      <c r="E1436" s="9">
        <v>2.431</v>
      </c>
      <c r="F1436" s="9">
        <v>168.53299999999999</v>
      </c>
      <c r="G1436" s="9">
        <v>2.9089999999999998</v>
      </c>
      <c r="H1436" s="9">
        <v>3.0409999999999999</v>
      </c>
      <c r="I1436" s="9">
        <v>4.617</v>
      </c>
      <c r="J1436" s="9">
        <v>11813.111999999999</v>
      </c>
      <c r="K1436" s="9">
        <v>18867.562999999998</v>
      </c>
      <c r="L1436" s="9">
        <v>0.371</v>
      </c>
      <c r="M1436" s="9">
        <v>0.1</v>
      </c>
      <c r="N1436" s="9">
        <v>100</v>
      </c>
      <c r="O1436" s="9">
        <v>6.4000000000000001E-2</v>
      </c>
      <c r="P1436" s="9">
        <v>0.58099999999999996</v>
      </c>
      <c r="Q1436" s="9">
        <v>0.221</v>
      </c>
      <c r="R1436" s="9">
        <v>0.89700000000000002</v>
      </c>
      <c r="S1436" s="9">
        <v>0.1</v>
      </c>
      <c r="T1436" s="9"/>
      <c r="U1436" s="9" t="s">
        <v>33</v>
      </c>
      <c r="V1436" s="9" t="s">
        <v>96</v>
      </c>
      <c r="W1436" s="9">
        <v>8</v>
      </c>
      <c r="X1436" s="9"/>
      <c r="Y1436" s="12">
        <f t="shared" si="54"/>
        <v>0.28500000000000003</v>
      </c>
      <c r="Z1436" s="9">
        <v>-0.5169999999999999</v>
      </c>
    </row>
    <row r="1437" spans="1:26" x14ac:dyDescent="0.2">
      <c r="A1437" s="9" t="s">
        <v>75</v>
      </c>
      <c r="B1437" s="9">
        <v>3876.375</v>
      </c>
      <c r="C1437" s="9">
        <v>45.1</v>
      </c>
      <c r="D1437" s="9">
        <v>22.994</v>
      </c>
      <c r="E1437" s="9">
        <v>3.4769999999999999</v>
      </c>
      <c r="F1437" s="9">
        <v>181.01499999999999</v>
      </c>
      <c r="G1437" s="9">
        <v>2.78</v>
      </c>
      <c r="H1437" s="9">
        <v>8.8800000000000008</v>
      </c>
      <c r="I1437" s="9">
        <v>3.3149999999999999</v>
      </c>
      <c r="J1437" s="9">
        <v>266.31200000000001</v>
      </c>
      <c r="K1437" s="9">
        <v>295.90199999999999</v>
      </c>
      <c r="L1437" s="9">
        <v>0</v>
      </c>
      <c r="M1437" s="9">
        <v>0</v>
      </c>
      <c r="N1437" s="9">
        <v>100</v>
      </c>
      <c r="O1437" s="9">
        <v>0.32800000000000001</v>
      </c>
      <c r="P1437" s="9">
        <v>0.30499999999999999</v>
      </c>
      <c r="Q1437" s="9">
        <v>0.41299999999999998</v>
      </c>
      <c r="R1437" s="9">
        <v>0.73399999999999999</v>
      </c>
      <c r="S1437" s="9">
        <v>0.376</v>
      </c>
      <c r="T1437" s="9"/>
      <c r="U1437" s="9" t="s">
        <v>33</v>
      </c>
      <c r="V1437" s="9" t="s">
        <v>96</v>
      </c>
      <c r="W1437" s="9">
        <v>8</v>
      </c>
      <c r="X1437" s="9" t="s">
        <v>85</v>
      </c>
      <c r="Y1437" s="12">
        <f t="shared" si="54"/>
        <v>0.74099999999999999</v>
      </c>
      <c r="Z1437" s="9">
        <v>2.300000000000002E-2</v>
      </c>
    </row>
    <row r="1438" spans="1:26" x14ac:dyDescent="0.2">
      <c r="A1438" s="9" t="s">
        <v>75</v>
      </c>
      <c r="B1438" s="9">
        <v>3876.5</v>
      </c>
      <c r="C1438" s="9">
        <v>57.707999999999998</v>
      </c>
      <c r="D1438" s="9">
        <v>22.716000000000001</v>
      </c>
      <c r="E1438" s="9">
        <v>2.347</v>
      </c>
      <c r="F1438" s="9">
        <v>178.24</v>
      </c>
      <c r="G1438" s="9">
        <v>2.78</v>
      </c>
      <c r="H1438" s="9">
        <v>9.6940000000000008</v>
      </c>
      <c r="I1438" s="9">
        <v>3.3260000000000001</v>
      </c>
      <c r="J1438" s="9">
        <v>240.208</v>
      </c>
      <c r="K1438" s="9">
        <v>266.89800000000002</v>
      </c>
      <c r="L1438" s="9">
        <v>0</v>
      </c>
      <c r="M1438" s="9">
        <v>0</v>
      </c>
      <c r="N1438" s="9">
        <v>100</v>
      </c>
      <c r="O1438" s="9">
        <v>0.44400000000000001</v>
      </c>
      <c r="P1438" s="9">
        <v>0.31</v>
      </c>
      <c r="Q1438" s="9">
        <v>0.36499999999999999</v>
      </c>
      <c r="R1438" s="9">
        <v>0.73899999999999999</v>
      </c>
      <c r="S1438" s="9">
        <v>0.45400000000000001</v>
      </c>
      <c r="T1438" s="9"/>
      <c r="U1438" s="9" t="s">
        <v>33</v>
      </c>
      <c r="V1438" s="9" t="s">
        <v>96</v>
      </c>
      <c r="W1438" s="9">
        <v>8</v>
      </c>
      <c r="X1438" s="9" t="s">
        <v>85</v>
      </c>
      <c r="Y1438" s="12">
        <f t="shared" si="54"/>
        <v>0.80899999999999994</v>
      </c>
      <c r="Z1438" s="9">
        <v>0.13400000000000001</v>
      </c>
    </row>
    <row r="1439" spans="1:26" x14ac:dyDescent="0.2">
      <c r="A1439" s="9" t="s">
        <v>75</v>
      </c>
      <c r="B1439" s="9">
        <v>3877.5</v>
      </c>
      <c r="C1439" s="9">
        <v>50.991999999999997</v>
      </c>
      <c r="D1439" s="9">
        <v>21.446999999999999</v>
      </c>
      <c r="E1439" s="9">
        <v>3.6019999999999999</v>
      </c>
      <c r="F1439" s="9">
        <v>170.041</v>
      </c>
      <c r="G1439" s="9">
        <v>2.79</v>
      </c>
      <c r="H1439" s="9">
        <v>7.6420000000000003</v>
      </c>
      <c r="I1439" s="9">
        <v>3.4420000000000002</v>
      </c>
      <c r="J1439" s="9">
        <v>322.053</v>
      </c>
      <c r="K1439" s="9">
        <v>357.83699999999999</v>
      </c>
      <c r="L1439" s="9">
        <v>0</v>
      </c>
      <c r="M1439" s="9">
        <v>0</v>
      </c>
      <c r="N1439" s="9">
        <v>100</v>
      </c>
      <c r="O1439" s="9">
        <v>0.4</v>
      </c>
      <c r="P1439" s="9">
        <v>0.38400000000000001</v>
      </c>
      <c r="Q1439" s="9">
        <v>0.28599999999999998</v>
      </c>
      <c r="R1439" s="9">
        <v>0.77</v>
      </c>
      <c r="S1439" s="9">
        <v>0.26800000000000002</v>
      </c>
      <c r="T1439" s="9"/>
      <c r="U1439" s="9" t="s">
        <v>33</v>
      </c>
      <c r="V1439" s="9" t="s">
        <v>98</v>
      </c>
      <c r="W1439" s="9">
        <v>12</v>
      </c>
      <c r="X1439" s="9" t="s">
        <v>85</v>
      </c>
      <c r="Y1439" s="12">
        <f t="shared" si="54"/>
        <v>0.68599999999999994</v>
      </c>
      <c r="Z1439" s="9">
        <v>1.6000000000000014E-2</v>
      </c>
    </row>
    <row r="1440" spans="1:26" x14ac:dyDescent="0.2">
      <c r="A1440" s="9" t="s">
        <v>75</v>
      </c>
      <c r="B1440" s="9">
        <v>3877.625</v>
      </c>
      <c r="C1440" s="9">
        <v>68.524000000000001</v>
      </c>
      <c r="D1440" s="9">
        <v>21.536000000000001</v>
      </c>
      <c r="E1440" s="9">
        <v>4.3689999999999998</v>
      </c>
      <c r="F1440" s="9">
        <v>178.15899999999999</v>
      </c>
      <c r="G1440" s="9">
        <v>2.7770000000000001</v>
      </c>
      <c r="H1440" s="9">
        <v>9.077</v>
      </c>
      <c r="I1440" s="9">
        <v>3.5070000000000001</v>
      </c>
      <c r="J1440" s="9">
        <v>223.386</v>
      </c>
      <c r="K1440" s="9">
        <v>248.20699999999999</v>
      </c>
      <c r="L1440" s="9">
        <v>0</v>
      </c>
      <c r="M1440" s="9">
        <v>0</v>
      </c>
      <c r="N1440" s="9">
        <v>100</v>
      </c>
      <c r="O1440" s="9">
        <v>0.55900000000000005</v>
      </c>
      <c r="P1440" s="9">
        <v>0.42199999999999999</v>
      </c>
      <c r="Q1440" s="9">
        <v>0.40400000000000003</v>
      </c>
      <c r="R1440" s="9">
        <v>0.69499999999999995</v>
      </c>
      <c r="S1440" s="9">
        <v>0.41299999999999998</v>
      </c>
      <c r="T1440" s="9"/>
      <c r="U1440" s="9" t="s">
        <v>33</v>
      </c>
      <c r="V1440" s="9" t="s">
        <v>98</v>
      </c>
      <c r="W1440" s="9">
        <v>12</v>
      </c>
      <c r="X1440" s="9" t="s">
        <v>85</v>
      </c>
      <c r="Y1440" s="12">
        <f t="shared" si="54"/>
        <v>0.96300000000000008</v>
      </c>
      <c r="Z1440" s="9">
        <v>0.13700000000000007</v>
      </c>
    </row>
    <row r="1441" spans="1:26" x14ac:dyDescent="0.2">
      <c r="A1441" s="9" t="s">
        <v>82</v>
      </c>
      <c r="B1441" s="9">
        <v>3855.5</v>
      </c>
      <c r="C1441" s="9">
        <v>36.996000000000002</v>
      </c>
      <c r="D1441" s="9">
        <v>22.071999999999999</v>
      </c>
      <c r="E1441" s="9">
        <v>2.4420000000000002</v>
      </c>
      <c r="F1441" s="9">
        <v>172.86199999999999</v>
      </c>
      <c r="G1441" s="9">
        <v>2.7109999999999999</v>
      </c>
      <c r="H1441" s="9">
        <v>4.798</v>
      </c>
      <c r="I1441" s="9">
        <v>3.0350000000000001</v>
      </c>
      <c r="J1441" s="9">
        <v>169.73</v>
      </c>
      <c r="K1441" s="9">
        <v>249.03</v>
      </c>
      <c r="L1441" s="9">
        <v>0</v>
      </c>
      <c r="M1441" s="9">
        <v>0</v>
      </c>
      <c r="N1441" s="9">
        <v>100</v>
      </c>
      <c r="O1441" s="9">
        <v>0.161</v>
      </c>
      <c r="P1441" s="9">
        <v>0.54600000000000004</v>
      </c>
      <c r="Q1441" s="9">
        <v>0.25</v>
      </c>
      <c r="R1441" s="9">
        <v>0.30599999999999999</v>
      </c>
      <c r="S1441" s="9">
        <v>9.9000000000000005E-2</v>
      </c>
      <c r="T1441" s="9"/>
      <c r="U1441" s="9" t="s">
        <v>22</v>
      </c>
      <c r="V1441" s="9" t="s">
        <v>97</v>
      </c>
      <c r="W1441" s="9">
        <v>4</v>
      </c>
      <c r="X1441" s="9" t="s">
        <v>85</v>
      </c>
      <c r="Y1441" s="12">
        <f t="shared" si="54"/>
        <v>0.41100000000000003</v>
      </c>
      <c r="Z1441" s="9">
        <v>-0.38500000000000001</v>
      </c>
    </row>
    <row r="1442" spans="1:26" x14ac:dyDescent="0.2">
      <c r="A1442" s="9" t="s">
        <v>82</v>
      </c>
      <c r="B1442" s="9">
        <v>3855.625</v>
      </c>
      <c r="C1442" s="9">
        <v>32.198</v>
      </c>
      <c r="D1442" s="9">
        <v>22.073</v>
      </c>
      <c r="E1442" s="9">
        <v>1.9390000000000001</v>
      </c>
      <c r="F1442" s="9">
        <v>171.309</v>
      </c>
      <c r="G1442" s="9">
        <v>2.7120000000000002</v>
      </c>
      <c r="H1442" s="9">
        <v>4.6120000000000001</v>
      </c>
      <c r="I1442" s="9">
        <v>3.0619999999999998</v>
      </c>
      <c r="J1442" s="9">
        <v>145.345</v>
      </c>
      <c r="K1442" s="9">
        <v>208.274</v>
      </c>
      <c r="L1442" s="9">
        <v>0</v>
      </c>
      <c r="M1442" s="9">
        <v>0</v>
      </c>
      <c r="N1442" s="9">
        <v>100</v>
      </c>
      <c r="O1442" s="9">
        <v>0.121</v>
      </c>
      <c r="P1442" s="9">
        <v>0.59299999999999997</v>
      </c>
      <c r="Q1442" s="9">
        <v>0.22800000000000001</v>
      </c>
      <c r="R1442" s="9">
        <v>0.312</v>
      </c>
      <c r="S1442" s="9">
        <v>7.5999999999999998E-2</v>
      </c>
      <c r="T1442" s="9"/>
      <c r="U1442" s="9" t="s">
        <v>22</v>
      </c>
      <c r="V1442" s="9" t="s">
        <v>97</v>
      </c>
      <c r="W1442" s="9">
        <v>4</v>
      </c>
      <c r="X1442" s="9" t="s">
        <v>85</v>
      </c>
      <c r="Y1442" s="12">
        <f t="shared" si="54"/>
        <v>0.34899999999999998</v>
      </c>
      <c r="Z1442" s="9">
        <v>-0.47199999999999998</v>
      </c>
    </row>
    <row r="1443" spans="1:26" x14ac:dyDescent="0.2">
      <c r="A1443" s="9" t="s">
        <v>82</v>
      </c>
      <c r="B1443" s="9">
        <v>3855.75</v>
      </c>
      <c r="C1443" s="9">
        <v>30.065000000000001</v>
      </c>
      <c r="D1443" s="9">
        <v>22.088999999999999</v>
      </c>
      <c r="E1443" s="9">
        <v>1.6830000000000001</v>
      </c>
      <c r="F1443" s="9">
        <v>171.37899999999999</v>
      </c>
      <c r="G1443" s="9">
        <v>2.7090000000000001</v>
      </c>
      <c r="H1443" s="9">
        <v>4.43</v>
      </c>
      <c r="I1443" s="9">
        <v>3.0920000000000001</v>
      </c>
      <c r="J1443" s="9">
        <v>114.181</v>
      </c>
      <c r="K1443" s="9">
        <v>160.316</v>
      </c>
      <c r="L1443" s="9">
        <v>0</v>
      </c>
      <c r="M1443" s="9">
        <v>0</v>
      </c>
      <c r="N1443" s="9">
        <v>100</v>
      </c>
      <c r="O1443" s="9">
        <v>0.10199999999999999</v>
      </c>
      <c r="P1443" s="9">
        <v>0.64800000000000002</v>
      </c>
      <c r="Q1443" s="9">
        <v>0.22600000000000001</v>
      </c>
      <c r="R1443" s="9">
        <v>0.29899999999999999</v>
      </c>
      <c r="S1443" s="9">
        <v>5.1999999999999998E-2</v>
      </c>
      <c r="T1443" s="9"/>
      <c r="U1443" s="9" t="s">
        <v>22</v>
      </c>
      <c r="V1443" s="9" t="s">
        <v>97</v>
      </c>
      <c r="W1443" s="9">
        <v>4</v>
      </c>
      <c r="X1443" s="9" t="s">
        <v>85</v>
      </c>
      <c r="Y1443" s="12">
        <f t="shared" si="54"/>
        <v>0.32800000000000001</v>
      </c>
      <c r="Z1443" s="9">
        <v>-0.54600000000000004</v>
      </c>
    </row>
    <row r="1444" spans="1:26" x14ac:dyDescent="0.2">
      <c r="A1444" s="9" t="s">
        <v>84</v>
      </c>
      <c r="B1444" s="9">
        <v>3922.75</v>
      </c>
      <c r="C1444" s="9">
        <v>34.521000000000001</v>
      </c>
      <c r="D1444" s="9">
        <v>21.81</v>
      </c>
      <c r="E1444" s="9">
        <v>2.8809999999999998</v>
      </c>
      <c r="F1444" s="9">
        <v>160.32599999999999</v>
      </c>
      <c r="G1444" s="9">
        <v>2.762</v>
      </c>
      <c r="H1444" s="9">
        <v>6.0529999999999999</v>
      </c>
      <c r="I1444" s="9">
        <v>3.2360000000000002</v>
      </c>
      <c r="J1444" s="9">
        <v>484.48</v>
      </c>
      <c r="K1444" s="9">
        <v>541.07799999999997</v>
      </c>
      <c r="L1444" s="9">
        <v>1.5680000000000001</v>
      </c>
      <c r="M1444" s="9">
        <v>0.01</v>
      </c>
      <c r="N1444" s="9">
        <v>65.272000000000006</v>
      </c>
      <c r="O1444" s="9">
        <v>0.124</v>
      </c>
      <c r="P1444" s="9">
        <v>0.39</v>
      </c>
      <c r="Q1444" s="9">
        <v>0.2</v>
      </c>
      <c r="R1444" s="9">
        <v>0.76500000000000001</v>
      </c>
      <c r="S1444" s="9">
        <v>0.29099999999999998</v>
      </c>
      <c r="T1444" s="9" t="s">
        <v>23</v>
      </c>
      <c r="U1444" s="9" t="s">
        <v>22</v>
      </c>
      <c r="V1444" s="9" t="s">
        <v>97</v>
      </c>
      <c r="W1444" s="9">
        <v>5</v>
      </c>
      <c r="X1444" s="9" t="s">
        <v>85</v>
      </c>
      <c r="Y1444" s="12">
        <f t="shared" si="54"/>
        <v>0.32400000000000001</v>
      </c>
      <c r="Z1444" s="9">
        <v>-0.26600000000000001</v>
      </c>
    </row>
    <row r="1445" spans="1:26" x14ac:dyDescent="0.2">
      <c r="A1445" s="9" t="s">
        <v>84</v>
      </c>
      <c r="B1445" s="9">
        <v>3922.875</v>
      </c>
      <c r="C1445" s="9">
        <v>35.783999999999999</v>
      </c>
      <c r="D1445" s="9">
        <v>21.774999999999999</v>
      </c>
      <c r="E1445" s="9">
        <v>3.0550000000000002</v>
      </c>
      <c r="F1445" s="9">
        <v>159.15799999999999</v>
      </c>
      <c r="G1445" s="9">
        <v>2.7629999999999999</v>
      </c>
      <c r="H1445" s="9">
        <v>6.0960000000000001</v>
      </c>
      <c r="I1445" s="9">
        <v>3.2309999999999999</v>
      </c>
      <c r="J1445" s="9">
        <v>544.02</v>
      </c>
      <c r="K1445" s="9">
        <v>607.55700000000002</v>
      </c>
      <c r="L1445" s="9">
        <v>1.538</v>
      </c>
      <c r="M1445" s="9">
        <v>0.01</v>
      </c>
      <c r="N1445" s="9">
        <v>63.582999999999998</v>
      </c>
      <c r="O1445" s="9">
        <v>0.13300000000000001</v>
      </c>
      <c r="P1445" s="9">
        <v>0.38300000000000001</v>
      </c>
      <c r="Q1445" s="9">
        <v>0.16300000000000001</v>
      </c>
      <c r="R1445" s="9">
        <v>0.76900000000000002</v>
      </c>
      <c r="S1445" s="9">
        <v>0.29399999999999998</v>
      </c>
      <c r="T1445" s="9" t="s">
        <v>23</v>
      </c>
      <c r="U1445" s="9" t="s">
        <v>22</v>
      </c>
      <c r="V1445" s="9" t="s">
        <v>97</v>
      </c>
      <c r="W1445" s="9">
        <v>5</v>
      </c>
      <c r="X1445" s="9" t="s">
        <v>85</v>
      </c>
      <c r="Y1445" s="12">
        <f t="shared" si="54"/>
        <v>0.29600000000000004</v>
      </c>
      <c r="Z1445" s="9">
        <v>-0.25</v>
      </c>
    </row>
    <row r="1446" spans="1:26" x14ac:dyDescent="0.2">
      <c r="A1446" s="9" t="s">
        <v>84</v>
      </c>
      <c r="B1446" s="9">
        <v>3923</v>
      </c>
      <c r="C1446" s="9">
        <v>38.223999999999997</v>
      </c>
      <c r="D1446" s="9">
        <v>21.751999999999999</v>
      </c>
      <c r="E1446" s="9">
        <v>3.0270000000000001</v>
      </c>
      <c r="F1446" s="9">
        <v>158.399</v>
      </c>
      <c r="G1446" s="9">
        <v>2.7639999999999998</v>
      </c>
      <c r="H1446" s="9">
        <v>6.16</v>
      </c>
      <c r="I1446" s="9">
        <v>3.254</v>
      </c>
      <c r="J1446" s="9">
        <v>656.19200000000001</v>
      </c>
      <c r="K1446" s="9">
        <v>732.83399999999995</v>
      </c>
      <c r="L1446" s="9">
        <v>1.4470000000000001</v>
      </c>
      <c r="M1446" s="9">
        <v>0.01</v>
      </c>
      <c r="N1446" s="9">
        <v>63.786000000000001</v>
      </c>
      <c r="O1446" s="9">
        <v>0.153</v>
      </c>
      <c r="P1446" s="9">
        <v>0.39500000000000002</v>
      </c>
      <c r="Q1446" s="9">
        <v>0.13700000000000001</v>
      </c>
      <c r="R1446" s="9">
        <v>0.77400000000000002</v>
      </c>
      <c r="S1446" s="9">
        <v>0.3</v>
      </c>
      <c r="T1446" s="9" t="s">
        <v>23</v>
      </c>
      <c r="U1446" s="9" t="s">
        <v>22</v>
      </c>
      <c r="V1446" s="9" t="s">
        <v>97</v>
      </c>
      <c r="W1446" s="9">
        <v>5</v>
      </c>
      <c r="X1446" s="9" t="s">
        <v>85</v>
      </c>
      <c r="Y1446" s="12">
        <f t="shared" si="54"/>
        <v>0.29000000000000004</v>
      </c>
      <c r="Z1446" s="9">
        <v>-0.24200000000000002</v>
      </c>
    </row>
    <row r="1447" spans="1:26" x14ac:dyDescent="0.2">
      <c r="A1447" s="9" t="s">
        <v>84</v>
      </c>
      <c r="B1447" s="9">
        <v>3923.125</v>
      </c>
      <c r="C1447" s="9">
        <v>40.451000000000001</v>
      </c>
      <c r="D1447" s="9">
        <v>21.754000000000001</v>
      </c>
      <c r="E1447" s="9">
        <v>2.968</v>
      </c>
      <c r="F1447" s="9">
        <v>158.447</v>
      </c>
      <c r="G1447" s="9">
        <v>2.762</v>
      </c>
      <c r="H1447" s="9">
        <v>6.2210000000000001</v>
      </c>
      <c r="I1447" s="9">
        <v>3.2989999999999999</v>
      </c>
      <c r="J1447" s="9">
        <v>864.226</v>
      </c>
      <c r="K1447" s="9">
        <v>965.178</v>
      </c>
      <c r="L1447" s="9">
        <v>1.3540000000000001</v>
      </c>
      <c r="M1447" s="9">
        <v>0.01</v>
      </c>
      <c r="N1447" s="9">
        <v>64.102000000000004</v>
      </c>
      <c r="O1447" s="9">
        <v>0.17399999999999999</v>
      </c>
      <c r="P1447" s="9">
        <v>0.42299999999999999</v>
      </c>
      <c r="Q1447" s="9">
        <v>0.13300000000000001</v>
      </c>
      <c r="R1447" s="9">
        <v>0.76700000000000002</v>
      </c>
      <c r="S1447" s="9">
        <v>0.30599999999999999</v>
      </c>
      <c r="T1447" s="9" t="s">
        <v>23</v>
      </c>
      <c r="U1447" s="9" t="s">
        <v>22</v>
      </c>
      <c r="V1447" s="9" t="s">
        <v>97</v>
      </c>
      <c r="W1447" s="9">
        <v>5</v>
      </c>
      <c r="X1447" s="9" t="s">
        <v>85</v>
      </c>
      <c r="Y1447" s="12">
        <f t="shared" si="54"/>
        <v>0.307</v>
      </c>
      <c r="Z1447" s="9">
        <v>-0.249</v>
      </c>
    </row>
    <row r="1448" spans="1:26" x14ac:dyDescent="0.2">
      <c r="A1448" s="9" t="s">
        <v>84</v>
      </c>
      <c r="B1448" s="9">
        <v>3923.25</v>
      </c>
      <c r="C1448" s="9">
        <v>44.222000000000001</v>
      </c>
      <c r="D1448" s="9">
        <v>21.783999999999999</v>
      </c>
      <c r="E1448" s="9">
        <v>2.9319999999999999</v>
      </c>
      <c r="F1448" s="9">
        <v>159.44900000000001</v>
      </c>
      <c r="G1448" s="9">
        <v>2.7589999999999999</v>
      </c>
      <c r="H1448" s="9">
        <v>6.2809999999999997</v>
      </c>
      <c r="I1448" s="9">
        <v>3.3519999999999999</v>
      </c>
      <c r="J1448" s="9">
        <v>1153.9580000000001</v>
      </c>
      <c r="K1448" s="9">
        <v>1288.7809999999999</v>
      </c>
      <c r="L1448" s="9">
        <v>1.258</v>
      </c>
      <c r="M1448" s="9">
        <v>0.01</v>
      </c>
      <c r="N1448" s="9">
        <v>66.912999999999997</v>
      </c>
      <c r="O1448" s="9">
        <v>0.20599999999999999</v>
      </c>
      <c r="P1448" s="9">
        <v>0.45900000000000002</v>
      </c>
      <c r="Q1448" s="9">
        <v>0.159</v>
      </c>
      <c r="R1448" s="9">
        <v>0.753</v>
      </c>
      <c r="S1448" s="9">
        <v>0.311</v>
      </c>
      <c r="T1448" s="9" t="s">
        <v>23</v>
      </c>
      <c r="U1448" s="9" t="s">
        <v>22</v>
      </c>
      <c r="V1448" s="9" t="s">
        <v>97</v>
      </c>
      <c r="W1448" s="9">
        <v>5</v>
      </c>
      <c r="X1448" s="9" t="s">
        <v>85</v>
      </c>
      <c r="Y1448" s="12">
        <f t="shared" si="54"/>
        <v>0.36499999999999999</v>
      </c>
      <c r="Z1448" s="9">
        <v>-0.253</v>
      </c>
    </row>
    <row r="1449" spans="1:26" x14ac:dyDescent="0.2">
      <c r="A1449" s="14" t="s">
        <v>81</v>
      </c>
      <c r="B1449" s="14">
        <v>3390.125</v>
      </c>
      <c r="C1449" s="14">
        <v>30.530999999999999</v>
      </c>
      <c r="D1449" s="14">
        <v>22.988</v>
      </c>
      <c r="E1449" s="14">
        <v>4.516</v>
      </c>
      <c r="F1449" s="14">
        <v>155.99299999999999</v>
      </c>
      <c r="G1449" s="14">
        <v>2.7029999999999998</v>
      </c>
      <c r="H1449" s="14">
        <v>7.6070000000000002</v>
      </c>
      <c r="I1449" s="14">
        <v>3.3730000000000002</v>
      </c>
      <c r="J1449" s="14">
        <v>455.54399999999998</v>
      </c>
      <c r="K1449" s="14">
        <v>530.40899999999999</v>
      </c>
      <c r="L1449" s="14">
        <v>2.3919999999999999</v>
      </c>
      <c r="M1449" s="14">
        <v>0.1</v>
      </c>
      <c r="N1449" s="14">
        <v>100</v>
      </c>
      <c r="O1449" s="14">
        <v>0.154</v>
      </c>
      <c r="P1449" s="14">
        <v>0.20699999999999999</v>
      </c>
      <c r="Q1449" s="14">
        <v>7.9000000000000001E-2</v>
      </c>
      <c r="R1449" s="14">
        <v>0.38900000000000001</v>
      </c>
      <c r="S1449" s="14">
        <v>0.35399999999999998</v>
      </c>
      <c r="T1449" s="14"/>
      <c r="U1449" s="14" t="s">
        <v>22</v>
      </c>
      <c r="V1449" s="14" t="s">
        <v>103</v>
      </c>
      <c r="W1449" s="14">
        <v>2</v>
      </c>
      <c r="X1449" s="14" t="s">
        <v>85</v>
      </c>
      <c r="Y1449" s="12">
        <f t="shared" si="54"/>
        <v>0.23299999999999998</v>
      </c>
      <c r="Z1449" s="14">
        <v>-5.2999999999999992E-2</v>
      </c>
    </row>
    <row r="1450" spans="1:26" x14ac:dyDescent="0.2">
      <c r="A1450" s="14" t="s">
        <v>81</v>
      </c>
      <c r="B1450" s="14">
        <v>3390.25</v>
      </c>
      <c r="C1450" s="14">
        <v>21.151</v>
      </c>
      <c r="D1450" s="14">
        <v>22.858000000000001</v>
      </c>
      <c r="E1450" s="14">
        <v>4.0730000000000004</v>
      </c>
      <c r="F1450" s="14">
        <v>156.34200000000001</v>
      </c>
      <c r="G1450" s="14">
        <v>2.7010000000000001</v>
      </c>
      <c r="H1450" s="14">
        <v>6.8040000000000003</v>
      </c>
      <c r="I1450" s="14">
        <v>3.4279999999999999</v>
      </c>
      <c r="J1450" s="14">
        <v>468.30399999999997</v>
      </c>
      <c r="K1450" s="14">
        <v>547.37900000000002</v>
      </c>
      <c r="L1450" s="14">
        <v>2.524</v>
      </c>
      <c r="M1450" s="14">
        <v>0.1</v>
      </c>
      <c r="N1450" s="14">
        <v>93.915999999999997</v>
      </c>
      <c r="O1450" s="14">
        <v>0.08</v>
      </c>
      <c r="P1450" s="14">
        <v>0.223</v>
      </c>
      <c r="Q1450" s="14">
        <v>8.3000000000000004E-2</v>
      </c>
      <c r="R1450" s="14">
        <v>0.38400000000000001</v>
      </c>
      <c r="S1450" s="14">
        <v>0.31</v>
      </c>
      <c r="T1450" s="14"/>
      <c r="U1450" s="14" t="s">
        <v>22</v>
      </c>
      <c r="V1450" s="14" t="s">
        <v>103</v>
      </c>
      <c r="W1450" s="14">
        <v>2</v>
      </c>
      <c r="X1450" s="14" t="s">
        <v>85</v>
      </c>
      <c r="Y1450" s="12">
        <f t="shared" si="54"/>
        <v>0.16300000000000001</v>
      </c>
      <c r="Z1450" s="14">
        <v>-0.14300000000000002</v>
      </c>
    </row>
    <row r="1451" spans="1:26" x14ac:dyDescent="0.2">
      <c r="A1451" s="14" t="s">
        <v>81</v>
      </c>
      <c r="B1451" s="14">
        <v>3390.375</v>
      </c>
      <c r="C1451" s="14">
        <v>18</v>
      </c>
      <c r="D1451" s="14">
        <v>22.754999999999999</v>
      </c>
      <c r="E1451" s="14">
        <v>3.665</v>
      </c>
      <c r="F1451" s="14">
        <v>157.285</v>
      </c>
      <c r="G1451" s="14">
        <v>2.726</v>
      </c>
      <c r="H1451" s="14">
        <v>6.3979999999999997</v>
      </c>
      <c r="I1451" s="14">
        <v>3.4329999999999998</v>
      </c>
      <c r="J1451" s="14">
        <v>425.98399999999998</v>
      </c>
      <c r="K1451" s="14">
        <v>496.45600000000002</v>
      </c>
      <c r="L1451" s="14">
        <v>1.988</v>
      </c>
      <c r="M1451" s="14">
        <v>0.1</v>
      </c>
      <c r="N1451" s="14">
        <v>100</v>
      </c>
      <c r="O1451" s="14">
        <v>5.5E-2</v>
      </c>
      <c r="P1451" s="14">
        <v>0.22500000000000001</v>
      </c>
      <c r="Q1451" s="14">
        <v>9.2999999999999999E-2</v>
      </c>
      <c r="R1451" s="14">
        <v>0.44600000000000001</v>
      </c>
      <c r="S1451" s="14">
        <v>0.28699999999999998</v>
      </c>
      <c r="T1451" s="14"/>
      <c r="U1451" s="14" t="s">
        <v>22</v>
      </c>
      <c r="V1451" s="14" t="s">
        <v>103</v>
      </c>
      <c r="W1451" s="14">
        <v>2</v>
      </c>
      <c r="X1451" s="14" t="s">
        <v>85</v>
      </c>
      <c r="Y1451" s="12">
        <f t="shared" si="54"/>
        <v>0.14799999999999999</v>
      </c>
      <c r="Z1451" s="14">
        <v>-0.17</v>
      </c>
    </row>
    <row r="1452" spans="1:26" x14ac:dyDescent="0.2">
      <c r="A1452" s="14" t="s">
        <v>81</v>
      </c>
      <c r="B1452" s="14">
        <v>3390.5</v>
      </c>
      <c r="C1452" s="14">
        <v>18.181000000000001</v>
      </c>
      <c r="D1452" s="14">
        <v>22.754999999999999</v>
      </c>
      <c r="E1452" s="14">
        <v>3.45</v>
      </c>
      <c r="F1452" s="14">
        <v>157.93299999999999</v>
      </c>
      <c r="G1452" s="14">
        <v>2.7679999999999998</v>
      </c>
      <c r="H1452" s="14">
        <v>6.2690000000000001</v>
      </c>
      <c r="I1452" s="14">
        <v>3.3660000000000001</v>
      </c>
      <c r="J1452" s="14">
        <v>364.27300000000002</v>
      </c>
      <c r="K1452" s="14">
        <v>421.512</v>
      </c>
      <c r="L1452" s="14">
        <v>1.3009999999999999</v>
      </c>
      <c r="M1452" s="14">
        <v>0.1</v>
      </c>
      <c r="N1452" s="14">
        <v>100</v>
      </c>
      <c r="O1452" s="14">
        <v>5.7000000000000002E-2</v>
      </c>
      <c r="P1452" s="14">
        <v>0.20499999999999999</v>
      </c>
      <c r="Q1452" s="14">
        <v>0.10100000000000001</v>
      </c>
      <c r="R1452" s="14">
        <v>0.54900000000000004</v>
      </c>
      <c r="S1452" s="14">
        <v>0.28000000000000003</v>
      </c>
      <c r="T1452" s="14"/>
      <c r="U1452" s="14" t="s">
        <v>22</v>
      </c>
      <c r="V1452" s="14" t="s">
        <v>103</v>
      </c>
      <c r="W1452" s="14">
        <v>2</v>
      </c>
      <c r="X1452" s="14" t="s">
        <v>85</v>
      </c>
      <c r="Y1452" s="12">
        <f t="shared" si="54"/>
        <v>0.158</v>
      </c>
      <c r="Z1452" s="14">
        <v>-0.14799999999999999</v>
      </c>
    </row>
    <row r="1453" spans="1:26" x14ac:dyDescent="0.2">
      <c r="A1453" s="14" t="s">
        <v>81</v>
      </c>
      <c r="B1453" s="14">
        <v>3390.625</v>
      </c>
      <c r="C1453" s="14">
        <v>20.507000000000001</v>
      </c>
      <c r="D1453" s="14">
        <v>22.808</v>
      </c>
      <c r="E1453" s="14">
        <v>3.3730000000000002</v>
      </c>
      <c r="F1453" s="14">
        <v>158.25899999999999</v>
      </c>
      <c r="G1453" s="14">
        <v>2.8090000000000002</v>
      </c>
      <c r="H1453" s="14">
        <v>6.24</v>
      </c>
      <c r="I1453" s="14">
        <v>3.4710000000000001</v>
      </c>
      <c r="J1453" s="14">
        <v>316.23599999999999</v>
      </c>
      <c r="K1453" s="14">
        <v>362.017</v>
      </c>
      <c r="L1453" s="14">
        <v>0.83699999999999997</v>
      </c>
      <c r="M1453" s="14">
        <v>0.1</v>
      </c>
      <c r="N1453" s="14">
        <v>100</v>
      </c>
      <c r="O1453" s="14">
        <v>7.4999999999999997E-2</v>
      </c>
      <c r="P1453" s="14">
        <v>0.23599999999999999</v>
      </c>
      <c r="Q1453" s="14">
        <v>0.104</v>
      </c>
      <c r="R1453" s="14">
        <v>0.65</v>
      </c>
      <c r="S1453" s="14">
        <v>0.27800000000000002</v>
      </c>
      <c r="T1453" s="14"/>
      <c r="U1453" s="14" t="s">
        <v>22</v>
      </c>
      <c r="V1453" s="14" t="s">
        <v>103</v>
      </c>
      <c r="W1453" s="14">
        <v>2</v>
      </c>
      <c r="X1453" s="14" t="s">
        <v>85</v>
      </c>
      <c r="Y1453" s="12">
        <f t="shared" si="54"/>
        <v>0.17899999999999999</v>
      </c>
      <c r="Z1453" s="14">
        <v>-0.16099999999999998</v>
      </c>
    </row>
    <row r="1454" spans="1:26" x14ac:dyDescent="0.2">
      <c r="A1454" s="14" t="s">
        <v>81</v>
      </c>
      <c r="B1454" s="14">
        <v>3390.75</v>
      </c>
      <c r="C1454" s="14">
        <v>24.506</v>
      </c>
      <c r="D1454" s="14">
        <v>22.835000000000001</v>
      </c>
      <c r="E1454" s="14">
        <v>3.347</v>
      </c>
      <c r="F1454" s="14">
        <v>158.70599999999999</v>
      </c>
      <c r="G1454" s="14">
        <v>2.8370000000000002</v>
      </c>
      <c r="H1454" s="14">
        <v>6.1879999999999997</v>
      </c>
      <c r="I1454" s="14">
        <v>3.722</v>
      </c>
      <c r="J1454" s="14">
        <v>285.96899999999999</v>
      </c>
      <c r="K1454" s="14">
        <v>322.83499999999998</v>
      </c>
      <c r="L1454" s="14">
        <v>0.59</v>
      </c>
      <c r="M1454" s="14">
        <v>0.1</v>
      </c>
      <c r="N1454" s="14">
        <v>100</v>
      </c>
      <c r="O1454" s="14">
        <v>0.107</v>
      </c>
      <c r="P1454" s="14">
        <v>0.312</v>
      </c>
      <c r="Q1454" s="14">
        <v>0.109</v>
      </c>
      <c r="R1454" s="14">
        <v>0.71899999999999997</v>
      </c>
      <c r="S1454" s="14">
        <v>0.27600000000000002</v>
      </c>
      <c r="T1454" s="14"/>
      <c r="U1454" s="14" t="s">
        <v>22</v>
      </c>
      <c r="V1454" s="14" t="s">
        <v>103</v>
      </c>
      <c r="W1454" s="14">
        <v>2</v>
      </c>
      <c r="X1454" s="14" t="s">
        <v>85</v>
      </c>
      <c r="Y1454" s="12">
        <f t="shared" si="54"/>
        <v>0.216</v>
      </c>
      <c r="Z1454" s="14">
        <v>-0.20500000000000002</v>
      </c>
    </row>
    <row r="1455" spans="1:26" x14ac:dyDescent="0.2">
      <c r="A1455" s="14" t="s">
        <v>81</v>
      </c>
      <c r="B1455" s="14">
        <v>3390.875</v>
      </c>
      <c r="C1455" s="14">
        <v>28.559000000000001</v>
      </c>
      <c r="D1455" s="14">
        <v>22.803999999999998</v>
      </c>
      <c r="E1455" s="14">
        <v>3.2679999999999998</v>
      </c>
      <c r="F1455" s="14">
        <v>159.21</v>
      </c>
      <c r="G1455" s="14">
        <v>2.8530000000000002</v>
      </c>
      <c r="H1455" s="14">
        <v>6.16</v>
      </c>
      <c r="I1455" s="14">
        <v>3.7930000000000001</v>
      </c>
      <c r="J1455" s="14">
        <v>266.19400000000002</v>
      </c>
      <c r="K1455" s="14">
        <v>295.767</v>
      </c>
      <c r="L1455" s="14">
        <v>0.439</v>
      </c>
      <c r="M1455" s="14">
        <v>0.1</v>
      </c>
      <c r="N1455" s="14">
        <v>100</v>
      </c>
      <c r="O1455" s="14">
        <v>0.13900000000000001</v>
      </c>
      <c r="P1455" s="14">
        <v>0.33300000000000002</v>
      </c>
      <c r="Q1455" s="14">
        <v>0.115</v>
      </c>
      <c r="R1455" s="14">
        <v>0.75900000000000001</v>
      </c>
      <c r="S1455" s="14">
        <v>0.27400000000000002</v>
      </c>
      <c r="T1455" s="14"/>
      <c r="U1455" s="14" t="s">
        <v>22</v>
      </c>
      <c r="V1455" s="14" t="s">
        <v>103</v>
      </c>
      <c r="W1455" s="14">
        <v>2</v>
      </c>
      <c r="X1455" s="14" t="s">
        <v>85</v>
      </c>
      <c r="Y1455" s="12">
        <f t="shared" si="54"/>
        <v>0.254</v>
      </c>
      <c r="Z1455" s="14">
        <v>-0.19400000000000001</v>
      </c>
    </row>
    <row r="1456" spans="1:26" x14ac:dyDescent="0.2">
      <c r="A1456" s="14" t="s">
        <v>81</v>
      </c>
      <c r="B1456" s="14">
        <v>3391</v>
      </c>
      <c r="C1456" s="14">
        <v>29.978000000000002</v>
      </c>
      <c r="D1456" s="14">
        <v>22.742999999999999</v>
      </c>
      <c r="E1456" s="14">
        <v>3.177</v>
      </c>
      <c r="F1456" s="14">
        <v>159.61000000000001</v>
      </c>
      <c r="G1456" s="14">
        <v>2.8620000000000001</v>
      </c>
      <c r="H1456" s="14">
        <v>6.3479999999999999</v>
      </c>
      <c r="I1456" s="14">
        <v>3.7320000000000002</v>
      </c>
      <c r="J1456" s="14">
        <v>248.02500000000001</v>
      </c>
      <c r="K1456" s="14">
        <v>270.68</v>
      </c>
      <c r="L1456" s="14">
        <v>0.377</v>
      </c>
      <c r="M1456" s="14">
        <v>0.1</v>
      </c>
      <c r="N1456" s="14">
        <v>100</v>
      </c>
      <c r="O1456" s="14">
        <v>0.15</v>
      </c>
      <c r="P1456" s="14">
        <v>0.315</v>
      </c>
      <c r="Q1456" s="14">
        <v>0.12</v>
      </c>
      <c r="R1456" s="14">
        <v>0.78100000000000003</v>
      </c>
      <c r="S1456" s="14">
        <v>0.28399999999999997</v>
      </c>
      <c r="T1456" s="14"/>
      <c r="U1456" s="14" t="s">
        <v>22</v>
      </c>
      <c r="V1456" s="14" t="s">
        <v>103</v>
      </c>
      <c r="W1456" s="14">
        <v>2</v>
      </c>
      <c r="X1456" s="14" t="s">
        <v>85</v>
      </c>
      <c r="Y1456" s="12">
        <f t="shared" si="54"/>
        <v>0.27</v>
      </c>
      <c r="Z1456" s="14">
        <v>-0.16500000000000001</v>
      </c>
    </row>
    <row r="1457" spans="1:26" x14ac:dyDescent="0.2">
      <c r="A1457" s="14" t="s">
        <v>81</v>
      </c>
      <c r="B1457" s="14">
        <v>3391.125</v>
      </c>
      <c r="C1457" s="14">
        <v>27.728000000000002</v>
      </c>
      <c r="D1457" s="14">
        <v>22.709</v>
      </c>
      <c r="E1457" s="14">
        <v>3.125</v>
      </c>
      <c r="F1457" s="14">
        <v>160.25</v>
      </c>
      <c r="G1457" s="14">
        <v>2.8690000000000002</v>
      </c>
      <c r="H1457" s="14">
        <v>6.88</v>
      </c>
      <c r="I1457" s="14">
        <v>3.7050000000000001</v>
      </c>
      <c r="J1457" s="14">
        <v>226.05099999999999</v>
      </c>
      <c r="K1457" s="14">
        <v>241.93199999999999</v>
      </c>
      <c r="L1457" s="14">
        <v>0.39200000000000002</v>
      </c>
      <c r="M1457" s="14">
        <v>0.1</v>
      </c>
      <c r="N1457" s="14">
        <v>100</v>
      </c>
      <c r="O1457" s="14">
        <v>0.13200000000000001</v>
      </c>
      <c r="P1457" s="14">
        <v>0.307</v>
      </c>
      <c r="Q1457" s="14">
        <v>0.127</v>
      </c>
      <c r="R1457" s="14">
        <v>0.79800000000000004</v>
      </c>
      <c r="S1457" s="14">
        <v>0.314</v>
      </c>
      <c r="T1457" s="14"/>
      <c r="U1457" s="14" t="s">
        <v>22</v>
      </c>
      <c r="V1457" s="14" t="s">
        <v>103</v>
      </c>
      <c r="W1457" s="14">
        <v>2</v>
      </c>
      <c r="X1457" s="14" t="s">
        <v>85</v>
      </c>
      <c r="Y1457" s="12">
        <f t="shared" si="54"/>
        <v>0.25900000000000001</v>
      </c>
      <c r="Z1457" s="14">
        <v>-0.17499999999999999</v>
      </c>
    </row>
    <row r="1458" spans="1:26" x14ac:dyDescent="0.2">
      <c r="A1458" s="14" t="s">
        <v>81</v>
      </c>
      <c r="B1458" s="14">
        <v>3391.25</v>
      </c>
      <c r="C1458" s="14">
        <v>23.452999999999999</v>
      </c>
      <c r="D1458" s="14">
        <v>22.739000000000001</v>
      </c>
      <c r="E1458" s="14">
        <v>2.988</v>
      </c>
      <c r="F1458" s="14">
        <v>161.613</v>
      </c>
      <c r="G1458" s="14">
        <v>2.8740000000000001</v>
      </c>
      <c r="H1458" s="14">
        <v>7.73</v>
      </c>
      <c r="I1458" s="14">
        <v>3.7149999999999999</v>
      </c>
      <c r="J1458" s="14">
        <v>199.68899999999999</v>
      </c>
      <c r="K1458" s="14">
        <v>209.68899999999999</v>
      </c>
      <c r="L1458" s="14">
        <v>0.46600000000000003</v>
      </c>
      <c r="M1458" s="14">
        <v>0.1</v>
      </c>
      <c r="N1458" s="14">
        <v>100</v>
      </c>
      <c r="O1458" s="14">
        <v>9.8000000000000004E-2</v>
      </c>
      <c r="P1458" s="14">
        <v>0.31</v>
      </c>
      <c r="Q1458" s="14">
        <v>0.14199999999999999</v>
      </c>
      <c r="R1458" s="14">
        <v>0.81</v>
      </c>
      <c r="S1458" s="14">
        <v>0.36099999999999999</v>
      </c>
      <c r="T1458" s="14"/>
      <c r="U1458" s="14" t="s">
        <v>22</v>
      </c>
      <c r="V1458" s="14" t="s">
        <v>103</v>
      </c>
      <c r="W1458" s="14">
        <v>2</v>
      </c>
      <c r="X1458" s="14" t="s">
        <v>85</v>
      </c>
      <c r="Y1458" s="12">
        <f t="shared" si="54"/>
        <v>0.24</v>
      </c>
      <c r="Z1458" s="14">
        <v>-0.21199999999999999</v>
      </c>
    </row>
    <row r="1459" spans="1:26" x14ac:dyDescent="0.2">
      <c r="A1459" s="14" t="s">
        <v>81</v>
      </c>
      <c r="B1459" s="14">
        <v>3391.375</v>
      </c>
      <c r="C1459" s="14">
        <v>19.661999999999999</v>
      </c>
      <c r="D1459" s="14">
        <v>22.8</v>
      </c>
      <c r="E1459" s="14">
        <v>2.8130000000000002</v>
      </c>
      <c r="F1459" s="14">
        <v>163.28800000000001</v>
      </c>
      <c r="G1459" s="14">
        <v>2.87</v>
      </c>
      <c r="H1459" s="14">
        <v>8.7279999999999998</v>
      </c>
      <c r="I1459" s="14">
        <v>3.7309999999999999</v>
      </c>
      <c r="J1459" s="14">
        <v>172.518</v>
      </c>
      <c r="K1459" s="14">
        <v>178.12799999999999</v>
      </c>
      <c r="L1459" s="14">
        <v>0.61</v>
      </c>
      <c r="M1459" s="14">
        <v>0.1</v>
      </c>
      <c r="N1459" s="14">
        <v>100</v>
      </c>
      <c r="O1459" s="14">
        <v>6.8000000000000005E-2</v>
      </c>
      <c r="P1459" s="14">
        <v>0.314</v>
      </c>
      <c r="Q1459" s="14">
        <v>0.161</v>
      </c>
      <c r="R1459" s="14">
        <v>0.8</v>
      </c>
      <c r="S1459" s="14">
        <v>0.41699999999999998</v>
      </c>
      <c r="T1459" s="14"/>
      <c r="U1459" s="14" t="s">
        <v>22</v>
      </c>
      <c r="V1459" s="14" t="s">
        <v>103</v>
      </c>
      <c r="W1459" s="14">
        <v>2</v>
      </c>
      <c r="X1459" s="14" t="s">
        <v>85</v>
      </c>
      <c r="Y1459" s="12">
        <f t="shared" si="54"/>
        <v>0.22900000000000001</v>
      </c>
      <c r="Z1459" s="14">
        <v>-0.246</v>
      </c>
    </row>
    <row r="1460" spans="1:26" x14ac:dyDescent="0.2">
      <c r="A1460" s="14" t="s">
        <v>81</v>
      </c>
      <c r="B1460" s="14">
        <v>3391.5</v>
      </c>
      <c r="C1460" s="14">
        <v>17.536999999999999</v>
      </c>
      <c r="D1460" s="14">
        <v>22.838999999999999</v>
      </c>
      <c r="E1460" s="14">
        <v>2.72</v>
      </c>
      <c r="F1460" s="14">
        <v>164.84299999999999</v>
      </c>
      <c r="G1460" s="14">
        <v>2.8580000000000001</v>
      </c>
      <c r="H1460" s="14">
        <v>9.6720000000000006</v>
      </c>
      <c r="I1460" s="14">
        <v>3.673</v>
      </c>
      <c r="J1460" s="14">
        <v>148.10499999999999</v>
      </c>
      <c r="K1460" s="14">
        <v>150.858</v>
      </c>
      <c r="L1460" s="14">
        <v>0.83699999999999997</v>
      </c>
      <c r="M1460" s="14">
        <v>0.1</v>
      </c>
      <c r="N1460" s="14">
        <v>100</v>
      </c>
      <c r="O1460" s="14">
        <v>5.1999999999999998E-2</v>
      </c>
      <c r="P1460" s="14">
        <v>0.29699999999999999</v>
      </c>
      <c r="Q1460" s="14">
        <v>0.17899999999999999</v>
      </c>
      <c r="R1460" s="14">
        <v>0.77100000000000002</v>
      </c>
      <c r="S1460" s="14">
        <v>0.46899999999999997</v>
      </c>
      <c r="T1460" s="14"/>
      <c r="U1460" s="14" t="s">
        <v>22</v>
      </c>
      <c r="V1460" s="14" t="s">
        <v>103</v>
      </c>
      <c r="W1460" s="14">
        <v>2</v>
      </c>
      <c r="X1460" s="14" t="s">
        <v>85</v>
      </c>
      <c r="Y1460" s="12">
        <f t="shared" si="54"/>
        <v>0.23099999999999998</v>
      </c>
      <c r="Z1460" s="14">
        <v>-0.245</v>
      </c>
    </row>
    <row r="1461" spans="1:26" x14ac:dyDescent="0.2">
      <c r="A1461" s="14" t="s">
        <v>81</v>
      </c>
      <c r="B1461" s="14">
        <v>3391.625</v>
      </c>
      <c r="C1461" s="14">
        <v>16.789000000000001</v>
      </c>
      <c r="D1461" s="14">
        <v>22.861000000000001</v>
      </c>
      <c r="E1461" s="14">
        <v>2.7040000000000002</v>
      </c>
      <c r="F1461" s="14">
        <v>166.92599999999999</v>
      </c>
      <c r="G1461" s="14">
        <v>2.839</v>
      </c>
      <c r="H1461" s="14">
        <v>10.438000000000001</v>
      </c>
      <c r="I1461" s="14">
        <v>3.569</v>
      </c>
      <c r="J1461" s="14">
        <v>128.34399999999999</v>
      </c>
      <c r="K1461" s="14">
        <v>129.45599999999999</v>
      </c>
      <c r="L1461" s="14">
        <v>1.149</v>
      </c>
      <c r="M1461" s="14">
        <v>0.1</v>
      </c>
      <c r="N1461" s="14">
        <v>100</v>
      </c>
      <c r="O1461" s="14">
        <v>4.5999999999999999E-2</v>
      </c>
      <c r="P1461" s="14">
        <v>0.26600000000000001</v>
      </c>
      <c r="Q1461" s="14">
        <v>0.20300000000000001</v>
      </c>
      <c r="R1461" s="14">
        <v>0.72399999999999998</v>
      </c>
      <c r="S1461" s="14">
        <v>0.51200000000000001</v>
      </c>
      <c r="T1461" s="14"/>
      <c r="U1461" s="14" t="s">
        <v>22</v>
      </c>
      <c r="V1461" s="14" t="s">
        <v>103</v>
      </c>
      <c r="W1461" s="14">
        <v>2</v>
      </c>
      <c r="X1461" s="14" t="s">
        <v>85</v>
      </c>
      <c r="Y1461" s="12">
        <f t="shared" si="54"/>
        <v>0.249</v>
      </c>
      <c r="Z1461" s="14">
        <v>-0.22000000000000003</v>
      </c>
    </row>
    <row r="1462" spans="1:26" x14ac:dyDescent="0.2">
      <c r="A1462" s="14" t="s">
        <v>81</v>
      </c>
      <c r="B1462" s="14">
        <v>3391.75</v>
      </c>
      <c r="C1462" s="14">
        <v>16.829999999999998</v>
      </c>
      <c r="D1462" s="14">
        <v>22.931999999999999</v>
      </c>
      <c r="E1462" s="14">
        <v>2.6829999999999998</v>
      </c>
      <c r="F1462" s="14">
        <v>169.678</v>
      </c>
      <c r="G1462" s="14">
        <v>2.8140000000000001</v>
      </c>
      <c r="H1462" s="14">
        <v>11.11</v>
      </c>
      <c r="I1462" s="14">
        <v>3.5569999999999999</v>
      </c>
      <c r="J1462" s="14">
        <v>113.613</v>
      </c>
      <c r="K1462" s="14">
        <v>113.84</v>
      </c>
      <c r="L1462" s="14">
        <v>1.603</v>
      </c>
      <c r="M1462" s="14">
        <v>0.1</v>
      </c>
      <c r="N1462" s="14">
        <v>100</v>
      </c>
      <c r="O1462" s="14">
        <v>4.5999999999999999E-2</v>
      </c>
      <c r="P1462" s="14">
        <v>0.26200000000000001</v>
      </c>
      <c r="Q1462" s="14">
        <v>0.23400000000000001</v>
      </c>
      <c r="R1462" s="14">
        <v>0.66300000000000003</v>
      </c>
      <c r="S1462" s="14">
        <v>0.54900000000000004</v>
      </c>
      <c r="T1462" s="14"/>
      <c r="U1462" s="14" t="s">
        <v>22</v>
      </c>
      <c r="V1462" s="14" t="s">
        <v>103</v>
      </c>
      <c r="W1462" s="14">
        <v>2</v>
      </c>
      <c r="X1462" s="14" t="s">
        <v>85</v>
      </c>
      <c r="Y1462" s="12">
        <f t="shared" si="54"/>
        <v>0.28000000000000003</v>
      </c>
      <c r="Z1462" s="14">
        <v>-0.21600000000000003</v>
      </c>
    </row>
    <row r="1463" spans="1:26" x14ac:dyDescent="0.2">
      <c r="A1463" s="14" t="s">
        <v>81</v>
      </c>
      <c r="B1463" s="14">
        <v>3391.875</v>
      </c>
      <c r="C1463" s="14">
        <v>17.216000000000001</v>
      </c>
      <c r="D1463" s="14">
        <v>23.082000000000001</v>
      </c>
      <c r="E1463" s="14">
        <v>2.657</v>
      </c>
      <c r="F1463" s="14">
        <v>171.98599999999999</v>
      </c>
      <c r="G1463" s="14">
        <v>2.78</v>
      </c>
      <c r="H1463" s="14">
        <v>11.866</v>
      </c>
      <c r="I1463" s="14">
        <v>3.56</v>
      </c>
      <c r="J1463" s="14">
        <v>103.70699999999999</v>
      </c>
      <c r="K1463" s="14">
        <v>103.49299999999999</v>
      </c>
      <c r="L1463" s="14">
        <v>2.294</v>
      </c>
      <c r="M1463" s="14"/>
      <c r="N1463" s="14">
        <v>100</v>
      </c>
      <c r="O1463" s="14">
        <v>4.9000000000000002E-2</v>
      </c>
      <c r="P1463" s="14">
        <v>0.26300000000000001</v>
      </c>
      <c r="Q1463" s="14">
        <v>0.26</v>
      </c>
      <c r="R1463" s="14">
        <v>0.57899999999999996</v>
      </c>
      <c r="S1463" s="14">
        <v>0.59099999999999997</v>
      </c>
      <c r="T1463" s="14"/>
      <c r="U1463" s="14" t="s">
        <v>22</v>
      </c>
      <c r="V1463" s="14" t="s">
        <v>103</v>
      </c>
      <c r="W1463" s="14">
        <v>2</v>
      </c>
      <c r="X1463" s="14" t="s">
        <v>85</v>
      </c>
      <c r="Y1463" s="12">
        <f t="shared" si="54"/>
        <v>0.309</v>
      </c>
      <c r="Z1463" s="14">
        <v>-0.21400000000000002</v>
      </c>
    </row>
    <row r="1464" spans="1:26" x14ac:dyDescent="0.2">
      <c r="A1464" s="14" t="s">
        <v>81</v>
      </c>
      <c r="B1464" s="14">
        <v>3392</v>
      </c>
      <c r="C1464" s="14">
        <v>17.585000000000001</v>
      </c>
      <c r="D1464" s="14">
        <v>23.263999999999999</v>
      </c>
      <c r="E1464" s="14">
        <v>2.6240000000000001</v>
      </c>
      <c r="F1464" s="14">
        <v>172.773</v>
      </c>
      <c r="G1464" s="14">
        <v>2.7450000000000001</v>
      </c>
      <c r="H1464" s="14">
        <v>12.699</v>
      </c>
      <c r="I1464" s="14">
        <v>3.53</v>
      </c>
      <c r="J1464" s="14">
        <v>98.33</v>
      </c>
      <c r="K1464" s="14">
        <v>97.94</v>
      </c>
      <c r="L1464" s="14">
        <v>2.9769999999999999</v>
      </c>
      <c r="M1464" s="14">
        <v>0.1</v>
      </c>
      <c r="N1464" s="14">
        <v>100</v>
      </c>
      <c r="O1464" s="14">
        <v>5.1999999999999998E-2</v>
      </c>
      <c r="P1464" s="14">
        <v>0.254</v>
      </c>
      <c r="Q1464" s="14">
        <v>0.26900000000000002</v>
      </c>
      <c r="R1464" s="14">
        <v>0.49299999999999999</v>
      </c>
      <c r="S1464" s="14">
        <v>0.63800000000000001</v>
      </c>
      <c r="T1464" s="14"/>
      <c r="U1464" s="14" t="s">
        <v>22</v>
      </c>
      <c r="V1464" s="14" t="s">
        <v>103</v>
      </c>
      <c r="W1464" s="14">
        <v>2</v>
      </c>
      <c r="X1464" s="14" t="s">
        <v>85</v>
      </c>
      <c r="Y1464" s="12">
        <f t="shared" si="54"/>
        <v>0.32100000000000001</v>
      </c>
      <c r="Z1464" s="14">
        <v>-0.20200000000000001</v>
      </c>
    </row>
    <row r="1465" spans="1:26" x14ac:dyDescent="0.2">
      <c r="A1465" s="14" t="s">
        <v>81</v>
      </c>
      <c r="B1465" s="14">
        <v>3392.125</v>
      </c>
      <c r="C1465" s="14">
        <v>17.727</v>
      </c>
      <c r="D1465" s="14">
        <v>23.422000000000001</v>
      </c>
      <c r="E1465" s="14">
        <v>2.5720000000000001</v>
      </c>
      <c r="F1465" s="14">
        <v>172.01400000000001</v>
      </c>
      <c r="G1465" s="14">
        <v>2.7160000000000002</v>
      </c>
      <c r="H1465" s="14">
        <v>13.234999999999999</v>
      </c>
      <c r="I1465" s="14">
        <v>3.5009999999999999</v>
      </c>
      <c r="J1465" s="14">
        <v>96.847999999999999</v>
      </c>
      <c r="K1465" s="14">
        <v>96.379000000000005</v>
      </c>
      <c r="L1465" s="14">
        <v>3.5550000000000002</v>
      </c>
      <c r="M1465" s="14">
        <v>0.161</v>
      </c>
      <c r="N1465" s="14">
        <v>66.063999999999993</v>
      </c>
      <c r="O1465" s="14">
        <v>5.2999999999999999E-2</v>
      </c>
      <c r="P1465" s="14">
        <v>0.245</v>
      </c>
      <c r="Q1465" s="14">
        <v>0.26</v>
      </c>
      <c r="R1465" s="14">
        <v>0.42099999999999999</v>
      </c>
      <c r="S1465" s="14">
        <v>0.66800000000000004</v>
      </c>
      <c r="T1465" s="14"/>
      <c r="U1465" s="14" t="s">
        <v>22</v>
      </c>
      <c r="V1465" s="14" t="s">
        <v>103</v>
      </c>
      <c r="W1465" s="14">
        <v>2</v>
      </c>
      <c r="X1465" s="14" t="s">
        <v>85</v>
      </c>
      <c r="Y1465" s="12">
        <f t="shared" si="54"/>
        <v>0.313</v>
      </c>
      <c r="Z1465" s="14">
        <v>-0.192</v>
      </c>
    </row>
    <row r="1466" spans="1:26" x14ac:dyDescent="0.2">
      <c r="A1466" s="14" t="s">
        <v>81</v>
      </c>
      <c r="B1466" s="14">
        <v>3392.25</v>
      </c>
      <c r="C1466" s="14">
        <v>17.805</v>
      </c>
      <c r="D1466" s="14">
        <v>23.538</v>
      </c>
      <c r="E1466" s="14">
        <v>2.4969999999999999</v>
      </c>
      <c r="F1466" s="14">
        <v>170.17099999999999</v>
      </c>
      <c r="G1466" s="14">
        <v>2.6989999999999998</v>
      </c>
      <c r="H1466" s="14">
        <v>13.061999999999999</v>
      </c>
      <c r="I1466" s="14">
        <v>3.492</v>
      </c>
      <c r="J1466" s="14">
        <v>98.367999999999995</v>
      </c>
      <c r="K1466" s="14">
        <v>97.751000000000005</v>
      </c>
      <c r="L1466" s="14">
        <v>3.93</v>
      </c>
      <c r="M1466" s="14">
        <v>0.249</v>
      </c>
      <c r="N1466" s="14">
        <v>52.475000000000001</v>
      </c>
      <c r="O1466" s="14">
        <v>5.3999999999999999E-2</v>
      </c>
      <c r="P1466" s="14">
        <v>0.24299999999999999</v>
      </c>
      <c r="Q1466" s="14">
        <v>0.23899999999999999</v>
      </c>
      <c r="R1466" s="14">
        <v>0.379</v>
      </c>
      <c r="S1466" s="14">
        <v>0.65800000000000003</v>
      </c>
      <c r="T1466" s="14"/>
      <c r="U1466" s="14" t="s">
        <v>22</v>
      </c>
      <c r="V1466" s="14" t="s">
        <v>103</v>
      </c>
      <c r="W1466" s="14">
        <v>2</v>
      </c>
      <c r="X1466" s="14" t="s">
        <v>85</v>
      </c>
      <c r="Y1466" s="12">
        <f t="shared" si="54"/>
        <v>0.29299999999999998</v>
      </c>
      <c r="Z1466" s="14">
        <v>-0.189</v>
      </c>
    </row>
    <row r="1467" spans="1:26" x14ac:dyDescent="0.2">
      <c r="A1467" s="14" t="s">
        <v>81</v>
      </c>
      <c r="B1467" s="14">
        <v>3392.375</v>
      </c>
      <c r="C1467" s="14">
        <v>18.146000000000001</v>
      </c>
      <c r="D1467" s="14">
        <v>23.626999999999999</v>
      </c>
      <c r="E1467" s="14">
        <v>2.4119999999999999</v>
      </c>
      <c r="F1467" s="14">
        <v>167.57300000000001</v>
      </c>
      <c r="G1467" s="14">
        <v>2.6930000000000001</v>
      </c>
      <c r="H1467" s="14">
        <v>12.367000000000001</v>
      </c>
      <c r="I1467" s="14">
        <v>3.508</v>
      </c>
      <c r="J1467" s="14">
        <v>101.607</v>
      </c>
      <c r="K1467" s="14">
        <v>100.673</v>
      </c>
      <c r="L1467" s="14">
        <v>4.0510000000000002</v>
      </c>
      <c r="M1467" s="14">
        <v>0.28499999999999998</v>
      </c>
      <c r="N1467" s="14">
        <v>54.593000000000004</v>
      </c>
      <c r="O1467" s="14">
        <v>5.6000000000000001E-2</v>
      </c>
      <c r="P1467" s="14">
        <v>0.247</v>
      </c>
      <c r="Q1467" s="14">
        <v>0.21</v>
      </c>
      <c r="R1467" s="14">
        <v>0.36499999999999999</v>
      </c>
      <c r="S1467" s="14">
        <v>0.61899999999999999</v>
      </c>
      <c r="T1467" s="14"/>
      <c r="U1467" s="14" t="s">
        <v>22</v>
      </c>
      <c r="V1467" s="14" t="s">
        <v>103</v>
      </c>
      <c r="W1467" s="14">
        <v>2</v>
      </c>
      <c r="X1467" s="14" t="s">
        <v>85</v>
      </c>
      <c r="Y1467" s="12">
        <f t="shared" si="54"/>
        <v>0.26600000000000001</v>
      </c>
      <c r="Z1467" s="14">
        <v>-0.191</v>
      </c>
    </row>
    <row r="1468" spans="1:26" x14ac:dyDescent="0.2">
      <c r="A1468" s="14" t="s">
        <v>81</v>
      </c>
      <c r="B1468" s="14">
        <v>3392.5</v>
      </c>
      <c r="C1468" s="14">
        <v>18.876999999999999</v>
      </c>
      <c r="D1468" s="14">
        <v>23.687000000000001</v>
      </c>
      <c r="E1468" s="14">
        <v>2.3199999999999998</v>
      </c>
      <c r="F1468" s="14">
        <v>165.595</v>
      </c>
      <c r="G1468" s="14">
        <v>2.698</v>
      </c>
      <c r="H1468" s="14">
        <v>11.79</v>
      </c>
      <c r="I1468" s="14">
        <v>3.5270000000000001</v>
      </c>
      <c r="J1468" s="14">
        <v>104.864</v>
      </c>
      <c r="K1468" s="14">
        <v>103.52800000000001</v>
      </c>
      <c r="L1468" s="14">
        <v>3.8</v>
      </c>
      <c r="M1468" s="14">
        <v>0.215</v>
      </c>
      <c r="N1468" s="14">
        <v>74.980999999999995</v>
      </c>
      <c r="O1468" s="14">
        <v>6.2E-2</v>
      </c>
      <c r="P1468" s="14">
        <v>0.253</v>
      </c>
      <c r="Q1468" s="14">
        <v>0.188</v>
      </c>
      <c r="R1468" s="14">
        <v>0.377</v>
      </c>
      <c r="S1468" s="14">
        <v>0.58699999999999997</v>
      </c>
      <c r="T1468" s="14"/>
      <c r="U1468" s="14" t="s">
        <v>22</v>
      </c>
      <c r="V1468" s="14" t="s">
        <v>103</v>
      </c>
      <c r="W1468" s="14">
        <v>2</v>
      </c>
      <c r="X1468" s="14" t="s">
        <v>85</v>
      </c>
      <c r="Y1468" s="12">
        <f t="shared" si="54"/>
        <v>0.25</v>
      </c>
      <c r="Z1468" s="14">
        <v>-0.191</v>
      </c>
    </row>
    <row r="1469" spans="1:26" x14ac:dyDescent="0.2">
      <c r="A1469" s="14" t="s">
        <v>81</v>
      </c>
      <c r="B1469" s="14">
        <v>3392.625</v>
      </c>
      <c r="C1469" s="14">
        <v>19.75</v>
      </c>
      <c r="D1469" s="14">
        <v>23.681000000000001</v>
      </c>
      <c r="E1469" s="14">
        <v>2.2440000000000002</v>
      </c>
      <c r="F1469" s="14">
        <v>165.066</v>
      </c>
      <c r="G1469" s="14">
        <v>2.7090000000000001</v>
      </c>
      <c r="H1469" s="14">
        <v>11.747</v>
      </c>
      <c r="I1469" s="14">
        <v>3.516</v>
      </c>
      <c r="J1469" s="14">
        <v>106.76600000000001</v>
      </c>
      <c r="K1469" s="14">
        <v>105.24299999999999</v>
      </c>
      <c r="L1469" s="14">
        <v>3.4820000000000002</v>
      </c>
      <c r="M1469" s="14">
        <v>0.14599999999999999</v>
      </c>
      <c r="N1469" s="14">
        <v>100</v>
      </c>
      <c r="O1469" s="14">
        <v>6.9000000000000006E-2</v>
      </c>
      <c r="P1469" s="14">
        <v>0.25</v>
      </c>
      <c r="Q1469" s="14">
        <v>0.182</v>
      </c>
      <c r="R1469" s="14">
        <v>0.40400000000000003</v>
      </c>
      <c r="S1469" s="14">
        <v>0.58499999999999996</v>
      </c>
      <c r="T1469" s="14"/>
      <c r="U1469" s="14" t="s">
        <v>22</v>
      </c>
      <c r="V1469" s="14" t="s">
        <v>103</v>
      </c>
      <c r="W1469" s="14">
        <v>2</v>
      </c>
      <c r="X1469" s="14" t="s">
        <v>85</v>
      </c>
      <c r="Y1469" s="12">
        <f t="shared" si="54"/>
        <v>0.251</v>
      </c>
      <c r="Z1469" s="14">
        <v>-0.18099999999999999</v>
      </c>
    </row>
    <row r="1470" spans="1:26" x14ac:dyDescent="0.2">
      <c r="A1470" s="14" t="s">
        <v>81</v>
      </c>
      <c r="B1470" s="14">
        <v>3392.75</v>
      </c>
      <c r="C1470" s="14">
        <v>20.5</v>
      </c>
      <c r="D1470" s="14">
        <v>23.597999999999999</v>
      </c>
      <c r="E1470" s="14">
        <v>2.194</v>
      </c>
      <c r="F1470" s="14">
        <v>164.928</v>
      </c>
      <c r="G1470" s="14">
        <v>2.7160000000000002</v>
      </c>
      <c r="H1470" s="14">
        <v>12.143000000000001</v>
      </c>
      <c r="I1470" s="14">
        <v>3.4910000000000001</v>
      </c>
      <c r="J1470" s="14">
        <v>107.474</v>
      </c>
      <c r="K1470" s="14">
        <v>106.256</v>
      </c>
      <c r="L1470" s="14">
        <v>3.407</v>
      </c>
      <c r="M1470" s="14">
        <v>0.13300000000000001</v>
      </c>
      <c r="N1470" s="14">
        <v>100</v>
      </c>
      <c r="O1470" s="14">
        <v>7.4999999999999997E-2</v>
      </c>
      <c r="P1470" s="14">
        <v>0.24199999999999999</v>
      </c>
      <c r="Q1470" s="14">
        <v>0.18</v>
      </c>
      <c r="R1470" s="14">
        <v>0.42099999999999999</v>
      </c>
      <c r="S1470" s="14">
        <v>0.60699999999999998</v>
      </c>
      <c r="T1470" s="14"/>
      <c r="U1470" s="14" t="s">
        <v>22</v>
      </c>
      <c r="V1470" s="14" t="s">
        <v>103</v>
      </c>
      <c r="W1470" s="14">
        <v>2</v>
      </c>
      <c r="X1470" s="14" t="s">
        <v>85</v>
      </c>
      <c r="Y1470" s="12">
        <f t="shared" si="54"/>
        <v>0.255</v>
      </c>
      <c r="Z1470" s="14">
        <v>-0.16699999999999998</v>
      </c>
    </row>
    <row r="1471" spans="1:26" x14ac:dyDescent="0.2">
      <c r="A1471" s="14" t="s">
        <v>81</v>
      </c>
      <c r="B1471" s="14">
        <v>3392.875</v>
      </c>
      <c r="C1471" s="14">
        <v>20.838999999999999</v>
      </c>
      <c r="D1471" s="14">
        <v>23.436</v>
      </c>
      <c r="E1471" s="14">
        <v>2.161</v>
      </c>
      <c r="F1471" s="14">
        <v>164.57599999999999</v>
      </c>
      <c r="G1471" s="14">
        <v>2.7120000000000002</v>
      </c>
      <c r="H1471" s="14">
        <v>12.667</v>
      </c>
      <c r="I1471" s="14">
        <v>3.4870000000000001</v>
      </c>
      <c r="J1471" s="14">
        <v>108.46599999999999</v>
      </c>
      <c r="K1471" s="14">
        <v>108.16500000000001</v>
      </c>
      <c r="L1471" s="14">
        <v>3.5369999999999999</v>
      </c>
      <c r="M1471" s="14">
        <v>0.157</v>
      </c>
      <c r="N1471" s="14">
        <v>100</v>
      </c>
      <c r="O1471" s="14">
        <v>7.8E-2</v>
      </c>
      <c r="P1471" s="14">
        <v>0.24099999999999999</v>
      </c>
      <c r="Q1471" s="14">
        <v>0.17599999999999999</v>
      </c>
      <c r="R1471" s="14">
        <v>0.41099999999999998</v>
      </c>
      <c r="S1471" s="14">
        <v>0.63600000000000001</v>
      </c>
      <c r="T1471" s="14"/>
      <c r="U1471" s="14" t="s">
        <v>22</v>
      </c>
      <c r="V1471" s="14" t="s">
        <v>103</v>
      </c>
      <c r="W1471" s="14">
        <v>2</v>
      </c>
      <c r="X1471" s="14" t="s">
        <v>85</v>
      </c>
      <c r="Y1471" s="12">
        <f t="shared" si="54"/>
        <v>0.254</v>
      </c>
      <c r="Z1471" s="14">
        <v>-0.16299999999999998</v>
      </c>
    </row>
    <row r="1472" spans="1:26" x14ac:dyDescent="0.2">
      <c r="A1472" s="14" t="s">
        <v>81</v>
      </c>
      <c r="B1472" s="14">
        <v>3393</v>
      </c>
      <c r="C1472" s="14">
        <v>20.628</v>
      </c>
      <c r="D1472" s="14">
        <v>23.210999999999999</v>
      </c>
      <c r="E1472" s="14">
        <v>2.153</v>
      </c>
      <c r="F1472" s="14">
        <v>164.10499999999999</v>
      </c>
      <c r="G1472" s="14">
        <v>2.7080000000000002</v>
      </c>
      <c r="H1472" s="14">
        <v>12.949</v>
      </c>
      <c r="I1472" s="14">
        <v>3.512</v>
      </c>
      <c r="J1472" s="14">
        <v>111.956</v>
      </c>
      <c r="K1472" s="14">
        <v>113.21899999999999</v>
      </c>
      <c r="L1472" s="14">
        <v>3.6230000000000002</v>
      </c>
      <c r="M1472" s="14">
        <v>0.17399999999999999</v>
      </c>
      <c r="N1472" s="14">
        <v>100</v>
      </c>
      <c r="O1472" s="14">
        <v>7.5999999999999998E-2</v>
      </c>
      <c r="P1472" s="14">
        <v>0.249</v>
      </c>
      <c r="Q1472" s="14">
        <v>0.17100000000000001</v>
      </c>
      <c r="R1472" s="14">
        <v>0.40100000000000002</v>
      </c>
      <c r="S1472" s="14">
        <v>0.65200000000000002</v>
      </c>
      <c r="T1472" s="14"/>
      <c r="U1472" s="14" t="s">
        <v>22</v>
      </c>
      <c r="V1472" s="14" t="s">
        <v>103</v>
      </c>
      <c r="W1472" s="14">
        <v>2</v>
      </c>
      <c r="X1472" s="14" t="s">
        <v>85</v>
      </c>
      <c r="Y1472" s="12">
        <f t="shared" si="54"/>
        <v>0.247</v>
      </c>
      <c r="Z1472" s="14">
        <v>-0.17299999999999999</v>
      </c>
    </row>
    <row r="1473" spans="1:26" x14ac:dyDescent="0.2">
      <c r="A1473" s="14" t="s">
        <v>81</v>
      </c>
      <c r="B1473" s="14">
        <v>3393.125</v>
      </c>
      <c r="C1473" s="14">
        <v>20.451000000000001</v>
      </c>
      <c r="D1473" s="14">
        <v>22.968</v>
      </c>
      <c r="E1473" s="14">
        <v>2.1800000000000002</v>
      </c>
      <c r="F1473" s="14">
        <v>163.07599999999999</v>
      </c>
      <c r="G1473" s="14">
        <v>2.706</v>
      </c>
      <c r="H1473" s="14">
        <v>12.788</v>
      </c>
      <c r="I1473" s="14">
        <v>3.536</v>
      </c>
      <c r="J1473" s="14">
        <v>120.297</v>
      </c>
      <c r="K1473" s="14">
        <v>123.78400000000001</v>
      </c>
      <c r="L1473" s="14">
        <v>3.6560000000000001</v>
      </c>
      <c r="M1473" s="14">
        <v>0.18099999999999999</v>
      </c>
      <c r="N1473" s="14">
        <v>100</v>
      </c>
      <c r="O1473" s="14">
        <v>7.4999999999999997E-2</v>
      </c>
      <c r="P1473" s="14">
        <v>0.25600000000000001</v>
      </c>
      <c r="Q1473" s="14">
        <v>0.159</v>
      </c>
      <c r="R1473" s="14">
        <v>0.39700000000000002</v>
      </c>
      <c r="S1473" s="14">
        <v>0.64300000000000002</v>
      </c>
      <c r="T1473" s="14"/>
      <c r="U1473" s="14" t="s">
        <v>22</v>
      </c>
      <c r="V1473" s="14" t="s">
        <v>103</v>
      </c>
      <c r="W1473" s="14">
        <v>2</v>
      </c>
      <c r="X1473" s="14" t="s">
        <v>85</v>
      </c>
      <c r="Y1473" s="12">
        <f t="shared" si="54"/>
        <v>0.23399999999999999</v>
      </c>
      <c r="Z1473" s="14">
        <v>-0.18099999999999999</v>
      </c>
    </row>
    <row r="1474" spans="1:26" x14ac:dyDescent="0.2">
      <c r="A1474" s="14" t="s">
        <v>81</v>
      </c>
      <c r="B1474" s="14">
        <v>3393.25</v>
      </c>
      <c r="C1474" s="14">
        <v>21.061</v>
      </c>
      <c r="D1474" s="14">
        <v>22.754000000000001</v>
      </c>
      <c r="E1474" s="14">
        <v>2.2109999999999999</v>
      </c>
      <c r="F1474" s="14">
        <v>161.60400000000001</v>
      </c>
      <c r="G1474" s="14">
        <v>2.71</v>
      </c>
      <c r="H1474" s="14">
        <v>12.159000000000001</v>
      </c>
      <c r="I1474" s="14">
        <v>3.5419999999999998</v>
      </c>
      <c r="J1474" s="14">
        <v>135.00200000000001</v>
      </c>
      <c r="K1474" s="14">
        <v>141.32499999999999</v>
      </c>
      <c r="L1474" s="14">
        <v>3.4020000000000001</v>
      </c>
      <c r="M1474" s="14">
        <v>0.13300000000000001</v>
      </c>
      <c r="N1474" s="14">
        <v>100</v>
      </c>
      <c r="O1474" s="14">
        <v>7.9000000000000001E-2</v>
      </c>
      <c r="P1474" s="14">
        <v>0.25800000000000001</v>
      </c>
      <c r="Q1474" s="14">
        <v>0.14199999999999999</v>
      </c>
      <c r="R1474" s="14">
        <v>0.40600000000000003</v>
      </c>
      <c r="S1474" s="14">
        <v>0.60799999999999998</v>
      </c>
      <c r="T1474" s="14"/>
      <c r="U1474" s="14" t="s">
        <v>22</v>
      </c>
      <c r="V1474" s="14" t="s">
        <v>103</v>
      </c>
      <c r="W1474" s="14">
        <v>2</v>
      </c>
      <c r="X1474" s="14" t="s">
        <v>85</v>
      </c>
      <c r="Y1474" s="12">
        <f t="shared" si="54"/>
        <v>0.22099999999999997</v>
      </c>
      <c r="Z1474" s="14">
        <v>-0.17899999999999999</v>
      </c>
    </row>
    <row r="1475" spans="1:26" x14ac:dyDescent="0.2">
      <c r="A1475" s="14" t="s">
        <v>81</v>
      </c>
      <c r="B1475" s="14">
        <v>3393.375</v>
      </c>
      <c r="C1475" s="14">
        <v>22.593</v>
      </c>
      <c r="D1475" s="14">
        <v>22.623000000000001</v>
      </c>
      <c r="E1475" s="14">
        <v>2.2189999999999999</v>
      </c>
      <c r="F1475" s="14">
        <v>160.077</v>
      </c>
      <c r="G1475" s="14">
        <v>2.726</v>
      </c>
      <c r="H1475" s="14">
        <v>11.131</v>
      </c>
      <c r="I1475" s="14">
        <v>3.5760000000000001</v>
      </c>
      <c r="J1475" s="14">
        <v>156.26499999999999</v>
      </c>
      <c r="K1475" s="14">
        <v>165.946</v>
      </c>
      <c r="L1475" s="14">
        <v>2.7639999999999998</v>
      </c>
      <c r="M1475" s="14">
        <v>0.1</v>
      </c>
      <c r="N1475" s="14">
        <v>100</v>
      </c>
      <c r="O1475" s="14">
        <v>9.1999999999999998E-2</v>
      </c>
      <c r="P1475" s="14">
        <v>0.26800000000000002</v>
      </c>
      <c r="Q1475" s="14">
        <v>0.125</v>
      </c>
      <c r="R1475" s="14">
        <v>0.44600000000000001</v>
      </c>
      <c r="S1475" s="14">
        <v>0.55100000000000005</v>
      </c>
      <c r="T1475" s="14"/>
      <c r="U1475" s="14" t="s">
        <v>22</v>
      </c>
      <c r="V1475" s="14" t="s">
        <v>103</v>
      </c>
      <c r="W1475" s="14">
        <v>2</v>
      </c>
      <c r="X1475" s="14" t="s">
        <v>85</v>
      </c>
      <c r="Y1475" s="12">
        <f t="shared" ref="Y1475:Y1495" si="56">O1475+Q1475</f>
        <v>0.217</v>
      </c>
      <c r="Z1475" s="14">
        <v>-0.17600000000000002</v>
      </c>
    </row>
    <row r="1476" spans="1:26" x14ac:dyDescent="0.2">
      <c r="A1476" s="14" t="s">
        <v>81</v>
      </c>
      <c r="B1476" s="14">
        <v>3393.5</v>
      </c>
      <c r="C1476" s="14">
        <v>24.687000000000001</v>
      </c>
      <c r="D1476" s="14">
        <v>22.635999999999999</v>
      </c>
      <c r="E1476" s="14">
        <v>2.2240000000000002</v>
      </c>
      <c r="F1476" s="14">
        <v>158.35</v>
      </c>
      <c r="G1476" s="14">
        <v>2.7450000000000001</v>
      </c>
      <c r="H1476" s="14">
        <v>9.9109999999999996</v>
      </c>
      <c r="I1476" s="14">
        <v>3.6539999999999999</v>
      </c>
      <c r="J1476" s="14">
        <v>182.85300000000001</v>
      </c>
      <c r="K1476" s="14">
        <v>196.21799999999999</v>
      </c>
      <c r="L1476" s="14">
        <v>2.0579999999999998</v>
      </c>
      <c r="M1476" s="14">
        <v>0.1</v>
      </c>
      <c r="N1476" s="14">
        <v>100</v>
      </c>
      <c r="O1476" s="14">
        <v>0.108</v>
      </c>
      <c r="P1476" s="14">
        <v>0.29099999999999998</v>
      </c>
      <c r="Q1476" s="14">
        <v>0.105</v>
      </c>
      <c r="R1476" s="14">
        <v>0.49299999999999999</v>
      </c>
      <c r="S1476" s="14">
        <v>0.48299999999999998</v>
      </c>
      <c r="T1476" s="14"/>
      <c r="U1476" s="14" t="s">
        <v>22</v>
      </c>
      <c r="V1476" s="14" t="s">
        <v>103</v>
      </c>
      <c r="W1476" s="14">
        <v>2</v>
      </c>
      <c r="X1476" s="14" t="s">
        <v>85</v>
      </c>
      <c r="Y1476" s="12">
        <f t="shared" si="56"/>
        <v>0.21299999999999999</v>
      </c>
      <c r="Z1476" s="14">
        <v>-0.183</v>
      </c>
    </row>
    <row r="1477" spans="1:26" x14ac:dyDescent="0.2">
      <c r="A1477" s="14" t="s">
        <v>81</v>
      </c>
      <c r="B1477" s="14">
        <v>3393.625</v>
      </c>
      <c r="C1477" s="14">
        <v>26.779</v>
      </c>
      <c r="D1477" s="14">
        <v>22.762</v>
      </c>
      <c r="E1477" s="14">
        <v>2.25</v>
      </c>
      <c r="F1477" s="14">
        <v>156.505</v>
      </c>
      <c r="G1477" s="14">
        <v>2.7559999999999998</v>
      </c>
      <c r="H1477" s="14">
        <v>8.8109999999999999</v>
      </c>
      <c r="I1477" s="14">
        <v>3.6840000000000002</v>
      </c>
      <c r="J1477" s="14">
        <v>210.93700000000001</v>
      </c>
      <c r="K1477" s="14">
        <v>227.82</v>
      </c>
      <c r="L1477" s="14">
        <v>1.61</v>
      </c>
      <c r="M1477" s="14">
        <v>0.1</v>
      </c>
      <c r="N1477" s="14">
        <v>100</v>
      </c>
      <c r="O1477" s="14">
        <v>0.125</v>
      </c>
      <c r="P1477" s="14">
        <v>0.3</v>
      </c>
      <c r="Q1477" s="14">
        <v>8.4000000000000005E-2</v>
      </c>
      <c r="R1477" s="14">
        <v>0.52</v>
      </c>
      <c r="S1477" s="14">
        <v>0.42099999999999999</v>
      </c>
      <c r="T1477" s="14"/>
      <c r="U1477" s="14" t="s">
        <v>22</v>
      </c>
      <c r="V1477" s="14" t="s">
        <v>103</v>
      </c>
      <c r="W1477" s="14">
        <v>2</v>
      </c>
      <c r="X1477" s="14" t="s">
        <v>85</v>
      </c>
      <c r="Y1477" s="12">
        <f t="shared" si="56"/>
        <v>0.20900000000000002</v>
      </c>
      <c r="Z1477" s="14">
        <v>-0.17499999999999999</v>
      </c>
    </row>
    <row r="1478" spans="1:26" x14ac:dyDescent="0.2">
      <c r="A1478" s="14" t="s">
        <v>81</v>
      </c>
      <c r="B1478" s="14">
        <v>3393.75</v>
      </c>
      <c r="C1478" s="14">
        <v>28.242999999999999</v>
      </c>
      <c r="D1478" s="14">
        <v>22.832999999999998</v>
      </c>
      <c r="E1478" s="14">
        <v>2.3079999999999998</v>
      </c>
      <c r="F1478" s="14">
        <v>154.65600000000001</v>
      </c>
      <c r="G1478" s="14">
        <v>2.7559999999999998</v>
      </c>
      <c r="H1478" s="14">
        <v>8.0359999999999996</v>
      </c>
      <c r="I1478" s="14">
        <v>3.69</v>
      </c>
      <c r="J1478" s="14">
        <v>235.31800000000001</v>
      </c>
      <c r="K1478" s="14">
        <v>255.143</v>
      </c>
      <c r="L1478" s="14">
        <v>1.452</v>
      </c>
      <c r="M1478" s="14">
        <v>0.1</v>
      </c>
      <c r="N1478" s="14">
        <v>100</v>
      </c>
      <c r="O1478" s="14">
        <v>0.13600000000000001</v>
      </c>
      <c r="P1478" s="14">
        <v>0.30199999999999999</v>
      </c>
      <c r="Q1478" s="14">
        <v>6.3E-2</v>
      </c>
      <c r="R1478" s="14">
        <v>0.52</v>
      </c>
      <c r="S1478" s="14">
        <v>0.378</v>
      </c>
      <c r="T1478" s="14"/>
      <c r="U1478" s="14" t="s">
        <v>22</v>
      </c>
      <c r="V1478" s="14" t="s">
        <v>103</v>
      </c>
      <c r="W1478" s="14">
        <v>2</v>
      </c>
      <c r="X1478" s="14" t="s">
        <v>85</v>
      </c>
      <c r="Y1478" s="12">
        <f t="shared" si="56"/>
        <v>0.19900000000000001</v>
      </c>
      <c r="Z1478" s="14">
        <v>-0.16599999999999998</v>
      </c>
    </row>
    <row r="1479" spans="1:26" x14ac:dyDescent="0.2">
      <c r="A1479" s="14" t="s">
        <v>81</v>
      </c>
      <c r="B1479" s="14">
        <v>3393.875</v>
      </c>
      <c r="C1479" s="14">
        <v>28.39</v>
      </c>
      <c r="D1479" s="14">
        <v>22.719000000000001</v>
      </c>
      <c r="E1479" s="14">
        <v>2.383</v>
      </c>
      <c r="F1479" s="14">
        <v>153.196</v>
      </c>
      <c r="G1479" s="14">
        <v>2.754</v>
      </c>
      <c r="H1479" s="14">
        <v>7.5949999999999998</v>
      </c>
      <c r="I1479" s="14">
        <v>3.6549999999999998</v>
      </c>
      <c r="J1479" s="14">
        <v>252.55199999999999</v>
      </c>
      <c r="K1479" s="14">
        <v>274.88200000000001</v>
      </c>
      <c r="L1479" s="14">
        <v>1.4159999999999999</v>
      </c>
      <c r="M1479" s="14">
        <v>0.1</v>
      </c>
      <c r="N1479" s="14">
        <v>100</v>
      </c>
      <c r="O1479" s="14">
        <v>0.13700000000000001</v>
      </c>
      <c r="P1479" s="14">
        <v>0.29199999999999998</v>
      </c>
      <c r="Q1479" s="14">
        <v>4.7E-2</v>
      </c>
      <c r="R1479" s="14">
        <v>0.51500000000000001</v>
      </c>
      <c r="S1479" s="14">
        <v>0.35399999999999998</v>
      </c>
      <c r="T1479" s="14"/>
      <c r="U1479" s="14" t="s">
        <v>22</v>
      </c>
      <c r="V1479" s="14" t="s">
        <v>103</v>
      </c>
      <c r="W1479" s="14">
        <v>2</v>
      </c>
      <c r="X1479" s="14" t="s">
        <v>85</v>
      </c>
      <c r="Y1479" s="12">
        <f t="shared" si="56"/>
        <v>0.184</v>
      </c>
      <c r="Z1479" s="14">
        <v>-0.15499999999999997</v>
      </c>
    </row>
    <row r="1480" spans="1:26" x14ac:dyDescent="0.2">
      <c r="A1480" s="14" t="s">
        <v>81</v>
      </c>
      <c r="B1480" s="14">
        <v>3394</v>
      </c>
      <c r="C1480" s="14">
        <v>27.350999999999999</v>
      </c>
      <c r="D1480" s="14">
        <v>22.48</v>
      </c>
      <c r="E1480" s="14">
        <v>2.5310000000000001</v>
      </c>
      <c r="F1480" s="14">
        <v>152.45500000000001</v>
      </c>
      <c r="G1480" s="14">
        <v>2.76</v>
      </c>
      <c r="H1480" s="14">
        <v>7.3890000000000002</v>
      </c>
      <c r="I1480" s="14">
        <v>3.61</v>
      </c>
      <c r="J1480" s="14">
        <v>264.45499999999998</v>
      </c>
      <c r="K1480" s="14">
        <v>289.57299999999998</v>
      </c>
      <c r="L1480" s="14">
        <v>1.3460000000000001</v>
      </c>
      <c r="M1480" s="14">
        <v>0.1</v>
      </c>
      <c r="N1480" s="14">
        <v>100</v>
      </c>
      <c r="O1480" s="14">
        <v>0.129</v>
      </c>
      <c r="P1480" s="14">
        <v>0.27800000000000002</v>
      </c>
      <c r="Q1480" s="14">
        <v>3.9E-2</v>
      </c>
      <c r="R1480" s="14">
        <v>0.53</v>
      </c>
      <c r="S1480" s="14">
        <v>0.34200000000000003</v>
      </c>
      <c r="T1480" s="14"/>
      <c r="U1480" s="14" t="s">
        <v>22</v>
      </c>
      <c r="V1480" s="14" t="s">
        <v>103</v>
      </c>
      <c r="W1480" s="14">
        <v>2</v>
      </c>
      <c r="X1480" s="14" t="s">
        <v>85</v>
      </c>
      <c r="Y1480" s="12">
        <f t="shared" si="56"/>
        <v>0.16800000000000001</v>
      </c>
      <c r="Z1480" s="14">
        <v>-0.14900000000000002</v>
      </c>
    </row>
    <row r="1481" spans="1:26" x14ac:dyDescent="0.2">
      <c r="A1481" s="14" t="s">
        <v>81</v>
      </c>
      <c r="B1481" s="14">
        <v>3394.125</v>
      </c>
      <c r="C1481" s="14">
        <v>25.556000000000001</v>
      </c>
      <c r="D1481" s="14">
        <v>22.280999999999999</v>
      </c>
      <c r="E1481" s="14">
        <v>2.7410000000000001</v>
      </c>
      <c r="F1481" s="14">
        <v>152</v>
      </c>
      <c r="G1481" s="14">
        <v>2.7730000000000001</v>
      </c>
      <c r="H1481" s="14">
        <v>7.2830000000000004</v>
      </c>
      <c r="I1481" s="14">
        <v>3.5870000000000002</v>
      </c>
      <c r="J1481" s="14">
        <v>278.23599999999999</v>
      </c>
      <c r="K1481" s="14">
        <v>307.67599999999999</v>
      </c>
      <c r="L1481" s="14">
        <v>1.22</v>
      </c>
      <c r="M1481" s="14">
        <v>0.1</v>
      </c>
      <c r="N1481" s="14">
        <v>100</v>
      </c>
      <c r="O1481" s="14">
        <v>0.115</v>
      </c>
      <c r="P1481" s="14">
        <v>0.27100000000000002</v>
      </c>
      <c r="Q1481" s="14">
        <v>3.3000000000000002E-2</v>
      </c>
      <c r="R1481" s="14">
        <v>0.56200000000000006</v>
      </c>
      <c r="S1481" s="14">
        <v>0.33600000000000002</v>
      </c>
      <c r="T1481" s="14"/>
      <c r="U1481" s="14" t="s">
        <v>22</v>
      </c>
      <c r="V1481" s="14" t="s">
        <v>103</v>
      </c>
      <c r="W1481" s="14">
        <v>2</v>
      </c>
      <c r="X1481" s="14" t="s">
        <v>85</v>
      </c>
      <c r="Y1481" s="12">
        <f t="shared" si="56"/>
        <v>0.14800000000000002</v>
      </c>
      <c r="Z1481" s="14">
        <v>-0.15600000000000003</v>
      </c>
    </row>
    <row r="1482" spans="1:26" x14ac:dyDescent="0.2">
      <c r="A1482" s="14" t="s">
        <v>81</v>
      </c>
      <c r="B1482" s="14">
        <v>3394.25</v>
      </c>
      <c r="C1482" s="14">
        <v>24.09</v>
      </c>
      <c r="D1482" s="14">
        <v>22.172000000000001</v>
      </c>
      <c r="E1482" s="14">
        <v>2.9350000000000001</v>
      </c>
      <c r="F1482" s="14">
        <v>151.315</v>
      </c>
      <c r="G1482" s="14">
        <v>2.7879999999999998</v>
      </c>
      <c r="H1482" s="14">
        <v>7.1239999999999997</v>
      </c>
      <c r="I1482" s="14">
        <v>3.5510000000000002</v>
      </c>
      <c r="J1482" s="14">
        <v>303.74400000000003</v>
      </c>
      <c r="K1482" s="14">
        <v>340.86099999999999</v>
      </c>
      <c r="L1482" s="14">
        <v>1.0669999999999999</v>
      </c>
      <c r="M1482" s="14">
        <v>0.1</v>
      </c>
      <c r="N1482" s="14">
        <v>100</v>
      </c>
      <c r="O1482" s="14">
        <v>0.10299999999999999</v>
      </c>
      <c r="P1482" s="14">
        <v>0.26</v>
      </c>
      <c r="Q1482" s="14">
        <v>2.5999999999999999E-2</v>
      </c>
      <c r="R1482" s="14">
        <v>0.59899999999999998</v>
      </c>
      <c r="S1482" s="14">
        <v>0.32800000000000001</v>
      </c>
      <c r="T1482" s="14"/>
      <c r="U1482" s="14" t="s">
        <v>22</v>
      </c>
      <c r="V1482" s="14" t="s">
        <v>103</v>
      </c>
      <c r="W1482" s="14">
        <v>2</v>
      </c>
      <c r="X1482" s="14" t="s">
        <v>85</v>
      </c>
      <c r="Y1482" s="12">
        <f t="shared" si="56"/>
        <v>0.129</v>
      </c>
      <c r="Z1482" s="14">
        <v>-0.15700000000000003</v>
      </c>
    </row>
    <row r="1483" spans="1:26" x14ac:dyDescent="0.2">
      <c r="A1483" s="14" t="s">
        <v>81</v>
      </c>
      <c r="B1483" s="14">
        <v>3396.25</v>
      </c>
      <c r="C1483" s="14">
        <v>11.535</v>
      </c>
      <c r="D1483" s="14">
        <v>21.898</v>
      </c>
      <c r="E1483" s="14">
        <v>2.1960000000000002</v>
      </c>
      <c r="F1483" s="14">
        <v>169.85</v>
      </c>
      <c r="G1483" s="14">
        <v>2.9209999999999998</v>
      </c>
      <c r="H1483" s="14">
        <v>2.1179999999999999</v>
      </c>
      <c r="I1483" s="14">
        <v>4.4340000000000002</v>
      </c>
      <c r="J1483" s="14">
        <v>45009.508000000002</v>
      </c>
      <c r="K1483" s="14">
        <v>85285.648000000001</v>
      </c>
      <c r="L1483" s="14">
        <v>8.7999999999999995E-2</v>
      </c>
      <c r="M1483" s="14">
        <v>0.1</v>
      </c>
      <c r="N1483" s="14">
        <v>100</v>
      </c>
      <c r="O1483" s="14">
        <v>4.0000000000000001E-3</v>
      </c>
      <c r="P1483" s="14">
        <v>0.52600000000000002</v>
      </c>
      <c r="Q1483" s="14">
        <v>0.23599999999999999</v>
      </c>
      <c r="R1483" s="14">
        <v>0.92600000000000005</v>
      </c>
      <c r="S1483" s="14">
        <v>4.9000000000000002E-2</v>
      </c>
      <c r="T1483" s="14"/>
      <c r="U1483" s="14" t="s">
        <v>33</v>
      </c>
      <c r="V1483" s="14" t="s">
        <v>103</v>
      </c>
      <c r="W1483" s="14">
        <v>5</v>
      </c>
      <c r="X1483" s="14" t="s">
        <v>85</v>
      </c>
      <c r="Y1483" s="12">
        <f t="shared" si="56"/>
        <v>0.24</v>
      </c>
      <c r="Z1483" s="14">
        <v>-0.52200000000000002</v>
      </c>
    </row>
    <row r="1484" spans="1:26" x14ac:dyDescent="0.2">
      <c r="A1484" s="14" t="s">
        <v>81</v>
      </c>
      <c r="B1484" s="14">
        <v>3396.375</v>
      </c>
      <c r="C1484" s="14">
        <v>10.996</v>
      </c>
      <c r="D1484" s="14">
        <v>21.945</v>
      </c>
      <c r="E1484" s="14">
        <v>2.0840000000000001</v>
      </c>
      <c r="F1484" s="14">
        <v>169.517</v>
      </c>
      <c r="G1484" s="14">
        <v>2.9390000000000001</v>
      </c>
      <c r="H1484" s="14">
        <v>2.032</v>
      </c>
      <c r="I1484" s="14">
        <v>4.9980000000000002</v>
      </c>
      <c r="J1484" s="14">
        <v>51018.086000000003</v>
      </c>
      <c r="K1484" s="14">
        <v>96683.077999999994</v>
      </c>
      <c r="L1484" s="14">
        <v>0.09</v>
      </c>
      <c r="M1484" s="14">
        <v>0.1</v>
      </c>
      <c r="N1484" s="14">
        <v>100</v>
      </c>
      <c r="O1484" s="14">
        <v>0</v>
      </c>
      <c r="P1484" s="14">
        <v>0.69499999999999995</v>
      </c>
      <c r="Q1484" s="14">
        <v>0.23200000000000001</v>
      </c>
      <c r="R1484" s="14">
        <v>0.97</v>
      </c>
      <c r="S1484" s="14">
        <v>4.3999999999999997E-2</v>
      </c>
      <c r="T1484" s="14"/>
      <c r="U1484" s="14" t="s">
        <v>33</v>
      </c>
      <c r="V1484" s="14" t="s">
        <v>103</v>
      </c>
      <c r="W1484" s="14">
        <v>5</v>
      </c>
      <c r="X1484" s="14" t="s">
        <v>85</v>
      </c>
      <c r="Y1484" s="12">
        <f t="shared" si="56"/>
        <v>0.23200000000000001</v>
      </c>
      <c r="Z1484" s="14">
        <v>-0.69499999999999995</v>
      </c>
    </row>
    <row r="1485" spans="1:26" x14ac:dyDescent="0.2">
      <c r="A1485" s="14" t="s">
        <v>81</v>
      </c>
      <c r="B1485" s="14">
        <v>3396.5</v>
      </c>
      <c r="C1485" s="14">
        <v>11.067</v>
      </c>
      <c r="D1485" s="14">
        <v>22.015000000000001</v>
      </c>
      <c r="E1485" s="14">
        <v>2.0670000000000002</v>
      </c>
      <c r="F1485" s="14">
        <v>169.05799999999999</v>
      </c>
      <c r="G1485" s="14">
        <v>2.9460000000000002</v>
      </c>
      <c r="H1485" s="14">
        <v>2.2930000000000001</v>
      </c>
      <c r="I1485" s="14">
        <v>5.5880000000000001</v>
      </c>
      <c r="J1485" s="14">
        <v>51655.59</v>
      </c>
      <c r="K1485" s="14">
        <v>97939.672000000006</v>
      </c>
      <c r="L1485" s="14">
        <v>0.09</v>
      </c>
      <c r="M1485" s="14">
        <v>0.1</v>
      </c>
      <c r="N1485" s="14">
        <v>100</v>
      </c>
      <c r="O1485" s="14">
        <v>1E-3</v>
      </c>
      <c r="P1485" s="14">
        <v>0.873</v>
      </c>
      <c r="Q1485" s="14">
        <v>0.22700000000000001</v>
      </c>
      <c r="R1485" s="14">
        <v>0.98799999999999999</v>
      </c>
      <c r="S1485" s="14">
        <v>5.8999999999999997E-2</v>
      </c>
      <c r="T1485" s="14"/>
      <c r="U1485" s="14" t="s">
        <v>33</v>
      </c>
      <c r="V1485" s="14" t="s">
        <v>103</v>
      </c>
      <c r="W1485" s="14">
        <v>5</v>
      </c>
      <c r="X1485" s="14" t="s">
        <v>85</v>
      </c>
      <c r="Y1485" s="12">
        <f t="shared" si="56"/>
        <v>0.22800000000000001</v>
      </c>
      <c r="Z1485" s="14">
        <v>-0.872</v>
      </c>
    </row>
    <row r="1486" spans="1:26" x14ac:dyDescent="0.2">
      <c r="A1486" s="14" t="s">
        <v>81</v>
      </c>
      <c r="B1486" s="14">
        <v>3396.625</v>
      </c>
      <c r="C1486" s="14">
        <v>11.978</v>
      </c>
      <c r="D1486" s="14">
        <v>22.077999999999999</v>
      </c>
      <c r="E1486" s="14">
        <v>2.093</v>
      </c>
      <c r="F1486" s="14">
        <v>168.64699999999999</v>
      </c>
      <c r="G1486" s="14">
        <v>2.9409999999999998</v>
      </c>
      <c r="H1486" s="14">
        <v>2.6379999999999999</v>
      </c>
      <c r="I1486" s="14">
        <v>6.0110000000000001</v>
      </c>
      <c r="J1486" s="14">
        <v>50463.050999999999</v>
      </c>
      <c r="K1486" s="14">
        <v>95847.82</v>
      </c>
      <c r="L1486" s="14">
        <v>9.0999999999999998E-2</v>
      </c>
      <c r="M1486" s="14">
        <v>0.1</v>
      </c>
      <c r="N1486" s="14">
        <v>100</v>
      </c>
      <c r="O1486" s="14">
        <v>8.0000000000000002E-3</v>
      </c>
      <c r="P1486" s="14">
        <v>1</v>
      </c>
      <c r="Q1486" s="14">
        <v>0.222</v>
      </c>
      <c r="R1486" s="14">
        <v>0.97499999999999998</v>
      </c>
      <c r="S1486" s="14">
        <v>7.8E-2</v>
      </c>
      <c r="T1486" s="14"/>
      <c r="U1486" s="14" t="s">
        <v>33</v>
      </c>
      <c r="V1486" s="14" t="s">
        <v>103</v>
      </c>
      <c r="W1486" s="14">
        <v>5</v>
      </c>
      <c r="X1486" s="14" t="s">
        <v>85</v>
      </c>
      <c r="Y1486" s="12">
        <f t="shared" si="56"/>
        <v>0.23</v>
      </c>
      <c r="Z1486" s="14">
        <v>-0.99199999999999999</v>
      </c>
    </row>
    <row r="1487" spans="1:26" x14ac:dyDescent="0.2">
      <c r="A1487" s="14" t="s">
        <v>81</v>
      </c>
      <c r="B1487" s="14">
        <v>3396.75</v>
      </c>
      <c r="C1487" s="14">
        <v>14.175000000000001</v>
      </c>
      <c r="D1487" s="14">
        <v>22.109000000000002</v>
      </c>
      <c r="E1487" s="14">
        <v>2.105</v>
      </c>
      <c r="F1487" s="14">
        <v>167.72499999999999</v>
      </c>
      <c r="G1487" s="14">
        <v>2.9319999999999999</v>
      </c>
      <c r="H1487" s="14">
        <v>3</v>
      </c>
      <c r="I1487" s="14">
        <v>5.9210000000000003</v>
      </c>
      <c r="J1487" s="14">
        <v>47794.741999999998</v>
      </c>
      <c r="K1487" s="14">
        <v>90848.843999999997</v>
      </c>
      <c r="L1487" s="14">
        <v>9.0999999999999998E-2</v>
      </c>
      <c r="M1487" s="14">
        <v>0.1</v>
      </c>
      <c r="N1487" s="14">
        <v>100</v>
      </c>
      <c r="O1487" s="14">
        <v>2.5000000000000001E-2</v>
      </c>
      <c r="P1487" s="14">
        <v>0.97299999999999998</v>
      </c>
      <c r="Q1487" s="14">
        <v>0.21199999999999999</v>
      </c>
      <c r="R1487" s="14">
        <v>0.95299999999999996</v>
      </c>
      <c r="S1487" s="14">
        <v>9.8000000000000004E-2</v>
      </c>
      <c r="T1487" s="14"/>
      <c r="U1487" s="14" t="s">
        <v>33</v>
      </c>
      <c r="V1487" s="14" t="s">
        <v>103</v>
      </c>
      <c r="W1487" s="14">
        <v>5</v>
      </c>
      <c r="X1487" s="14" t="s">
        <v>85</v>
      </c>
      <c r="Y1487" s="12">
        <f t="shared" si="56"/>
        <v>0.23699999999999999</v>
      </c>
      <c r="Z1487" s="14">
        <v>-0.94799999999999995</v>
      </c>
    </row>
    <row r="1488" spans="1:26" x14ac:dyDescent="0.2">
      <c r="A1488" s="14" t="s">
        <v>81</v>
      </c>
      <c r="B1488" s="14">
        <v>3396.875</v>
      </c>
      <c r="C1488" s="14">
        <v>17.119</v>
      </c>
      <c r="D1488" s="14">
        <v>22.117999999999999</v>
      </c>
      <c r="E1488" s="14">
        <v>2.137</v>
      </c>
      <c r="F1488" s="14">
        <v>166.101</v>
      </c>
      <c r="G1488" s="14">
        <v>2.923</v>
      </c>
      <c r="H1488" s="14">
        <v>3.4820000000000002</v>
      </c>
      <c r="I1488" s="14">
        <v>5.444</v>
      </c>
      <c r="J1488" s="14">
        <v>43148.07</v>
      </c>
      <c r="K1488" s="14">
        <v>81795.077999999994</v>
      </c>
      <c r="L1488" s="14">
        <v>9.0999999999999998E-2</v>
      </c>
      <c r="M1488" s="14">
        <v>0.1</v>
      </c>
      <c r="N1488" s="14">
        <v>100</v>
      </c>
      <c r="O1488" s="14">
        <v>4.8000000000000001E-2</v>
      </c>
      <c r="P1488" s="14">
        <v>0.83</v>
      </c>
      <c r="Q1488" s="14">
        <v>0.193</v>
      </c>
      <c r="R1488" s="14">
        <v>0.93100000000000005</v>
      </c>
      <c r="S1488" s="14">
        <v>0.125</v>
      </c>
      <c r="T1488" s="14"/>
      <c r="U1488" s="14" t="s">
        <v>33</v>
      </c>
      <c r="V1488" s="14" t="s">
        <v>103</v>
      </c>
      <c r="W1488" s="14">
        <v>5</v>
      </c>
      <c r="X1488" s="14" t="s">
        <v>85</v>
      </c>
      <c r="Y1488" s="12">
        <f t="shared" si="56"/>
        <v>0.24099999999999999</v>
      </c>
      <c r="Z1488" s="14">
        <v>-0.78199999999999992</v>
      </c>
    </row>
    <row r="1489" spans="1:26" x14ac:dyDescent="0.2">
      <c r="A1489" s="14" t="s">
        <v>81</v>
      </c>
      <c r="B1489" s="14">
        <v>3397</v>
      </c>
      <c r="C1489" s="14">
        <v>19.216000000000001</v>
      </c>
      <c r="D1489" s="14">
        <v>22.119</v>
      </c>
      <c r="E1489" s="14">
        <v>2.21</v>
      </c>
      <c r="F1489" s="14">
        <v>163.90100000000001</v>
      </c>
      <c r="G1489" s="14">
        <v>2.9129999999999998</v>
      </c>
      <c r="H1489" s="14">
        <v>4.0880000000000001</v>
      </c>
      <c r="I1489" s="14">
        <v>5.0590000000000002</v>
      </c>
      <c r="J1489" s="14">
        <v>39388.097999999998</v>
      </c>
      <c r="K1489" s="14">
        <v>74313.968999999997</v>
      </c>
      <c r="L1489" s="14">
        <v>0.53500000000000003</v>
      </c>
      <c r="M1489" s="14">
        <v>0.1</v>
      </c>
      <c r="N1489" s="14">
        <v>100</v>
      </c>
      <c r="O1489" s="14">
        <v>6.5000000000000002E-2</v>
      </c>
      <c r="P1489" s="14">
        <v>0.71399999999999997</v>
      </c>
      <c r="Q1489" s="14">
        <v>0.16800000000000001</v>
      </c>
      <c r="R1489" s="14">
        <v>0.90600000000000003</v>
      </c>
      <c r="S1489" s="14">
        <v>0.159</v>
      </c>
      <c r="T1489" s="14"/>
      <c r="U1489" s="14" t="s">
        <v>33</v>
      </c>
      <c r="V1489" s="14" t="s">
        <v>103</v>
      </c>
      <c r="W1489" s="14">
        <v>5</v>
      </c>
      <c r="X1489" s="14" t="s">
        <v>85</v>
      </c>
      <c r="Y1489" s="12">
        <f t="shared" si="56"/>
        <v>0.23300000000000001</v>
      </c>
      <c r="Z1489" s="14">
        <v>-0.64900000000000002</v>
      </c>
    </row>
    <row r="1490" spans="1:26" x14ac:dyDescent="0.2">
      <c r="A1490" s="14" t="s">
        <v>81</v>
      </c>
      <c r="B1490" s="14">
        <v>3397.125</v>
      </c>
      <c r="C1490" s="14">
        <v>19.616</v>
      </c>
      <c r="D1490" s="14">
        <v>22.106000000000002</v>
      </c>
      <c r="E1490" s="14">
        <v>2.286</v>
      </c>
      <c r="F1490" s="14">
        <v>161.01900000000001</v>
      </c>
      <c r="G1490" s="14">
        <v>2.9009999999999998</v>
      </c>
      <c r="H1490" s="14">
        <v>4.2350000000000003</v>
      </c>
      <c r="I1490" s="14">
        <v>5.077</v>
      </c>
      <c r="J1490" s="14">
        <v>40405.730000000003</v>
      </c>
      <c r="K1490" s="14">
        <v>76057.304999999993</v>
      </c>
      <c r="L1490" s="14">
        <v>0.63600000000000001</v>
      </c>
      <c r="M1490" s="14">
        <v>0.1</v>
      </c>
      <c r="N1490" s="14">
        <v>100</v>
      </c>
      <c r="O1490" s="14">
        <v>6.8000000000000005E-2</v>
      </c>
      <c r="P1490" s="14">
        <v>0.71899999999999997</v>
      </c>
      <c r="Q1490" s="14">
        <v>0.13600000000000001</v>
      </c>
      <c r="R1490" s="14">
        <v>0.877</v>
      </c>
      <c r="S1490" s="14">
        <v>0.16700000000000001</v>
      </c>
      <c r="T1490" s="14"/>
      <c r="U1490" s="14" t="s">
        <v>33</v>
      </c>
      <c r="V1490" s="14" t="s">
        <v>103</v>
      </c>
      <c r="W1490" s="14">
        <v>5</v>
      </c>
      <c r="X1490" s="14" t="s">
        <v>85</v>
      </c>
      <c r="Y1490" s="12">
        <f t="shared" si="56"/>
        <v>0.20400000000000001</v>
      </c>
      <c r="Z1490" s="14">
        <v>-0.65100000000000002</v>
      </c>
    </row>
    <row r="1491" spans="1:26" x14ac:dyDescent="0.2">
      <c r="A1491" s="14" t="s">
        <v>81</v>
      </c>
      <c r="B1491" s="14">
        <v>3397.25</v>
      </c>
      <c r="C1491" s="14">
        <v>18.396000000000001</v>
      </c>
      <c r="D1491" s="14">
        <v>22.076000000000001</v>
      </c>
      <c r="E1491" s="14">
        <v>2.347</v>
      </c>
      <c r="F1491" s="14">
        <v>157.9</v>
      </c>
      <c r="G1491" s="14">
        <v>2.8889999999999998</v>
      </c>
      <c r="H1491" s="14">
        <v>4.2350000000000003</v>
      </c>
      <c r="I1491" s="14">
        <v>5.2229999999999999</v>
      </c>
      <c r="J1491" s="14">
        <v>45720.891000000003</v>
      </c>
      <c r="K1491" s="14">
        <v>86021.202999999994</v>
      </c>
      <c r="L1491" s="14">
        <v>0.75</v>
      </c>
      <c r="M1491" s="14">
        <v>0.1</v>
      </c>
      <c r="N1491" s="14">
        <v>100</v>
      </c>
      <c r="O1491" s="14">
        <v>5.8000000000000003E-2</v>
      </c>
      <c r="P1491" s="14">
        <v>0.76300000000000001</v>
      </c>
      <c r="Q1491" s="14">
        <v>0.1</v>
      </c>
      <c r="R1491" s="14">
        <v>0.84699999999999998</v>
      </c>
      <c r="S1491" s="14">
        <v>0.16700000000000001</v>
      </c>
      <c r="T1491" s="14"/>
      <c r="U1491" s="14" t="s">
        <v>33</v>
      </c>
      <c r="V1491" s="14" t="s">
        <v>103</v>
      </c>
      <c r="W1491" s="14">
        <v>5</v>
      </c>
      <c r="X1491" s="14" t="s">
        <v>85</v>
      </c>
      <c r="Y1491" s="12">
        <f t="shared" si="56"/>
        <v>0.158</v>
      </c>
      <c r="Z1491" s="14">
        <v>-0.70499999999999996</v>
      </c>
    </row>
    <row r="1492" spans="1:26" x14ac:dyDescent="0.2">
      <c r="A1492" s="9" t="s">
        <v>81</v>
      </c>
      <c r="B1492" s="9">
        <v>3397.375</v>
      </c>
      <c r="C1492" s="9">
        <v>16.452000000000002</v>
      </c>
      <c r="D1492" s="9">
        <v>22.041</v>
      </c>
      <c r="E1492" s="9">
        <v>2.3969999999999998</v>
      </c>
      <c r="F1492" s="9">
        <v>155.62899999999999</v>
      </c>
      <c r="G1492" s="9">
        <v>2.883</v>
      </c>
      <c r="H1492" s="9">
        <v>4.085</v>
      </c>
      <c r="I1492" s="9">
        <v>5.2839999999999998</v>
      </c>
      <c r="J1492" s="9">
        <v>50974.921999999999</v>
      </c>
      <c r="K1492" s="9">
        <v>95648.531000000003</v>
      </c>
      <c r="L1492" s="9">
        <v>0.78900000000000003</v>
      </c>
      <c r="M1492" s="9">
        <v>0.1</v>
      </c>
      <c r="N1492" s="9">
        <v>100</v>
      </c>
      <c r="O1492" s="9">
        <v>4.2999999999999997E-2</v>
      </c>
      <c r="P1492" s="9">
        <v>0.78100000000000003</v>
      </c>
      <c r="Q1492" s="9">
        <v>7.4999999999999997E-2</v>
      </c>
      <c r="R1492" s="9">
        <v>0.83299999999999996</v>
      </c>
      <c r="S1492" s="9">
        <v>0.159</v>
      </c>
      <c r="T1492" s="9"/>
      <c r="U1492" s="9" t="s">
        <v>33</v>
      </c>
      <c r="V1492" s="9" t="s">
        <v>104</v>
      </c>
      <c r="W1492" s="9">
        <v>6</v>
      </c>
      <c r="X1492" s="9" t="s">
        <v>85</v>
      </c>
      <c r="Y1492" s="12">
        <f t="shared" si="56"/>
        <v>0.11799999999999999</v>
      </c>
      <c r="Z1492" s="9">
        <f t="shared" ref="Z1492:Z1495" si="57">O1492-P1492</f>
        <v>-0.73799999999999999</v>
      </c>
    </row>
    <row r="1493" spans="1:26" x14ac:dyDescent="0.2">
      <c r="A1493" s="9" t="s">
        <v>81</v>
      </c>
      <c r="B1493" s="9">
        <v>3397.5</v>
      </c>
      <c r="C1493" s="9">
        <v>14.403</v>
      </c>
      <c r="D1493" s="9">
        <v>22.018999999999998</v>
      </c>
      <c r="E1493" s="9">
        <v>2.4159999999999999</v>
      </c>
      <c r="F1493" s="9">
        <v>154.851</v>
      </c>
      <c r="G1493" s="9">
        <v>2.8860000000000001</v>
      </c>
      <c r="H1493" s="9">
        <v>3.706</v>
      </c>
      <c r="I1493" s="9">
        <v>5.2690000000000001</v>
      </c>
      <c r="J1493" s="9">
        <v>51007.593999999997</v>
      </c>
      <c r="K1493" s="9">
        <v>95091.554999999993</v>
      </c>
      <c r="L1493" s="9">
        <v>0.68899999999999995</v>
      </c>
      <c r="M1493" s="9">
        <v>0.1</v>
      </c>
      <c r="N1493" s="9">
        <v>100</v>
      </c>
      <c r="O1493" s="9">
        <v>2.7E-2</v>
      </c>
      <c r="P1493" s="9">
        <v>0.77700000000000002</v>
      </c>
      <c r="Q1493" s="9">
        <v>6.6000000000000003E-2</v>
      </c>
      <c r="R1493" s="9">
        <v>0.84</v>
      </c>
      <c r="S1493" s="9">
        <v>0.13700000000000001</v>
      </c>
      <c r="T1493" s="9"/>
      <c r="U1493" s="9" t="s">
        <v>33</v>
      </c>
      <c r="V1493" s="9" t="s">
        <v>104</v>
      </c>
      <c r="W1493" s="9">
        <v>6</v>
      </c>
      <c r="X1493" s="9" t="s">
        <v>85</v>
      </c>
      <c r="Y1493" s="12">
        <f t="shared" si="56"/>
        <v>9.2999999999999999E-2</v>
      </c>
      <c r="Z1493" s="9">
        <f t="shared" si="57"/>
        <v>-0.75</v>
      </c>
    </row>
    <row r="1494" spans="1:26" x14ac:dyDescent="0.2">
      <c r="A1494" s="9" t="s">
        <v>81</v>
      </c>
      <c r="B1494" s="9">
        <v>3397.625</v>
      </c>
      <c r="C1494" s="9">
        <v>12.683999999999999</v>
      </c>
      <c r="D1494" s="9">
        <v>21.989000000000001</v>
      </c>
      <c r="E1494" s="9">
        <v>2.3889999999999998</v>
      </c>
      <c r="F1494" s="9">
        <v>155.042</v>
      </c>
      <c r="G1494" s="9">
        <v>2.9</v>
      </c>
      <c r="H1494" s="9">
        <v>3.4180000000000001</v>
      </c>
      <c r="I1494" s="9">
        <v>5.1539999999999999</v>
      </c>
      <c r="J1494" s="9">
        <v>43960.690999999999</v>
      </c>
      <c r="K1494" s="9">
        <v>81098.108999999997</v>
      </c>
      <c r="L1494" s="9">
        <v>0.53900000000000003</v>
      </c>
      <c r="M1494" s="9">
        <v>0.1</v>
      </c>
      <c r="N1494" s="9">
        <v>100</v>
      </c>
      <c r="O1494" s="9">
        <v>1.2999999999999999E-2</v>
      </c>
      <c r="P1494" s="9">
        <v>0.74199999999999999</v>
      </c>
      <c r="Q1494" s="9">
        <v>6.8000000000000005E-2</v>
      </c>
      <c r="R1494" s="9">
        <v>0.874</v>
      </c>
      <c r="S1494" s="9">
        <v>0.121</v>
      </c>
      <c r="T1494" s="9"/>
      <c r="U1494" s="9" t="s">
        <v>33</v>
      </c>
      <c r="V1494" s="9" t="s">
        <v>104</v>
      </c>
      <c r="W1494" s="9">
        <v>6</v>
      </c>
      <c r="X1494" s="9" t="s">
        <v>85</v>
      </c>
      <c r="Y1494" s="12">
        <f t="shared" si="56"/>
        <v>8.1000000000000003E-2</v>
      </c>
      <c r="Z1494" s="9">
        <f t="shared" si="57"/>
        <v>-0.72899999999999998</v>
      </c>
    </row>
    <row r="1495" spans="1:26" x14ac:dyDescent="0.2">
      <c r="A1495" s="9" t="s">
        <v>81</v>
      </c>
      <c r="B1495" s="9">
        <v>3397.75</v>
      </c>
      <c r="C1495" s="9">
        <v>11.879</v>
      </c>
      <c r="D1495" s="9">
        <v>21.922000000000001</v>
      </c>
      <c r="E1495" s="9">
        <v>2.3170000000000002</v>
      </c>
      <c r="F1495" s="9">
        <v>156.13300000000001</v>
      </c>
      <c r="G1495" s="9">
        <v>2.9159999999999999</v>
      </c>
      <c r="H1495" s="9">
        <v>2.4820000000000002</v>
      </c>
      <c r="I1495" s="9">
        <v>4.9960000000000004</v>
      </c>
      <c r="J1495" s="9">
        <v>31099.405999999999</v>
      </c>
      <c r="K1495" s="9">
        <v>56249.027000000002</v>
      </c>
      <c r="L1495" s="9">
        <v>9.1999999999999998E-2</v>
      </c>
      <c r="M1495" s="9">
        <v>0.1</v>
      </c>
      <c r="N1495" s="9">
        <v>100</v>
      </c>
      <c r="O1495" s="9">
        <v>7.0000000000000001E-3</v>
      </c>
      <c r="P1495" s="9">
        <v>0.69499999999999995</v>
      </c>
      <c r="Q1495" s="9">
        <v>0.08</v>
      </c>
      <c r="R1495" s="9">
        <v>0.91400000000000003</v>
      </c>
      <c r="S1495" s="9">
        <v>6.9000000000000006E-2</v>
      </c>
      <c r="T1495" s="9"/>
      <c r="U1495" s="9" t="s">
        <v>33</v>
      </c>
      <c r="V1495" s="9" t="s">
        <v>104</v>
      </c>
      <c r="W1495" s="9">
        <v>6</v>
      </c>
      <c r="X1495" s="9" t="s">
        <v>85</v>
      </c>
      <c r="Y1495" s="12">
        <f t="shared" si="56"/>
        <v>8.7000000000000008E-2</v>
      </c>
      <c r="Z1495" s="9">
        <f t="shared" si="57"/>
        <v>-0.68799999999999994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 Desktop</cp:lastModifiedBy>
  <dcterms:created xsi:type="dcterms:W3CDTF">2015-06-05T18:19:34Z</dcterms:created>
  <dcterms:modified xsi:type="dcterms:W3CDTF">2026-03-09T08:12:20Z</dcterms:modified>
</cp:coreProperties>
</file>