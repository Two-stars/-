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000"/>
  </bookViews>
  <sheets>
    <sheet name="Sheet1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<sst xmlns="http://schemas.openxmlformats.org/spreadsheetml/2006/main" count="6365" uniqueCount="117">
  <si>
    <t>井名</t>
  </si>
  <si>
    <t>深度</t>
  </si>
  <si>
    <t>GR</t>
  </si>
  <si>
    <t>SP</t>
  </si>
  <si>
    <t>AC</t>
  </si>
  <si>
    <t>AC1</t>
  </si>
  <si>
    <t>CAL</t>
  </si>
  <si>
    <t>U</t>
  </si>
  <si>
    <t>DEN</t>
  </si>
  <si>
    <t>DEN1</t>
  </si>
  <si>
    <t>CNL</t>
  </si>
  <si>
    <t>CNL1</t>
  </si>
  <si>
    <t>PE</t>
  </si>
  <si>
    <t>RD</t>
  </si>
  <si>
    <t>RS</t>
  </si>
  <si>
    <t>log（RD）</t>
  </si>
  <si>
    <t>log（RS）</t>
  </si>
  <si>
    <t>m2r3</t>
  </si>
  <si>
    <t>m2r6</t>
  </si>
  <si>
    <t>m2r9</t>
  </si>
  <si>
    <t>POR</t>
  </si>
  <si>
    <t>SW</t>
  </si>
  <si>
    <t>PERM</t>
  </si>
  <si>
    <t>试油结论</t>
  </si>
  <si>
    <t>层位</t>
  </si>
  <si>
    <t>∆ Φ1</t>
  </si>
  <si>
    <r>
      <rPr>
        <sz val="11"/>
        <color theme="1"/>
        <rFont val="等线"/>
        <charset val="134"/>
        <scheme val="minor"/>
      </rPr>
      <t>∆</t>
    </r>
    <r>
      <rPr>
        <sz val="11"/>
        <color theme="1"/>
        <rFont val="等线"/>
        <charset val="134"/>
        <scheme val="minor"/>
      </rPr>
      <t xml:space="preserve"> Φ2</t>
    </r>
  </si>
  <si>
    <t>∆ Φ3</t>
  </si>
  <si>
    <t>备注</t>
  </si>
  <si>
    <t>靖43</t>
  </si>
  <si>
    <t>气层</t>
  </si>
  <si>
    <t>马五41a</t>
  </si>
  <si>
    <t>单采</t>
  </si>
  <si>
    <t>靖53-1</t>
  </si>
  <si>
    <t>延948-2</t>
  </si>
  <si>
    <t>马五41b</t>
  </si>
  <si>
    <t>延962-1</t>
  </si>
  <si>
    <t>延1193</t>
  </si>
  <si>
    <t>横3-4</t>
  </si>
  <si>
    <t>靖54-2</t>
  </si>
  <si>
    <t>靖32</t>
  </si>
  <si>
    <t>郝39-1</t>
  </si>
  <si>
    <t>靖38-2</t>
  </si>
  <si>
    <t>合采</t>
  </si>
  <si>
    <t>靖41</t>
  </si>
  <si>
    <t>靖5-1</t>
  </si>
  <si>
    <t>靖61-3</t>
  </si>
  <si>
    <t>靖89</t>
  </si>
  <si>
    <t>靖110-2</t>
  </si>
  <si>
    <t>靖125</t>
  </si>
  <si>
    <t>延928-2</t>
  </si>
  <si>
    <t>延936</t>
  </si>
  <si>
    <t>延938-5</t>
  </si>
  <si>
    <t>延1195</t>
  </si>
  <si>
    <t>靖43-2</t>
  </si>
  <si>
    <t>含气层</t>
  </si>
  <si>
    <t>靖61-1</t>
  </si>
  <si>
    <t>靖72-2</t>
  </si>
  <si>
    <t>延929-2</t>
  </si>
  <si>
    <t>延931</t>
  </si>
  <si>
    <t>延945</t>
  </si>
  <si>
    <t>延991-3</t>
  </si>
  <si>
    <t>横4-3</t>
  </si>
  <si>
    <t>靖93</t>
  </si>
  <si>
    <t>延919</t>
  </si>
  <si>
    <t>延976</t>
  </si>
  <si>
    <t>延1121</t>
  </si>
  <si>
    <t>延357-4</t>
  </si>
  <si>
    <t>子67</t>
  </si>
  <si>
    <t>靖81-2</t>
  </si>
  <si>
    <t>延913-1</t>
  </si>
  <si>
    <t>延1087-1</t>
  </si>
  <si>
    <t>延1096</t>
  </si>
  <si>
    <t>延963-3</t>
  </si>
  <si>
    <t>延966-6</t>
  </si>
  <si>
    <t>延1156</t>
  </si>
  <si>
    <t>延1955</t>
  </si>
  <si>
    <t>靖130-1</t>
  </si>
  <si>
    <t>含气水层</t>
  </si>
  <si>
    <t>延957-2</t>
  </si>
  <si>
    <t>延1204</t>
  </si>
  <si>
    <t>靖67</t>
  </si>
  <si>
    <t>延1079-3</t>
  </si>
  <si>
    <t>气水同层</t>
  </si>
  <si>
    <t>郝9-1</t>
  </si>
  <si>
    <t>靖36</t>
  </si>
  <si>
    <t>水层</t>
  </si>
  <si>
    <t>延1103-1</t>
  </si>
  <si>
    <t>延960-2</t>
  </si>
  <si>
    <t>延1079-1</t>
  </si>
  <si>
    <t>延1105-1</t>
  </si>
  <si>
    <t>横3</t>
  </si>
  <si>
    <t>干层</t>
  </si>
  <si>
    <t>延905-1</t>
  </si>
  <si>
    <t>延1059-2</t>
  </si>
  <si>
    <t>靖173</t>
  </si>
  <si>
    <t>靖66-2</t>
  </si>
  <si>
    <t>延946-3</t>
  </si>
  <si>
    <t>延1194</t>
  </si>
  <si>
    <t>延405</t>
  </si>
  <si>
    <t>延500</t>
  </si>
  <si>
    <t>靖10-1</t>
  </si>
  <si>
    <t>靖11-1</t>
  </si>
  <si>
    <t>延901</t>
  </si>
  <si>
    <t>延906</t>
  </si>
  <si>
    <t>延906-1</t>
  </si>
  <si>
    <t>延907</t>
  </si>
  <si>
    <t>延911-4</t>
  </si>
  <si>
    <t>延1059-1</t>
  </si>
  <si>
    <t>延1059-6</t>
  </si>
  <si>
    <t>郝2-1</t>
  </si>
  <si>
    <t>延874</t>
  </si>
  <si>
    <t>子59-1</t>
  </si>
  <si>
    <t>子59-3</t>
  </si>
  <si>
    <t>靖64</t>
  </si>
  <si>
    <t>延1000-4</t>
  </si>
  <si>
    <t>延1076-2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</si>
</sst>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theme="1"/>
      <name val="等线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/>
    <xf numFmtId="0" fontId="1" fillId="0" borderId="0" xfId="0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1585"/>
  <sheetViews>
    <sheetView tabSelected="1" zoomScale="85" zoomScaleNormal="85" workbookViewId="0">
      <pane ySplit="1" topLeftCell="A2" activePane="bottomLeft" state="frozen"/>
      <selection/>
      <selection pane="bottomLeft" activeCell="G13" sqref="G13"/>
    </sheetView>
  </sheetViews>
  <sheetFormatPr defaultColWidth="9" defaultRowHeight="14"/>
  <cols>
    <col min="16" max="16" width="10.625" customWidth="1"/>
    <col min="26" max="26" width="9.5" style="3" customWidth="1"/>
  </cols>
  <sheetData>
    <row r="1" s="1" customFormat="1" ht="26.25" customHeight="1" spans="1:29">
      <c r="A1" s="1" t="s">
        <v>0</v>
      </c>
      <c r="B1" s="1" t="s">
        <v>1</v>
      </c>
      <c r="C1" s="1" t="s">
        <v>2</v>
      </c>
      <c r="D1" s="4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5" t="s">
        <v>25</v>
      </c>
      <c r="AA1" s="5" t="s">
        <v>26</v>
      </c>
      <c r="AB1" s="5" t="s">
        <v>27</v>
      </c>
      <c r="AC1" s="1" t="s">
        <v>28</v>
      </c>
    </row>
    <row r="2" spans="1:29">
      <c r="A2" t="s">
        <v>29</v>
      </c>
      <c r="B2">
        <v>3843</v>
      </c>
      <c r="C2">
        <v>17.616</v>
      </c>
      <c r="D2">
        <v>46.831</v>
      </c>
      <c r="E2">
        <v>195.16</v>
      </c>
      <c r="F2">
        <v>0.454</v>
      </c>
      <c r="G2">
        <v>21.706</v>
      </c>
      <c r="H2">
        <v>1.715</v>
      </c>
      <c r="I2">
        <v>2.724</v>
      </c>
      <c r="J2">
        <v>0.802</v>
      </c>
      <c r="K2">
        <v>9.138</v>
      </c>
      <c r="L2">
        <v>0.213</v>
      </c>
      <c r="M2">
        <v>3.096</v>
      </c>
      <c r="N2">
        <v>115.767</v>
      </c>
      <c r="O2">
        <v>112.703</v>
      </c>
      <c r="P2">
        <f t="shared" ref="P2:Q65" si="0">LOG(N2)</f>
        <v>2.0635847790773</v>
      </c>
      <c r="Q2">
        <f t="shared" si="0"/>
        <v>2.05193547652619</v>
      </c>
      <c r="R2">
        <v>59.203</v>
      </c>
      <c r="S2">
        <v>-9999</v>
      </c>
      <c r="T2">
        <v>64.532</v>
      </c>
      <c r="U2">
        <v>3.839</v>
      </c>
      <c r="V2">
        <v>100</v>
      </c>
      <c r="W2">
        <v>0.032</v>
      </c>
      <c r="X2" t="s">
        <v>30</v>
      </c>
      <c r="Y2" t="s">
        <v>31</v>
      </c>
      <c r="Z2" s="3">
        <f t="shared" ref="Z2:Z65" si="1">P2-Q2</f>
        <v>0.0116493025511115</v>
      </c>
      <c r="AA2">
        <f t="shared" ref="AA2:AA65" si="2">L2-J2</f>
        <v>-0.589</v>
      </c>
      <c r="AB2">
        <f t="shared" ref="AB2:AB65" si="3">L2+F2</f>
        <v>0.667</v>
      </c>
      <c r="AC2" t="s">
        <v>32</v>
      </c>
    </row>
    <row r="3" spans="1:29">
      <c r="A3" t="s">
        <v>29</v>
      </c>
      <c r="B3">
        <v>3843.125</v>
      </c>
      <c r="C3">
        <v>17.443</v>
      </c>
      <c r="D3">
        <v>46.847</v>
      </c>
      <c r="E3">
        <v>192.736</v>
      </c>
      <c r="F3">
        <v>0.424</v>
      </c>
      <c r="G3">
        <v>21.692</v>
      </c>
      <c r="H3">
        <v>1.757</v>
      </c>
      <c r="I3">
        <v>2.732</v>
      </c>
      <c r="J3">
        <v>0.885</v>
      </c>
      <c r="K3">
        <v>9.113</v>
      </c>
      <c r="L3">
        <v>0.21</v>
      </c>
      <c r="M3">
        <v>3.05</v>
      </c>
      <c r="N3">
        <v>122.979</v>
      </c>
      <c r="O3">
        <v>119.834</v>
      </c>
      <c r="P3">
        <f t="shared" si="0"/>
        <v>2.08983095727061</v>
      </c>
      <c r="Q3">
        <f t="shared" si="0"/>
        <v>2.07858005609534</v>
      </c>
      <c r="R3">
        <v>64.39</v>
      </c>
      <c r="S3">
        <v>-9999</v>
      </c>
      <c r="T3">
        <v>70.313</v>
      </c>
      <c r="U3">
        <v>3.634</v>
      </c>
      <c r="V3">
        <v>100</v>
      </c>
      <c r="W3">
        <v>0.025</v>
      </c>
      <c r="X3" t="s">
        <v>30</v>
      </c>
      <c r="Y3" t="s">
        <v>31</v>
      </c>
      <c r="Z3" s="3">
        <f t="shared" si="1"/>
        <v>0.0112509011752717</v>
      </c>
      <c r="AA3">
        <f t="shared" si="2"/>
        <v>-0.675</v>
      </c>
      <c r="AB3">
        <f t="shared" si="3"/>
        <v>0.634</v>
      </c>
      <c r="AC3" t="s">
        <v>32</v>
      </c>
    </row>
    <row r="4" spans="1:29">
      <c r="A4" t="s">
        <v>29</v>
      </c>
      <c r="B4">
        <v>3843.25</v>
      </c>
      <c r="C4">
        <v>18.162</v>
      </c>
      <c r="D4">
        <v>46.875</v>
      </c>
      <c r="E4">
        <v>189.073</v>
      </c>
      <c r="F4">
        <v>0.38</v>
      </c>
      <c r="G4">
        <v>21.687</v>
      </c>
      <c r="H4">
        <v>1.865</v>
      </c>
      <c r="I4">
        <v>2.735</v>
      </c>
      <c r="J4">
        <v>0.917</v>
      </c>
      <c r="K4">
        <v>9.287</v>
      </c>
      <c r="L4">
        <v>0.229</v>
      </c>
      <c r="M4">
        <v>2.99</v>
      </c>
      <c r="N4">
        <v>128.559</v>
      </c>
      <c r="O4">
        <v>125.366</v>
      </c>
      <c r="P4">
        <f t="shared" si="0"/>
        <v>2.1091024855959</v>
      </c>
      <c r="Q4">
        <f t="shared" si="0"/>
        <v>2.09817976923378</v>
      </c>
      <c r="R4">
        <v>71.331</v>
      </c>
      <c r="S4">
        <v>-9999</v>
      </c>
      <c r="T4">
        <v>78.071</v>
      </c>
      <c r="U4">
        <v>3.674</v>
      </c>
      <c r="V4">
        <v>100</v>
      </c>
      <c r="W4">
        <v>0.026</v>
      </c>
      <c r="X4" t="s">
        <v>30</v>
      </c>
      <c r="Y4" t="s">
        <v>31</v>
      </c>
      <c r="Z4" s="3">
        <f t="shared" si="1"/>
        <v>0.0109227163621162</v>
      </c>
      <c r="AA4">
        <f t="shared" si="2"/>
        <v>-0.688</v>
      </c>
      <c r="AB4">
        <f t="shared" si="3"/>
        <v>0.609</v>
      </c>
      <c r="AC4" t="s">
        <v>32</v>
      </c>
    </row>
    <row r="5" spans="1:29">
      <c r="A5" t="s">
        <v>29</v>
      </c>
      <c r="B5">
        <v>3843.375</v>
      </c>
      <c r="C5">
        <v>19.838</v>
      </c>
      <c r="D5">
        <v>46.909</v>
      </c>
      <c r="E5">
        <v>184.1</v>
      </c>
      <c r="F5">
        <v>0.32</v>
      </c>
      <c r="G5">
        <v>21.691</v>
      </c>
      <c r="H5">
        <v>2.063</v>
      </c>
      <c r="I5">
        <v>2.733</v>
      </c>
      <c r="J5">
        <v>0.896</v>
      </c>
      <c r="K5">
        <v>9.48</v>
      </c>
      <c r="L5">
        <v>0.25</v>
      </c>
      <c r="M5">
        <v>2.929</v>
      </c>
      <c r="N5">
        <v>131.89</v>
      </c>
      <c r="O5">
        <v>128.715</v>
      </c>
      <c r="P5">
        <f t="shared" si="0"/>
        <v>2.12021186825707</v>
      </c>
      <c r="Q5">
        <f t="shared" si="0"/>
        <v>2.10962916102739</v>
      </c>
      <c r="R5">
        <v>79.144</v>
      </c>
      <c r="S5">
        <v>-9999</v>
      </c>
      <c r="T5">
        <v>86.825</v>
      </c>
      <c r="U5">
        <v>3.886</v>
      </c>
      <c r="V5">
        <v>100</v>
      </c>
      <c r="W5">
        <v>0.033</v>
      </c>
      <c r="X5" t="s">
        <v>30</v>
      </c>
      <c r="Y5" t="s">
        <v>31</v>
      </c>
      <c r="Z5" s="4">
        <f t="shared" si="1"/>
        <v>0.0105827072296876</v>
      </c>
      <c r="AA5">
        <f t="shared" si="2"/>
        <v>-0.646</v>
      </c>
      <c r="AB5">
        <f t="shared" si="3"/>
        <v>0.57</v>
      </c>
      <c r="AC5" t="s">
        <v>32</v>
      </c>
    </row>
    <row r="6" spans="1:29">
      <c r="A6" t="s">
        <v>29</v>
      </c>
      <c r="B6">
        <v>3843.5</v>
      </c>
      <c r="C6">
        <v>21.631</v>
      </c>
      <c r="D6">
        <v>46.947</v>
      </c>
      <c r="E6">
        <v>178.926</v>
      </c>
      <c r="F6">
        <v>0.257</v>
      </c>
      <c r="G6">
        <v>21.73</v>
      </c>
      <c r="H6">
        <v>2.261</v>
      </c>
      <c r="I6">
        <v>2.723</v>
      </c>
      <c r="J6">
        <v>0.792</v>
      </c>
      <c r="K6">
        <v>9.599</v>
      </c>
      <c r="L6">
        <v>0.263</v>
      </c>
      <c r="M6">
        <v>2.906</v>
      </c>
      <c r="N6">
        <v>132.659</v>
      </c>
      <c r="O6">
        <v>129.56</v>
      </c>
      <c r="P6">
        <f t="shared" si="0"/>
        <v>2.12273671920901</v>
      </c>
      <c r="Q6">
        <f t="shared" si="0"/>
        <v>2.11247093933814</v>
      </c>
      <c r="R6">
        <v>86.208</v>
      </c>
      <c r="S6">
        <v>-9999</v>
      </c>
      <c r="T6">
        <v>94.751</v>
      </c>
      <c r="U6">
        <v>4.233</v>
      </c>
      <c r="V6">
        <v>100</v>
      </c>
      <c r="W6">
        <v>0.049</v>
      </c>
      <c r="X6" t="s">
        <v>30</v>
      </c>
      <c r="Y6" t="s">
        <v>31</v>
      </c>
      <c r="Z6" s="3">
        <f t="shared" si="1"/>
        <v>0.0102657798708727</v>
      </c>
      <c r="AA6">
        <f t="shared" si="2"/>
        <v>-0.529</v>
      </c>
      <c r="AB6">
        <f t="shared" si="3"/>
        <v>0.52</v>
      </c>
      <c r="AC6" t="s">
        <v>32</v>
      </c>
    </row>
    <row r="7" spans="1:29">
      <c r="A7" t="s">
        <v>29</v>
      </c>
      <c r="B7">
        <v>3843.625</v>
      </c>
      <c r="C7">
        <v>22.186</v>
      </c>
      <c r="D7">
        <v>46.983</v>
      </c>
      <c r="E7">
        <v>175.785</v>
      </c>
      <c r="F7">
        <v>0.219</v>
      </c>
      <c r="G7">
        <v>21.835</v>
      </c>
      <c r="H7">
        <v>2.321</v>
      </c>
      <c r="I7">
        <v>2.706</v>
      </c>
      <c r="J7">
        <v>0.615</v>
      </c>
      <c r="K7">
        <v>9.658</v>
      </c>
      <c r="L7">
        <v>0.269</v>
      </c>
      <c r="M7">
        <v>2.919</v>
      </c>
      <c r="N7">
        <v>130.194</v>
      </c>
      <c r="O7">
        <v>127.145</v>
      </c>
      <c r="P7">
        <f t="shared" si="0"/>
        <v>2.11459097020042</v>
      </c>
      <c r="Q7">
        <f t="shared" si="0"/>
        <v>2.10429928613889</v>
      </c>
      <c r="R7">
        <v>89.923</v>
      </c>
      <c r="S7">
        <v>-9999</v>
      </c>
      <c r="T7">
        <v>98.905</v>
      </c>
      <c r="U7">
        <v>4.719</v>
      </c>
      <c r="V7">
        <v>100</v>
      </c>
      <c r="W7">
        <v>0.079</v>
      </c>
      <c r="X7" t="s">
        <v>30</v>
      </c>
      <c r="Y7" t="s">
        <v>31</v>
      </c>
      <c r="Z7" s="3">
        <f t="shared" si="1"/>
        <v>0.0102916840615275</v>
      </c>
      <c r="AA7">
        <f t="shared" si="2"/>
        <v>-0.346</v>
      </c>
      <c r="AB7">
        <f t="shared" si="3"/>
        <v>0.488</v>
      </c>
      <c r="AC7" t="s">
        <v>32</v>
      </c>
    </row>
    <row r="8" spans="1:29">
      <c r="A8" t="s">
        <v>29</v>
      </c>
      <c r="B8">
        <v>3843.75</v>
      </c>
      <c r="C8">
        <v>21.769</v>
      </c>
      <c r="D8">
        <v>47.017</v>
      </c>
      <c r="E8">
        <v>175.337</v>
      </c>
      <c r="F8">
        <v>0.214</v>
      </c>
      <c r="G8">
        <v>21.996</v>
      </c>
      <c r="H8">
        <v>2.305</v>
      </c>
      <c r="I8">
        <v>2.687</v>
      </c>
      <c r="J8">
        <v>0.417</v>
      </c>
      <c r="K8">
        <v>9.694</v>
      </c>
      <c r="L8">
        <v>0.273</v>
      </c>
      <c r="M8">
        <v>2.956</v>
      </c>
      <c r="N8">
        <v>124.701</v>
      </c>
      <c r="O8">
        <v>121.578</v>
      </c>
      <c r="P8">
        <f t="shared" si="0"/>
        <v>2.09586993617895</v>
      </c>
      <c r="Q8">
        <f t="shared" si="0"/>
        <v>2.08485499481328</v>
      </c>
      <c r="R8">
        <v>90.1</v>
      </c>
      <c r="S8">
        <v>-9999</v>
      </c>
      <c r="T8">
        <v>99.06</v>
      </c>
      <c r="U8">
        <v>5.218</v>
      </c>
      <c r="V8">
        <v>100</v>
      </c>
      <c r="W8">
        <v>0.123</v>
      </c>
      <c r="X8" t="s">
        <v>30</v>
      </c>
      <c r="Y8" t="s">
        <v>31</v>
      </c>
      <c r="Z8" s="3">
        <f t="shared" si="1"/>
        <v>0.0110149413656635</v>
      </c>
      <c r="AA8">
        <f t="shared" si="2"/>
        <v>-0.144</v>
      </c>
      <c r="AB8">
        <f t="shared" si="3"/>
        <v>0.487</v>
      </c>
      <c r="AC8" t="s">
        <v>32</v>
      </c>
    </row>
    <row r="9" spans="1:29">
      <c r="A9" t="s">
        <v>29</v>
      </c>
      <c r="B9">
        <v>3843.875</v>
      </c>
      <c r="C9">
        <v>21.32</v>
      </c>
      <c r="D9">
        <v>47.046</v>
      </c>
      <c r="E9">
        <v>178.199</v>
      </c>
      <c r="F9">
        <v>0.249</v>
      </c>
      <c r="G9">
        <v>22.129</v>
      </c>
      <c r="H9">
        <v>2.259</v>
      </c>
      <c r="I9">
        <v>2.671</v>
      </c>
      <c r="J9">
        <v>0.25</v>
      </c>
      <c r="K9">
        <v>9.703</v>
      </c>
      <c r="L9">
        <v>0.274</v>
      </c>
      <c r="M9">
        <v>3.003</v>
      </c>
      <c r="N9">
        <v>117.847</v>
      </c>
      <c r="O9">
        <v>114.581</v>
      </c>
      <c r="P9">
        <f t="shared" si="0"/>
        <v>2.07131853128097</v>
      </c>
      <c r="Q9">
        <f t="shared" si="0"/>
        <v>2.0591126082137</v>
      </c>
      <c r="R9">
        <v>87.58</v>
      </c>
      <c r="S9">
        <v>-9999</v>
      </c>
      <c r="T9">
        <v>96.171</v>
      </c>
      <c r="U9">
        <v>5.588</v>
      </c>
      <c r="V9">
        <v>100</v>
      </c>
      <c r="W9">
        <v>0.165</v>
      </c>
      <c r="X9" t="s">
        <v>30</v>
      </c>
      <c r="Y9" t="s">
        <v>31</v>
      </c>
      <c r="Z9" s="3">
        <f t="shared" si="1"/>
        <v>0.0122059230672642</v>
      </c>
      <c r="AA9">
        <f t="shared" si="2"/>
        <v>0.024</v>
      </c>
      <c r="AB9">
        <f t="shared" si="3"/>
        <v>0.523</v>
      </c>
      <c r="AC9" t="s">
        <v>32</v>
      </c>
    </row>
    <row r="10" spans="1:29">
      <c r="A10" t="s">
        <v>29</v>
      </c>
      <c r="B10">
        <v>3844</v>
      </c>
      <c r="C10">
        <v>21.51</v>
      </c>
      <c r="D10">
        <v>47.071</v>
      </c>
      <c r="E10">
        <v>182.503</v>
      </c>
      <c r="F10">
        <v>0.301</v>
      </c>
      <c r="G10">
        <v>22.153</v>
      </c>
      <c r="H10">
        <v>2.192</v>
      </c>
      <c r="I10">
        <v>2.663</v>
      </c>
      <c r="J10">
        <v>0.167</v>
      </c>
      <c r="K10">
        <v>9.703</v>
      </c>
      <c r="L10">
        <v>0.274</v>
      </c>
      <c r="M10">
        <v>3.048</v>
      </c>
      <c r="N10">
        <v>111.185</v>
      </c>
      <c r="O10">
        <v>107.817</v>
      </c>
      <c r="P10">
        <f t="shared" si="0"/>
        <v>2.04604620040575</v>
      </c>
      <c r="Q10">
        <f t="shared" si="0"/>
        <v>2.0326872434491</v>
      </c>
      <c r="R10">
        <v>84.568</v>
      </c>
      <c r="S10">
        <v>-9999</v>
      </c>
      <c r="T10">
        <v>92.741</v>
      </c>
      <c r="U10">
        <v>5.736</v>
      </c>
      <c r="V10">
        <v>100</v>
      </c>
      <c r="W10">
        <v>0.185</v>
      </c>
      <c r="X10" t="s">
        <v>30</v>
      </c>
      <c r="Y10" t="s">
        <v>31</v>
      </c>
      <c r="Z10" s="3">
        <f t="shared" si="1"/>
        <v>0.0133589569566515</v>
      </c>
      <c r="AA10">
        <f t="shared" si="2"/>
        <v>0.107</v>
      </c>
      <c r="AB10">
        <f t="shared" si="3"/>
        <v>0.575</v>
      </c>
      <c r="AC10" t="s">
        <v>32</v>
      </c>
    </row>
    <row r="11" spans="1:29">
      <c r="A11" t="s">
        <v>29</v>
      </c>
      <c r="B11">
        <v>3844.125</v>
      </c>
      <c r="C11">
        <v>22.062</v>
      </c>
      <c r="D11">
        <v>47.091</v>
      </c>
      <c r="E11">
        <v>184.989</v>
      </c>
      <c r="F11">
        <v>0.331</v>
      </c>
      <c r="G11">
        <v>22.1</v>
      </c>
      <c r="H11">
        <v>2.105</v>
      </c>
      <c r="I11">
        <v>2.664</v>
      </c>
      <c r="J11">
        <v>0.177</v>
      </c>
      <c r="K11">
        <v>9.753</v>
      </c>
      <c r="L11">
        <v>0.28</v>
      </c>
      <c r="M11">
        <v>3.085</v>
      </c>
      <c r="N11">
        <v>105.983</v>
      </c>
      <c r="O11">
        <v>102.564</v>
      </c>
      <c r="P11">
        <f t="shared" si="0"/>
        <v>2.02523620867714</v>
      </c>
      <c r="Q11">
        <f t="shared" si="0"/>
        <v>2.01099495000676</v>
      </c>
      <c r="R11">
        <v>83.779</v>
      </c>
      <c r="S11">
        <v>-9999</v>
      </c>
      <c r="T11">
        <v>91.848</v>
      </c>
      <c r="U11">
        <v>5.683</v>
      </c>
      <c r="V11">
        <v>100</v>
      </c>
      <c r="W11">
        <v>0.178</v>
      </c>
      <c r="X11" t="s">
        <v>30</v>
      </c>
      <c r="Y11" t="s">
        <v>31</v>
      </c>
      <c r="Z11" s="3">
        <f t="shared" si="1"/>
        <v>0.0142412586703724</v>
      </c>
      <c r="AA11">
        <f t="shared" si="2"/>
        <v>0.103</v>
      </c>
      <c r="AB11">
        <f t="shared" si="3"/>
        <v>0.611</v>
      </c>
      <c r="AC11" t="s">
        <v>32</v>
      </c>
    </row>
    <row r="12" spans="1:29">
      <c r="A12" t="s">
        <v>29</v>
      </c>
      <c r="B12">
        <v>3844.25</v>
      </c>
      <c r="C12">
        <v>22.219</v>
      </c>
      <c r="D12">
        <v>47.108</v>
      </c>
      <c r="E12">
        <v>186.023</v>
      </c>
      <c r="F12">
        <v>0.343</v>
      </c>
      <c r="G12">
        <v>22.061</v>
      </c>
      <c r="H12">
        <v>2.035</v>
      </c>
      <c r="I12">
        <v>2.67</v>
      </c>
      <c r="J12">
        <v>0.24</v>
      </c>
      <c r="K12">
        <v>9.859</v>
      </c>
      <c r="L12">
        <v>0.291</v>
      </c>
      <c r="M12">
        <v>3.121</v>
      </c>
      <c r="N12">
        <v>103.732</v>
      </c>
      <c r="O12">
        <v>100.172</v>
      </c>
      <c r="P12">
        <f t="shared" si="0"/>
        <v>2.01591275137083</v>
      </c>
      <c r="Q12">
        <f t="shared" si="0"/>
        <v>2.00074634483615</v>
      </c>
      <c r="R12">
        <v>86.925</v>
      </c>
      <c r="S12">
        <v>-9999</v>
      </c>
      <c r="T12">
        <v>95.391</v>
      </c>
      <c r="U12">
        <v>5.601</v>
      </c>
      <c r="V12">
        <v>100</v>
      </c>
      <c r="W12">
        <v>0.167</v>
      </c>
      <c r="X12" t="s">
        <v>30</v>
      </c>
      <c r="Y12" t="s">
        <v>31</v>
      </c>
      <c r="Z12" s="3">
        <f t="shared" si="1"/>
        <v>0.0151664065346742</v>
      </c>
      <c r="AA12">
        <f t="shared" si="2"/>
        <v>0.051</v>
      </c>
      <c r="AB12">
        <f t="shared" si="3"/>
        <v>0.634</v>
      </c>
      <c r="AC12" t="s">
        <v>32</v>
      </c>
    </row>
    <row r="13" spans="1:29">
      <c r="A13" t="s">
        <v>29</v>
      </c>
      <c r="B13">
        <v>3844.375</v>
      </c>
      <c r="C13">
        <v>22.029</v>
      </c>
      <c r="D13">
        <v>47.126</v>
      </c>
      <c r="E13">
        <v>187.212</v>
      </c>
      <c r="F13">
        <v>0.358</v>
      </c>
      <c r="G13">
        <v>22.073</v>
      </c>
      <c r="H13">
        <v>1.992</v>
      </c>
      <c r="I13">
        <v>2.674</v>
      </c>
      <c r="J13">
        <v>0.281</v>
      </c>
      <c r="K13">
        <v>9.974</v>
      </c>
      <c r="L13">
        <v>0.304</v>
      </c>
      <c r="M13">
        <v>3.168</v>
      </c>
      <c r="N13">
        <v>104.608</v>
      </c>
      <c r="O13">
        <v>100.847</v>
      </c>
      <c r="P13">
        <f t="shared" si="0"/>
        <v>2.01956489890027</v>
      </c>
      <c r="Q13">
        <f t="shared" si="0"/>
        <v>2.00366298333386</v>
      </c>
      <c r="R13">
        <v>94.635</v>
      </c>
      <c r="S13">
        <v>-9999</v>
      </c>
      <c r="T13">
        <v>103.975</v>
      </c>
      <c r="U13">
        <v>5.573</v>
      </c>
      <c r="V13">
        <v>100</v>
      </c>
      <c r="W13">
        <v>0.163</v>
      </c>
      <c r="X13" t="s">
        <v>30</v>
      </c>
      <c r="Y13" t="s">
        <v>31</v>
      </c>
      <c r="Z13" s="3">
        <f t="shared" si="1"/>
        <v>0.0159019155664102</v>
      </c>
      <c r="AA13">
        <f t="shared" si="2"/>
        <v>0.023</v>
      </c>
      <c r="AB13">
        <f t="shared" si="3"/>
        <v>0.662</v>
      </c>
      <c r="AC13" t="s">
        <v>32</v>
      </c>
    </row>
    <row r="14" spans="1:29">
      <c r="A14" t="s">
        <v>29</v>
      </c>
      <c r="B14">
        <v>3844.5</v>
      </c>
      <c r="C14">
        <v>21.964</v>
      </c>
      <c r="D14">
        <v>47.146</v>
      </c>
      <c r="E14">
        <v>188.938</v>
      </c>
      <c r="F14">
        <v>0.379</v>
      </c>
      <c r="G14">
        <v>22.087</v>
      </c>
      <c r="H14">
        <v>1.98</v>
      </c>
      <c r="I14">
        <v>2.675</v>
      </c>
      <c r="J14">
        <v>0.292</v>
      </c>
      <c r="K14">
        <v>10.035</v>
      </c>
      <c r="L14">
        <v>0.31</v>
      </c>
      <c r="M14">
        <v>3.224</v>
      </c>
      <c r="N14">
        <v>108.635</v>
      </c>
      <c r="O14">
        <v>104.726</v>
      </c>
      <c r="P14">
        <f t="shared" si="0"/>
        <v>2.03596976869655</v>
      </c>
      <c r="Q14">
        <f t="shared" si="0"/>
        <v>2.02005451601257</v>
      </c>
      <c r="R14">
        <v>108.415</v>
      </c>
      <c r="S14">
        <v>-9999</v>
      </c>
      <c r="T14">
        <v>119.077</v>
      </c>
      <c r="U14">
        <v>5.565</v>
      </c>
      <c r="V14">
        <v>100</v>
      </c>
      <c r="W14">
        <v>0.162</v>
      </c>
      <c r="X14" t="s">
        <v>30</v>
      </c>
      <c r="Y14" t="s">
        <v>31</v>
      </c>
      <c r="Z14" s="3">
        <f t="shared" si="1"/>
        <v>0.0159152526839783</v>
      </c>
      <c r="AA14">
        <f t="shared" si="2"/>
        <v>0.018</v>
      </c>
      <c r="AB14">
        <f t="shared" si="3"/>
        <v>0.689</v>
      </c>
      <c r="AC14" t="s">
        <v>32</v>
      </c>
    </row>
    <row r="15" spans="1:29">
      <c r="A15" t="s">
        <v>29</v>
      </c>
      <c r="B15">
        <v>3844.625</v>
      </c>
      <c r="C15">
        <v>22.461</v>
      </c>
      <c r="D15">
        <v>47.173</v>
      </c>
      <c r="E15">
        <v>190.334</v>
      </c>
      <c r="F15">
        <v>0.395</v>
      </c>
      <c r="G15">
        <v>22.066</v>
      </c>
      <c r="H15">
        <v>2.02</v>
      </c>
      <c r="I15">
        <v>2.678</v>
      </c>
      <c r="J15">
        <v>0.323</v>
      </c>
      <c r="K15">
        <v>10.005</v>
      </c>
      <c r="L15">
        <v>0.307</v>
      </c>
      <c r="M15">
        <v>3.265</v>
      </c>
      <c r="N15">
        <v>115.46</v>
      </c>
      <c r="O15">
        <v>111.401</v>
      </c>
      <c r="P15">
        <f t="shared" si="0"/>
        <v>2.06243155316261</v>
      </c>
      <c r="Q15">
        <f t="shared" si="0"/>
        <v>2.04688908933441</v>
      </c>
      <c r="R15">
        <v>129.912</v>
      </c>
      <c r="S15">
        <v>-9999</v>
      </c>
      <c r="T15">
        <v>142.206</v>
      </c>
      <c r="U15">
        <v>5.439</v>
      </c>
      <c r="V15">
        <v>100</v>
      </c>
      <c r="W15">
        <v>0.147</v>
      </c>
      <c r="X15" t="s">
        <v>30</v>
      </c>
      <c r="Y15" t="s">
        <v>31</v>
      </c>
      <c r="Z15" s="3">
        <f t="shared" si="1"/>
        <v>0.0155424638281998</v>
      </c>
      <c r="AA15">
        <f t="shared" si="2"/>
        <v>-0.016</v>
      </c>
      <c r="AB15">
        <f t="shared" si="3"/>
        <v>0.702</v>
      </c>
      <c r="AC15" t="s">
        <v>32</v>
      </c>
    </row>
    <row r="16" spans="1:29">
      <c r="A16" t="s">
        <v>29</v>
      </c>
      <c r="B16">
        <v>3844.75</v>
      </c>
      <c r="C16">
        <v>23.074</v>
      </c>
      <c r="D16">
        <v>47.208</v>
      </c>
      <c r="E16">
        <v>191.944</v>
      </c>
      <c r="F16">
        <v>0.415</v>
      </c>
      <c r="G16">
        <v>22.023</v>
      </c>
      <c r="H16">
        <v>2.103</v>
      </c>
      <c r="I16">
        <v>2.686</v>
      </c>
      <c r="J16">
        <v>0.406</v>
      </c>
      <c r="K16">
        <v>9.97</v>
      </c>
      <c r="L16">
        <v>0.303</v>
      </c>
      <c r="M16">
        <v>3.284</v>
      </c>
      <c r="N16">
        <v>124.161</v>
      </c>
      <c r="O16">
        <v>119.796</v>
      </c>
      <c r="P16">
        <f t="shared" si="0"/>
        <v>2.09398520176151</v>
      </c>
      <c r="Q16">
        <f t="shared" si="0"/>
        <v>2.07844231716073</v>
      </c>
      <c r="R16">
        <v>158.334</v>
      </c>
      <c r="S16">
        <v>-9999</v>
      </c>
      <c r="T16">
        <v>172.356</v>
      </c>
      <c r="U16">
        <v>5.181</v>
      </c>
      <c r="V16">
        <v>100</v>
      </c>
      <c r="W16">
        <v>0.119</v>
      </c>
      <c r="X16" t="s">
        <v>30</v>
      </c>
      <c r="Y16" t="s">
        <v>31</v>
      </c>
      <c r="Z16" s="3">
        <f t="shared" si="1"/>
        <v>0.0155428846007863</v>
      </c>
      <c r="AA16">
        <f t="shared" si="2"/>
        <v>-0.103</v>
      </c>
      <c r="AB16">
        <f t="shared" si="3"/>
        <v>0.718</v>
      </c>
      <c r="AC16" t="s">
        <v>32</v>
      </c>
    </row>
    <row r="17" spans="1:29">
      <c r="A17" t="s">
        <v>29</v>
      </c>
      <c r="B17">
        <v>3844.875</v>
      </c>
      <c r="C17">
        <v>23.254</v>
      </c>
      <c r="D17">
        <v>47.257</v>
      </c>
      <c r="E17">
        <v>194.888</v>
      </c>
      <c r="F17">
        <v>0.451</v>
      </c>
      <c r="G17">
        <v>21.99</v>
      </c>
      <c r="H17">
        <v>2.221</v>
      </c>
      <c r="I17">
        <v>2.698</v>
      </c>
      <c r="J17">
        <v>0.531</v>
      </c>
      <c r="K17">
        <v>9.957</v>
      </c>
      <c r="L17">
        <v>0.302</v>
      </c>
      <c r="M17">
        <v>3.291</v>
      </c>
      <c r="N17">
        <v>133.893</v>
      </c>
      <c r="O17">
        <v>129</v>
      </c>
      <c r="P17">
        <f t="shared" si="0"/>
        <v>2.1267578724501</v>
      </c>
      <c r="Q17">
        <f t="shared" si="0"/>
        <v>2.11058971029925</v>
      </c>
      <c r="R17">
        <v>195.243</v>
      </c>
      <c r="S17">
        <v>-9999</v>
      </c>
      <c r="T17">
        <v>211.13</v>
      </c>
      <c r="U17">
        <v>4.831</v>
      </c>
      <c r="V17">
        <v>100</v>
      </c>
      <c r="W17">
        <v>0.087</v>
      </c>
      <c r="X17" t="s">
        <v>30</v>
      </c>
      <c r="Y17" t="s">
        <v>31</v>
      </c>
      <c r="Z17" s="3">
        <f t="shared" si="1"/>
        <v>0.0161681621508483</v>
      </c>
      <c r="AA17">
        <f t="shared" si="2"/>
        <v>-0.229</v>
      </c>
      <c r="AB17">
        <f t="shared" si="3"/>
        <v>0.753</v>
      </c>
      <c r="AC17" t="s">
        <v>32</v>
      </c>
    </row>
    <row r="18" spans="1:29">
      <c r="A18" t="s">
        <v>29</v>
      </c>
      <c r="B18">
        <v>3845</v>
      </c>
      <c r="C18">
        <v>22.948</v>
      </c>
      <c r="D18">
        <v>47.321</v>
      </c>
      <c r="E18">
        <v>196.66</v>
      </c>
      <c r="F18">
        <v>0.472</v>
      </c>
      <c r="G18">
        <v>21.969</v>
      </c>
      <c r="H18">
        <v>2.35</v>
      </c>
      <c r="I18">
        <v>2.713</v>
      </c>
      <c r="J18">
        <v>0.688</v>
      </c>
      <c r="K18">
        <v>9.837</v>
      </c>
      <c r="L18">
        <v>0.289</v>
      </c>
      <c r="M18">
        <v>3.297</v>
      </c>
      <c r="N18">
        <v>145.156</v>
      </c>
      <c r="O18">
        <v>139.327</v>
      </c>
      <c r="P18">
        <f t="shared" si="0"/>
        <v>2.16183499203153</v>
      </c>
      <c r="Q18">
        <f t="shared" si="0"/>
        <v>2.14403528594844</v>
      </c>
      <c r="R18">
        <v>242.04</v>
      </c>
      <c r="S18">
        <v>-9999</v>
      </c>
      <c r="T18">
        <v>260.199</v>
      </c>
      <c r="U18">
        <v>4.395</v>
      </c>
      <c r="V18">
        <v>100</v>
      </c>
      <c r="W18">
        <v>0.057</v>
      </c>
      <c r="X18" t="s">
        <v>30</v>
      </c>
      <c r="Y18" t="s">
        <v>31</v>
      </c>
      <c r="Z18" s="3">
        <f t="shared" si="1"/>
        <v>0.0177997060830921</v>
      </c>
      <c r="AA18">
        <f t="shared" si="2"/>
        <v>-0.399</v>
      </c>
      <c r="AB18">
        <f t="shared" si="3"/>
        <v>0.761</v>
      </c>
      <c r="AC18" t="s">
        <v>32</v>
      </c>
    </row>
    <row r="19" spans="1:29">
      <c r="A19" t="s">
        <v>33</v>
      </c>
      <c r="B19">
        <v>4285</v>
      </c>
      <c r="C19">
        <v>17.804</v>
      </c>
      <c r="D19">
        <v>30.437</v>
      </c>
      <c r="E19">
        <v>159.915</v>
      </c>
      <c r="F19">
        <v>0.611</v>
      </c>
      <c r="G19">
        <v>21.689</v>
      </c>
      <c r="H19">
        <v>1.464</v>
      </c>
      <c r="I19">
        <v>2.743</v>
      </c>
      <c r="J19">
        <v>0.089</v>
      </c>
      <c r="K19">
        <v>3.933</v>
      </c>
      <c r="L19">
        <v>0.08</v>
      </c>
      <c r="M19">
        <v>3.65</v>
      </c>
      <c r="N19">
        <v>312.95</v>
      </c>
      <c r="O19">
        <v>345.971</v>
      </c>
      <c r="P19">
        <f t="shared" si="0"/>
        <v>2.49547495588931</v>
      </c>
      <c r="Q19">
        <f t="shared" si="0"/>
        <v>2.53903969686269</v>
      </c>
      <c r="R19">
        <v>160.561</v>
      </c>
      <c r="S19">
        <v>160.561</v>
      </c>
      <c r="T19">
        <v>160.27</v>
      </c>
      <c r="U19">
        <v>0.01</v>
      </c>
      <c r="V19">
        <v>100</v>
      </c>
      <c r="W19">
        <v>0.001</v>
      </c>
      <c r="X19" t="s">
        <v>30</v>
      </c>
      <c r="Y19" t="s">
        <v>31</v>
      </c>
      <c r="Z19" s="3">
        <f t="shared" si="1"/>
        <v>-0.0435647409733733</v>
      </c>
      <c r="AA19">
        <f t="shared" si="2"/>
        <v>-0.00899999999999999</v>
      </c>
      <c r="AB19">
        <f t="shared" si="3"/>
        <v>0.691</v>
      </c>
      <c r="AC19" t="s">
        <v>32</v>
      </c>
    </row>
    <row r="20" spans="1:29">
      <c r="A20" t="s">
        <v>33</v>
      </c>
      <c r="B20">
        <v>4285.125</v>
      </c>
      <c r="C20">
        <v>19.985</v>
      </c>
      <c r="D20">
        <v>30.231</v>
      </c>
      <c r="E20">
        <v>160.901</v>
      </c>
      <c r="F20">
        <v>0.589</v>
      </c>
      <c r="G20">
        <v>21.697</v>
      </c>
      <c r="H20">
        <v>1.68</v>
      </c>
      <c r="I20">
        <v>2.739</v>
      </c>
      <c r="J20">
        <v>0.11</v>
      </c>
      <c r="K20">
        <v>3.953</v>
      </c>
      <c r="L20">
        <v>0.082</v>
      </c>
      <c r="M20">
        <v>3.549</v>
      </c>
      <c r="N20">
        <v>290.998</v>
      </c>
      <c r="O20">
        <v>322.37</v>
      </c>
      <c r="P20">
        <f t="shared" si="0"/>
        <v>2.46389000413385</v>
      </c>
      <c r="Q20">
        <f t="shared" si="0"/>
        <v>2.50835461923518</v>
      </c>
      <c r="R20">
        <v>159.558</v>
      </c>
      <c r="S20">
        <v>159.558</v>
      </c>
      <c r="T20">
        <v>159.151</v>
      </c>
      <c r="U20">
        <v>0.01</v>
      </c>
      <c r="V20">
        <v>100</v>
      </c>
      <c r="W20">
        <v>0.001</v>
      </c>
      <c r="X20" t="s">
        <v>30</v>
      </c>
      <c r="Y20" t="s">
        <v>31</v>
      </c>
      <c r="Z20" s="3">
        <f t="shared" si="1"/>
        <v>-0.0444646151013282</v>
      </c>
      <c r="AA20">
        <f t="shared" si="2"/>
        <v>-0.028</v>
      </c>
      <c r="AB20">
        <f t="shared" si="3"/>
        <v>0.671</v>
      </c>
      <c r="AC20" t="s">
        <v>32</v>
      </c>
    </row>
    <row r="21" spans="1:29">
      <c r="A21" t="s">
        <v>33</v>
      </c>
      <c r="B21">
        <v>4285.25</v>
      </c>
      <c r="C21">
        <v>23.094</v>
      </c>
      <c r="D21">
        <v>30.03</v>
      </c>
      <c r="E21">
        <v>162.064</v>
      </c>
      <c r="F21">
        <v>0.524</v>
      </c>
      <c r="G21">
        <v>21.701</v>
      </c>
      <c r="H21">
        <v>2.024</v>
      </c>
      <c r="I21">
        <v>2.727</v>
      </c>
      <c r="J21">
        <v>0.135</v>
      </c>
      <c r="K21">
        <v>3.823</v>
      </c>
      <c r="L21">
        <v>0.069</v>
      </c>
      <c r="M21">
        <v>3.605</v>
      </c>
      <c r="N21">
        <v>284.926</v>
      </c>
      <c r="O21">
        <v>315.878</v>
      </c>
      <c r="P21">
        <f t="shared" si="0"/>
        <v>2.45473208118515</v>
      </c>
      <c r="Q21">
        <f t="shared" si="0"/>
        <v>2.49951937958886</v>
      </c>
      <c r="R21">
        <v>161.888</v>
      </c>
      <c r="S21">
        <v>161.888</v>
      </c>
      <c r="T21">
        <v>161.337</v>
      </c>
      <c r="U21">
        <v>0.01</v>
      </c>
      <c r="V21">
        <v>100</v>
      </c>
      <c r="W21">
        <v>0.001</v>
      </c>
      <c r="X21" t="s">
        <v>30</v>
      </c>
      <c r="Y21" t="s">
        <v>31</v>
      </c>
      <c r="Z21" s="3">
        <f t="shared" si="1"/>
        <v>-0.0447872984037123</v>
      </c>
      <c r="AA21">
        <f t="shared" si="2"/>
        <v>-0.066</v>
      </c>
      <c r="AB21">
        <f t="shared" si="3"/>
        <v>0.593</v>
      </c>
      <c r="AC21" t="s">
        <v>32</v>
      </c>
    </row>
    <row r="22" spans="1:29">
      <c r="A22" t="s">
        <v>33</v>
      </c>
      <c r="B22">
        <v>4285.375</v>
      </c>
      <c r="C22">
        <v>28.887</v>
      </c>
      <c r="D22">
        <v>29.693</v>
      </c>
      <c r="E22">
        <v>162.801</v>
      </c>
      <c r="F22">
        <v>0.416</v>
      </c>
      <c r="G22">
        <v>21.696</v>
      </c>
      <c r="H22">
        <v>2.613</v>
      </c>
      <c r="I22">
        <v>2.707</v>
      </c>
      <c r="J22">
        <v>0.151</v>
      </c>
      <c r="K22">
        <v>3.412</v>
      </c>
      <c r="L22">
        <v>0.027</v>
      </c>
      <c r="M22">
        <v>3.937</v>
      </c>
      <c r="N22">
        <v>299.403</v>
      </c>
      <c r="O22">
        <v>331.664</v>
      </c>
      <c r="P22">
        <f t="shared" si="0"/>
        <v>2.47625614763335</v>
      </c>
      <c r="Q22">
        <f t="shared" si="0"/>
        <v>2.5206983341971</v>
      </c>
      <c r="R22">
        <v>163.423</v>
      </c>
      <c r="S22">
        <v>163.423</v>
      </c>
      <c r="T22">
        <v>162.731</v>
      </c>
      <c r="U22">
        <v>0.01</v>
      </c>
      <c r="V22">
        <v>100</v>
      </c>
      <c r="W22">
        <v>0.001</v>
      </c>
      <c r="X22" t="s">
        <v>30</v>
      </c>
      <c r="Y22" t="s">
        <v>31</v>
      </c>
      <c r="Z22" s="3">
        <f t="shared" si="1"/>
        <v>-0.0444421865637485</v>
      </c>
      <c r="AA22">
        <f t="shared" si="2"/>
        <v>-0.124</v>
      </c>
      <c r="AB22">
        <f t="shared" si="3"/>
        <v>0.443</v>
      </c>
      <c r="AC22" t="s">
        <v>32</v>
      </c>
    </row>
    <row r="23" spans="1:29">
      <c r="A23" t="s">
        <v>33</v>
      </c>
      <c r="B23">
        <v>4285.5</v>
      </c>
      <c r="C23">
        <v>29.902</v>
      </c>
      <c r="D23">
        <v>29.55</v>
      </c>
      <c r="E23">
        <v>163.071</v>
      </c>
      <c r="F23">
        <v>0.357</v>
      </c>
      <c r="G23">
        <v>21.69</v>
      </c>
      <c r="H23">
        <v>2.716</v>
      </c>
      <c r="I23">
        <v>2.696</v>
      </c>
      <c r="J23">
        <v>0.157</v>
      </c>
      <c r="K23">
        <v>3.14</v>
      </c>
      <c r="L23">
        <v>0</v>
      </c>
      <c r="M23">
        <v>4.182</v>
      </c>
      <c r="N23">
        <v>308.254</v>
      </c>
      <c r="O23">
        <v>341.512</v>
      </c>
      <c r="P23">
        <f t="shared" si="0"/>
        <v>2.48890872084492</v>
      </c>
      <c r="Q23">
        <f t="shared" si="0"/>
        <v>2.53340596846329</v>
      </c>
      <c r="R23">
        <v>160.766</v>
      </c>
      <c r="S23">
        <v>160.766</v>
      </c>
      <c r="T23">
        <v>159.727</v>
      </c>
      <c r="U23">
        <v>0.01</v>
      </c>
      <c r="V23">
        <v>100</v>
      </c>
      <c r="W23">
        <v>0.001</v>
      </c>
      <c r="X23" t="s">
        <v>30</v>
      </c>
      <c r="Y23" t="s">
        <v>31</v>
      </c>
      <c r="Z23" s="3">
        <f t="shared" si="1"/>
        <v>-0.0444972476183736</v>
      </c>
      <c r="AA23">
        <f t="shared" si="2"/>
        <v>-0.157</v>
      </c>
      <c r="AB23">
        <f t="shared" si="3"/>
        <v>0.357</v>
      </c>
      <c r="AC23" t="s">
        <v>32</v>
      </c>
    </row>
    <row r="24" spans="1:29">
      <c r="A24" t="s">
        <v>33</v>
      </c>
      <c r="B24">
        <v>4285.625</v>
      </c>
      <c r="C24">
        <v>28.742</v>
      </c>
      <c r="D24">
        <v>29.436</v>
      </c>
      <c r="E24">
        <v>163.247</v>
      </c>
      <c r="F24">
        <v>0.341</v>
      </c>
      <c r="G24">
        <v>21.69</v>
      </c>
      <c r="H24">
        <v>2.632</v>
      </c>
      <c r="I24">
        <v>2.693</v>
      </c>
      <c r="J24">
        <v>0.161</v>
      </c>
      <c r="K24">
        <v>3.173</v>
      </c>
      <c r="L24">
        <v>0.003</v>
      </c>
      <c r="M24">
        <v>4.238</v>
      </c>
      <c r="N24">
        <v>313.046</v>
      </c>
      <c r="O24">
        <v>347.133</v>
      </c>
      <c r="P24">
        <f t="shared" si="0"/>
        <v>2.49560815888291</v>
      </c>
      <c r="Q24">
        <f t="shared" si="0"/>
        <v>2.54049590159035</v>
      </c>
      <c r="R24">
        <v>153.583</v>
      </c>
      <c r="S24">
        <v>153.583</v>
      </c>
      <c r="T24">
        <v>152.436</v>
      </c>
      <c r="U24">
        <v>0.01</v>
      </c>
      <c r="V24">
        <v>100</v>
      </c>
      <c r="W24">
        <v>0.001</v>
      </c>
      <c r="X24" t="s">
        <v>30</v>
      </c>
      <c r="Y24" t="s">
        <v>31</v>
      </c>
      <c r="Z24" s="3">
        <f t="shared" si="1"/>
        <v>-0.0448877427074375</v>
      </c>
      <c r="AA24">
        <f t="shared" si="2"/>
        <v>-0.158</v>
      </c>
      <c r="AB24">
        <f t="shared" si="3"/>
        <v>0.344</v>
      </c>
      <c r="AC24" t="s">
        <v>32</v>
      </c>
    </row>
    <row r="25" spans="1:29">
      <c r="A25" t="s">
        <v>33</v>
      </c>
      <c r="B25">
        <v>4285.75</v>
      </c>
      <c r="C25">
        <v>25.845</v>
      </c>
      <c r="D25">
        <v>29.355</v>
      </c>
      <c r="E25">
        <v>163.488</v>
      </c>
      <c r="F25">
        <v>0.335</v>
      </c>
      <c r="G25">
        <v>21.7</v>
      </c>
      <c r="H25">
        <v>2.364</v>
      </c>
      <c r="I25">
        <v>2.692</v>
      </c>
      <c r="J25">
        <v>0.166</v>
      </c>
      <c r="K25">
        <v>3.348</v>
      </c>
      <c r="L25">
        <v>0.021</v>
      </c>
      <c r="M25">
        <v>4.213</v>
      </c>
      <c r="N25">
        <v>312.02</v>
      </c>
      <c r="O25">
        <v>346.586</v>
      </c>
      <c r="P25">
        <f t="shared" si="0"/>
        <v>2.49418243251606</v>
      </c>
      <c r="Q25">
        <f t="shared" si="0"/>
        <v>2.53981101583449</v>
      </c>
      <c r="R25">
        <v>140.415</v>
      </c>
      <c r="S25">
        <v>140.415</v>
      </c>
      <c r="T25">
        <v>139.204</v>
      </c>
      <c r="U25">
        <v>0.01</v>
      </c>
      <c r="V25">
        <v>100</v>
      </c>
      <c r="W25">
        <v>0.001</v>
      </c>
      <c r="X25" t="s">
        <v>30</v>
      </c>
      <c r="Y25" t="s">
        <v>31</v>
      </c>
      <c r="Z25" s="3">
        <f t="shared" si="1"/>
        <v>-0.0456285833184316</v>
      </c>
      <c r="AA25">
        <f t="shared" si="2"/>
        <v>-0.145</v>
      </c>
      <c r="AB25">
        <f t="shared" si="3"/>
        <v>0.356</v>
      </c>
      <c r="AC25" t="s">
        <v>32</v>
      </c>
    </row>
    <row r="26" spans="1:29">
      <c r="A26" t="s">
        <v>33</v>
      </c>
      <c r="B26">
        <v>4285.875</v>
      </c>
      <c r="C26">
        <v>19.938</v>
      </c>
      <c r="D26">
        <v>29.296</v>
      </c>
      <c r="E26">
        <v>163.635</v>
      </c>
      <c r="F26">
        <v>0.368</v>
      </c>
      <c r="G26">
        <v>21.738</v>
      </c>
      <c r="H26">
        <v>1.764</v>
      </c>
      <c r="I26">
        <v>2.698</v>
      </c>
      <c r="J26">
        <v>0.169</v>
      </c>
      <c r="K26">
        <v>3.78</v>
      </c>
      <c r="L26">
        <v>0.064</v>
      </c>
      <c r="M26">
        <v>3.993</v>
      </c>
      <c r="N26">
        <v>293.967</v>
      </c>
      <c r="O26">
        <v>328.049</v>
      </c>
      <c r="P26">
        <f t="shared" si="0"/>
        <v>2.46829858033633</v>
      </c>
      <c r="Q26">
        <f t="shared" si="0"/>
        <v>2.51593871822457</v>
      </c>
      <c r="R26">
        <v>127.629</v>
      </c>
      <c r="S26">
        <v>127.629</v>
      </c>
      <c r="T26">
        <v>126.424</v>
      </c>
      <c r="U26">
        <v>0.01</v>
      </c>
      <c r="V26">
        <v>100</v>
      </c>
      <c r="W26">
        <v>0.001</v>
      </c>
      <c r="X26" t="s">
        <v>30</v>
      </c>
      <c r="Y26" t="s">
        <v>31</v>
      </c>
      <c r="Z26" s="3">
        <f t="shared" si="1"/>
        <v>-0.0476401378882403</v>
      </c>
      <c r="AA26">
        <f t="shared" si="2"/>
        <v>-0.105</v>
      </c>
      <c r="AB26">
        <f t="shared" si="3"/>
        <v>0.432</v>
      </c>
      <c r="AC26" t="s">
        <v>32</v>
      </c>
    </row>
    <row r="27" spans="1:29">
      <c r="A27" t="s">
        <v>33</v>
      </c>
      <c r="B27">
        <v>4286</v>
      </c>
      <c r="C27">
        <v>18.178</v>
      </c>
      <c r="D27">
        <v>29.32</v>
      </c>
      <c r="E27">
        <v>163.676</v>
      </c>
      <c r="F27">
        <v>0.411</v>
      </c>
      <c r="G27">
        <v>21.752</v>
      </c>
      <c r="H27">
        <v>1.624</v>
      </c>
      <c r="I27">
        <v>2.706</v>
      </c>
      <c r="J27">
        <v>0.17</v>
      </c>
      <c r="K27">
        <v>4.248</v>
      </c>
      <c r="L27">
        <v>0.111</v>
      </c>
      <c r="M27">
        <v>3.784</v>
      </c>
      <c r="N27">
        <v>273.39</v>
      </c>
      <c r="O27">
        <v>306.109</v>
      </c>
      <c r="P27">
        <f t="shared" si="0"/>
        <v>2.43678262499316</v>
      </c>
      <c r="Q27">
        <f t="shared" si="0"/>
        <v>2.48587609860379</v>
      </c>
      <c r="R27">
        <v>110.05</v>
      </c>
      <c r="S27">
        <v>110.05</v>
      </c>
      <c r="T27">
        <v>108.896</v>
      </c>
      <c r="U27">
        <v>0.133</v>
      </c>
      <c r="V27">
        <v>98.489</v>
      </c>
      <c r="W27">
        <v>0.001</v>
      </c>
      <c r="X27" t="s">
        <v>30</v>
      </c>
      <c r="Y27" t="s">
        <v>31</v>
      </c>
      <c r="Z27" s="3">
        <f t="shared" si="1"/>
        <v>-0.0490934736106352</v>
      </c>
      <c r="AA27">
        <f t="shared" si="2"/>
        <v>-0.059</v>
      </c>
      <c r="AB27">
        <f t="shared" si="3"/>
        <v>0.522</v>
      </c>
      <c r="AC27" t="s">
        <v>32</v>
      </c>
    </row>
    <row r="28" spans="1:29">
      <c r="A28" t="s">
        <v>33</v>
      </c>
      <c r="B28">
        <v>4286.125</v>
      </c>
      <c r="C28">
        <v>17.249</v>
      </c>
      <c r="D28">
        <v>29.379</v>
      </c>
      <c r="E28">
        <v>163.706</v>
      </c>
      <c r="F28">
        <v>0.438</v>
      </c>
      <c r="G28">
        <v>21.757</v>
      </c>
      <c r="H28">
        <v>1.584</v>
      </c>
      <c r="I28">
        <v>2.711</v>
      </c>
      <c r="J28">
        <v>0.171</v>
      </c>
      <c r="K28">
        <v>4.675</v>
      </c>
      <c r="L28">
        <v>0.154</v>
      </c>
      <c r="M28">
        <v>3.685</v>
      </c>
      <c r="N28">
        <v>246.549</v>
      </c>
      <c r="O28">
        <v>277.227</v>
      </c>
      <c r="P28">
        <f t="shared" si="0"/>
        <v>2.39190324537714</v>
      </c>
      <c r="Q28">
        <f t="shared" si="0"/>
        <v>2.44283552529034</v>
      </c>
      <c r="R28">
        <v>101.066</v>
      </c>
      <c r="S28">
        <v>101.066</v>
      </c>
      <c r="T28">
        <v>99.94</v>
      </c>
      <c r="U28">
        <v>2.642</v>
      </c>
      <c r="V28">
        <v>67.917</v>
      </c>
      <c r="W28">
        <v>0.01</v>
      </c>
      <c r="X28" t="s">
        <v>30</v>
      </c>
      <c r="Y28" t="s">
        <v>31</v>
      </c>
      <c r="Z28" s="3">
        <f t="shared" si="1"/>
        <v>-0.0509322799132006</v>
      </c>
      <c r="AA28">
        <f t="shared" si="2"/>
        <v>-0.017</v>
      </c>
      <c r="AB28">
        <f t="shared" si="3"/>
        <v>0.592</v>
      </c>
      <c r="AC28" t="s">
        <v>32</v>
      </c>
    </row>
    <row r="29" spans="1:29">
      <c r="A29" t="s">
        <v>33</v>
      </c>
      <c r="B29">
        <v>4286.25</v>
      </c>
      <c r="C29">
        <v>16.817</v>
      </c>
      <c r="D29">
        <v>29.48</v>
      </c>
      <c r="E29">
        <v>163.669</v>
      </c>
      <c r="F29">
        <v>0.459</v>
      </c>
      <c r="G29">
        <v>21.753</v>
      </c>
      <c r="H29">
        <v>1.572</v>
      </c>
      <c r="I29">
        <v>2.715</v>
      </c>
      <c r="J29">
        <v>0.17</v>
      </c>
      <c r="K29">
        <v>5.15</v>
      </c>
      <c r="L29">
        <v>0.202</v>
      </c>
      <c r="M29">
        <v>3.586</v>
      </c>
      <c r="N29">
        <v>216.263</v>
      </c>
      <c r="O29">
        <v>244.496</v>
      </c>
      <c r="P29">
        <f t="shared" si="0"/>
        <v>2.33498222322851</v>
      </c>
      <c r="Q29">
        <f t="shared" si="0"/>
        <v>2.38827175837932</v>
      </c>
      <c r="R29">
        <v>95.29</v>
      </c>
      <c r="S29">
        <v>95.29</v>
      </c>
      <c r="T29">
        <v>94.175</v>
      </c>
      <c r="U29">
        <v>2.638</v>
      </c>
      <c r="V29">
        <v>70.27</v>
      </c>
      <c r="W29">
        <v>0.01</v>
      </c>
      <c r="X29" t="s">
        <v>30</v>
      </c>
      <c r="Y29" t="s">
        <v>31</v>
      </c>
      <c r="Z29" s="3">
        <f t="shared" si="1"/>
        <v>-0.0532895351508142</v>
      </c>
      <c r="AA29">
        <f t="shared" si="2"/>
        <v>0.032</v>
      </c>
      <c r="AB29">
        <f t="shared" si="3"/>
        <v>0.661</v>
      </c>
      <c r="AC29" t="s">
        <v>32</v>
      </c>
    </row>
    <row r="30" spans="1:29">
      <c r="A30" t="s">
        <v>33</v>
      </c>
      <c r="B30">
        <v>4286.375</v>
      </c>
      <c r="C30">
        <v>16.297</v>
      </c>
      <c r="D30">
        <v>29.752</v>
      </c>
      <c r="E30">
        <v>163.602</v>
      </c>
      <c r="F30">
        <v>0.449</v>
      </c>
      <c r="G30">
        <v>21.738</v>
      </c>
      <c r="H30">
        <v>1.537</v>
      </c>
      <c r="I30">
        <v>2.713</v>
      </c>
      <c r="J30">
        <v>0.168</v>
      </c>
      <c r="K30">
        <v>5.94</v>
      </c>
      <c r="L30">
        <v>0.282</v>
      </c>
      <c r="M30">
        <v>3.399</v>
      </c>
      <c r="N30">
        <v>167.85</v>
      </c>
      <c r="O30">
        <v>192.156</v>
      </c>
      <c r="P30">
        <f t="shared" si="0"/>
        <v>2.22492134558403</v>
      </c>
      <c r="Q30">
        <f t="shared" si="0"/>
        <v>2.28365394969659</v>
      </c>
      <c r="R30">
        <v>92.442</v>
      </c>
      <c r="S30">
        <v>92.442</v>
      </c>
      <c r="T30">
        <v>91.315</v>
      </c>
      <c r="U30">
        <v>3.458</v>
      </c>
      <c r="V30">
        <v>53.242</v>
      </c>
      <c r="W30">
        <v>0.01</v>
      </c>
      <c r="X30" t="s">
        <v>30</v>
      </c>
      <c r="Y30" t="s">
        <v>31</v>
      </c>
      <c r="Z30" s="3">
        <f t="shared" si="1"/>
        <v>-0.0587326041125578</v>
      </c>
      <c r="AA30">
        <f t="shared" si="2"/>
        <v>0.114</v>
      </c>
      <c r="AB30">
        <f t="shared" si="3"/>
        <v>0.731</v>
      </c>
      <c r="AC30" t="s">
        <v>32</v>
      </c>
    </row>
    <row r="31" spans="1:29">
      <c r="A31" t="s">
        <v>33</v>
      </c>
      <c r="B31">
        <v>4286.5</v>
      </c>
      <c r="C31">
        <v>15.832</v>
      </c>
      <c r="D31">
        <v>29.928</v>
      </c>
      <c r="E31">
        <v>163.482</v>
      </c>
      <c r="F31">
        <v>0.432</v>
      </c>
      <c r="G31">
        <v>21.734</v>
      </c>
      <c r="H31">
        <v>1.522</v>
      </c>
      <c r="I31">
        <v>2.71</v>
      </c>
      <c r="J31">
        <v>0.166</v>
      </c>
      <c r="K31">
        <v>6.533</v>
      </c>
      <c r="L31">
        <v>0.341</v>
      </c>
      <c r="M31">
        <v>3.282</v>
      </c>
      <c r="N31">
        <v>151.644</v>
      </c>
      <c r="O31">
        <v>174.768</v>
      </c>
      <c r="P31">
        <f t="shared" si="0"/>
        <v>2.18082523153794</v>
      </c>
      <c r="Q31">
        <f t="shared" si="0"/>
        <v>2.24246191630953</v>
      </c>
      <c r="R31">
        <v>90.256</v>
      </c>
      <c r="S31">
        <v>90.256</v>
      </c>
      <c r="T31">
        <v>89.007</v>
      </c>
      <c r="U31">
        <v>4.173</v>
      </c>
      <c r="V31">
        <v>43.958</v>
      </c>
      <c r="W31">
        <v>0.01</v>
      </c>
      <c r="X31" t="s">
        <v>30</v>
      </c>
      <c r="Y31" t="s">
        <v>31</v>
      </c>
      <c r="Z31" s="3">
        <f t="shared" si="1"/>
        <v>-0.0616366847715932</v>
      </c>
      <c r="AA31">
        <f t="shared" si="2"/>
        <v>0.175</v>
      </c>
      <c r="AB31">
        <f t="shared" si="3"/>
        <v>0.773</v>
      </c>
      <c r="AC31" t="s">
        <v>32</v>
      </c>
    </row>
    <row r="32" spans="1:29">
      <c r="A32" t="s">
        <v>33</v>
      </c>
      <c r="B32">
        <v>4286.625</v>
      </c>
      <c r="C32">
        <v>15.058</v>
      </c>
      <c r="D32">
        <v>30.124</v>
      </c>
      <c r="E32">
        <v>163.257</v>
      </c>
      <c r="F32">
        <v>0.443</v>
      </c>
      <c r="G32">
        <v>21.732</v>
      </c>
      <c r="H32">
        <v>1.51</v>
      </c>
      <c r="I32">
        <v>2.712</v>
      </c>
      <c r="J32">
        <v>0.161</v>
      </c>
      <c r="K32">
        <v>6.773</v>
      </c>
      <c r="L32">
        <v>0.365</v>
      </c>
      <c r="M32">
        <v>3.265</v>
      </c>
      <c r="N32">
        <v>141.254</v>
      </c>
      <c r="O32">
        <v>163.793</v>
      </c>
      <c r="P32">
        <f t="shared" si="0"/>
        <v>2.15000075492214</v>
      </c>
      <c r="Q32">
        <f t="shared" si="0"/>
        <v>2.21429533743457</v>
      </c>
      <c r="R32">
        <v>90.862</v>
      </c>
      <c r="S32">
        <v>90.862</v>
      </c>
      <c r="T32">
        <v>89.533</v>
      </c>
      <c r="U32">
        <v>4.135</v>
      </c>
      <c r="V32">
        <v>44.254</v>
      </c>
      <c r="W32">
        <v>0.01</v>
      </c>
      <c r="X32" t="s">
        <v>30</v>
      </c>
      <c r="Y32" t="s">
        <v>31</v>
      </c>
      <c r="Z32" s="3">
        <f t="shared" si="1"/>
        <v>-0.064294582512435</v>
      </c>
      <c r="AA32">
        <f t="shared" si="2"/>
        <v>0.204</v>
      </c>
      <c r="AB32">
        <f t="shared" si="3"/>
        <v>0.808</v>
      </c>
      <c r="AC32" t="s">
        <v>32</v>
      </c>
    </row>
    <row r="33" spans="1:29">
      <c r="A33" t="s">
        <v>33</v>
      </c>
      <c r="B33">
        <v>4286.75</v>
      </c>
      <c r="C33">
        <v>14.05</v>
      </c>
      <c r="D33">
        <v>30.349</v>
      </c>
      <c r="E33">
        <v>162.674</v>
      </c>
      <c r="F33">
        <v>0.459</v>
      </c>
      <c r="G33">
        <v>21.729</v>
      </c>
      <c r="H33">
        <v>1.494</v>
      </c>
      <c r="I33">
        <v>2.715</v>
      </c>
      <c r="J33">
        <v>0.148</v>
      </c>
      <c r="K33">
        <v>6.889</v>
      </c>
      <c r="L33">
        <v>0.377</v>
      </c>
      <c r="M33">
        <v>3.285</v>
      </c>
      <c r="N33">
        <v>136.363</v>
      </c>
      <c r="O33">
        <v>158.95</v>
      </c>
      <c r="P33">
        <f t="shared" si="0"/>
        <v>2.13469654718515</v>
      </c>
      <c r="Q33">
        <f t="shared" si="0"/>
        <v>2.20126053225079</v>
      </c>
      <c r="R33">
        <v>91.748</v>
      </c>
      <c r="S33">
        <v>91.748</v>
      </c>
      <c r="T33">
        <v>90.362</v>
      </c>
      <c r="U33">
        <v>4.112</v>
      </c>
      <c r="V33">
        <v>44.307</v>
      </c>
      <c r="W33">
        <v>0.01</v>
      </c>
      <c r="X33" t="s">
        <v>30</v>
      </c>
      <c r="Y33" t="s">
        <v>31</v>
      </c>
      <c r="Z33" s="3">
        <f t="shared" si="1"/>
        <v>-0.0665639850656468</v>
      </c>
      <c r="AA33">
        <f t="shared" si="2"/>
        <v>0.229</v>
      </c>
      <c r="AB33">
        <f t="shared" si="3"/>
        <v>0.836</v>
      </c>
      <c r="AC33" t="s">
        <v>32</v>
      </c>
    </row>
    <row r="34" spans="1:29">
      <c r="A34" t="s">
        <v>33</v>
      </c>
      <c r="B34">
        <v>4286.875</v>
      </c>
      <c r="C34">
        <v>12.654</v>
      </c>
      <c r="D34">
        <v>30.815</v>
      </c>
      <c r="E34">
        <v>162.1</v>
      </c>
      <c r="F34">
        <v>0.47</v>
      </c>
      <c r="G34">
        <v>21.722</v>
      </c>
      <c r="H34">
        <v>1.455</v>
      </c>
      <c r="I34">
        <v>2.717</v>
      </c>
      <c r="J34">
        <v>0.136</v>
      </c>
      <c r="K34">
        <v>6.977</v>
      </c>
      <c r="L34">
        <v>0.386</v>
      </c>
      <c r="M34">
        <v>3.326</v>
      </c>
      <c r="N34">
        <v>137.631</v>
      </c>
      <c r="O34">
        <v>161.603</v>
      </c>
      <c r="P34">
        <f t="shared" si="0"/>
        <v>2.13871626538647</v>
      </c>
      <c r="Q34">
        <f t="shared" si="0"/>
        <v>2.20844941876129</v>
      </c>
      <c r="R34">
        <v>93.324</v>
      </c>
      <c r="S34">
        <v>93.324</v>
      </c>
      <c r="T34">
        <v>91.858</v>
      </c>
      <c r="U34">
        <v>4.137</v>
      </c>
      <c r="V34">
        <v>43.645</v>
      </c>
      <c r="W34">
        <v>0.01</v>
      </c>
      <c r="X34" t="s">
        <v>30</v>
      </c>
      <c r="Y34" t="s">
        <v>31</v>
      </c>
      <c r="Z34" s="3">
        <f t="shared" si="1"/>
        <v>-0.0697331533748233</v>
      </c>
      <c r="AA34">
        <f t="shared" si="2"/>
        <v>0.25</v>
      </c>
      <c r="AB34">
        <f t="shared" si="3"/>
        <v>0.856</v>
      </c>
      <c r="AC34" t="s">
        <v>32</v>
      </c>
    </row>
    <row r="35" spans="1:29">
      <c r="A35" t="s">
        <v>33</v>
      </c>
      <c r="B35">
        <v>4287</v>
      </c>
      <c r="C35">
        <v>12.461</v>
      </c>
      <c r="D35">
        <v>31.077</v>
      </c>
      <c r="E35">
        <v>161.714</v>
      </c>
      <c r="F35">
        <v>0.481</v>
      </c>
      <c r="G35">
        <v>21.72</v>
      </c>
      <c r="H35">
        <v>1.44</v>
      </c>
      <c r="I35">
        <v>2.719</v>
      </c>
      <c r="J35">
        <v>0.128</v>
      </c>
      <c r="K35">
        <v>7.031</v>
      </c>
      <c r="L35">
        <v>0.391</v>
      </c>
      <c r="M35">
        <v>3.328</v>
      </c>
      <c r="N35">
        <v>141.911</v>
      </c>
      <c r="O35">
        <v>167.105</v>
      </c>
      <c r="P35">
        <f t="shared" si="0"/>
        <v>2.15201606039156</v>
      </c>
      <c r="Q35">
        <f t="shared" si="0"/>
        <v>2.22298944474631</v>
      </c>
      <c r="R35">
        <v>96.55</v>
      </c>
      <c r="S35">
        <v>96.55</v>
      </c>
      <c r="T35">
        <v>94.972</v>
      </c>
      <c r="U35">
        <v>4.08</v>
      </c>
      <c r="V35">
        <v>43.592</v>
      </c>
      <c r="W35">
        <v>0.01</v>
      </c>
      <c r="X35" t="s">
        <v>30</v>
      </c>
      <c r="Y35" t="s">
        <v>31</v>
      </c>
      <c r="Z35" s="3">
        <f t="shared" si="1"/>
        <v>-0.0709733843547533</v>
      </c>
      <c r="AA35">
        <f t="shared" si="2"/>
        <v>0.263</v>
      </c>
      <c r="AB35">
        <f t="shared" si="3"/>
        <v>0.872</v>
      </c>
      <c r="AC35" t="s">
        <v>32</v>
      </c>
    </row>
    <row r="36" spans="1:29">
      <c r="A36" t="s">
        <v>33</v>
      </c>
      <c r="B36">
        <v>4287.125</v>
      </c>
      <c r="C36">
        <v>12.438</v>
      </c>
      <c r="D36">
        <v>31.356</v>
      </c>
      <c r="E36">
        <v>161.427</v>
      </c>
      <c r="F36">
        <v>0.508</v>
      </c>
      <c r="G36">
        <v>21.721</v>
      </c>
      <c r="H36">
        <v>1.426</v>
      </c>
      <c r="I36">
        <v>2.724</v>
      </c>
      <c r="J36">
        <v>0.121</v>
      </c>
      <c r="K36">
        <v>7.012</v>
      </c>
      <c r="L36">
        <v>0.389</v>
      </c>
      <c r="M36">
        <v>3.289</v>
      </c>
      <c r="N36">
        <v>146.625</v>
      </c>
      <c r="O36">
        <v>173.091</v>
      </c>
      <c r="P36">
        <f t="shared" si="0"/>
        <v>2.16620802512359</v>
      </c>
      <c r="Q36">
        <f t="shared" si="0"/>
        <v>2.23827448698601</v>
      </c>
      <c r="R36">
        <v>97.842</v>
      </c>
      <c r="S36">
        <v>97.842</v>
      </c>
      <c r="T36">
        <v>96.25</v>
      </c>
      <c r="U36">
        <v>3.986</v>
      </c>
      <c r="V36">
        <v>44.391</v>
      </c>
      <c r="W36">
        <v>0.01</v>
      </c>
      <c r="X36" t="s">
        <v>30</v>
      </c>
      <c r="Y36" t="s">
        <v>31</v>
      </c>
      <c r="Z36" s="3">
        <f t="shared" si="1"/>
        <v>-0.0720664618624265</v>
      </c>
      <c r="AA36">
        <f t="shared" si="2"/>
        <v>0.268</v>
      </c>
      <c r="AB36">
        <f t="shared" si="3"/>
        <v>0.897</v>
      </c>
      <c r="AC36" t="s">
        <v>32</v>
      </c>
    </row>
    <row r="37" spans="1:29">
      <c r="A37" t="s">
        <v>33</v>
      </c>
      <c r="B37">
        <v>4287.25</v>
      </c>
      <c r="C37">
        <v>12.6</v>
      </c>
      <c r="D37">
        <v>31.668</v>
      </c>
      <c r="E37">
        <v>161.263</v>
      </c>
      <c r="F37">
        <v>0.546</v>
      </c>
      <c r="G37">
        <v>21.726</v>
      </c>
      <c r="H37">
        <v>1.407</v>
      </c>
      <c r="I37">
        <v>2.731</v>
      </c>
      <c r="J37">
        <v>0.118</v>
      </c>
      <c r="K37">
        <v>6.91</v>
      </c>
      <c r="L37">
        <v>0.379</v>
      </c>
      <c r="M37">
        <v>3.214</v>
      </c>
      <c r="N37">
        <v>150.541</v>
      </c>
      <c r="O37">
        <v>178.128</v>
      </c>
      <c r="P37">
        <f t="shared" si="0"/>
        <v>2.17765479659954</v>
      </c>
      <c r="Q37">
        <f t="shared" si="0"/>
        <v>2.25073219172437</v>
      </c>
      <c r="R37">
        <v>99.969</v>
      </c>
      <c r="S37">
        <v>99.969</v>
      </c>
      <c r="T37">
        <v>98.37</v>
      </c>
      <c r="U37">
        <v>3.859</v>
      </c>
      <c r="V37">
        <v>45.458</v>
      </c>
      <c r="W37">
        <v>0.01</v>
      </c>
      <c r="X37" t="s">
        <v>30</v>
      </c>
      <c r="Y37" t="s">
        <v>31</v>
      </c>
      <c r="Z37" s="3">
        <f t="shared" si="1"/>
        <v>-0.0730773951248311</v>
      </c>
      <c r="AA37">
        <f t="shared" si="2"/>
        <v>0.261</v>
      </c>
      <c r="AB37">
        <f t="shared" si="3"/>
        <v>0.925</v>
      </c>
      <c r="AC37" t="s">
        <v>32</v>
      </c>
    </row>
    <row r="38" spans="1:29">
      <c r="A38" t="s">
        <v>33</v>
      </c>
      <c r="B38">
        <v>4287.375</v>
      </c>
      <c r="C38">
        <v>13.501</v>
      </c>
      <c r="D38">
        <v>32.292</v>
      </c>
      <c r="E38">
        <v>161.301</v>
      </c>
      <c r="F38">
        <v>0.557</v>
      </c>
      <c r="G38">
        <v>21.746</v>
      </c>
      <c r="H38">
        <v>1.349</v>
      </c>
      <c r="I38">
        <v>2.733</v>
      </c>
      <c r="J38">
        <v>0.119</v>
      </c>
      <c r="K38">
        <v>6.701</v>
      </c>
      <c r="L38">
        <v>0.358</v>
      </c>
      <c r="M38">
        <v>3.138</v>
      </c>
      <c r="N38">
        <v>154.213</v>
      </c>
      <c r="O38">
        <v>183.061</v>
      </c>
      <c r="P38">
        <f t="shared" si="0"/>
        <v>2.18812098584392</v>
      </c>
      <c r="Q38">
        <f t="shared" si="0"/>
        <v>2.26259583043562</v>
      </c>
      <c r="R38">
        <v>102.176</v>
      </c>
      <c r="S38">
        <v>102.176</v>
      </c>
      <c r="T38">
        <v>100.572</v>
      </c>
      <c r="U38">
        <v>3.876</v>
      </c>
      <c r="V38">
        <v>44.689</v>
      </c>
      <c r="W38">
        <v>0.01</v>
      </c>
      <c r="X38" t="s">
        <v>30</v>
      </c>
      <c r="Y38" t="s">
        <v>31</v>
      </c>
      <c r="Z38" s="3">
        <f t="shared" si="1"/>
        <v>-0.0744748445916978</v>
      </c>
      <c r="AA38">
        <f t="shared" si="2"/>
        <v>0.239</v>
      </c>
      <c r="AB38">
        <f t="shared" si="3"/>
        <v>0.915</v>
      </c>
      <c r="AC38" t="s">
        <v>32</v>
      </c>
    </row>
    <row r="39" spans="1:29">
      <c r="A39" t="s">
        <v>33</v>
      </c>
      <c r="B39">
        <v>4287.5</v>
      </c>
      <c r="C39">
        <v>14.223</v>
      </c>
      <c r="D39">
        <v>32.636</v>
      </c>
      <c r="E39">
        <v>161.489</v>
      </c>
      <c r="F39">
        <v>0.535</v>
      </c>
      <c r="G39">
        <v>21.763</v>
      </c>
      <c r="H39">
        <v>1.301</v>
      </c>
      <c r="I39">
        <v>2.729</v>
      </c>
      <c r="J39">
        <v>0.123</v>
      </c>
      <c r="K39">
        <v>6.59</v>
      </c>
      <c r="L39">
        <v>0.347</v>
      </c>
      <c r="M39">
        <v>3.144</v>
      </c>
      <c r="N39">
        <v>155.258</v>
      </c>
      <c r="O39">
        <v>184.443</v>
      </c>
      <c r="P39">
        <f t="shared" si="0"/>
        <v>2.19105398737578</v>
      </c>
      <c r="Q39">
        <f t="shared" si="0"/>
        <v>2.26586217748605</v>
      </c>
      <c r="R39">
        <v>111.427</v>
      </c>
      <c r="S39">
        <v>111.427</v>
      </c>
      <c r="T39">
        <v>109.829</v>
      </c>
      <c r="U39">
        <v>3.943</v>
      </c>
      <c r="V39">
        <v>42.025</v>
      </c>
      <c r="W39">
        <v>0.01</v>
      </c>
      <c r="X39" t="s">
        <v>30</v>
      </c>
      <c r="Y39" t="s">
        <v>31</v>
      </c>
      <c r="Z39" s="3">
        <f t="shared" si="1"/>
        <v>-0.0748081901102684</v>
      </c>
      <c r="AA39">
        <f t="shared" si="2"/>
        <v>0.224</v>
      </c>
      <c r="AB39">
        <f t="shared" si="3"/>
        <v>0.882</v>
      </c>
      <c r="AC39" t="s">
        <v>32</v>
      </c>
    </row>
    <row r="40" spans="1:29">
      <c r="A40" t="s">
        <v>33</v>
      </c>
      <c r="B40">
        <v>4287.625</v>
      </c>
      <c r="C40">
        <v>14.949</v>
      </c>
      <c r="D40">
        <v>33</v>
      </c>
      <c r="E40">
        <v>161.752</v>
      </c>
      <c r="F40">
        <v>0.497</v>
      </c>
      <c r="G40">
        <v>21.782</v>
      </c>
      <c r="H40">
        <v>1.242</v>
      </c>
      <c r="I40">
        <v>2.722</v>
      </c>
      <c r="J40">
        <v>0.128</v>
      </c>
      <c r="K40">
        <v>6.624</v>
      </c>
      <c r="L40">
        <v>0.35</v>
      </c>
      <c r="M40">
        <v>3.237</v>
      </c>
      <c r="N40">
        <v>155.922</v>
      </c>
      <c r="O40">
        <v>185.248</v>
      </c>
      <c r="P40">
        <f t="shared" si="0"/>
        <v>2.1929073968086</v>
      </c>
      <c r="Q40">
        <f t="shared" si="0"/>
        <v>2.26775352788671</v>
      </c>
      <c r="R40">
        <v>116.405</v>
      </c>
      <c r="S40">
        <v>116.405</v>
      </c>
      <c r="T40">
        <v>114.857</v>
      </c>
      <c r="U40">
        <v>4.059</v>
      </c>
      <c r="V40">
        <v>39.855</v>
      </c>
      <c r="W40">
        <v>0.01</v>
      </c>
      <c r="X40" t="s">
        <v>30</v>
      </c>
      <c r="Y40" t="s">
        <v>31</v>
      </c>
      <c r="Z40" s="3">
        <f t="shared" si="1"/>
        <v>-0.0748461310781119</v>
      </c>
      <c r="AA40">
        <f t="shared" si="2"/>
        <v>0.222</v>
      </c>
      <c r="AB40">
        <f t="shared" si="3"/>
        <v>0.847</v>
      </c>
      <c r="AC40" t="s">
        <v>32</v>
      </c>
    </row>
    <row r="41" spans="1:29">
      <c r="A41" t="s">
        <v>33</v>
      </c>
      <c r="B41">
        <v>4287.75</v>
      </c>
      <c r="C41">
        <v>15.565</v>
      </c>
      <c r="D41">
        <v>33.403</v>
      </c>
      <c r="E41">
        <v>162.249</v>
      </c>
      <c r="F41">
        <v>0.459</v>
      </c>
      <c r="G41">
        <v>21.801</v>
      </c>
      <c r="H41">
        <v>1.18</v>
      </c>
      <c r="I41">
        <v>2.715</v>
      </c>
      <c r="J41">
        <v>0.139</v>
      </c>
      <c r="K41">
        <v>6.702</v>
      </c>
      <c r="L41">
        <v>0.358</v>
      </c>
      <c r="M41">
        <v>3.387</v>
      </c>
      <c r="N41">
        <v>155.615</v>
      </c>
      <c r="O41">
        <v>184.808</v>
      </c>
      <c r="P41">
        <f t="shared" si="0"/>
        <v>2.19205145707045</v>
      </c>
      <c r="Q41">
        <f t="shared" si="0"/>
        <v>2.26672076710408</v>
      </c>
      <c r="R41">
        <v>118.545</v>
      </c>
      <c r="S41">
        <v>118.545</v>
      </c>
      <c r="T41">
        <v>117.106</v>
      </c>
      <c r="U41">
        <v>4.132</v>
      </c>
      <c r="V41">
        <v>38.717</v>
      </c>
      <c r="W41">
        <v>0.01</v>
      </c>
      <c r="X41" t="s">
        <v>30</v>
      </c>
      <c r="Y41" t="s">
        <v>31</v>
      </c>
      <c r="Z41" s="3">
        <f t="shared" si="1"/>
        <v>-0.0746693100336349</v>
      </c>
      <c r="AA41">
        <f t="shared" si="2"/>
        <v>0.219</v>
      </c>
      <c r="AB41">
        <f t="shared" si="3"/>
        <v>0.817</v>
      </c>
      <c r="AC41" t="s">
        <v>32</v>
      </c>
    </row>
    <row r="42" spans="1:29">
      <c r="A42" t="s">
        <v>33</v>
      </c>
      <c r="B42">
        <v>4287.875</v>
      </c>
      <c r="C42">
        <v>15.955</v>
      </c>
      <c r="D42">
        <v>34.197</v>
      </c>
      <c r="E42">
        <v>162.479</v>
      </c>
      <c r="F42">
        <v>0.443</v>
      </c>
      <c r="G42">
        <v>21.825</v>
      </c>
      <c r="H42">
        <v>1.067</v>
      </c>
      <c r="I42">
        <v>2.712</v>
      </c>
      <c r="J42">
        <v>0.144</v>
      </c>
      <c r="K42">
        <v>6.82</v>
      </c>
      <c r="L42">
        <v>0.37</v>
      </c>
      <c r="M42">
        <v>3.569</v>
      </c>
      <c r="N42">
        <v>152.759</v>
      </c>
      <c r="O42">
        <v>181.167</v>
      </c>
      <c r="P42">
        <f t="shared" si="0"/>
        <v>2.18400680670636</v>
      </c>
      <c r="Q42">
        <f t="shared" si="0"/>
        <v>2.2580790927718</v>
      </c>
      <c r="R42">
        <v>120.327</v>
      </c>
      <c r="S42">
        <v>120.327</v>
      </c>
      <c r="T42">
        <v>119.125</v>
      </c>
      <c r="U42">
        <v>4.157</v>
      </c>
      <c r="V42">
        <v>38.148</v>
      </c>
      <c r="W42">
        <v>0.01</v>
      </c>
      <c r="X42" t="s">
        <v>30</v>
      </c>
      <c r="Y42" t="s">
        <v>31</v>
      </c>
      <c r="Z42" s="3">
        <f t="shared" si="1"/>
        <v>-0.0740722860654355</v>
      </c>
      <c r="AA42">
        <f t="shared" si="2"/>
        <v>0.226</v>
      </c>
      <c r="AB42">
        <f t="shared" si="3"/>
        <v>0.813</v>
      </c>
      <c r="AC42" t="s">
        <v>32</v>
      </c>
    </row>
    <row r="43" spans="1:29">
      <c r="A43" t="s">
        <v>33</v>
      </c>
      <c r="B43">
        <v>4288</v>
      </c>
      <c r="C43">
        <v>15.556</v>
      </c>
      <c r="D43">
        <v>34.618</v>
      </c>
      <c r="E43">
        <v>162.236</v>
      </c>
      <c r="F43">
        <v>0.432</v>
      </c>
      <c r="G43">
        <v>21.839</v>
      </c>
      <c r="H43">
        <v>1.03</v>
      </c>
      <c r="I43">
        <v>2.71</v>
      </c>
      <c r="J43">
        <v>0.139</v>
      </c>
      <c r="K43">
        <v>6.916</v>
      </c>
      <c r="L43">
        <v>0.38</v>
      </c>
      <c r="M43">
        <v>3.654</v>
      </c>
      <c r="N43">
        <v>151.598</v>
      </c>
      <c r="O43">
        <v>179.564</v>
      </c>
      <c r="P43">
        <f t="shared" si="0"/>
        <v>2.18069347177959</v>
      </c>
      <c r="Q43">
        <f t="shared" si="0"/>
        <v>2.25421927125946</v>
      </c>
      <c r="R43">
        <v>121.369</v>
      </c>
      <c r="S43">
        <v>121.369</v>
      </c>
      <c r="T43">
        <v>120.747</v>
      </c>
      <c r="U43">
        <v>4.189</v>
      </c>
      <c r="V43">
        <v>37.576</v>
      </c>
      <c r="W43">
        <v>0.01</v>
      </c>
      <c r="X43" t="s">
        <v>30</v>
      </c>
      <c r="Y43" t="s">
        <v>31</v>
      </c>
      <c r="Z43" s="3">
        <f t="shared" si="1"/>
        <v>-0.0735257994798704</v>
      </c>
      <c r="AA43">
        <f t="shared" si="2"/>
        <v>0.241</v>
      </c>
      <c r="AB43">
        <f t="shared" si="3"/>
        <v>0.812</v>
      </c>
      <c r="AC43" t="s">
        <v>32</v>
      </c>
    </row>
    <row r="44" spans="1:29">
      <c r="A44" t="s">
        <v>34</v>
      </c>
      <c r="B44">
        <v>4181</v>
      </c>
      <c r="C44">
        <v>24.316</v>
      </c>
      <c r="D44">
        <v>38.752</v>
      </c>
      <c r="E44">
        <v>170.532</v>
      </c>
      <c r="F44">
        <v>0.362</v>
      </c>
      <c r="G44">
        <v>21.408</v>
      </c>
      <c r="H44">
        <v>2.702</v>
      </c>
      <c r="I44">
        <v>2.688</v>
      </c>
      <c r="J44">
        <v>0.349</v>
      </c>
      <c r="K44">
        <v>2.734</v>
      </c>
      <c r="L44">
        <v>0.05</v>
      </c>
      <c r="M44">
        <v>3.714</v>
      </c>
      <c r="N44">
        <v>357.666</v>
      </c>
      <c r="O44">
        <v>350.736</v>
      </c>
      <c r="P44">
        <f t="shared" si="0"/>
        <v>2.55347765774976</v>
      </c>
      <c r="Q44">
        <f t="shared" si="0"/>
        <v>2.5449803447208</v>
      </c>
      <c r="R44">
        <v>334.907</v>
      </c>
      <c r="S44">
        <v>334.907</v>
      </c>
      <c r="T44">
        <v>352.533</v>
      </c>
      <c r="U44">
        <v>2.79</v>
      </c>
      <c r="V44">
        <v>65.692</v>
      </c>
      <c r="W44">
        <v>0.124</v>
      </c>
      <c r="X44" t="s">
        <v>30</v>
      </c>
      <c r="Y44" t="s">
        <v>31</v>
      </c>
      <c r="Z44" s="3">
        <f t="shared" si="1"/>
        <v>0.00849731302895762</v>
      </c>
      <c r="AA44">
        <f t="shared" si="2"/>
        <v>-0.299</v>
      </c>
      <c r="AB44">
        <f t="shared" si="3"/>
        <v>0.412</v>
      </c>
      <c r="AC44" t="s">
        <v>32</v>
      </c>
    </row>
    <row r="45" spans="1:29">
      <c r="A45" t="s">
        <v>34</v>
      </c>
      <c r="B45">
        <v>4181.125</v>
      </c>
      <c r="C45">
        <v>24.734</v>
      </c>
      <c r="D45">
        <v>38.608</v>
      </c>
      <c r="E45">
        <v>169.354</v>
      </c>
      <c r="F45">
        <v>0.333</v>
      </c>
      <c r="G45">
        <v>21.394</v>
      </c>
      <c r="H45">
        <v>2.608</v>
      </c>
      <c r="I45">
        <v>2.691</v>
      </c>
      <c r="J45">
        <v>0.367</v>
      </c>
      <c r="K45">
        <v>2.522</v>
      </c>
      <c r="L45">
        <v>0.018</v>
      </c>
      <c r="M45">
        <v>3.746</v>
      </c>
      <c r="N45">
        <v>440.282</v>
      </c>
      <c r="O45">
        <v>417.456</v>
      </c>
      <c r="P45">
        <f t="shared" si="0"/>
        <v>2.64373093060949</v>
      </c>
      <c r="Q45">
        <f t="shared" si="0"/>
        <v>2.62061070745025</v>
      </c>
      <c r="R45">
        <v>418.127</v>
      </c>
      <c r="S45">
        <v>418.127</v>
      </c>
      <c r="T45">
        <v>440.292</v>
      </c>
      <c r="U45">
        <v>2.621</v>
      </c>
      <c r="V45">
        <v>63.077</v>
      </c>
      <c r="W45">
        <v>0.095</v>
      </c>
      <c r="X45" t="s">
        <v>30</v>
      </c>
      <c r="Y45" t="s">
        <v>31</v>
      </c>
      <c r="Z45" s="3">
        <f t="shared" si="1"/>
        <v>0.0231202231592471</v>
      </c>
      <c r="AA45">
        <f t="shared" si="2"/>
        <v>-0.349</v>
      </c>
      <c r="AB45">
        <f t="shared" si="3"/>
        <v>0.351</v>
      </c>
      <c r="AC45" t="s">
        <v>32</v>
      </c>
    </row>
    <row r="46" spans="1:29">
      <c r="A46" t="s">
        <v>34</v>
      </c>
      <c r="B46">
        <v>4181.25</v>
      </c>
      <c r="C46">
        <v>26.367</v>
      </c>
      <c r="D46">
        <v>38.486</v>
      </c>
      <c r="E46">
        <v>167.625</v>
      </c>
      <c r="F46">
        <v>0.292</v>
      </c>
      <c r="G46">
        <v>21.526</v>
      </c>
      <c r="H46">
        <v>2.511</v>
      </c>
      <c r="I46">
        <v>2.694</v>
      </c>
      <c r="J46">
        <v>0.385</v>
      </c>
      <c r="K46">
        <v>2.4</v>
      </c>
      <c r="L46">
        <v>0</v>
      </c>
      <c r="M46">
        <v>3.765</v>
      </c>
      <c r="N46">
        <v>523.483</v>
      </c>
      <c r="O46">
        <v>480.691</v>
      </c>
      <c r="P46">
        <f t="shared" si="0"/>
        <v>2.71890258262217</v>
      </c>
      <c r="Q46">
        <f t="shared" si="0"/>
        <v>2.68186599088894</v>
      </c>
      <c r="R46">
        <v>504.405</v>
      </c>
      <c r="S46">
        <v>504.405</v>
      </c>
      <c r="T46">
        <v>531.185</v>
      </c>
      <c r="U46">
        <v>2.41</v>
      </c>
      <c r="V46">
        <v>62.83</v>
      </c>
      <c r="W46">
        <v>0.065</v>
      </c>
      <c r="X46" t="s">
        <v>30</v>
      </c>
      <c r="Y46" t="s">
        <v>31</v>
      </c>
      <c r="Z46" s="3">
        <f t="shared" si="1"/>
        <v>0.0370365917332349</v>
      </c>
      <c r="AA46">
        <f t="shared" si="2"/>
        <v>-0.385</v>
      </c>
      <c r="AB46">
        <f t="shared" si="3"/>
        <v>0.292</v>
      </c>
      <c r="AC46" t="s">
        <v>32</v>
      </c>
    </row>
    <row r="47" spans="1:29">
      <c r="A47" t="s">
        <v>34</v>
      </c>
      <c r="B47">
        <v>4181.375</v>
      </c>
      <c r="C47">
        <v>28.908</v>
      </c>
      <c r="D47">
        <v>38.387</v>
      </c>
      <c r="E47">
        <v>166.048</v>
      </c>
      <c r="F47">
        <v>0.253</v>
      </c>
      <c r="G47">
        <v>21.676</v>
      </c>
      <c r="H47">
        <v>2.41</v>
      </c>
      <c r="I47">
        <v>2.694</v>
      </c>
      <c r="J47">
        <v>0.385</v>
      </c>
      <c r="K47">
        <v>2.4</v>
      </c>
      <c r="L47">
        <v>0</v>
      </c>
      <c r="M47">
        <v>3.767</v>
      </c>
      <c r="N47">
        <v>564.13</v>
      </c>
      <c r="O47">
        <v>512.827</v>
      </c>
      <c r="P47">
        <f t="shared" si="0"/>
        <v>2.75137919578641</v>
      </c>
      <c r="Q47">
        <f t="shared" si="0"/>
        <v>2.70997088242793</v>
      </c>
      <c r="R47">
        <v>545.029</v>
      </c>
      <c r="S47">
        <v>545.029</v>
      </c>
      <c r="T47">
        <v>573.792</v>
      </c>
      <c r="U47">
        <v>2.256</v>
      </c>
      <c r="V47">
        <v>64.653</v>
      </c>
      <c r="W47">
        <v>0.049</v>
      </c>
      <c r="X47" t="s">
        <v>30</v>
      </c>
      <c r="Y47" t="s">
        <v>31</v>
      </c>
      <c r="Z47" s="3">
        <f t="shared" si="1"/>
        <v>0.0414083133584797</v>
      </c>
      <c r="AA47">
        <f t="shared" si="2"/>
        <v>-0.385</v>
      </c>
      <c r="AB47">
        <f t="shared" si="3"/>
        <v>0.253</v>
      </c>
      <c r="AC47" t="s">
        <v>32</v>
      </c>
    </row>
    <row r="48" spans="1:29">
      <c r="A48" t="s">
        <v>34</v>
      </c>
      <c r="B48">
        <v>4181.5</v>
      </c>
      <c r="C48">
        <v>31.426</v>
      </c>
      <c r="D48">
        <v>38.312</v>
      </c>
      <c r="E48">
        <v>164.987</v>
      </c>
      <c r="F48">
        <v>0.228</v>
      </c>
      <c r="G48">
        <v>21.739</v>
      </c>
      <c r="H48">
        <v>2.248</v>
      </c>
      <c r="I48">
        <v>2.691</v>
      </c>
      <c r="J48">
        <v>0.367</v>
      </c>
      <c r="K48">
        <v>2.506</v>
      </c>
      <c r="L48">
        <v>0.016</v>
      </c>
      <c r="M48">
        <v>3.766</v>
      </c>
      <c r="N48">
        <v>548.817</v>
      </c>
      <c r="O48">
        <v>506.4</v>
      </c>
      <c r="P48">
        <f t="shared" si="0"/>
        <v>2.73942755548996</v>
      </c>
      <c r="Q48">
        <f t="shared" si="0"/>
        <v>2.7044936970093</v>
      </c>
      <c r="R48">
        <v>529.325</v>
      </c>
      <c r="S48">
        <v>529.325</v>
      </c>
      <c r="T48">
        <v>557.184</v>
      </c>
      <c r="U48">
        <v>2.187</v>
      </c>
      <c r="V48">
        <v>67.643</v>
      </c>
      <c r="W48">
        <v>0.043</v>
      </c>
      <c r="X48" t="s">
        <v>30</v>
      </c>
      <c r="Y48" t="s">
        <v>31</v>
      </c>
      <c r="Z48" s="3">
        <f t="shared" si="1"/>
        <v>0.0349338584806582</v>
      </c>
      <c r="AA48">
        <f t="shared" si="2"/>
        <v>-0.351</v>
      </c>
      <c r="AB48">
        <f t="shared" si="3"/>
        <v>0.244</v>
      </c>
      <c r="AC48" t="s">
        <v>32</v>
      </c>
    </row>
    <row r="49" spans="1:29">
      <c r="A49" t="s">
        <v>34</v>
      </c>
      <c r="B49">
        <v>4181.625</v>
      </c>
      <c r="C49">
        <v>32.812</v>
      </c>
      <c r="D49">
        <v>38.258</v>
      </c>
      <c r="E49">
        <v>164.446</v>
      </c>
      <c r="F49">
        <v>0.215</v>
      </c>
      <c r="G49">
        <v>21.751</v>
      </c>
      <c r="H49">
        <v>2.075</v>
      </c>
      <c r="I49">
        <v>2.685</v>
      </c>
      <c r="J49">
        <v>0.331</v>
      </c>
      <c r="K49">
        <v>2.687</v>
      </c>
      <c r="L49">
        <v>0.043</v>
      </c>
      <c r="M49">
        <v>3.753</v>
      </c>
      <c r="N49">
        <v>492.784</v>
      </c>
      <c r="O49">
        <v>475.72</v>
      </c>
      <c r="P49">
        <f t="shared" si="0"/>
        <v>2.69265659845727</v>
      </c>
      <c r="Q49">
        <f t="shared" si="0"/>
        <v>2.67735141021126</v>
      </c>
      <c r="R49">
        <v>455.417</v>
      </c>
      <c r="S49">
        <v>455.417</v>
      </c>
      <c r="T49">
        <v>479.386</v>
      </c>
      <c r="U49">
        <v>2.249</v>
      </c>
      <c r="V49">
        <v>69.388</v>
      </c>
      <c r="W49">
        <v>0.048</v>
      </c>
      <c r="X49" t="s">
        <v>30</v>
      </c>
      <c r="Y49" t="s">
        <v>31</v>
      </c>
      <c r="Z49" s="3">
        <f t="shared" si="1"/>
        <v>0.0153051882460038</v>
      </c>
      <c r="AA49">
        <f t="shared" si="2"/>
        <v>-0.288</v>
      </c>
      <c r="AB49">
        <f t="shared" si="3"/>
        <v>0.258</v>
      </c>
      <c r="AC49" t="s">
        <v>32</v>
      </c>
    </row>
    <row r="50" spans="1:29">
      <c r="A50" t="s">
        <v>34</v>
      </c>
      <c r="B50">
        <v>4181.75</v>
      </c>
      <c r="C50">
        <v>32.095</v>
      </c>
      <c r="D50">
        <v>38.223</v>
      </c>
      <c r="E50">
        <v>164.259</v>
      </c>
      <c r="F50">
        <v>0.21</v>
      </c>
      <c r="G50">
        <v>21.769</v>
      </c>
      <c r="H50">
        <v>1.991</v>
      </c>
      <c r="I50">
        <v>2.679</v>
      </c>
      <c r="J50">
        <v>0.296</v>
      </c>
      <c r="K50">
        <v>2.88</v>
      </c>
      <c r="L50">
        <v>0.072</v>
      </c>
      <c r="M50">
        <v>3.739</v>
      </c>
      <c r="N50">
        <v>461.002</v>
      </c>
      <c r="O50">
        <v>450.02</v>
      </c>
      <c r="P50">
        <f t="shared" si="0"/>
        <v>2.66370280952648</v>
      </c>
      <c r="Q50">
        <f t="shared" si="0"/>
        <v>2.6532318153234</v>
      </c>
      <c r="R50">
        <v>433.346</v>
      </c>
      <c r="S50">
        <v>433.346</v>
      </c>
      <c r="T50">
        <v>456.154</v>
      </c>
      <c r="U50">
        <v>2.464</v>
      </c>
      <c r="V50">
        <v>65.524</v>
      </c>
      <c r="W50">
        <v>0.072</v>
      </c>
      <c r="X50" t="s">
        <v>30</v>
      </c>
      <c r="Y50" t="s">
        <v>31</v>
      </c>
      <c r="Z50" s="3">
        <f t="shared" si="1"/>
        <v>0.0104709942030832</v>
      </c>
      <c r="AA50">
        <f t="shared" si="2"/>
        <v>-0.224</v>
      </c>
      <c r="AB50">
        <f t="shared" si="3"/>
        <v>0.282</v>
      </c>
      <c r="AC50" t="s">
        <v>32</v>
      </c>
    </row>
    <row r="51" spans="1:29">
      <c r="A51" t="s">
        <v>34</v>
      </c>
      <c r="B51">
        <v>4181.875</v>
      </c>
      <c r="C51">
        <v>30.289</v>
      </c>
      <c r="D51">
        <v>38.206</v>
      </c>
      <c r="E51">
        <v>164.017</v>
      </c>
      <c r="F51">
        <v>0.204</v>
      </c>
      <c r="G51">
        <v>21.799</v>
      </c>
      <c r="H51">
        <v>2.003</v>
      </c>
      <c r="I51">
        <v>2.676</v>
      </c>
      <c r="J51">
        <v>0.278</v>
      </c>
      <c r="K51">
        <v>3.013</v>
      </c>
      <c r="L51">
        <v>0.092</v>
      </c>
      <c r="M51">
        <v>3.72</v>
      </c>
      <c r="N51">
        <v>460.661</v>
      </c>
      <c r="O51">
        <v>439.586</v>
      </c>
      <c r="P51">
        <f t="shared" si="0"/>
        <v>2.66338144602358</v>
      </c>
      <c r="Q51">
        <f t="shared" si="0"/>
        <v>2.64304385249675</v>
      </c>
      <c r="R51">
        <v>436.931</v>
      </c>
      <c r="S51">
        <v>436.931</v>
      </c>
      <c r="T51">
        <v>459.927</v>
      </c>
      <c r="U51">
        <v>2.683</v>
      </c>
      <c r="V51">
        <v>60.177</v>
      </c>
      <c r="W51">
        <v>0.105</v>
      </c>
      <c r="X51" t="s">
        <v>30</v>
      </c>
      <c r="Y51" t="s">
        <v>31</v>
      </c>
      <c r="Z51" s="3">
        <f t="shared" si="1"/>
        <v>0.0203375935268277</v>
      </c>
      <c r="AA51">
        <f t="shared" si="2"/>
        <v>-0.186</v>
      </c>
      <c r="AB51">
        <f t="shared" si="3"/>
        <v>0.296</v>
      </c>
      <c r="AC51" t="s">
        <v>32</v>
      </c>
    </row>
    <row r="52" spans="1:29">
      <c r="A52" t="s">
        <v>34</v>
      </c>
      <c r="B52">
        <v>4182</v>
      </c>
      <c r="C52">
        <v>28.873</v>
      </c>
      <c r="D52">
        <v>38.203</v>
      </c>
      <c r="E52">
        <v>163.425</v>
      </c>
      <c r="F52">
        <v>0.19</v>
      </c>
      <c r="G52">
        <v>21.824</v>
      </c>
      <c r="H52">
        <v>2.078</v>
      </c>
      <c r="I52">
        <v>2.678</v>
      </c>
      <c r="J52">
        <v>0.29</v>
      </c>
      <c r="K52">
        <v>3.041</v>
      </c>
      <c r="L52">
        <v>0.097</v>
      </c>
      <c r="M52">
        <v>3.672</v>
      </c>
      <c r="N52">
        <v>465.374</v>
      </c>
      <c r="O52">
        <v>433.839</v>
      </c>
      <c r="P52">
        <f t="shared" si="0"/>
        <v>2.66780211601141</v>
      </c>
      <c r="Q52">
        <f t="shared" si="0"/>
        <v>2.63732859037867</v>
      </c>
      <c r="R52">
        <v>446.007</v>
      </c>
      <c r="S52">
        <v>446.007</v>
      </c>
      <c r="T52">
        <v>469.481</v>
      </c>
      <c r="U52">
        <v>2.737</v>
      </c>
      <c r="V52">
        <v>58.674</v>
      </c>
      <c r="W52">
        <v>0.114</v>
      </c>
      <c r="X52" t="s">
        <v>30</v>
      </c>
      <c r="Y52" t="s">
        <v>31</v>
      </c>
      <c r="Z52" s="3">
        <f t="shared" si="1"/>
        <v>0.0304735256327451</v>
      </c>
      <c r="AA52">
        <f t="shared" si="2"/>
        <v>-0.193</v>
      </c>
      <c r="AB52">
        <f t="shared" si="3"/>
        <v>0.287</v>
      </c>
      <c r="AC52" t="s">
        <v>32</v>
      </c>
    </row>
    <row r="53" spans="1:29">
      <c r="A53" t="s">
        <v>34</v>
      </c>
      <c r="B53">
        <v>4182.125</v>
      </c>
      <c r="C53">
        <v>28.939</v>
      </c>
      <c r="D53">
        <v>38.213</v>
      </c>
      <c r="E53">
        <v>162.626</v>
      </c>
      <c r="F53">
        <v>0.171</v>
      </c>
      <c r="G53">
        <v>21.823</v>
      </c>
      <c r="H53">
        <v>2.159</v>
      </c>
      <c r="I53">
        <v>2.686</v>
      </c>
      <c r="J53">
        <v>0.337</v>
      </c>
      <c r="K53">
        <v>2.971</v>
      </c>
      <c r="L53">
        <v>0.086</v>
      </c>
      <c r="M53">
        <v>3.589</v>
      </c>
      <c r="N53">
        <v>447.402</v>
      </c>
      <c r="O53">
        <v>415.68</v>
      </c>
      <c r="P53">
        <f t="shared" si="0"/>
        <v>2.65069792117103</v>
      </c>
      <c r="Q53">
        <f t="shared" si="0"/>
        <v>2.61875912939293</v>
      </c>
      <c r="R53">
        <v>429.298</v>
      </c>
      <c r="S53">
        <v>429.298</v>
      </c>
      <c r="T53">
        <v>451.893</v>
      </c>
      <c r="U53">
        <v>2.565</v>
      </c>
      <c r="V53">
        <v>63.937</v>
      </c>
      <c r="W53">
        <v>0.086</v>
      </c>
      <c r="X53" t="s">
        <v>30</v>
      </c>
      <c r="Y53" t="s">
        <v>31</v>
      </c>
      <c r="Z53" s="3">
        <f t="shared" si="1"/>
        <v>0.031938791778098</v>
      </c>
      <c r="AA53">
        <f t="shared" si="2"/>
        <v>-0.251</v>
      </c>
      <c r="AB53">
        <f t="shared" si="3"/>
        <v>0.257</v>
      </c>
      <c r="AC53" t="s">
        <v>32</v>
      </c>
    </row>
    <row r="54" spans="1:29">
      <c r="A54" t="s">
        <v>34</v>
      </c>
      <c r="B54">
        <v>4182.25</v>
      </c>
      <c r="C54">
        <v>30.301</v>
      </c>
      <c r="D54">
        <v>38.232</v>
      </c>
      <c r="E54">
        <v>162.162</v>
      </c>
      <c r="F54">
        <v>0.16</v>
      </c>
      <c r="G54">
        <v>21.794</v>
      </c>
      <c r="H54">
        <v>2.21</v>
      </c>
      <c r="I54">
        <v>2.696</v>
      </c>
      <c r="J54">
        <v>0.396</v>
      </c>
      <c r="K54">
        <v>2.858</v>
      </c>
      <c r="L54">
        <v>0.069</v>
      </c>
      <c r="M54">
        <v>3.483</v>
      </c>
      <c r="N54">
        <v>405.91</v>
      </c>
      <c r="O54">
        <v>383.776</v>
      </c>
      <c r="P54">
        <f t="shared" si="0"/>
        <v>2.60842975072926</v>
      </c>
      <c r="Q54">
        <f t="shared" si="0"/>
        <v>2.58407781200063</v>
      </c>
      <c r="R54">
        <v>385.841</v>
      </c>
      <c r="S54">
        <v>385.841</v>
      </c>
      <c r="T54">
        <v>406.148</v>
      </c>
      <c r="U54">
        <v>2.283</v>
      </c>
      <c r="V54">
        <v>75.462</v>
      </c>
      <c r="W54">
        <v>0.052</v>
      </c>
      <c r="X54" t="s">
        <v>30</v>
      </c>
      <c r="Y54" t="s">
        <v>31</v>
      </c>
      <c r="Z54" s="3">
        <f t="shared" si="1"/>
        <v>0.0243519387286386</v>
      </c>
      <c r="AA54">
        <f t="shared" si="2"/>
        <v>-0.327</v>
      </c>
      <c r="AB54">
        <f t="shared" si="3"/>
        <v>0.229</v>
      </c>
      <c r="AC54" t="s">
        <v>32</v>
      </c>
    </row>
    <row r="55" spans="1:29">
      <c r="A55" t="s">
        <v>34</v>
      </c>
      <c r="B55">
        <v>4182.375</v>
      </c>
      <c r="C55">
        <v>32.987</v>
      </c>
      <c r="D55">
        <v>38.257</v>
      </c>
      <c r="E55">
        <v>162.529</v>
      </c>
      <c r="F55">
        <v>0.169</v>
      </c>
      <c r="G55">
        <v>21.755</v>
      </c>
      <c r="H55">
        <v>2.357</v>
      </c>
      <c r="I55">
        <v>2.703</v>
      </c>
      <c r="J55">
        <v>0.438</v>
      </c>
      <c r="K55">
        <v>2.758</v>
      </c>
      <c r="L55">
        <v>0.054</v>
      </c>
      <c r="M55">
        <v>3.386</v>
      </c>
      <c r="N55">
        <v>359.968</v>
      </c>
      <c r="O55">
        <v>347.038</v>
      </c>
      <c r="P55">
        <f t="shared" si="0"/>
        <v>2.55626389509751</v>
      </c>
      <c r="Q55">
        <f t="shared" si="0"/>
        <v>2.54037703181319</v>
      </c>
      <c r="R55">
        <v>338.859</v>
      </c>
      <c r="S55">
        <v>338.859</v>
      </c>
      <c r="T55">
        <v>356.693</v>
      </c>
      <c r="U55">
        <v>1.97</v>
      </c>
      <c r="V55">
        <v>92.863</v>
      </c>
      <c r="W55">
        <v>0.027</v>
      </c>
      <c r="X55" t="s">
        <v>30</v>
      </c>
      <c r="Y55" t="s">
        <v>31</v>
      </c>
      <c r="Z55" s="3">
        <f t="shared" si="1"/>
        <v>0.0158868632843125</v>
      </c>
      <c r="AA55">
        <f t="shared" si="2"/>
        <v>-0.384</v>
      </c>
      <c r="AB55">
        <f t="shared" si="3"/>
        <v>0.223</v>
      </c>
      <c r="AC55" t="s">
        <v>32</v>
      </c>
    </row>
    <row r="56" spans="1:29">
      <c r="A56" t="s">
        <v>34</v>
      </c>
      <c r="B56">
        <v>4182.5</v>
      </c>
      <c r="C56">
        <v>37.348</v>
      </c>
      <c r="D56">
        <v>38.287</v>
      </c>
      <c r="E56">
        <v>163.64</v>
      </c>
      <c r="F56">
        <v>0.195</v>
      </c>
      <c r="G56">
        <v>21.741</v>
      </c>
      <c r="H56">
        <v>2.935</v>
      </c>
      <c r="I56">
        <v>2.706</v>
      </c>
      <c r="J56">
        <v>0.456</v>
      </c>
      <c r="K56">
        <v>2.725</v>
      </c>
      <c r="L56">
        <v>0.049</v>
      </c>
      <c r="M56">
        <v>3.362</v>
      </c>
      <c r="N56">
        <v>328.611</v>
      </c>
      <c r="O56">
        <v>317.071</v>
      </c>
      <c r="P56">
        <f t="shared" si="0"/>
        <v>2.51668209701548</v>
      </c>
      <c r="Q56">
        <f t="shared" si="0"/>
        <v>2.50115652233009</v>
      </c>
      <c r="R56">
        <v>310.984</v>
      </c>
      <c r="S56">
        <v>310.984</v>
      </c>
      <c r="T56">
        <v>327.276</v>
      </c>
      <c r="U56">
        <v>1.652</v>
      </c>
      <c r="V56">
        <v>100</v>
      </c>
      <c r="W56">
        <v>0.013</v>
      </c>
      <c r="X56" t="s">
        <v>30</v>
      </c>
      <c r="Y56" t="s">
        <v>31</v>
      </c>
      <c r="Z56" s="3">
        <f t="shared" si="1"/>
        <v>0.0155255746853991</v>
      </c>
      <c r="AA56">
        <f t="shared" si="2"/>
        <v>-0.407</v>
      </c>
      <c r="AB56">
        <f t="shared" si="3"/>
        <v>0.244</v>
      </c>
      <c r="AC56" t="s">
        <v>32</v>
      </c>
    </row>
    <row r="57" spans="1:29">
      <c r="A57" t="s">
        <v>34</v>
      </c>
      <c r="B57">
        <v>4182.625</v>
      </c>
      <c r="C57">
        <v>43.308</v>
      </c>
      <c r="D57">
        <v>38.318</v>
      </c>
      <c r="E57">
        <v>164.922</v>
      </c>
      <c r="F57">
        <v>0.226</v>
      </c>
      <c r="G57">
        <v>21.756</v>
      </c>
      <c r="H57">
        <v>3.671</v>
      </c>
      <c r="I57">
        <v>2.705</v>
      </c>
      <c r="J57">
        <v>0.45</v>
      </c>
      <c r="K57">
        <v>2.774</v>
      </c>
      <c r="L57">
        <v>0.056</v>
      </c>
      <c r="M57">
        <v>3.456</v>
      </c>
      <c r="N57">
        <v>307.733</v>
      </c>
      <c r="O57">
        <v>296.522</v>
      </c>
      <c r="P57">
        <f t="shared" si="0"/>
        <v>2.48817407066877</v>
      </c>
      <c r="Q57">
        <f t="shared" si="0"/>
        <v>2.47205692071597</v>
      </c>
      <c r="R57">
        <v>289.998</v>
      </c>
      <c r="S57">
        <v>289.998</v>
      </c>
      <c r="T57">
        <v>305.213</v>
      </c>
      <c r="U57">
        <v>1.263</v>
      </c>
      <c r="V57">
        <v>100</v>
      </c>
      <c r="W57">
        <v>0.004</v>
      </c>
      <c r="X57" t="s">
        <v>30</v>
      </c>
      <c r="Y57" t="s">
        <v>31</v>
      </c>
      <c r="Z57" s="3">
        <f t="shared" si="1"/>
        <v>0.0161171499527986</v>
      </c>
      <c r="AA57">
        <f t="shared" si="2"/>
        <v>-0.394</v>
      </c>
      <c r="AB57">
        <f t="shared" si="3"/>
        <v>0.282</v>
      </c>
      <c r="AC57" t="s">
        <v>32</v>
      </c>
    </row>
    <row r="58" spans="1:29">
      <c r="A58" t="s">
        <v>34</v>
      </c>
      <c r="B58">
        <v>4182.75</v>
      </c>
      <c r="C58">
        <v>49.287</v>
      </c>
      <c r="D58">
        <v>38.35</v>
      </c>
      <c r="E58">
        <v>165.831</v>
      </c>
      <c r="F58">
        <v>0.248</v>
      </c>
      <c r="G58">
        <v>21.777</v>
      </c>
      <c r="H58">
        <v>4.021</v>
      </c>
      <c r="I58">
        <v>2.706</v>
      </c>
      <c r="J58">
        <v>0.456</v>
      </c>
      <c r="K58">
        <v>2.891</v>
      </c>
      <c r="L58">
        <v>0.074</v>
      </c>
      <c r="M58">
        <v>3.58</v>
      </c>
      <c r="N58">
        <v>296.598</v>
      </c>
      <c r="O58">
        <v>285.981</v>
      </c>
      <c r="P58">
        <f t="shared" si="0"/>
        <v>2.47216821819643</v>
      </c>
      <c r="Q58">
        <f t="shared" si="0"/>
        <v>2.45633718043932</v>
      </c>
      <c r="R58">
        <v>280.538</v>
      </c>
      <c r="S58">
        <v>280.538</v>
      </c>
      <c r="T58">
        <v>295.296</v>
      </c>
      <c r="U58">
        <v>0.891</v>
      </c>
      <c r="V58">
        <v>100</v>
      </c>
      <c r="W58">
        <v>0.001</v>
      </c>
      <c r="X58" t="s">
        <v>30</v>
      </c>
      <c r="Y58" t="s">
        <v>31</v>
      </c>
      <c r="Z58" s="3">
        <f t="shared" si="1"/>
        <v>0.0158310377571116</v>
      </c>
      <c r="AA58">
        <f t="shared" si="2"/>
        <v>-0.382</v>
      </c>
      <c r="AB58">
        <f t="shared" si="3"/>
        <v>0.322</v>
      </c>
      <c r="AC58" t="s">
        <v>32</v>
      </c>
    </row>
    <row r="59" spans="1:29">
      <c r="A59" t="s">
        <v>34</v>
      </c>
      <c r="B59">
        <v>4182.875</v>
      </c>
      <c r="C59">
        <v>52.796</v>
      </c>
      <c r="D59">
        <v>38.379</v>
      </c>
      <c r="E59">
        <v>166.111</v>
      </c>
      <c r="F59">
        <v>0.255</v>
      </c>
      <c r="G59">
        <v>21.769</v>
      </c>
      <c r="H59">
        <v>3.914</v>
      </c>
      <c r="I59">
        <v>2.711</v>
      </c>
      <c r="J59">
        <v>0.485</v>
      </c>
      <c r="K59">
        <v>3.024</v>
      </c>
      <c r="L59">
        <v>0.094</v>
      </c>
      <c r="M59">
        <v>3.664</v>
      </c>
      <c r="N59">
        <v>294.893</v>
      </c>
      <c r="O59">
        <v>284.905</v>
      </c>
      <c r="P59">
        <f t="shared" si="0"/>
        <v>2.46966446364215</v>
      </c>
      <c r="Q59">
        <f t="shared" si="0"/>
        <v>2.45470007104837</v>
      </c>
      <c r="R59">
        <v>278.721</v>
      </c>
      <c r="S59">
        <v>278.721</v>
      </c>
      <c r="T59">
        <v>293.39</v>
      </c>
      <c r="U59">
        <v>0.67</v>
      </c>
      <c r="V59">
        <v>100</v>
      </c>
      <c r="W59">
        <v>0.001</v>
      </c>
      <c r="X59" t="s">
        <v>30</v>
      </c>
      <c r="Y59" t="s">
        <v>31</v>
      </c>
      <c r="Z59" s="3">
        <f t="shared" si="1"/>
        <v>0.014964392593777</v>
      </c>
      <c r="AA59">
        <f t="shared" si="2"/>
        <v>-0.391</v>
      </c>
      <c r="AB59">
        <f t="shared" si="3"/>
        <v>0.349</v>
      </c>
      <c r="AC59" t="s">
        <v>32</v>
      </c>
    </row>
    <row r="60" spans="1:29">
      <c r="A60" t="s">
        <v>34</v>
      </c>
      <c r="B60">
        <v>4183</v>
      </c>
      <c r="C60">
        <v>53.278</v>
      </c>
      <c r="D60">
        <v>38.406</v>
      </c>
      <c r="E60">
        <v>165.679</v>
      </c>
      <c r="F60">
        <v>0.245</v>
      </c>
      <c r="G60">
        <v>21.724</v>
      </c>
      <c r="H60">
        <v>3.701</v>
      </c>
      <c r="I60">
        <v>2.719</v>
      </c>
      <c r="J60">
        <v>0.533</v>
      </c>
      <c r="K60">
        <v>3.131</v>
      </c>
      <c r="L60">
        <v>0.11</v>
      </c>
      <c r="M60">
        <v>3.712</v>
      </c>
      <c r="N60">
        <v>302.683</v>
      </c>
      <c r="O60">
        <v>294.953</v>
      </c>
      <c r="P60">
        <f t="shared" si="0"/>
        <v>2.48098802976556</v>
      </c>
      <c r="Q60">
        <f t="shared" si="0"/>
        <v>2.46975281778545</v>
      </c>
      <c r="R60">
        <v>285.679</v>
      </c>
      <c r="S60">
        <v>285.679</v>
      </c>
      <c r="T60">
        <v>300.715</v>
      </c>
      <c r="U60">
        <v>0.609</v>
      </c>
      <c r="V60">
        <v>100</v>
      </c>
      <c r="W60">
        <v>0.001</v>
      </c>
      <c r="X60" t="s">
        <v>30</v>
      </c>
      <c r="Y60" t="s">
        <v>31</v>
      </c>
      <c r="Z60" s="3">
        <f t="shared" si="1"/>
        <v>0.01123521198011</v>
      </c>
      <c r="AA60">
        <f t="shared" si="2"/>
        <v>-0.423</v>
      </c>
      <c r="AB60">
        <f t="shared" si="3"/>
        <v>0.355</v>
      </c>
      <c r="AC60" t="s">
        <v>32</v>
      </c>
    </row>
    <row r="61" spans="1:29">
      <c r="A61" t="s">
        <v>34</v>
      </c>
      <c r="B61">
        <v>4183.125</v>
      </c>
      <c r="C61">
        <v>52.513</v>
      </c>
      <c r="D61">
        <v>38.429</v>
      </c>
      <c r="E61">
        <v>164.792</v>
      </c>
      <c r="F61">
        <v>0.223</v>
      </c>
      <c r="G61">
        <v>21.667</v>
      </c>
      <c r="H61">
        <v>3.55</v>
      </c>
      <c r="I61">
        <v>2.728</v>
      </c>
      <c r="J61">
        <v>0.586</v>
      </c>
      <c r="K61">
        <v>3.185</v>
      </c>
      <c r="L61">
        <v>0.118</v>
      </c>
      <c r="M61">
        <v>3.712</v>
      </c>
      <c r="N61">
        <v>327.269</v>
      </c>
      <c r="O61">
        <v>326.251</v>
      </c>
      <c r="P61">
        <f t="shared" si="0"/>
        <v>2.5149048694493</v>
      </c>
      <c r="Q61">
        <f t="shared" si="0"/>
        <v>2.51355185151512</v>
      </c>
      <c r="R61">
        <v>306.574</v>
      </c>
      <c r="S61">
        <v>306.574</v>
      </c>
      <c r="T61">
        <v>322.71</v>
      </c>
      <c r="U61">
        <v>0.611</v>
      </c>
      <c r="V61">
        <v>100</v>
      </c>
      <c r="W61">
        <v>0.001</v>
      </c>
      <c r="X61" t="s">
        <v>30</v>
      </c>
      <c r="Y61" t="s">
        <v>31</v>
      </c>
      <c r="Z61" s="3">
        <f t="shared" si="1"/>
        <v>0.00135301793417408</v>
      </c>
      <c r="AA61">
        <f t="shared" si="2"/>
        <v>-0.468</v>
      </c>
      <c r="AB61">
        <f t="shared" si="3"/>
        <v>0.341</v>
      </c>
      <c r="AC61" t="s">
        <v>32</v>
      </c>
    </row>
    <row r="62" spans="1:29">
      <c r="A62" t="s">
        <v>34</v>
      </c>
      <c r="B62">
        <v>4183.25</v>
      </c>
      <c r="C62">
        <v>52.513</v>
      </c>
      <c r="D62">
        <v>38.448</v>
      </c>
      <c r="E62">
        <v>164.172</v>
      </c>
      <c r="F62">
        <v>0.208</v>
      </c>
      <c r="G62">
        <v>21.647</v>
      </c>
      <c r="H62">
        <v>3.435</v>
      </c>
      <c r="I62">
        <v>2.733</v>
      </c>
      <c r="J62">
        <v>0.615</v>
      </c>
      <c r="K62">
        <v>3.188</v>
      </c>
      <c r="L62">
        <v>0.119</v>
      </c>
      <c r="M62">
        <v>3.697</v>
      </c>
      <c r="N62">
        <v>384.851</v>
      </c>
      <c r="O62">
        <v>391.948</v>
      </c>
      <c r="P62">
        <f t="shared" si="0"/>
        <v>2.58529261937131</v>
      </c>
      <c r="Q62">
        <f t="shared" si="0"/>
        <v>2.59322845270652</v>
      </c>
      <c r="R62">
        <v>356.387</v>
      </c>
      <c r="S62">
        <v>356.387</v>
      </c>
      <c r="T62">
        <v>375.144</v>
      </c>
      <c r="U62">
        <v>0.591</v>
      </c>
      <c r="V62">
        <v>100</v>
      </c>
      <c r="W62">
        <v>0.001</v>
      </c>
      <c r="X62" t="s">
        <v>30</v>
      </c>
      <c r="Y62" t="s">
        <v>31</v>
      </c>
      <c r="Z62" s="3">
        <f t="shared" si="1"/>
        <v>-0.00793583333520376</v>
      </c>
      <c r="AA62">
        <f t="shared" si="2"/>
        <v>-0.496</v>
      </c>
      <c r="AB62">
        <f t="shared" si="3"/>
        <v>0.327</v>
      </c>
      <c r="AC62" t="s">
        <v>32</v>
      </c>
    </row>
    <row r="63" spans="1:29">
      <c r="A63" t="s">
        <v>34</v>
      </c>
      <c r="B63">
        <v>4183.375</v>
      </c>
      <c r="C63">
        <v>52.084</v>
      </c>
      <c r="D63">
        <v>38.462</v>
      </c>
      <c r="E63">
        <v>164.039</v>
      </c>
      <c r="F63">
        <v>0.205</v>
      </c>
      <c r="G63">
        <v>21.689</v>
      </c>
      <c r="H63">
        <v>3.307</v>
      </c>
      <c r="I63">
        <v>2.731</v>
      </c>
      <c r="J63">
        <v>0.604</v>
      </c>
      <c r="K63">
        <v>3.129</v>
      </c>
      <c r="L63">
        <v>0.11</v>
      </c>
      <c r="M63">
        <v>3.699</v>
      </c>
      <c r="N63">
        <v>502.961</v>
      </c>
      <c r="O63">
        <v>506.948</v>
      </c>
      <c r="P63">
        <f t="shared" si="0"/>
        <v>2.70153431081845</v>
      </c>
      <c r="Q63">
        <f t="shared" si="0"/>
        <v>2.70496341402514</v>
      </c>
      <c r="R63">
        <v>465.499</v>
      </c>
      <c r="S63">
        <v>465.499</v>
      </c>
      <c r="T63">
        <v>489.999</v>
      </c>
      <c r="U63">
        <v>0.621</v>
      </c>
      <c r="V63">
        <v>100</v>
      </c>
      <c r="W63">
        <v>0.001</v>
      </c>
      <c r="X63" t="s">
        <v>30</v>
      </c>
      <c r="Y63" t="s">
        <v>31</v>
      </c>
      <c r="Z63" s="3">
        <f t="shared" si="1"/>
        <v>-0.00342910320668555</v>
      </c>
      <c r="AA63">
        <f t="shared" si="2"/>
        <v>-0.494</v>
      </c>
      <c r="AB63">
        <f t="shared" si="3"/>
        <v>0.315</v>
      </c>
      <c r="AC63" t="s">
        <v>32</v>
      </c>
    </row>
    <row r="64" spans="1:29">
      <c r="A64" t="s">
        <v>34</v>
      </c>
      <c r="B64">
        <v>4183.5</v>
      </c>
      <c r="C64">
        <v>48.36</v>
      </c>
      <c r="D64">
        <v>38.473</v>
      </c>
      <c r="E64">
        <v>164.056</v>
      </c>
      <c r="F64">
        <v>0.205</v>
      </c>
      <c r="G64">
        <v>21.765</v>
      </c>
      <c r="H64">
        <v>3.119</v>
      </c>
      <c r="I64">
        <v>2.723</v>
      </c>
      <c r="J64">
        <v>0.556</v>
      </c>
      <c r="K64">
        <v>2.999</v>
      </c>
      <c r="L64">
        <v>0.09</v>
      </c>
      <c r="M64">
        <v>3.708</v>
      </c>
      <c r="N64">
        <v>698.465</v>
      </c>
      <c r="O64">
        <v>670.426</v>
      </c>
      <c r="P64">
        <f t="shared" si="0"/>
        <v>2.84414464854941</v>
      </c>
      <c r="Q64">
        <f t="shared" si="0"/>
        <v>2.8263508484587</v>
      </c>
      <c r="R64">
        <v>659.506</v>
      </c>
      <c r="S64">
        <v>659.506</v>
      </c>
      <c r="T64">
        <v>694.217</v>
      </c>
      <c r="U64">
        <v>0.867</v>
      </c>
      <c r="V64">
        <v>100</v>
      </c>
      <c r="W64">
        <v>0.001</v>
      </c>
      <c r="X64" t="s">
        <v>30</v>
      </c>
      <c r="Y64" t="s">
        <v>31</v>
      </c>
      <c r="Z64" s="3">
        <f t="shared" si="1"/>
        <v>0.0177938000907121</v>
      </c>
      <c r="AA64">
        <f t="shared" si="2"/>
        <v>-0.466</v>
      </c>
      <c r="AB64">
        <f t="shared" si="3"/>
        <v>0.295</v>
      </c>
      <c r="AC64" t="s">
        <v>32</v>
      </c>
    </row>
    <row r="65" spans="1:29">
      <c r="A65" t="s">
        <v>34</v>
      </c>
      <c r="B65">
        <v>4183.625</v>
      </c>
      <c r="C65">
        <v>41.794</v>
      </c>
      <c r="D65">
        <v>38.479</v>
      </c>
      <c r="E65">
        <v>163.851</v>
      </c>
      <c r="F65">
        <v>0.2</v>
      </c>
      <c r="G65">
        <v>21.818</v>
      </c>
      <c r="H65">
        <v>2.885</v>
      </c>
      <c r="I65">
        <v>2.712</v>
      </c>
      <c r="J65">
        <v>0.491</v>
      </c>
      <c r="K65">
        <v>2.818</v>
      </c>
      <c r="L65">
        <v>0.063</v>
      </c>
      <c r="M65">
        <v>3.666</v>
      </c>
      <c r="N65">
        <v>913.961</v>
      </c>
      <c r="O65">
        <v>835.404</v>
      </c>
      <c r="P65">
        <f t="shared" si="0"/>
        <v>2.96092766417348</v>
      </c>
      <c r="Q65">
        <f t="shared" si="0"/>
        <v>2.92189655038058</v>
      </c>
      <c r="R65">
        <v>880.925</v>
      </c>
      <c r="S65">
        <v>880.925</v>
      </c>
      <c r="T65">
        <v>927.29</v>
      </c>
      <c r="U65">
        <v>1.32</v>
      </c>
      <c r="V65">
        <v>87.899</v>
      </c>
      <c r="W65">
        <v>0.005</v>
      </c>
      <c r="X65" t="s">
        <v>30</v>
      </c>
      <c r="Y65" t="s">
        <v>31</v>
      </c>
      <c r="Z65" s="3">
        <f t="shared" si="1"/>
        <v>0.0390311137928938</v>
      </c>
      <c r="AA65">
        <f t="shared" si="2"/>
        <v>-0.428</v>
      </c>
      <c r="AB65">
        <f t="shared" si="3"/>
        <v>0.263</v>
      </c>
      <c r="AC65" t="s">
        <v>32</v>
      </c>
    </row>
    <row r="66" spans="1:29">
      <c r="A66" t="s">
        <v>34</v>
      </c>
      <c r="B66">
        <v>4183.75</v>
      </c>
      <c r="C66">
        <v>34.758</v>
      </c>
      <c r="D66">
        <v>38.483</v>
      </c>
      <c r="E66">
        <v>163.312</v>
      </c>
      <c r="F66">
        <v>0.187</v>
      </c>
      <c r="G66">
        <v>21.819</v>
      </c>
      <c r="H66">
        <v>2.615</v>
      </c>
      <c r="I66">
        <v>2.702</v>
      </c>
      <c r="J66">
        <v>0.432</v>
      </c>
      <c r="K66">
        <v>2.62</v>
      </c>
      <c r="L66">
        <v>0.033</v>
      </c>
      <c r="M66">
        <v>3.602</v>
      </c>
      <c r="N66">
        <v>1054.039</v>
      </c>
      <c r="O66">
        <v>937.994</v>
      </c>
      <c r="P66">
        <f t="shared" ref="P66:Q129" si="4">LOG(N66)</f>
        <v>3.02285668029915</v>
      </c>
      <c r="Q66">
        <f t="shared" si="4"/>
        <v>2.9722000603671</v>
      </c>
      <c r="R66">
        <v>1027.682</v>
      </c>
      <c r="S66">
        <v>1027.682</v>
      </c>
      <c r="T66">
        <v>1081.771</v>
      </c>
      <c r="U66">
        <v>1.834</v>
      </c>
      <c r="V66">
        <v>58.428</v>
      </c>
      <c r="W66">
        <v>0.02</v>
      </c>
      <c r="X66" t="s">
        <v>30</v>
      </c>
      <c r="Y66" t="s">
        <v>31</v>
      </c>
      <c r="Z66" s="3">
        <f t="shared" ref="Z66:Z129" si="5">P66-Q66</f>
        <v>0.0506566199320515</v>
      </c>
      <c r="AA66">
        <f t="shared" ref="AA66:AA129" si="6">L66-J66</f>
        <v>-0.399</v>
      </c>
      <c r="AB66">
        <f t="shared" ref="AB66:AB129" si="7">L66+F66</f>
        <v>0.22</v>
      </c>
      <c r="AC66" t="s">
        <v>32</v>
      </c>
    </row>
    <row r="67" spans="1:29">
      <c r="A67" t="s">
        <v>34</v>
      </c>
      <c r="B67">
        <v>4183.875</v>
      </c>
      <c r="C67">
        <v>30.053</v>
      </c>
      <c r="D67">
        <v>38.483</v>
      </c>
      <c r="E67">
        <v>162.655</v>
      </c>
      <c r="F67">
        <v>0.172</v>
      </c>
      <c r="G67">
        <v>21.788</v>
      </c>
      <c r="H67">
        <v>2.382</v>
      </c>
      <c r="I67">
        <v>2.696</v>
      </c>
      <c r="J67">
        <v>0.396</v>
      </c>
      <c r="K67">
        <v>2.466</v>
      </c>
      <c r="L67">
        <v>0.01</v>
      </c>
      <c r="M67">
        <v>3.564</v>
      </c>
      <c r="N67">
        <v>1032.529</v>
      </c>
      <c r="O67">
        <v>924.879</v>
      </c>
      <c r="P67">
        <f t="shared" si="4"/>
        <v>3.01390225825881</v>
      </c>
      <c r="Q67">
        <f t="shared" si="4"/>
        <v>2.96608491860969</v>
      </c>
      <c r="R67">
        <v>1002.919</v>
      </c>
      <c r="S67">
        <v>1002.919</v>
      </c>
      <c r="T67">
        <v>1055.266</v>
      </c>
      <c r="U67">
        <v>2.15</v>
      </c>
      <c r="V67">
        <v>50.171</v>
      </c>
      <c r="W67">
        <v>0.04</v>
      </c>
      <c r="X67" t="s">
        <v>30</v>
      </c>
      <c r="Y67" t="s">
        <v>31</v>
      </c>
      <c r="Z67" s="3">
        <f t="shared" si="5"/>
        <v>0.0478173396491157</v>
      </c>
      <c r="AA67">
        <f t="shared" si="6"/>
        <v>-0.386</v>
      </c>
      <c r="AB67">
        <f t="shared" si="7"/>
        <v>0.182</v>
      </c>
      <c r="AC67" t="s">
        <v>32</v>
      </c>
    </row>
    <row r="68" spans="1:29">
      <c r="A68" t="s">
        <v>34</v>
      </c>
      <c r="B68">
        <v>4184</v>
      </c>
      <c r="C68">
        <v>27.766</v>
      </c>
      <c r="D68">
        <v>38.483</v>
      </c>
      <c r="E68">
        <v>162.25</v>
      </c>
      <c r="F68">
        <v>0.162</v>
      </c>
      <c r="G68">
        <v>21.747</v>
      </c>
      <c r="H68">
        <v>2.224</v>
      </c>
      <c r="I68">
        <v>2.696</v>
      </c>
      <c r="J68">
        <v>0.396</v>
      </c>
      <c r="K68">
        <v>2.399</v>
      </c>
      <c r="L68">
        <v>0</v>
      </c>
      <c r="M68">
        <v>3.552</v>
      </c>
      <c r="N68">
        <v>879.93</v>
      </c>
      <c r="O68">
        <v>814.557</v>
      </c>
      <c r="P68">
        <f t="shared" si="4"/>
        <v>2.94444812462413</v>
      </c>
      <c r="Q68">
        <f t="shared" si="4"/>
        <v>2.91092148019679</v>
      </c>
      <c r="R68">
        <v>841.809</v>
      </c>
      <c r="S68">
        <v>841.809</v>
      </c>
      <c r="T68">
        <v>885.238</v>
      </c>
      <c r="U68">
        <v>2.269</v>
      </c>
      <c r="V68">
        <v>51.535</v>
      </c>
      <c r="W68">
        <v>0.05</v>
      </c>
      <c r="X68" t="s">
        <v>30</v>
      </c>
      <c r="Y68" t="s">
        <v>31</v>
      </c>
      <c r="Z68" s="3">
        <f t="shared" si="5"/>
        <v>0.0335266444273388</v>
      </c>
      <c r="AA68">
        <f t="shared" si="6"/>
        <v>-0.396</v>
      </c>
      <c r="AB68">
        <f t="shared" si="7"/>
        <v>0.162</v>
      </c>
      <c r="AC68" t="s">
        <v>32</v>
      </c>
    </row>
    <row r="69" spans="1:29">
      <c r="A69" t="s">
        <v>34</v>
      </c>
      <c r="B69">
        <v>4184.125</v>
      </c>
      <c r="C69">
        <v>27.033</v>
      </c>
      <c r="D69">
        <v>38.481</v>
      </c>
      <c r="E69">
        <v>162.354</v>
      </c>
      <c r="F69">
        <v>0.164</v>
      </c>
      <c r="G69">
        <v>21.686</v>
      </c>
      <c r="H69">
        <v>2.125</v>
      </c>
      <c r="I69">
        <v>2.699</v>
      </c>
      <c r="J69">
        <v>0.414</v>
      </c>
      <c r="K69">
        <v>2.454</v>
      </c>
      <c r="L69">
        <v>0.008</v>
      </c>
      <c r="M69">
        <v>3.551</v>
      </c>
      <c r="N69">
        <v>675.553</v>
      </c>
      <c r="O69">
        <v>653.847</v>
      </c>
      <c r="P69">
        <f t="shared" si="4"/>
        <v>2.82965942693999</v>
      </c>
      <c r="Q69">
        <f t="shared" si="4"/>
        <v>2.81547613543525</v>
      </c>
      <c r="R69">
        <v>633.896</v>
      </c>
      <c r="S69">
        <v>633.896</v>
      </c>
      <c r="T69">
        <v>667.079</v>
      </c>
      <c r="U69">
        <v>2.279</v>
      </c>
      <c r="V69">
        <v>58.602</v>
      </c>
      <c r="W69">
        <v>0.051</v>
      </c>
      <c r="X69" t="s">
        <v>30</v>
      </c>
      <c r="Y69" t="s">
        <v>31</v>
      </c>
      <c r="Z69" s="3">
        <f t="shared" si="5"/>
        <v>0.0141832915047471</v>
      </c>
      <c r="AA69">
        <f t="shared" si="6"/>
        <v>-0.406</v>
      </c>
      <c r="AB69">
        <f t="shared" si="7"/>
        <v>0.172</v>
      </c>
      <c r="AC69" t="s">
        <v>32</v>
      </c>
    </row>
    <row r="70" spans="1:29">
      <c r="A70" t="s">
        <v>34</v>
      </c>
      <c r="B70">
        <v>4184.25</v>
      </c>
      <c r="C70">
        <v>27.093</v>
      </c>
      <c r="D70">
        <v>38.48</v>
      </c>
      <c r="E70">
        <v>162.821</v>
      </c>
      <c r="F70">
        <v>0.176</v>
      </c>
      <c r="G70">
        <v>21.611</v>
      </c>
      <c r="H70">
        <v>2.059</v>
      </c>
      <c r="I70">
        <v>2.706</v>
      </c>
      <c r="J70">
        <v>0.456</v>
      </c>
      <c r="K70">
        <v>2.616</v>
      </c>
      <c r="L70">
        <v>0.033</v>
      </c>
      <c r="M70">
        <v>3.522</v>
      </c>
      <c r="N70">
        <v>508.45</v>
      </c>
      <c r="O70">
        <v>506.002</v>
      </c>
      <c r="P70">
        <f t="shared" si="4"/>
        <v>2.70624825167026</v>
      </c>
      <c r="Q70">
        <f t="shared" si="4"/>
        <v>2.70415223341539</v>
      </c>
      <c r="R70">
        <v>472.933</v>
      </c>
      <c r="S70">
        <v>472.933</v>
      </c>
      <c r="T70">
        <v>497.824</v>
      </c>
      <c r="U70">
        <v>2.237</v>
      </c>
      <c r="V70">
        <v>68.876</v>
      </c>
      <c r="W70">
        <v>0.047</v>
      </c>
      <c r="X70" t="s">
        <v>30</v>
      </c>
      <c r="Y70" t="s">
        <v>31</v>
      </c>
      <c r="Z70" s="3">
        <f t="shared" si="5"/>
        <v>0.0020960182548766</v>
      </c>
      <c r="AA70">
        <f t="shared" si="6"/>
        <v>-0.423</v>
      </c>
      <c r="AB70">
        <f t="shared" si="7"/>
        <v>0.209</v>
      </c>
      <c r="AC70" t="s">
        <v>32</v>
      </c>
    </row>
    <row r="71" spans="1:29">
      <c r="A71" t="s">
        <v>34</v>
      </c>
      <c r="B71">
        <v>4184.375</v>
      </c>
      <c r="C71">
        <v>27.687</v>
      </c>
      <c r="D71">
        <v>38.48</v>
      </c>
      <c r="E71">
        <v>163.371</v>
      </c>
      <c r="F71">
        <v>0.189</v>
      </c>
      <c r="G71">
        <v>21.548</v>
      </c>
      <c r="H71">
        <v>2.054</v>
      </c>
      <c r="I71">
        <v>2.713</v>
      </c>
      <c r="J71">
        <v>0.497</v>
      </c>
      <c r="K71">
        <v>2.84</v>
      </c>
      <c r="L71">
        <v>0.066</v>
      </c>
      <c r="M71">
        <v>3.449</v>
      </c>
      <c r="N71">
        <v>396.951</v>
      </c>
      <c r="O71">
        <v>394.577</v>
      </c>
      <c r="P71">
        <f t="shared" si="4"/>
        <v>2.59873690035758</v>
      </c>
      <c r="Q71">
        <f t="shared" si="4"/>
        <v>2.5961317665112</v>
      </c>
      <c r="R71">
        <v>371.285</v>
      </c>
      <c r="S71">
        <v>371.285</v>
      </c>
      <c r="T71">
        <v>390.826</v>
      </c>
      <c r="U71">
        <v>2.184</v>
      </c>
      <c r="V71">
        <v>79.65</v>
      </c>
      <c r="W71">
        <v>0.042</v>
      </c>
      <c r="X71" t="s">
        <v>30</v>
      </c>
      <c r="Y71" t="s">
        <v>31</v>
      </c>
      <c r="Z71" s="3">
        <f t="shared" si="5"/>
        <v>0.00260513384638106</v>
      </c>
      <c r="AA71">
        <f t="shared" si="6"/>
        <v>-0.431</v>
      </c>
      <c r="AB71">
        <f t="shared" si="7"/>
        <v>0.255</v>
      </c>
      <c r="AC71" t="s">
        <v>32</v>
      </c>
    </row>
    <row r="72" spans="1:29">
      <c r="A72" t="s">
        <v>34</v>
      </c>
      <c r="B72">
        <v>4184.5</v>
      </c>
      <c r="C72">
        <v>28.518</v>
      </c>
      <c r="D72">
        <v>38.482</v>
      </c>
      <c r="E72">
        <v>163.833</v>
      </c>
      <c r="F72">
        <v>0.2</v>
      </c>
      <c r="G72">
        <v>21.514</v>
      </c>
      <c r="H72">
        <v>2.171</v>
      </c>
      <c r="I72">
        <v>2.721</v>
      </c>
      <c r="J72">
        <v>0.544</v>
      </c>
      <c r="K72">
        <v>3.077</v>
      </c>
      <c r="L72">
        <v>0.102</v>
      </c>
      <c r="M72">
        <v>3.333</v>
      </c>
      <c r="N72">
        <v>328.334</v>
      </c>
      <c r="O72">
        <v>321.545</v>
      </c>
      <c r="P72">
        <f t="shared" si="4"/>
        <v>2.51631585759326</v>
      </c>
      <c r="Q72">
        <f t="shared" si="4"/>
        <v>2.50724176072553</v>
      </c>
      <c r="R72">
        <v>309.074</v>
      </c>
      <c r="S72">
        <v>309.074</v>
      </c>
      <c r="T72">
        <v>325.342</v>
      </c>
      <c r="U72">
        <v>2.139</v>
      </c>
      <c r="V72">
        <v>89.461</v>
      </c>
      <c r="W72">
        <v>0.039</v>
      </c>
      <c r="X72" t="s">
        <v>30</v>
      </c>
      <c r="Y72" t="s">
        <v>31</v>
      </c>
      <c r="Z72" s="3">
        <f t="shared" si="5"/>
        <v>0.00907409686773342</v>
      </c>
      <c r="AA72">
        <f t="shared" si="6"/>
        <v>-0.442</v>
      </c>
      <c r="AB72">
        <f t="shared" si="7"/>
        <v>0.302</v>
      </c>
      <c r="AC72" t="s">
        <v>32</v>
      </c>
    </row>
    <row r="73" spans="1:29">
      <c r="A73" t="s">
        <v>34</v>
      </c>
      <c r="B73">
        <v>4184.625</v>
      </c>
      <c r="C73">
        <v>29.39</v>
      </c>
      <c r="D73">
        <v>38.487</v>
      </c>
      <c r="E73">
        <v>164.373</v>
      </c>
      <c r="F73">
        <v>0.213</v>
      </c>
      <c r="G73">
        <v>21.476</v>
      </c>
      <c r="H73">
        <v>2.368</v>
      </c>
      <c r="I73">
        <v>2.727</v>
      </c>
      <c r="J73">
        <v>0.58</v>
      </c>
      <c r="K73">
        <v>3.283</v>
      </c>
      <c r="L73">
        <v>0.133</v>
      </c>
      <c r="M73">
        <v>3.205</v>
      </c>
      <c r="N73">
        <v>278.927</v>
      </c>
      <c r="O73">
        <v>270.764</v>
      </c>
      <c r="P73">
        <f t="shared" si="4"/>
        <v>2.44549055579871</v>
      </c>
      <c r="Q73">
        <f t="shared" si="4"/>
        <v>2.43259092131049</v>
      </c>
      <c r="R73">
        <v>263.097</v>
      </c>
      <c r="S73">
        <v>263.097</v>
      </c>
      <c r="T73">
        <v>276.945</v>
      </c>
      <c r="U73">
        <v>2.072</v>
      </c>
      <c r="V73">
        <v>98.326</v>
      </c>
      <c r="W73">
        <v>0.034</v>
      </c>
      <c r="X73" t="s">
        <v>30</v>
      </c>
      <c r="Y73" t="s">
        <v>31</v>
      </c>
      <c r="Z73" s="3">
        <f t="shared" si="5"/>
        <v>0.0128996344882215</v>
      </c>
      <c r="AA73">
        <f t="shared" si="6"/>
        <v>-0.447</v>
      </c>
      <c r="AB73">
        <f t="shared" si="7"/>
        <v>0.346</v>
      </c>
      <c r="AC73" t="s">
        <v>32</v>
      </c>
    </row>
    <row r="74" spans="1:29">
      <c r="A74" t="s">
        <v>34</v>
      </c>
      <c r="B74">
        <v>4184.75</v>
      </c>
      <c r="C74">
        <v>30.876</v>
      </c>
      <c r="D74">
        <v>38.495</v>
      </c>
      <c r="E74">
        <v>165.241</v>
      </c>
      <c r="F74">
        <v>0.234</v>
      </c>
      <c r="G74">
        <v>21.419</v>
      </c>
      <c r="H74">
        <v>2.538</v>
      </c>
      <c r="I74">
        <v>2.734</v>
      </c>
      <c r="J74">
        <v>0.621</v>
      </c>
      <c r="K74">
        <v>3.453</v>
      </c>
      <c r="L74">
        <v>0.158</v>
      </c>
      <c r="M74">
        <v>3.089</v>
      </c>
      <c r="N74">
        <v>241.58</v>
      </c>
      <c r="O74">
        <v>234.007</v>
      </c>
      <c r="P74">
        <f t="shared" si="4"/>
        <v>2.38306097693099</v>
      </c>
      <c r="Q74">
        <f t="shared" si="4"/>
        <v>2.3692288489311</v>
      </c>
      <c r="R74">
        <v>228.058</v>
      </c>
      <c r="S74">
        <v>228.058</v>
      </c>
      <c r="T74">
        <v>240.061</v>
      </c>
      <c r="U74">
        <v>1.933</v>
      </c>
      <c r="V74">
        <v>100</v>
      </c>
      <c r="W74">
        <v>0.025</v>
      </c>
      <c r="X74" t="s">
        <v>30</v>
      </c>
      <c r="Y74" t="s">
        <v>31</v>
      </c>
      <c r="Z74" s="3">
        <f t="shared" si="5"/>
        <v>0.0138321279998967</v>
      </c>
      <c r="AA74">
        <f t="shared" si="6"/>
        <v>-0.463</v>
      </c>
      <c r="AB74">
        <f t="shared" si="7"/>
        <v>0.392</v>
      </c>
      <c r="AC74" t="s">
        <v>32</v>
      </c>
    </row>
    <row r="75" spans="1:29">
      <c r="A75" t="s">
        <v>34</v>
      </c>
      <c r="B75">
        <v>4184.875</v>
      </c>
      <c r="C75">
        <v>33.848</v>
      </c>
      <c r="D75">
        <v>38.508</v>
      </c>
      <c r="E75">
        <v>166.461</v>
      </c>
      <c r="F75">
        <v>0.263</v>
      </c>
      <c r="G75">
        <v>21.369</v>
      </c>
      <c r="H75">
        <v>2.619</v>
      </c>
      <c r="I75">
        <v>2.741</v>
      </c>
      <c r="J75">
        <v>0.663</v>
      </c>
      <c r="K75">
        <v>3.608</v>
      </c>
      <c r="L75">
        <v>0.182</v>
      </c>
      <c r="M75">
        <v>3.009</v>
      </c>
      <c r="N75">
        <v>214.935</v>
      </c>
      <c r="O75">
        <v>208.916</v>
      </c>
      <c r="P75">
        <f t="shared" si="4"/>
        <v>2.33230714173244</v>
      </c>
      <c r="Q75">
        <f t="shared" si="4"/>
        <v>2.31997170204645</v>
      </c>
      <c r="R75">
        <v>202.541</v>
      </c>
      <c r="S75">
        <v>202.541</v>
      </c>
      <c r="T75">
        <v>213.201</v>
      </c>
      <c r="U75">
        <v>1.699</v>
      </c>
      <c r="V75">
        <v>100</v>
      </c>
      <c r="W75">
        <v>0.014</v>
      </c>
      <c r="X75" t="s">
        <v>30</v>
      </c>
      <c r="Y75" t="s">
        <v>31</v>
      </c>
      <c r="Z75" s="3">
        <f t="shared" si="5"/>
        <v>0.0123354396859918</v>
      </c>
      <c r="AA75">
        <f t="shared" si="6"/>
        <v>-0.481</v>
      </c>
      <c r="AB75">
        <f t="shared" si="7"/>
        <v>0.445</v>
      </c>
      <c r="AC75" t="s">
        <v>32</v>
      </c>
    </row>
    <row r="76" spans="1:29">
      <c r="A76" t="s">
        <v>34</v>
      </c>
      <c r="B76">
        <v>4185</v>
      </c>
      <c r="C76">
        <v>37.199</v>
      </c>
      <c r="D76">
        <v>38.527</v>
      </c>
      <c r="E76">
        <v>167.696</v>
      </c>
      <c r="F76">
        <v>0.293</v>
      </c>
      <c r="G76">
        <v>21.368</v>
      </c>
      <c r="H76">
        <v>2.684</v>
      </c>
      <c r="I76">
        <v>2.749</v>
      </c>
      <c r="J76">
        <v>0.71</v>
      </c>
      <c r="K76">
        <v>3.773</v>
      </c>
      <c r="L76">
        <v>0.207</v>
      </c>
      <c r="M76">
        <v>2.973</v>
      </c>
      <c r="N76">
        <v>198.477</v>
      </c>
      <c r="O76">
        <v>193.844</v>
      </c>
      <c r="P76">
        <f t="shared" si="4"/>
        <v>2.29771018690859</v>
      </c>
      <c r="Q76">
        <f t="shared" si="4"/>
        <v>2.28745236295366</v>
      </c>
      <c r="R76">
        <v>186.712</v>
      </c>
      <c r="S76">
        <v>186.712</v>
      </c>
      <c r="T76">
        <v>196.538</v>
      </c>
      <c r="U76">
        <v>1.463</v>
      </c>
      <c r="V76">
        <v>100</v>
      </c>
      <c r="W76">
        <v>0.007</v>
      </c>
      <c r="X76" t="s">
        <v>30</v>
      </c>
      <c r="Y76" t="s">
        <v>31</v>
      </c>
      <c r="Z76" s="3">
        <f t="shared" si="5"/>
        <v>0.0102578239549334</v>
      </c>
      <c r="AA76">
        <f t="shared" si="6"/>
        <v>-0.503</v>
      </c>
      <c r="AB76">
        <f t="shared" si="7"/>
        <v>0.5</v>
      </c>
      <c r="AC76" t="s">
        <v>32</v>
      </c>
    </row>
    <row r="77" spans="1:29">
      <c r="A77" t="s">
        <v>34</v>
      </c>
      <c r="B77">
        <v>4185.125</v>
      </c>
      <c r="C77">
        <v>39.09</v>
      </c>
      <c r="D77">
        <v>38.552</v>
      </c>
      <c r="E77">
        <v>168.742</v>
      </c>
      <c r="F77">
        <v>0.318</v>
      </c>
      <c r="G77">
        <v>21.427</v>
      </c>
      <c r="H77">
        <v>2.716</v>
      </c>
      <c r="I77">
        <v>2.755</v>
      </c>
      <c r="J77">
        <v>0.746</v>
      </c>
      <c r="K77">
        <v>3.947</v>
      </c>
      <c r="L77">
        <v>0.233</v>
      </c>
      <c r="M77">
        <v>2.995</v>
      </c>
      <c r="N77">
        <v>194.022</v>
      </c>
      <c r="O77">
        <v>189.843</v>
      </c>
      <c r="P77">
        <f t="shared" si="4"/>
        <v>2.28785097702762</v>
      </c>
      <c r="Q77">
        <f t="shared" si="4"/>
        <v>2.27839458821577</v>
      </c>
      <c r="R77">
        <v>182.447</v>
      </c>
      <c r="S77">
        <v>182.447</v>
      </c>
      <c r="T77">
        <v>192.046</v>
      </c>
      <c r="U77">
        <v>1.358</v>
      </c>
      <c r="V77">
        <v>100</v>
      </c>
      <c r="W77">
        <v>0.005</v>
      </c>
      <c r="X77" t="s">
        <v>30</v>
      </c>
      <c r="Y77" t="s">
        <v>35</v>
      </c>
      <c r="Z77" s="3">
        <f t="shared" si="5"/>
        <v>0.00945638881184996</v>
      </c>
      <c r="AA77">
        <f t="shared" si="6"/>
        <v>-0.513</v>
      </c>
      <c r="AB77">
        <f t="shared" si="7"/>
        <v>0.551</v>
      </c>
      <c r="AC77" t="s">
        <v>32</v>
      </c>
    </row>
    <row r="78" spans="1:29">
      <c r="A78" t="s">
        <v>34</v>
      </c>
      <c r="B78">
        <v>4185.25</v>
      </c>
      <c r="C78">
        <v>39.034</v>
      </c>
      <c r="D78">
        <v>38.583</v>
      </c>
      <c r="E78">
        <v>169.317</v>
      </c>
      <c r="F78">
        <v>0.332</v>
      </c>
      <c r="G78">
        <v>21.52</v>
      </c>
      <c r="H78">
        <v>2.685</v>
      </c>
      <c r="I78">
        <v>2.76</v>
      </c>
      <c r="J78">
        <v>0.775</v>
      </c>
      <c r="K78">
        <v>4.105</v>
      </c>
      <c r="L78">
        <v>0.256</v>
      </c>
      <c r="M78">
        <v>3.079</v>
      </c>
      <c r="N78">
        <v>202.862</v>
      </c>
      <c r="O78">
        <v>197.923</v>
      </c>
      <c r="P78">
        <f t="shared" si="4"/>
        <v>2.30720070284458</v>
      </c>
      <c r="Q78">
        <f t="shared" si="4"/>
        <v>2.29649626511433</v>
      </c>
      <c r="R78">
        <v>190.951</v>
      </c>
      <c r="S78">
        <v>190.951</v>
      </c>
      <c r="T78">
        <v>201.058</v>
      </c>
      <c r="U78">
        <v>1.363</v>
      </c>
      <c r="V78">
        <v>100</v>
      </c>
      <c r="W78">
        <v>0.005</v>
      </c>
      <c r="X78" t="s">
        <v>30</v>
      </c>
      <c r="Y78" t="s">
        <v>35</v>
      </c>
      <c r="Z78" s="3">
        <f t="shared" si="5"/>
        <v>0.0107044377302552</v>
      </c>
      <c r="AA78">
        <f t="shared" si="6"/>
        <v>-0.519</v>
      </c>
      <c r="AB78">
        <f t="shared" si="7"/>
        <v>0.588</v>
      </c>
      <c r="AC78" t="s">
        <v>32</v>
      </c>
    </row>
    <row r="79" spans="1:29">
      <c r="A79" t="s">
        <v>34</v>
      </c>
      <c r="B79">
        <v>4185.375</v>
      </c>
      <c r="C79">
        <v>38.288</v>
      </c>
      <c r="D79">
        <v>38.622</v>
      </c>
      <c r="E79">
        <v>169.16</v>
      </c>
      <c r="F79">
        <v>0.329</v>
      </c>
      <c r="G79">
        <v>21.602</v>
      </c>
      <c r="H79">
        <v>2.643</v>
      </c>
      <c r="I79">
        <v>2.763</v>
      </c>
      <c r="J79">
        <v>0.793</v>
      </c>
      <c r="K79">
        <v>4.214</v>
      </c>
      <c r="L79">
        <v>0.273</v>
      </c>
      <c r="M79">
        <v>3.201</v>
      </c>
      <c r="N79">
        <v>223.255</v>
      </c>
      <c r="O79">
        <v>216.126</v>
      </c>
      <c r="P79">
        <f t="shared" si="4"/>
        <v>2.3488011940918</v>
      </c>
      <c r="Q79">
        <f t="shared" si="4"/>
        <v>2.33470701573705</v>
      </c>
      <c r="R79">
        <v>210.698</v>
      </c>
      <c r="S79">
        <v>210.698</v>
      </c>
      <c r="T79">
        <v>221.879</v>
      </c>
      <c r="U79">
        <v>1.401</v>
      </c>
      <c r="V79">
        <v>100</v>
      </c>
      <c r="W79">
        <v>0.006</v>
      </c>
      <c r="X79" t="s">
        <v>30</v>
      </c>
      <c r="Y79" t="s">
        <v>35</v>
      </c>
      <c r="Z79" s="3">
        <f t="shared" si="5"/>
        <v>0.014094178354747</v>
      </c>
      <c r="AA79">
        <f t="shared" si="6"/>
        <v>-0.52</v>
      </c>
      <c r="AB79">
        <f t="shared" si="7"/>
        <v>0.602</v>
      </c>
      <c r="AC79" t="s">
        <v>32</v>
      </c>
    </row>
    <row r="80" spans="1:29">
      <c r="A80" t="s">
        <v>34</v>
      </c>
      <c r="B80">
        <v>4185.5</v>
      </c>
      <c r="C80">
        <v>37.296</v>
      </c>
      <c r="D80">
        <v>38.668</v>
      </c>
      <c r="E80">
        <v>168.234</v>
      </c>
      <c r="F80">
        <v>0.306</v>
      </c>
      <c r="G80">
        <v>21.635</v>
      </c>
      <c r="H80">
        <v>2.664</v>
      </c>
      <c r="I80">
        <v>2.767</v>
      </c>
      <c r="J80">
        <v>0.817</v>
      </c>
      <c r="K80">
        <v>4.215</v>
      </c>
      <c r="L80">
        <v>0.273</v>
      </c>
      <c r="M80">
        <v>3.325</v>
      </c>
      <c r="N80">
        <v>253.556</v>
      </c>
      <c r="O80">
        <v>242.452</v>
      </c>
      <c r="P80">
        <f t="shared" si="4"/>
        <v>2.40407389189458</v>
      </c>
      <c r="Q80">
        <f t="shared" si="4"/>
        <v>2.3846257709856</v>
      </c>
      <c r="R80">
        <v>240.403</v>
      </c>
      <c r="S80">
        <v>240.403</v>
      </c>
      <c r="T80">
        <v>253.055</v>
      </c>
      <c r="U80">
        <v>1.42</v>
      </c>
      <c r="V80">
        <v>100</v>
      </c>
      <c r="W80">
        <v>0.006</v>
      </c>
      <c r="X80" t="s">
        <v>30</v>
      </c>
      <c r="Y80" t="s">
        <v>35</v>
      </c>
      <c r="Z80" s="3">
        <f t="shared" si="5"/>
        <v>0.0194481209089852</v>
      </c>
      <c r="AA80">
        <f t="shared" si="6"/>
        <v>-0.544</v>
      </c>
      <c r="AB80">
        <f t="shared" si="7"/>
        <v>0.579</v>
      </c>
      <c r="AC80" t="s">
        <v>32</v>
      </c>
    </row>
    <row r="81" spans="1:29">
      <c r="A81" t="s">
        <v>34</v>
      </c>
      <c r="B81">
        <v>4185.625</v>
      </c>
      <c r="C81">
        <v>35.858</v>
      </c>
      <c r="D81">
        <v>38.722</v>
      </c>
      <c r="E81">
        <v>166.931</v>
      </c>
      <c r="F81">
        <v>0.275</v>
      </c>
      <c r="G81">
        <v>21.604</v>
      </c>
      <c r="H81">
        <v>2.754</v>
      </c>
      <c r="I81">
        <v>2.771</v>
      </c>
      <c r="J81">
        <v>0.84</v>
      </c>
      <c r="K81">
        <v>4.05</v>
      </c>
      <c r="L81">
        <v>0.248</v>
      </c>
      <c r="M81">
        <v>3.418</v>
      </c>
      <c r="N81">
        <v>287.551</v>
      </c>
      <c r="O81">
        <v>271.627</v>
      </c>
      <c r="P81">
        <f t="shared" si="4"/>
        <v>2.45871488225795</v>
      </c>
      <c r="Q81">
        <f t="shared" si="4"/>
        <v>2.43397293706725</v>
      </c>
      <c r="R81">
        <v>273.914</v>
      </c>
      <c r="S81">
        <v>273.914</v>
      </c>
      <c r="T81">
        <v>288.33</v>
      </c>
      <c r="U81">
        <v>1.423</v>
      </c>
      <c r="V81">
        <v>100</v>
      </c>
      <c r="W81">
        <v>0.006</v>
      </c>
      <c r="X81" t="s">
        <v>30</v>
      </c>
      <c r="Y81" t="s">
        <v>35</v>
      </c>
      <c r="Z81" s="3">
        <f t="shared" si="5"/>
        <v>0.0247419451907041</v>
      </c>
      <c r="AA81">
        <f t="shared" si="6"/>
        <v>-0.592</v>
      </c>
      <c r="AB81">
        <f t="shared" si="7"/>
        <v>0.523</v>
      </c>
      <c r="AC81" t="s">
        <v>32</v>
      </c>
    </row>
    <row r="82" spans="1:29">
      <c r="A82" t="s">
        <v>34</v>
      </c>
      <c r="B82">
        <v>4185.75</v>
      </c>
      <c r="C82">
        <v>34.327</v>
      </c>
      <c r="D82">
        <v>38.783</v>
      </c>
      <c r="E82">
        <v>165.447</v>
      </c>
      <c r="F82">
        <v>0.239</v>
      </c>
      <c r="G82">
        <v>21.539</v>
      </c>
      <c r="H82">
        <v>2.844</v>
      </c>
      <c r="I82">
        <v>2.772</v>
      </c>
      <c r="J82">
        <v>0.846</v>
      </c>
      <c r="K82">
        <v>3.731</v>
      </c>
      <c r="L82">
        <v>0.2</v>
      </c>
      <c r="M82">
        <v>3.476</v>
      </c>
      <c r="N82">
        <v>317.974</v>
      </c>
      <c r="O82">
        <v>298.22</v>
      </c>
      <c r="P82">
        <f t="shared" si="4"/>
        <v>2.50239161017889</v>
      </c>
      <c r="Q82">
        <f t="shared" si="4"/>
        <v>2.47453676587209</v>
      </c>
      <c r="R82">
        <v>303.69</v>
      </c>
      <c r="S82">
        <v>303.69</v>
      </c>
      <c r="T82">
        <v>319.674</v>
      </c>
      <c r="U82">
        <v>1.414</v>
      </c>
      <c r="V82">
        <v>100</v>
      </c>
      <c r="W82">
        <v>0.006</v>
      </c>
      <c r="X82" t="s">
        <v>30</v>
      </c>
      <c r="Y82" t="s">
        <v>35</v>
      </c>
      <c r="Z82" s="3">
        <f t="shared" si="5"/>
        <v>0.0278548443068019</v>
      </c>
      <c r="AA82">
        <f t="shared" si="6"/>
        <v>-0.646</v>
      </c>
      <c r="AB82">
        <f t="shared" si="7"/>
        <v>0.439</v>
      </c>
      <c r="AC82" t="s">
        <v>32</v>
      </c>
    </row>
    <row r="83" spans="1:29">
      <c r="A83" t="s">
        <v>34</v>
      </c>
      <c r="B83">
        <v>4185.875</v>
      </c>
      <c r="C83">
        <v>33.414</v>
      </c>
      <c r="D83">
        <v>38.852</v>
      </c>
      <c r="E83">
        <v>163.737</v>
      </c>
      <c r="F83">
        <v>0.198</v>
      </c>
      <c r="G83">
        <v>21.485</v>
      </c>
      <c r="H83">
        <v>2.892</v>
      </c>
      <c r="I83">
        <v>2.769</v>
      </c>
      <c r="J83">
        <v>0.828</v>
      </c>
      <c r="K83">
        <v>3.319</v>
      </c>
      <c r="L83">
        <v>0.138</v>
      </c>
      <c r="M83">
        <v>3.523</v>
      </c>
      <c r="N83">
        <v>338.663</v>
      </c>
      <c r="O83">
        <v>317.504</v>
      </c>
      <c r="P83">
        <f t="shared" si="4"/>
        <v>2.5297677511956</v>
      </c>
      <c r="Q83">
        <f t="shared" si="4"/>
        <v>2.50174920102007</v>
      </c>
      <c r="R83">
        <v>323.347</v>
      </c>
      <c r="S83">
        <v>323.347</v>
      </c>
      <c r="T83">
        <v>340.365</v>
      </c>
      <c r="U83">
        <v>1.377</v>
      </c>
      <c r="V83">
        <v>100</v>
      </c>
      <c r="W83">
        <v>0.006</v>
      </c>
      <c r="X83" t="s">
        <v>30</v>
      </c>
      <c r="Y83" t="s">
        <v>35</v>
      </c>
      <c r="Z83" s="3">
        <f t="shared" si="5"/>
        <v>0.0280185501755255</v>
      </c>
      <c r="AA83">
        <f t="shared" si="6"/>
        <v>-0.69</v>
      </c>
      <c r="AB83">
        <f t="shared" si="7"/>
        <v>0.336</v>
      </c>
      <c r="AC83" t="s">
        <v>32</v>
      </c>
    </row>
    <row r="84" spans="1:29">
      <c r="A84" t="s">
        <v>34</v>
      </c>
      <c r="B84">
        <v>4186</v>
      </c>
      <c r="C84">
        <v>33.322</v>
      </c>
      <c r="D84">
        <v>38.929</v>
      </c>
      <c r="E84">
        <v>161.97</v>
      </c>
      <c r="F84">
        <v>0.155</v>
      </c>
      <c r="G84">
        <v>21.467</v>
      </c>
      <c r="H84">
        <v>2.911</v>
      </c>
      <c r="I84">
        <v>2.76</v>
      </c>
      <c r="J84">
        <v>0.775</v>
      </c>
      <c r="K84">
        <v>2.94</v>
      </c>
      <c r="L84">
        <v>0.081</v>
      </c>
      <c r="M84">
        <v>3.579</v>
      </c>
      <c r="N84">
        <v>349.456</v>
      </c>
      <c r="O84">
        <v>328.496</v>
      </c>
      <c r="P84">
        <f t="shared" si="4"/>
        <v>2.54339250151186</v>
      </c>
      <c r="Q84">
        <f t="shared" si="4"/>
        <v>2.51653008565073</v>
      </c>
      <c r="R84">
        <v>333.113</v>
      </c>
      <c r="S84">
        <v>333.113</v>
      </c>
      <c r="T84">
        <v>350.645</v>
      </c>
      <c r="U84">
        <v>1.37</v>
      </c>
      <c r="V84">
        <v>100</v>
      </c>
      <c r="W84">
        <v>0.005</v>
      </c>
      <c r="X84" t="s">
        <v>30</v>
      </c>
      <c r="Y84" t="s">
        <v>35</v>
      </c>
      <c r="Z84" s="3">
        <f t="shared" si="5"/>
        <v>0.0268624158611313</v>
      </c>
      <c r="AA84">
        <f t="shared" si="6"/>
        <v>-0.694</v>
      </c>
      <c r="AB84">
        <f t="shared" si="7"/>
        <v>0.236</v>
      </c>
      <c r="AC84" t="s">
        <v>32</v>
      </c>
    </row>
    <row r="85" spans="1:29">
      <c r="A85" t="s">
        <v>36</v>
      </c>
      <c r="B85">
        <v>4071</v>
      </c>
      <c r="C85">
        <v>12.416</v>
      </c>
      <c r="D85">
        <v>69.879</v>
      </c>
      <c r="E85">
        <v>164.774</v>
      </c>
      <c r="F85">
        <v>0.184</v>
      </c>
      <c r="G85">
        <v>23.748</v>
      </c>
      <c r="H85">
        <v>0.771</v>
      </c>
      <c r="I85">
        <v>2.692</v>
      </c>
      <c r="J85">
        <v>0.308</v>
      </c>
      <c r="K85">
        <v>4.509</v>
      </c>
      <c r="L85">
        <v>0.131</v>
      </c>
      <c r="M85">
        <v>3.329</v>
      </c>
      <c r="N85">
        <v>69.48</v>
      </c>
      <c r="O85">
        <v>74.151</v>
      </c>
      <c r="P85">
        <f t="shared" si="4"/>
        <v>1.84185980977506</v>
      </c>
      <c r="Q85">
        <f t="shared" si="4"/>
        <v>1.87011701229702</v>
      </c>
      <c r="R85">
        <v>33.517</v>
      </c>
      <c r="S85">
        <v>33.517</v>
      </c>
      <c r="T85">
        <v>32.994</v>
      </c>
      <c r="U85">
        <v>1.903</v>
      </c>
      <c r="V85">
        <v>100</v>
      </c>
      <c r="W85">
        <v>0.01</v>
      </c>
      <c r="X85" t="s">
        <v>30</v>
      </c>
      <c r="Y85" t="s">
        <v>31</v>
      </c>
      <c r="Z85" s="3">
        <f t="shared" si="5"/>
        <v>-0.0282572025219552</v>
      </c>
      <c r="AA85">
        <f t="shared" si="6"/>
        <v>-0.177</v>
      </c>
      <c r="AB85">
        <f t="shared" si="7"/>
        <v>0.315</v>
      </c>
      <c r="AC85" t="s">
        <v>32</v>
      </c>
    </row>
    <row r="86" spans="1:29">
      <c r="A86" t="s">
        <v>36</v>
      </c>
      <c r="B86">
        <v>4071.125</v>
      </c>
      <c r="C86">
        <v>12.435</v>
      </c>
      <c r="D86">
        <v>69.837</v>
      </c>
      <c r="E86">
        <v>162.853</v>
      </c>
      <c r="F86">
        <v>0.149</v>
      </c>
      <c r="G86">
        <v>23.789</v>
      </c>
      <c r="H86">
        <v>0.807</v>
      </c>
      <c r="I86">
        <v>2.701</v>
      </c>
      <c r="J86">
        <v>0.361</v>
      </c>
      <c r="K86">
        <v>4.392</v>
      </c>
      <c r="L86">
        <v>0.121</v>
      </c>
      <c r="M86">
        <v>3.339</v>
      </c>
      <c r="N86">
        <v>78.565</v>
      </c>
      <c r="O86">
        <v>83.501</v>
      </c>
      <c r="P86">
        <f t="shared" si="4"/>
        <v>1.89522911484139</v>
      </c>
      <c r="Q86">
        <f t="shared" si="4"/>
        <v>1.92169167658398</v>
      </c>
      <c r="R86">
        <v>34.144</v>
      </c>
      <c r="S86">
        <v>34.144</v>
      </c>
      <c r="T86">
        <v>33.605</v>
      </c>
      <c r="U86">
        <v>1.77</v>
      </c>
      <c r="V86">
        <v>100</v>
      </c>
      <c r="W86">
        <v>0.01</v>
      </c>
      <c r="X86" t="s">
        <v>30</v>
      </c>
      <c r="Y86" t="s">
        <v>31</v>
      </c>
      <c r="Z86" s="3">
        <f t="shared" si="5"/>
        <v>-0.0264625617425831</v>
      </c>
      <c r="AA86">
        <f t="shared" si="6"/>
        <v>-0.24</v>
      </c>
      <c r="AB86">
        <f t="shared" si="7"/>
        <v>0.27</v>
      </c>
      <c r="AC86" t="s">
        <v>32</v>
      </c>
    </row>
    <row r="87" spans="1:29">
      <c r="A87" t="s">
        <v>36</v>
      </c>
      <c r="B87">
        <v>4071.25</v>
      </c>
      <c r="C87">
        <v>12.422</v>
      </c>
      <c r="D87">
        <v>69.812</v>
      </c>
      <c r="E87">
        <v>159.849</v>
      </c>
      <c r="F87">
        <v>0.095</v>
      </c>
      <c r="G87">
        <v>23.86</v>
      </c>
      <c r="H87">
        <v>0.844</v>
      </c>
      <c r="I87">
        <v>2.71</v>
      </c>
      <c r="J87">
        <v>0.414</v>
      </c>
      <c r="K87">
        <v>4.411</v>
      </c>
      <c r="L87">
        <v>0.123</v>
      </c>
      <c r="M87">
        <v>3.303</v>
      </c>
      <c r="N87">
        <v>89.323</v>
      </c>
      <c r="O87">
        <v>94.674</v>
      </c>
      <c r="P87">
        <f t="shared" si="4"/>
        <v>1.95096330084775</v>
      </c>
      <c r="Q87">
        <f t="shared" si="4"/>
        <v>1.97623072655468</v>
      </c>
      <c r="R87">
        <v>34.789</v>
      </c>
      <c r="S87">
        <v>34.789</v>
      </c>
      <c r="T87">
        <v>34.239</v>
      </c>
      <c r="U87">
        <v>1.641</v>
      </c>
      <c r="V87">
        <v>100</v>
      </c>
      <c r="W87">
        <v>0.01</v>
      </c>
      <c r="X87" t="s">
        <v>30</v>
      </c>
      <c r="Y87" t="s">
        <v>31</v>
      </c>
      <c r="Z87" s="3">
        <f t="shared" si="5"/>
        <v>-0.0252674257069299</v>
      </c>
      <c r="AA87">
        <f t="shared" si="6"/>
        <v>-0.291</v>
      </c>
      <c r="AB87">
        <f t="shared" si="7"/>
        <v>0.218</v>
      </c>
      <c r="AC87" t="s">
        <v>32</v>
      </c>
    </row>
    <row r="88" spans="1:29">
      <c r="A88" t="s">
        <v>36</v>
      </c>
      <c r="B88">
        <v>4071.375</v>
      </c>
      <c r="C88">
        <v>12.417</v>
      </c>
      <c r="D88">
        <v>69.809</v>
      </c>
      <c r="E88">
        <v>158.676</v>
      </c>
      <c r="F88">
        <v>0.073</v>
      </c>
      <c r="G88">
        <v>23.949</v>
      </c>
      <c r="H88">
        <v>0.88</v>
      </c>
      <c r="I88">
        <v>2.718</v>
      </c>
      <c r="J88">
        <v>0.462</v>
      </c>
      <c r="K88">
        <v>4.598</v>
      </c>
      <c r="L88">
        <v>0.138</v>
      </c>
      <c r="M88">
        <v>3.265</v>
      </c>
      <c r="N88">
        <v>94.415</v>
      </c>
      <c r="O88">
        <v>100.252</v>
      </c>
      <c r="P88">
        <f t="shared" si="4"/>
        <v>1.97504099747305</v>
      </c>
      <c r="Q88">
        <f t="shared" si="4"/>
        <v>2.00109304543486</v>
      </c>
      <c r="R88">
        <v>35.339</v>
      </c>
      <c r="S88">
        <v>35.339</v>
      </c>
      <c r="T88">
        <v>34.787</v>
      </c>
      <c r="U88">
        <v>1.854</v>
      </c>
      <c r="V88">
        <v>100</v>
      </c>
      <c r="W88">
        <v>0.01</v>
      </c>
      <c r="X88" t="s">
        <v>30</v>
      </c>
      <c r="Y88" t="s">
        <v>31</v>
      </c>
      <c r="Z88" s="3">
        <f t="shared" si="5"/>
        <v>-0.0260520479618078</v>
      </c>
      <c r="AA88">
        <f t="shared" si="6"/>
        <v>-0.324</v>
      </c>
      <c r="AB88">
        <f t="shared" si="7"/>
        <v>0.211</v>
      </c>
      <c r="AC88" t="s">
        <v>32</v>
      </c>
    </row>
    <row r="89" spans="1:29">
      <c r="A89" t="s">
        <v>36</v>
      </c>
      <c r="B89">
        <v>4071.5</v>
      </c>
      <c r="C89">
        <v>12.934</v>
      </c>
      <c r="D89">
        <v>69.812</v>
      </c>
      <c r="E89">
        <v>160.04</v>
      </c>
      <c r="F89">
        <v>0.098</v>
      </c>
      <c r="G89">
        <v>24.154</v>
      </c>
      <c r="H89">
        <v>0.942</v>
      </c>
      <c r="I89">
        <v>2.721</v>
      </c>
      <c r="J89">
        <v>0.479</v>
      </c>
      <c r="K89">
        <v>5.44</v>
      </c>
      <c r="L89">
        <v>0.207</v>
      </c>
      <c r="M89">
        <v>3.187</v>
      </c>
      <c r="N89">
        <v>96.265</v>
      </c>
      <c r="O89">
        <v>102.434</v>
      </c>
      <c r="P89">
        <f t="shared" si="4"/>
        <v>1.98346841516406</v>
      </c>
      <c r="Q89">
        <f t="shared" si="4"/>
        <v>2.01044413204546</v>
      </c>
      <c r="R89">
        <v>36.254</v>
      </c>
      <c r="S89">
        <v>36.254</v>
      </c>
      <c r="T89">
        <v>35.727</v>
      </c>
      <c r="U89">
        <v>2.299</v>
      </c>
      <c r="V89">
        <v>100</v>
      </c>
      <c r="W89">
        <v>0.01</v>
      </c>
      <c r="X89" t="s">
        <v>30</v>
      </c>
      <c r="Y89" t="s">
        <v>31</v>
      </c>
      <c r="Z89" s="3">
        <f t="shared" si="5"/>
        <v>-0.0269757168813964</v>
      </c>
      <c r="AA89">
        <f t="shared" si="6"/>
        <v>-0.272</v>
      </c>
      <c r="AB89">
        <f t="shared" si="7"/>
        <v>0.305</v>
      </c>
      <c r="AC89" t="s">
        <v>32</v>
      </c>
    </row>
    <row r="90" spans="1:29">
      <c r="A90" t="s">
        <v>36</v>
      </c>
      <c r="B90">
        <v>4071.625</v>
      </c>
      <c r="C90">
        <v>13.419</v>
      </c>
      <c r="D90">
        <v>69.82</v>
      </c>
      <c r="E90">
        <v>162.683</v>
      </c>
      <c r="F90">
        <v>0.146</v>
      </c>
      <c r="G90">
        <v>24.26</v>
      </c>
      <c r="H90">
        <v>0.975</v>
      </c>
      <c r="I90">
        <v>2.716</v>
      </c>
      <c r="J90">
        <v>0.45</v>
      </c>
      <c r="K90">
        <v>5.952</v>
      </c>
      <c r="L90">
        <v>0.248</v>
      </c>
      <c r="M90">
        <v>3.224</v>
      </c>
      <c r="N90">
        <v>92.575</v>
      </c>
      <c r="O90">
        <v>98.548</v>
      </c>
      <c r="P90">
        <f t="shared" si="4"/>
        <v>1.96649372072148</v>
      </c>
      <c r="Q90">
        <f t="shared" si="4"/>
        <v>1.99364781483791</v>
      </c>
      <c r="R90">
        <v>36.846</v>
      </c>
      <c r="S90">
        <v>36.846</v>
      </c>
      <c r="T90">
        <v>36.342</v>
      </c>
      <c r="U90">
        <v>2.682</v>
      </c>
      <c r="V90">
        <v>96.182</v>
      </c>
      <c r="W90">
        <v>0.01</v>
      </c>
      <c r="X90" t="s">
        <v>30</v>
      </c>
      <c r="Y90" t="s">
        <v>31</v>
      </c>
      <c r="Z90" s="3">
        <f t="shared" si="5"/>
        <v>-0.027154094116431</v>
      </c>
      <c r="AA90">
        <f t="shared" si="6"/>
        <v>-0.202</v>
      </c>
      <c r="AB90">
        <f t="shared" si="7"/>
        <v>0.394</v>
      </c>
      <c r="AC90" t="s">
        <v>32</v>
      </c>
    </row>
    <row r="91" spans="1:29">
      <c r="A91" t="s">
        <v>36</v>
      </c>
      <c r="B91">
        <v>4071.75</v>
      </c>
      <c r="C91">
        <v>13.997</v>
      </c>
      <c r="D91">
        <v>69.831</v>
      </c>
      <c r="E91">
        <v>167.217</v>
      </c>
      <c r="F91">
        <v>0.228</v>
      </c>
      <c r="G91">
        <v>24.361</v>
      </c>
      <c r="H91">
        <v>1.012</v>
      </c>
      <c r="I91">
        <v>2.708</v>
      </c>
      <c r="J91">
        <v>0.402</v>
      </c>
      <c r="K91">
        <v>6.41</v>
      </c>
      <c r="L91">
        <v>0.286</v>
      </c>
      <c r="M91">
        <v>3.276</v>
      </c>
      <c r="N91">
        <v>84.528</v>
      </c>
      <c r="O91">
        <v>89.717</v>
      </c>
      <c r="P91">
        <f t="shared" si="4"/>
        <v>1.92700059334286</v>
      </c>
      <c r="Q91">
        <f t="shared" si="4"/>
        <v>1.95287474300691</v>
      </c>
      <c r="R91">
        <v>37.725</v>
      </c>
      <c r="S91">
        <v>37.725</v>
      </c>
      <c r="T91">
        <v>37.247</v>
      </c>
      <c r="U91">
        <v>3.244</v>
      </c>
      <c r="V91">
        <v>88.505</v>
      </c>
      <c r="W91">
        <v>0.01</v>
      </c>
      <c r="X91" t="s">
        <v>30</v>
      </c>
      <c r="Y91" t="s">
        <v>31</v>
      </c>
      <c r="Z91" s="3">
        <f t="shared" si="5"/>
        <v>-0.0258741496640458</v>
      </c>
      <c r="AA91">
        <f t="shared" si="6"/>
        <v>-0.116</v>
      </c>
      <c r="AB91">
        <f t="shared" si="7"/>
        <v>0.514</v>
      </c>
      <c r="AC91" t="s">
        <v>32</v>
      </c>
    </row>
    <row r="92" spans="1:29">
      <c r="A92" t="s">
        <v>36</v>
      </c>
      <c r="B92">
        <v>4071.875</v>
      </c>
      <c r="C92">
        <v>14.549</v>
      </c>
      <c r="D92">
        <v>69.84</v>
      </c>
      <c r="E92">
        <v>170.185</v>
      </c>
      <c r="F92">
        <v>0.282</v>
      </c>
      <c r="G92">
        <v>24.451</v>
      </c>
      <c r="H92">
        <v>1.048</v>
      </c>
      <c r="I92">
        <v>2.7</v>
      </c>
      <c r="J92">
        <v>0.355</v>
      </c>
      <c r="K92">
        <v>6.768</v>
      </c>
      <c r="L92">
        <v>0.315</v>
      </c>
      <c r="M92">
        <v>3.309</v>
      </c>
      <c r="N92">
        <v>78.691</v>
      </c>
      <c r="O92">
        <v>82.825</v>
      </c>
      <c r="P92">
        <f t="shared" si="4"/>
        <v>1.89592506433051</v>
      </c>
      <c r="Q92">
        <f t="shared" si="4"/>
        <v>1.918161444554</v>
      </c>
      <c r="R92">
        <v>38.927</v>
      </c>
      <c r="S92">
        <v>38.927</v>
      </c>
      <c r="T92">
        <v>38.563</v>
      </c>
      <c r="U92">
        <v>3.386</v>
      </c>
      <c r="V92">
        <v>82.116</v>
      </c>
      <c r="W92">
        <v>0.01</v>
      </c>
      <c r="X92" t="s">
        <v>30</v>
      </c>
      <c r="Y92" t="s">
        <v>31</v>
      </c>
      <c r="Z92" s="3">
        <f t="shared" si="5"/>
        <v>-0.0222363802234911</v>
      </c>
      <c r="AA92">
        <f t="shared" si="6"/>
        <v>-0.04</v>
      </c>
      <c r="AB92">
        <f t="shared" si="7"/>
        <v>0.597</v>
      </c>
      <c r="AC92" t="s">
        <v>32</v>
      </c>
    </row>
    <row r="93" spans="1:29">
      <c r="A93" t="s">
        <v>36</v>
      </c>
      <c r="B93">
        <v>4072</v>
      </c>
      <c r="C93">
        <v>14.583</v>
      </c>
      <c r="D93">
        <v>69.85</v>
      </c>
      <c r="E93">
        <v>170.857</v>
      </c>
      <c r="F93">
        <v>0.294</v>
      </c>
      <c r="G93">
        <v>24.563</v>
      </c>
      <c r="H93">
        <v>1.113</v>
      </c>
      <c r="I93">
        <v>2.688</v>
      </c>
      <c r="J93">
        <v>0.284</v>
      </c>
      <c r="K93">
        <v>7.113</v>
      </c>
      <c r="L93">
        <v>0.343</v>
      </c>
      <c r="M93">
        <v>3.323</v>
      </c>
      <c r="N93">
        <v>75.706</v>
      </c>
      <c r="O93">
        <v>78.89</v>
      </c>
      <c r="P93">
        <f t="shared" si="4"/>
        <v>1.87913030041989</v>
      </c>
      <c r="Q93">
        <f t="shared" si="4"/>
        <v>1.89702195606036</v>
      </c>
      <c r="R93">
        <v>42.699</v>
      </c>
      <c r="S93">
        <v>42.699</v>
      </c>
      <c r="T93">
        <v>42.556</v>
      </c>
      <c r="U93">
        <v>3.806</v>
      </c>
      <c r="V93">
        <v>70.222</v>
      </c>
      <c r="W93">
        <v>0.01</v>
      </c>
      <c r="X93" t="s">
        <v>30</v>
      </c>
      <c r="Y93" t="s">
        <v>31</v>
      </c>
      <c r="Z93" s="3">
        <f t="shared" si="5"/>
        <v>-0.0178916556404753</v>
      </c>
      <c r="AA93">
        <f t="shared" si="6"/>
        <v>0.0590000000000001</v>
      </c>
      <c r="AB93">
        <f t="shared" si="7"/>
        <v>0.637</v>
      </c>
      <c r="AC93" t="s">
        <v>32</v>
      </c>
    </row>
    <row r="94" spans="1:29">
      <c r="A94" t="s">
        <v>36</v>
      </c>
      <c r="B94">
        <v>4072.125</v>
      </c>
      <c r="C94">
        <v>13.943</v>
      </c>
      <c r="D94">
        <v>69.868</v>
      </c>
      <c r="E94">
        <v>170.784</v>
      </c>
      <c r="F94">
        <v>0.293</v>
      </c>
      <c r="G94">
        <v>24.577</v>
      </c>
      <c r="H94">
        <v>1.15</v>
      </c>
      <c r="I94">
        <v>2.687</v>
      </c>
      <c r="J94">
        <v>0.278</v>
      </c>
      <c r="K94">
        <v>7.141</v>
      </c>
      <c r="L94">
        <v>0.345</v>
      </c>
      <c r="M94">
        <v>3.232</v>
      </c>
      <c r="N94">
        <v>75.453</v>
      </c>
      <c r="O94">
        <v>78.041</v>
      </c>
      <c r="P94">
        <f t="shared" si="4"/>
        <v>1.87767651193857</v>
      </c>
      <c r="Q94">
        <f t="shared" si="4"/>
        <v>1.89232282571094</v>
      </c>
      <c r="R94">
        <v>45.305</v>
      </c>
      <c r="S94">
        <v>45.305</v>
      </c>
      <c r="T94">
        <v>45.161</v>
      </c>
      <c r="U94">
        <v>4.26</v>
      </c>
      <c r="V94">
        <v>59.626</v>
      </c>
      <c r="W94">
        <v>0.01</v>
      </c>
      <c r="X94" t="s">
        <v>30</v>
      </c>
      <c r="Y94" t="s">
        <v>31</v>
      </c>
      <c r="Z94" s="3">
        <f t="shared" si="5"/>
        <v>-0.0146463137723716</v>
      </c>
      <c r="AA94">
        <f t="shared" si="6"/>
        <v>0.0669999999999999</v>
      </c>
      <c r="AB94">
        <f t="shared" si="7"/>
        <v>0.638</v>
      </c>
      <c r="AC94" t="s">
        <v>32</v>
      </c>
    </row>
    <row r="95" spans="1:29">
      <c r="A95" t="s">
        <v>36</v>
      </c>
      <c r="B95">
        <v>4072.25</v>
      </c>
      <c r="C95">
        <v>13.255</v>
      </c>
      <c r="D95">
        <v>69.893</v>
      </c>
      <c r="E95">
        <v>170.238</v>
      </c>
      <c r="F95">
        <v>0.283</v>
      </c>
      <c r="G95">
        <v>24.569</v>
      </c>
      <c r="H95">
        <v>1.184</v>
      </c>
      <c r="I95">
        <v>2.69</v>
      </c>
      <c r="J95">
        <v>0.296</v>
      </c>
      <c r="K95">
        <v>7.15</v>
      </c>
      <c r="L95">
        <v>0.346</v>
      </c>
      <c r="M95">
        <v>3.129</v>
      </c>
      <c r="N95">
        <v>76.117</v>
      </c>
      <c r="O95">
        <v>78.36</v>
      </c>
      <c r="P95">
        <f t="shared" si="4"/>
        <v>1.8814816631</v>
      </c>
      <c r="Q95">
        <f t="shared" si="4"/>
        <v>1.8940944273227</v>
      </c>
      <c r="R95">
        <v>48.225</v>
      </c>
      <c r="S95">
        <v>48.225</v>
      </c>
      <c r="T95">
        <v>48.027</v>
      </c>
      <c r="U95">
        <v>4.207</v>
      </c>
      <c r="V95">
        <v>58.614</v>
      </c>
      <c r="W95">
        <v>0.01</v>
      </c>
      <c r="X95" t="s">
        <v>30</v>
      </c>
      <c r="Y95" t="s">
        <v>31</v>
      </c>
      <c r="Z95" s="3">
        <f t="shared" si="5"/>
        <v>-0.0126127642227007</v>
      </c>
      <c r="AA95">
        <f t="shared" si="6"/>
        <v>0.05</v>
      </c>
      <c r="AB95">
        <f t="shared" si="7"/>
        <v>0.629</v>
      </c>
      <c r="AC95" t="s">
        <v>32</v>
      </c>
    </row>
    <row r="96" spans="1:29">
      <c r="A96" t="s">
        <v>36</v>
      </c>
      <c r="B96">
        <v>4072.375</v>
      </c>
      <c r="C96">
        <v>12.92</v>
      </c>
      <c r="D96">
        <v>69.915</v>
      </c>
      <c r="E96">
        <v>170.128</v>
      </c>
      <c r="F96">
        <v>0.281</v>
      </c>
      <c r="G96">
        <v>24.552</v>
      </c>
      <c r="H96">
        <v>1.207</v>
      </c>
      <c r="I96">
        <v>2.696</v>
      </c>
      <c r="J96">
        <v>0.331</v>
      </c>
      <c r="K96">
        <v>7.161</v>
      </c>
      <c r="L96">
        <v>0.347</v>
      </c>
      <c r="M96">
        <v>2.996</v>
      </c>
      <c r="N96">
        <v>76.148</v>
      </c>
      <c r="O96">
        <v>78.106</v>
      </c>
      <c r="P96">
        <f t="shared" si="4"/>
        <v>1.88165850123253</v>
      </c>
      <c r="Q96">
        <f t="shared" si="4"/>
        <v>1.89268439708861</v>
      </c>
      <c r="R96">
        <v>51.282</v>
      </c>
      <c r="S96">
        <v>51.282</v>
      </c>
      <c r="T96">
        <v>51.059</v>
      </c>
      <c r="U96">
        <v>3.776</v>
      </c>
      <c r="V96">
        <v>64.071</v>
      </c>
      <c r="W96">
        <v>0.01</v>
      </c>
      <c r="X96" t="s">
        <v>30</v>
      </c>
      <c r="Y96" t="s">
        <v>31</v>
      </c>
      <c r="Z96" s="3">
        <f t="shared" si="5"/>
        <v>-0.0110258958560769</v>
      </c>
      <c r="AA96">
        <f t="shared" si="6"/>
        <v>0.016</v>
      </c>
      <c r="AB96">
        <f t="shared" si="7"/>
        <v>0.628</v>
      </c>
      <c r="AC96" t="s">
        <v>32</v>
      </c>
    </row>
    <row r="97" spans="1:29">
      <c r="A97" t="s">
        <v>36</v>
      </c>
      <c r="B97">
        <v>4072.5</v>
      </c>
      <c r="C97">
        <v>13.306</v>
      </c>
      <c r="D97">
        <v>69.941</v>
      </c>
      <c r="E97">
        <v>170.73</v>
      </c>
      <c r="F97">
        <v>0.292</v>
      </c>
      <c r="G97">
        <v>24.544</v>
      </c>
      <c r="H97">
        <v>1.216</v>
      </c>
      <c r="I97">
        <v>2.709</v>
      </c>
      <c r="J97">
        <v>0.408</v>
      </c>
      <c r="K97">
        <v>7.026</v>
      </c>
      <c r="L97">
        <v>0.336</v>
      </c>
      <c r="M97">
        <v>2.81</v>
      </c>
      <c r="N97">
        <v>76.038</v>
      </c>
      <c r="O97">
        <v>77.607</v>
      </c>
      <c r="P97">
        <f t="shared" si="4"/>
        <v>1.88103068525302</v>
      </c>
      <c r="Q97">
        <f t="shared" si="4"/>
        <v>1.88990089553996</v>
      </c>
      <c r="R97">
        <v>57.366</v>
      </c>
      <c r="S97">
        <v>57.366</v>
      </c>
      <c r="T97">
        <v>57.326</v>
      </c>
      <c r="U97">
        <v>3.184</v>
      </c>
      <c r="V97">
        <v>72.462</v>
      </c>
      <c r="W97">
        <v>0.01</v>
      </c>
      <c r="X97" t="s">
        <v>30</v>
      </c>
      <c r="Y97" t="s">
        <v>31</v>
      </c>
      <c r="Z97" s="3">
        <f t="shared" si="5"/>
        <v>-0.00887021028693735</v>
      </c>
      <c r="AA97">
        <f t="shared" si="6"/>
        <v>-0.072</v>
      </c>
      <c r="AB97">
        <f t="shared" si="7"/>
        <v>0.628</v>
      </c>
      <c r="AC97" t="s">
        <v>32</v>
      </c>
    </row>
    <row r="98" spans="1:29">
      <c r="A98" t="s">
        <v>36</v>
      </c>
      <c r="B98">
        <v>4072.625</v>
      </c>
      <c r="C98">
        <v>13.354</v>
      </c>
      <c r="D98">
        <v>69.987</v>
      </c>
      <c r="E98">
        <v>171.56</v>
      </c>
      <c r="F98">
        <v>0.307</v>
      </c>
      <c r="G98">
        <v>24.573</v>
      </c>
      <c r="H98">
        <v>1.206</v>
      </c>
      <c r="I98">
        <v>2.713</v>
      </c>
      <c r="J98">
        <v>0.432</v>
      </c>
      <c r="K98">
        <v>6.843</v>
      </c>
      <c r="L98">
        <v>0.321</v>
      </c>
      <c r="M98">
        <v>2.742</v>
      </c>
      <c r="N98">
        <v>76.193</v>
      </c>
      <c r="O98">
        <v>77.096</v>
      </c>
      <c r="P98">
        <f t="shared" si="4"/>
        <v>1.88191507368846</v>
      </c>
      <c r="Q98">
        <f t="shared" si="4"/>
        <v>1.88703184597583</v>
      </c>
      <c r="R98">
        <v>60.506</v>
      </c>
      <c r="S98">
        <v>60.506</v>
      </c>
      <c r="T98">
        <v>60.589</v>
      </c>
      <c r="U98">
        <v>3.149</v>
      </c>
      <c r="V98">
        <v>71.324</v>
      </c>
      <c r="W98">
        <v>0.01</v>
      </c>
      <c r="X98" t="s">
        <v>30</v>
      </c>
      <c r="Y98" t="s">
        <v>31</v>
      </c>
      <c r="Z98" s="3">
        <f t="shared" si="5"/>
        <v>-0.00511677228737617</v>
      </c>
      <c r="AA98">
        <f t="shared" si="6"/>
        <v>-0.111</v>
      </c>
      <c r="AB98">
        <f t="shared" si="7"/>
        <v>0.628</v>
      </c>
      <c r="AC98" t="s">
        <v>32</v>
      </c>
    </row>
    <row r="99" spans="1:29">
      <c r="A99" t="s">
        <v>36</v>
      </c>
      <c r="B99">
        <v>4072.75</v>
      </c>
      <c r="C99">
        <v>13.01</v>
      </c>
      <c r="D99">
        <v>70.05</v>
      </c>
      <c r="E99">
        <v>171.128</v>
      </c>
      <c r="F99">
        <v>0.299</v>
      </c>
      <c r="G99">
        <v>24.628</v>
      </c>
      <c r="H99">
        <v>1.182</v>
      </c>
      <c r="I99">
        <v>2.713</v>
      </c>
      <c r="J99">
        <v>0.432</v>
      </c>
      <c r="K99">
        <v>6.644</v>
      </c>
      <c r="L99">
        <v>0.305</v>
      </c>
      <c r="M99">
        <v>2.724</v>
      </c>
      <c r="N99">
        <v>77.013</v>
      </c>
      <c r="O99">
        <v>77.063</v>
      </c>
      <c r="P99">
        <f t="shared" si="4"/>
        <v>1.88656404142862</v>
      </c>
      <c r="Q99">
        <f t="shared" si="4"/>
        <v>1.88684591173752</v>
      </c>
      <c r="R99">
        <v>63.829</v>
      </c>
      <c r="S99">
        <v>63.829</v>
      </c>
      <c r="T99">
        <v>64.058</v>
      </c>
      <c r="U99">
        <v>3.157</v>
      </c>
      <c r="V99">
        <v>69.115</v>
      </c>
      <c r="W99">
        <v>0.01</v>
      </c>
      <c r="X99" t="s">
        <v>30</v>
      </c>
      <c r="Y99" t="s">
        <v>31</v>
      </c>
      <c r="Z99" s="3">
        <f t="shared" si="5"/>
        <v>-0.000281870308905141</v>
      </c>
      <c r="AA99">
        <f t="shared" si="6"/>
        <v>-0.127</v>
      </c>
      <c r="AB99">
        <f t="shared" si="7"/>
        <v>0.604</v>
      </c>
      <c r="AC99" t="s">
        <v>32</v>
      </c>
    </row>
    <row r="100" spans="1:29">
      <c r="A100" t="s">
        <v>36</v>
      </c>
      <c r="B100">
        <v>4072.875</v>
      </c>
      <c r="C100">
        <v>12.418</v>
      </c>
      <c r="D100">
        <v>70.098</v>
      </c>
      <c r="E100">
        <v>168.94</v>
      </c>
      <c r="F100">
        <v>0.259</v>
      </c>
      <c r="G100">
        <v>24.7</v>
      </c>
      <c r="H100">
        <v>1.15</v>
      </c>
      <c r="I100">
        <v>2.712</v>
      </c>
      <c r="J100">
        <v>0.426</v>
      </c>
      <c r="K100">
        <v>6.475</v>
      </c>
      <c r="L100">
        <v>0.291</v>
      </c>
      <c r="M100">
        <v>2.705</v>
      </c>
      <c r="N100">
        <v>78.624</v>
      </c>
      <c r="O100">
        <v>77.994</v>
      </c>
      <c r="P100">
        <f t="shared" si="4"/>
        <v>1.89555513479999</v>
      </c>
      <c r="Q100">
        <f t="shared" si="4"/>
        <v>1.89206119413768</v>
      </c>
      <c r="R100">
        <v>67.679</v>
      </c>
      <c r="S100">
        <v>67.679</v>
      </c>
      <c r="T100">
        <v>68.076</v>
      </c>
      <c r="U100">
        <v>3.207</v>
      </c>
      <c r="V100">
        <v>64.634</v>
      </c>
      <c r="W100">
        <v>0.01</v>
      </c>
      <c r="X100" t="s">
        <v>30</v>
      </c>
      <c r="Y100" t="s">
        <v>31</v>
      </c>
      <c r="Z100" s="3">
        <f t="shared" si="5"/>
        <v>0.00349394066230602</v>
      </c>
      <c r="AA100">
        <f t="shared" si="6"/>
        <v>-0.135</v>
      </c>
      <c r="AB100">
        <f t="shared" si="7"/>
        <v>0.55</v>
      </c>
      <c r="AC100" t="s">
        <v>32</v>
      </c>
    </row>
    <row r="101" spans="1:29">
      <c r="A101" t="s">
        <v>36</v>
      </c>
      <c r="B101">
        <v>4073</v>
      </c>
      <c r="C101">
        <v>12.316</v>
      </c>
      <c r="D101">
        <v>70.154</v>
      </c>
      <c r="E101">
        <v>165.646</v>
      </c>
      <c r="F101">
        <v>0.2</v>
      </c>
      <c r="G101">
        <v>24.835</v>
      </c>
      <c r="H101">
        <v>1.083</v>
      </c>
      <c r="I101">
        <v>2.707</v>
      </c>
      <c r="J101">
        <v>0.396</v>
      </c>
      <c r="K101">
        <v>6.244</v>
      </c>
      <c r="L101">
        <v>0.272</v>
      </c>
      <c r="M101">
        <v>2.664</v>
      </c>
      <c r="N101">
        <v>81.934</v>
      </c>
      <c r="O101">
        <v>80.329</v>
      </c>
      <c r="P101">
        <f t="shared" si="4"/>
        <v>1.91346415753879</v>
      </c>
      <c r="Q101">
        <f t="shared" si="4"/>
        <v>1.90487236055005</v>
      </c>
      <c r="R101">
        <v>79.431</v>
      </c>
      <c r="S101">
        <v>79.431</v>
      </c>
      <c r="T101">
        <v>80.33</v>
      </c>
      <c r="U101">
        <v>3.262</v>
      </c>
      <c r="V101">
        <v>58.946</v>
      </c>
      <c r="W101">
        <v>0.01</v>
      </c>
      <c r="X101" t="s">
        <v>30</v>
      </c>
      <c r="Y101" t="s">
        <v>31</v>
      </c>
      <c r="Z101" s="3">
        <f t="shared" si="5"/>
        <v>0.00859179698874213</v>
      </c>
      <c r="AA101">
        <f t="shared" si="6"/>
        <v>-0.124</v>
      </c>
      <c r="AB101">
        <f t="shared" si="7"/>
        <v>0.472</v>
      </c>
      <c r="AC101" t="s">
        <v>32</v>
      </c>
    </row>
    <row r="102" spans="1:29">
      <c r="A102" t="s">
        <v>37</v>
      </c>
      <c r="B102">
        <v>3822</v>
      </c>
      <c r="C102">
        <v>16.475</v>
      </c>
      <c r="D102">
        <v>96.708</v>
      </c>
      <c r="E102">
        <v>173.629</v>
      </c>
      <c r="F102">
        <v>0.451</v>
      </c>
      <c r="G102">
        <v>21.73</v>
      </c>
      <c r="H102">
        <v>1.548</v>
      </c>
      <c r="I102">
        <v>2.652</v>
      </c>
      <c r="J102">
        <v>0.2</v>
      </c>
      <c r="K102">
        <v>12.176</v>
      </c>
      <c r="L102">
        <v>1</v>
      </c>
      <c r="M102">
        <v>3.899</v>
      </c>
      <c r="N102">
        <v>108.466</v>
      </c>
      <c r="O102">
        <v>103.927</v>
      </c>
      <c r="P102">
        <f t="shared" si="4"/>
        <v>2.03529362457683</v>
      </c>
      <c r="Q102">
        <f t="shared" si="4"/>
        <v>2.01672839094208</v>
      </c>
      <c r="R102">
        <v>77.259</v>
      </c>
      <c r="S102">
        <v>80.687</v>
      </c>
      <c r="T102">
        <v>84.153</v>
      </c>
      <c r="U102">
        <v>7.009</v>
      </c>
      <c r="V102">
        <v>27.733</v>
      </c>
      <c r="W102">
        <v>0.088</v>
      </c>
      <c r="X102" t="s">
        <v>30</v>
      </c>
      <c r="Y102" t="s">
        <v>31</v>
      </c>
      <c r="Z102" s="3">
        <f t="shared" si="5"/>
        <v>0.0185652336347522</v>
      </c>
      <c r="AA102">
        <f t="shared" si="6"/>
        <v>0.8</v>
      </c>
      <c r="AB102">
        <f t="shared" si="7"/>
        <v>1.451</v>
      </c>
      <c r="AC102" t="s">
        <v>32</v>
      </c>
    </row>
    <row r="103" spans="1:29">
      <c r="A103" t="s">
        <v>37</v>
      </c>
      <c r="B103">
        <v>3822.125</v>
      </c>
      <c r="C103">
        <v>16.205</v>
      </c>
      <c r="D103">
        <v>97.019</v>
      </c>
      <c r="E103">
        <v>175.936</v>
      </c>
      <c r="F103">
        <v>0.493</v>
      </c>
      <c r="G103">
        <v>21.771</v>
      </c>
      <c r="H103">
        <v>1.48</v>
      </c>
      <c r="I103">
        <v>2.639</v>
      </c>
      <c r="J103">
        <v>0.138</v>
      </c>
      <c r="K103">
        <v>12.05</v>
      </c>
      <c r="L103">
        <v>0.984</v>
      </c>
      <c r="M103">
        <v>3.867</v>
      </c>
      <c r="N103">
        <v>104.753</v>
      </c>
      <c r="O103">
        <v>100.363</v>
      </c>
      <c r="P103">
        <f t="shared" si="4"/>
        <v>2.02016646948835</v>
      </c>
      <c r="Q103">
        <f t="shared" si="4"/>
        <v>2.00157363454744</v>
      </c>
      <c r="R103">
        <v>65.917</v>
      </c>
      <c r="S103">
        <v>68.872</v>
      </c>
      <c r="T103">
        <v>71.846</v>
      </c>
      <c r="U103">
        <v>7.321</v>
      </c>
      <c r="V103">
        <v>27.105</v>
      </c>
      <c r="W103">
        <v>0.107</v>
      </c>
      <c r="X103" t="s">
        <v>30</v>
      </c>
      <c r="Y103" t="s">
        <v>31</v>
      </c>
      <c r="Z103" s="3">
        <f t="shared" si="5"/>
        <v>0.0185928349409026</v>
      </c>
      <c r="AA103">
        <f t="shared" si="6"/>
        <v>0.846</v>
      </c>
      <c r="AB103">
        <f t="shared" si="7"/>
        <v>1.477</v>
      </c>
      <c r="AC103" t="s">
        <v>32</v>
      </c>
    </row>
    <row r="104" spans="1:29">
      <c r="A104" t="s">
        <v>37</v>
      </c>
      <c r="B104">
        <v>3822.25</v>
      </c>
      <c r="C104">
        <v>16.022</v>
      </c>
      <c r="D104">
        <v>97.28</v>
      </c>
      <c r="E104">
        <v>178.525</v>
      </c>
      <c r="F104">
        <v>0.54</v>
      </c>
      <c r="G104">
        <v>21.767</v>
      </c>
      <c r="H104">
        <v>1.438</v>
      </c>
      <c r="I104">
        <v>2.626</v>
      </c>
      <c r="J104">
        <v>0.076</v>
      </c>
      <c r="K104">
        <v>11.916</v>
      </c>
      <c r="L104">
        <v>0.968</v>
      </c>
      <c r="M104">
        <v>3.838</v>
      </c>
      <c r="N104">
        <v>100.057</v>
      </c>
      <c r="O104">
        <v>95.855</v>
      </c>
      <c r="P104">
        <f t="shared" si="4"/>
        <v>2.00024747733034</v>
      </c>
      <c r="Q104">
        <f t="shared" si="4"/>
        <v>1.98161477152576</v>
      </c>
      <c r="R104">
        <v>66.032</v>
      </c>
      <c r="S104">
        <v>68.992</v>
      </c>
      <c r="T104">
        <v>71.971</v>
      </c>
      <c r="U104">
        <v>7.576</v>
      </c>
      <c r="V104">
        <v>25.295</v>
      </c>
      <c r="W104">
        <v>0.124</v>
      </c>
      <c r="X104" t="s">
        <v>30</v>
      </c>
      <c r="Y104" t="s">
        <v>31</v>
      </c>
      <c r="Z104" s="3">
        <f t="shared" si="5"/>
        <v>0.0186327058045861</v>
      </c>
      <c r="AA104">
        <f t="shared" si="6"/>
        <v>0.892</v>
      </c>
      <c r="AB104">
        <f t="shared" si="7"/>
        <v>1.508</v>
      </c>
      <c r="AC104" t="s">
        <v>32</v>
      </c>
    </row>
    <row r="105" spans="1:29">
      <c r="A105" t="s">
        <v>37</v>
      </c>
      <c r="B105">
        <v>3822.375</v>
      </c>
      <c r="C105">
        <v>15.624</v>
      </c>
      <c r="D105">
        <v>97.341</v>
      </c>
      <c r="E105">
        <v>180.532</v>
      </c>
      <c r="F105">
        <v>0.576</v>
      </c>
      <c r="G105">
        <v>21.748</v>
      </c>
      <c r="H105">
        <v>1.32</v>
      </c>
      <c r="I105">
        <v>2.615</v>
      </c>
      <c r="J105">
        <v>0.024</v>
      </c>
      <c r="K105">
        <v>11.828</v>
      </c>
      <c r="L105">
        <v>0.957</v>
      </c>
      <c r="M105">
        <v>3.809</v>
      </c>
      <c r="N105">
        <v>96.727</v>
      </c>
      <c r="O105">
        <v>92.658</v>
      </c>
      <c r="P105">
        <f t="shared" si="4"/>
        <v>1.98554771828456</v>
      </c>
      <c r="Q105">
        <f t="shared" si="4"/>
        <v>1.96688292182939</v>
      </c>
      <c r="R105">
        <v>72.495</v>
      </c>
      <c r="S105">
        <v>75.724</v>
      </c>
      <c r="T105">
        <v>78.983</v>
      </c>
      <c r="U105">
        <v>7.617</v>
      </c>
      <c r="V105">
        <v>23.613</v>
      </c>
      <c r="W105">
        <v>0.127</v>
      </c>
      <c r="X105" t="s">
        <v>30</v>
      </c>
      <c r="Y105" t="s">
        <v>31</v>
      </c>
      <c r="Z105" s="3">
        <f t="shared" si="5"/>
        <v>0.0186647964551745</v>
      </c>
      <c r="AA105">
        <f t="shared" si="6"/>
        <v>0.933</v>
      </c>
      <c r="AB105">
        <f t="shared" si="7"/>
        <v>1.533</v>
      </c>
      <c r="AC105" t="s">
        <v>32</v>
      </c>
    </row>
    <row r="106" spans="1:29">
      <c r="A106" t="s">
        <v>37</v>
      </c>
      <c r="B106">
        <v>3822.5</v>
      </c>
      <c r="C106">
        <v>12.956</v>
      </c>
      <c r="D106">
        <v>97.143</v>
      </c>
      <c r="E106">
        <v>179.661</v>
      </c>
      <c r="F106">
        <v>0.56</v>
      </c>
      <c r="G106">
        <v>21.726</v>
      </c>
      <c r="H106">
        <v>1.053</v>
      </c>
      <c r="I106">
        <v>2.61</v>
      </c>
      <c r="J106">
        <v>0</v>
      </c>
      <c r="K106">
        <v>11.808</v>
      </c>
      <c r="L106">
        <v>0.954</v>
      </c>
      <c r="M106">
        <v>3.728</v>
      </c>
      <c r="N106">
        <v>96.415</v>
      </c>
      <c r="O106">
        <v>92.359</v>
      </c>
      <c r="P106">
        <f t="shared" si="4"/>
        <v>1.98414460558804</v>
      </c>
      <c r="Q106">
        <f t="shared" si="4"/>
        <v>1.96547922202737</v>
      </c>
      <c r="R106">
        <v>80.138</v>
      </c>
      <c r="S106">
        <v>83.685</v>
      </c>
      <c r="T106">
        <v>87.276</v>
      </c>
      <c r="U106">
        <v>7.378</v>
      </c>
      <c r="V106">
        <v>23.603</v>
      </c>
      <c r="W106">
        <v>0.111</v>
      </c>
      <c r="X106" t="s">
        <v>30</v>
      </c>
      <c r="Y106" t="s">
        <v>31</v>
      </c>
      <c r="Z106" s="3">
        <f t="shared" si="5"/>
        <v>0.0186653835606676</v>
      </c>
      <c r="AA106">
        <f t="shared" si="6"/>
        <v>0.954</v>
      </c>
      <c r="AB106">
        <f t="shared" si="7"/>
        <v>1.514</v>
      </c>
      <c r="AC106" t="s">
        <v>32</v>
      </c>
    </row>
    <row r="107" spans="1:29">
      <c r="A107" t="s">
        <v>37</v>
      </c>
      <c r="B107">
        <v>3822.625</v>
      </c>
      <c r="C107">
        <v>11.974</v>
      </c>
      <c r="D107">
        <v>97.092</v>
      </c>
      <c r="E107">
        <v>177.126</v>
      </c>
      <c r="F107">
        <v>0.515</v>
      </c>
      <c r="G107">
        <v>21.712</v>
      </c>
      <c r="H107">
        <v>0.905</v>
      </c>
      <c r="I107">
        <v>2.614</v>
      </c>
      <c r="J107">
        <v>0.019</v>
      </c>
      <c r="K107">
        <v>11.787</v>
      </c>
      <c r="L107">
        <v>0.952</v>
      </c>
      <c r="M107">
        <v>3.677</v>
      </c>
      <c r="N107">
        <v>100.877</v>
      </c>
      <c r="O107">
        <v>96.642</v>
      </c>
      <c r="P107">
        <f t="shared" si="4"/>
        <v>2.00379215819212</v>
      </c>
      <c r="Q107">
        <f t="shared" si="4"/>
        <v>1.98516590906654</v>
      </c>
      <c r="R107">
        <v>83.901</v>
      </c>
      <c r="S107">
        <v>87.606</v>
      </c>
      <c r="T107">
        <v>91.36</v>
      </c>
      <c r="U107">
        <v>7.173</v>
      </c>
      <c r="V107">
        <v>24.126</v>
      </c>
      <c r="W107">
        <v>0.098</v>
      </c>
      <c r="X107" t="s">
        <v>30</v>
      </c>
      <c r="Y107" t="s">
        <v>31</v>
      </c>
      <c r="Z107" s="3">
        <f t="shared" si="5"/>
        <v>0.0186262491255744</v>
      </c>
      <c r="AA107">
        <f t="shared" si="6"/>
        <v>0.933</v>
      </c>
      <c r="AB107">
        <f t="shared" si="7"/>
        <v>1.467</v>
      </c>
      <c r="AC107" t="s">
        <v>32</v>
      </c>
    </row>
    <row r="108" spans="1:29">
      <c r="A108" t="s">
        <v>37</v>
      </c>
      <c r="B108">
        <v>3822.75</v>
      </c>
      <c r="C108">
        <v>11.773</v>
      </c>
      <c r="D108">
        <v>96.968</v>
      </c>
      <c r="E108">
        <v>175.241</v>
      </c>
      <c r="F108">
        <v>0.481</v>
      </c>
      <c r="G108">
        <v>21.705</v>
      </c>
      <c r="H108">
        <v>0.817</v>
      </c>
      <c r="I108">
        <v>2.62</v>
      </c>
      <c r="J108">
        <v>0.048</v>
      </c>
      <c r="K108">
        <v>11.68</v>
      </c>
      <c r="L108">
        <v>0.938</v>
      </c>
      <c r="M108">
        <v>3.625</v>
      </c>
      <c r="N108">
        <v>108.473</v>
      </c>
      <c r="O108">
        <v>103.934</v>
      </c>
      <c r="P108">
        <f t="shared" si="4"/>
        <v>2.0353216514542</v>
      </c>
      <c r="Q108">
        <f t="shared" si="4"/>
        <v>2.01675764184893</v>
      </c>
      <c r="R108">
        <v>83.186</v>
      </c>
      <c r="S108">
        <v>86.861</v>
      </c>
      <c r="T108">
        <v>90.584</v>
      </c>
      <c r="U108">
        <v>7.127</v>
      </c>
      <c r="V108">
        <v>24.796</v>
      </c>
      <c r="W108">
        <v>0.095</v>
      </c>
      <c r="X108" t="s">
        <v>30</v>
      </c>
      <c r="Y108" t="s">
        <v>31</v>
      </c>
      <c r="Z108" s="3">
        <f t="shared" si="5"/>
        <v>0.0185640096052664</v>
      </c>
      <c r="AA108">
        <f t="shared" si="6"/>
        <v>0.89</v>
      </c>
      <c r="AB108">
        <f t="shared" si="7"/>
        <v>1.419</v>
      </c>
      <c r="AC108" t="s">
        <v>32</v>
      </c>
    </row>
    <row r="109" spans="1:29">
      <c r="A109" t="s">
        <v>37</v>
      </c>
      <c r="B109">
        <v>3822.875</v>
      </c>
      <c r="C109">
        <v>12.839</v>
      </c>
      <c r="D109">
        <v>96.844</v>
      </c>
      <c r="E109">
        <v>175.336</v>
      </c>
      <c r="F109">
        <v>0.482</v>
      </c>
      <c r="G109">
        <v>21.702</v>
      </c>
      <c r="H109">
        <v>0.798</v>
      </c>
      <c r="I109">
        <v>2.624</v>
      </c>
      <c r="J109">
        <v>0.067</v>
      </c>
      <c r="K109">
        <v>11.501</v>
      </c>
      <c r="L109">
        <v>0.916</v>
      </c>
      <c r="M109">
        <v>3.577</v>
      </c>
      <c r="N109">
        <v>116.089</v>
      </c>
      <c r="O109">
        <v>111.246</v>
      </c>
      <c r="P109">
        <f t="shared" si="4"/>
        <v>2.06479107016384</v>
      </c>
      <c r="Q109">
        <f t="shared" si="4"/>
        <v>2.04628440428975</v>
      </c>
      <c r="R109">
        <v>80.474</v>
      </c>
      <c r="S109">
        <v>84.035</v>
      </c>
      <c r="T109">
        <v>87.641</v>
      </c>
      <c r="U109">
        <v>7.595</v>
      </c>
      <c r="V109">
        <v>23.419</v>
      </c>
      <c r="W109">
        <v>0.126</v>
      </c>
      <c r="X109" t="s">
        <v>30</v>
      </c>
      <c r="Y109" t="s">
        <v>31</v>
      </c>
      <c r="Z109" s="3">
        <f t="shared" si="5"/>
        <v>0.0185066658740887</v>
      </c>
      <c r="AA109">
        <f t="shared" si="6"/>
        <v>0.849</v>
      </c>
      <c r="AB109">
        <f t="shared" si="7"/>
        <v>1.398</v>
      </c>
      <c r="AC109" t="s">
        <v>32</v>
      </c>
    </row>
    <row r="110" spans="1:29">
      <c r="A110" t="s">
        <v>37</v>
      </c>
      <c r="B110">
        <v>3823</v>
      </c>
      <c r="C110">
        <v>15.495</v>
      </c>
      <c r="D110">
        <v>96.646</v>
      </c>
      <c r="E110">
        <v>180.637</v>
      </c>
      <c r="F110">
        <v>0.578</v>
      </c>
      <c r="G110">
        <v>21.664</v>
      </c>
      <c r="H110">
        <v>1.051</v>
      </c>
      <c r="I110">
        <v>2.624</v>
      </c>
      <c r="J110">
        <v>0.067</v>
      </c>
      <c r="K110">
        <v>11.178</v>
      </c>
      <c r="L110">
        <v>0.876</v>
      </c>
      <c r="M110">
        <v>3.518</v>
      </c>
      <c r="N110">
        <v>118.96</v>
      </c>
      <c r="O110">
        <v>114.001</v>
      </c>
      <c r="P110">
        <f t="shared" si="4"/>
        <v>2.0754009555139</v>
      </c>
      <c r="Q110">
        <f t="shared" si="4"/>
        <v>2.05690866092048</v>
      </c>
      <c r="R110">
        <v>80.366</v>
      </c>
      <c r="S110">
        <v>83.923</v>
      </c>
      <c r="T110">
        <v>87.524</v>
      </c>
      <c r="U110">
        <v>7.376</v>
      </c>
      <c r="V110">
        <v>23.861</v>
      </c>
      <c r="W110">
        <v>0.111</v>
      </c>
      <c r="X110" t="s">
        <v>30</v>
      </c>
      <c r="Y110" t="s">
        <v>31</v>
      </c>
      <c r="Z110" s="3">
        <f t="shared" si="5"/>
        <v>0.0184922945934156</v>
      </c>
      <c r="AA110">
        <f t="shared" si="6"/>
        <v>0.809</v>
      </c>
      <c r="AB110">
        <f t="shared" si="7"/>
        <v>1.454</v>
      </c>
      <c r="AC110" t="s">
        <v>32</v>
      </c>
    </row>
    <row r="111" spans="1:29">
      <c r="A111" t="s">
        <v>37</v>
      </c>
      <c r="B111">
        <v>3823.125</v>
      </c>
      <c r="C111">
        <v>15.285</v>
      </c>
      <c r="D111">
        <v>96.646</v>
      </c>
      <c r="E111">
        <v>182.811</v>
      </c>
      <c r="F111">
        <v>0.617</v>
      </c>
      <c r="G111">
        <v>21.648</v>
      </c>
      <c r="H111">
        <v>1.239</v>
      </c>
      <c r="I111">
        <v>2.626</v>
      </c>
      <c r="J111">
        <v>0.076</v>
      </c>
      <c r="K111">
        <v>11.059</v>
      </c>
      <c r="L111">
        <v>0.861</v>
      </c>
      <c r="M111">
        <v>3.511</v>
      </c>
      <c r="N111">
        <v>116.218</v>
      </c>
      <c r="O111">
        <v>111.369</v>
      </c>
      <c r="P111">
        <f t="shared" si="4"/>
        <v>2.06527339737674</v>
      </c>
      <c r="Q111">
        <f t="shared" si="4"/>
        <v>2.04676432007898</v>
      </c>
      <c r="R111">
        <v>85.055</v>
      </c>
      <c r="S111">
        <v>88.808</v>
      </c>
      <c r="T111">
        <v>93.625</v>
      </c>
      <c r="U111">
        <v>7.479</v>
      </c>
      <c r="V111">
        <v>22.174</v>
      </c>
      <c r="W111">
        <v>0.117</v>
      </c>
      <c r="X111" t="s">
        <v>30</v>
      </c>
      <c r="Y111" t="s">
        <v>31</v>
      </c>
      <c r="Z111" s="3">
        <f t="shared" si="5"/>
        <v>0.0185090772977596</v>
      </c>
      <c r="AA111">
        <f t="shared" si="6"/>
        <v>0.785</v>
      </c>
      <c r="AB111">
        <f t="shared" si="7"/>
        <v>1.478</v>
      </c>
      <c r="AC111" t="s">
        <v>32</v>
      </c>
    </row>
    <row r="112" spans="1:29">
      <c r="A112" t="s">
        <v>37</v>
      </c>
      <c r="B112">
        <v>3823.25</v>
      </c>
      <c r="C112">
        <v>14.203</v>
      </c>
      <c r="D112">
        <v>96.595</v>
      </c>
      <c r="E112">
        <v>183.211</v>
      </c>
      <c r="F112">
        <v>0.625</v>
      </c>
      <c r="G112">
        <v>21.651</v>
      </c>
      <c r="H112">
        <v>1.469</v>
      </c>
      <c r="I112">
        <v>2.633</v>
      </c>
      <c r="J112">
        <v>0.11</v>
      </c>
      <c r="K112">
        <v>10.947</v>
      </c>
      <c r="L112">
        <v>0.848</v>
      </c>
      <c r="M112">
        <v>3.518</v>
      </c>
      <c r="N112">
        <v>113.783</v>
      </c>
      <c r="O112">
        <v>109.032</v>
      </c>
      <c r="P112">
        <f t="shared" si="4"/>
        <v>2.05607738018118</v>
      </c>
      <c r="Q112">
        <f t="shared" si="4"/>
        <v>2.03755397852623</v>
      </c>
      <c r="R112">
        <v>90.606</v>
      </c>
      <c r="S112">
        <v>94.589</v>
      </c>
      <c r="T112">
        <v>99.774</v>
      </c>
      <c r="U112">
        <v>7.399</v>
      </c>
      <c r="V112">
        <v>22.437</v>
      </c>
      <c r="W112">
        <v>0.112</v>
      </c>
      <c r="X112" t="s">
        <v>30</v>
      </c>
      <c r="Y112" t="s">
        <v>31</v>
      </c>
      <c r="Z112" s="3">
        <f t="shared" si="5"/>
        <v>0.0185234016549467</v>
      </c>
      <c r="AA112">
        <f t="shared" si="6"/>
        <v>0.738</v>
      </c>
      <c r="AB112">
        <f t="shared" si="7"/>
        <v>1.473</v>
      </c>
      <c r="AC112" t="s">
        <v>32</v>
      </c>
    </row>
    <row r="113" spans="1:29">
      <c r="A113" t="s">
        <v>37</v>
      </c>
      <c r="B113">
        <v>3823.375</v>
      </c>
      <c r="C113">
        <v>13.746</v>
      </c>
      <c r="D113">
        <v>96.522</v>
      </c>
      <c r="E113">
        <v>182.317</v>
      </c>
      <c r="F113">
        <v>0.608</v>
      </c>
      <c r="G113">
        <v>21.65</v>
      </c>
      <c r="H113">
        <v>1.696</v>
      </c>
      <c r="I113">
        <v>2.645</v>
      </c>
      <c r="J113">
        <v>0.167</v>
      </c>
      <c r="K113">
        <v>10.81</v>
      </c>
      <c r="L113">
        <v>0.831</v>
      </c>
      <c r="M113">
        <v>3.536</v>
      </c>
      <c r="N113">
        <v>110.937</v>
      </c>
      <c r="O113">
        <v>106.299</v>
      </c>
      <c r="P113">
        <f t="shared" si="4"/>
        <v>2.0450764173472</v>
      </c>
      <c r="Q113">
        <f t="shared" si="4"/>
        <v>2.02652917894922</v>
      </c>
      <c r="R113">
        <v>86.934</v>
      </c>
      <c r="S113">
        <v>90.679</v>
      </c>
      <c r="T113">
        <v>93.513</v>
      </c>
      <c r="U113">
        <v>6.985</v>
      </c>
      <c r="V113">
        <v>25.77</v>
      </c>
      <c r="W113">
        <v>0.087</v>
      </c>
      <c r="X113" t="s">
        <v>30</v>
      </c>
      <c r="Y113" t="s">
        <v>31</v>
      </c>
      <c r="Z113" s="3">
        <f t="shared" si="5"/>
        <v>0.0185472383979799</v>
      </c>
      <c r="AA113">
        <f t="shared" si="6"/>
        <v>0.664</v>
      </c>
      <c r="AB113">
        <f t="shared" si="7"/>
        <v>1.439</v>
      </c>
      <c r="AC113" t="s">
        <v>32</v>
      </c>
    </row>
    <row r="114" spans="1:29">
      <c r="A114" t="s">
        <v>37</v>
      </c>
      <c r="B114">
        <v>3823.5</v>
      </c>
      <c r="C114">
        <v>14.078</v>
      </c>
      <c r="D114">
        <v>96.547</v>
      </c>
      <c r="E114">
        <v>178.878</v>
      </c>
      <c r="F114">
        <v>0.546</v>
      </c>
      <c r="G114">
        <v>21.626</v>
      </c>
      <c r="H114">
        <v>2.017</v>
      </c>
      <c r="I114">
        <v>2.665</v>
      </c>
      <c r="J114">
        <v>0.262</v>
      </c>
      <c r="K114">
        <v>10.55</v>
      </c>
      <c r="L114">
        <v>0.798</v>
      </c>
      <c r="M114">
        <v>3.596</v>
      </c>
      <c r="N114">
        <v>107.898</v>
      </c>
      <c r="O114">
        <v>103.382</v>
      </c>
      <c r="P114">
        <f t="shared" si="4"/>
        <v>2.03301339466425</v>
      </c>
      <c r="Q114">
        <f t="shared" si="4"/>
        <v>2.01444492965564</v>
      </c>
      <c r="R114">
        <v>72.915</v>
      </c>
      <c r="S114">
        <v>75.961</v>
      </c>
      <c r="T114">
        <v>77.48</v>
      </c>
      <c r="U114">
        <v>6.884</v>
      </c>
      <c r="V114">
        <v>29.548</v>
      </c>
      <c r="W114">
        <v>0.082</v>
      </c>
      <c r="X114" t="s">
        <v>30</v>
      </c>
      <c r="Y114" t="s">
        <v>31</v>
      </c>
      <c r="Z114" s="3">
        <f t="shared" si="5"/>
        <v>0.0185684650086047</v>
      </c>
      <c r="AA114">
        <f t="shared" si="6"/>
        <v>0.536</v>
      </c>
      <c r="AB114">
        <f t="shared" si="7"/>
        <v>1.344</v>
      </c>
      <c r="AC114" t="s">
        <v>32</v>
      </c>
    </row>
    <row r="115" spans="1:29">
      <c r="A115" t="s">
        <v>37</v>
      </c>
      <c r="B115">
        <v>3823.625</v>
      </c>
      <c r="C115">
        <v>13.845</v>
      </c>
      <c r="D115">
        <v>96.635</v>
      </c>
      <c r="E115">
        <v>177.891</v>
      </c>
      <c r="F115">
        <v>0.528</v>
      </c>
      <c r="G115">
        <v>21.619</v>
      </c>
      <c r="H115">
        <v>2.07</v>
      </c>
      <c r="I115">
        <v>2.667</v>
      </c>
      <c r="J115">
        <v>0.271</v>
      </c>
      <c r="K115">
        <v>10.565</v>
      </c>
      <c r="L115">
        <v>0.8</v>
      </c>
      <c r="M115">
        <v>3.634</v>
      </c>
      <c r="N115">
        <v>108.36</v>
      </c>
      <c r="O115">
        <v>103.826</v>
      </c>
      <c r="P115">
        <f t="shared" si="4"/>
        <v>2.03486899636113</v>
      </c>
      <c r="Q115">
        <f t="shared" si="4"/>
        <v>2.01630612270886</v>
      </c>
      <c r="R115">
        <v>60.813</v>
      </c>
      <c r="S115">
        <v>63.347</v>
      </c>
      <c r="T115">
        <v>64.639</v>
      </c>
      <c r="U115">
        <v>6.895</v>
      </c>
      <c r="V115">
        <v>30.846</v>
      </c>
      <c r="W115">
        <v>0.082</v>
      </c>
      <c r="X115" t="s">
        <v>30</v>
      </c>
      <c r="Y115" t="s">
        <v>31</v>
      </c>
      <c r="Z115" s="3">
        <f t="shared" si="5"/>
        <v>0.0185628736522663</v>
      </c>
      <c r="AA115">
        <f t="shared" si="6"/>
        <v>0.529</v>
      </c>
      <c r="AB115">
        <f t="shared" si="7"/>
        <v>1.328</v>
      </c>
      <c r="AC115" t="s">
        <v>32</v>
      </c>
    </row>
    <row r="116" spans="1:29">
      <c r="A116" t="s">
        <v>37</v>
      </c>
      <c r="B116">
        <v>3823.75</v>
      </c>
      <c r="C116">
        <v>13.457</v>
      </c>
      <c r="D116">
        <v>96.759</v>
      </c>
      <c r="E116">
        <v>177.805</v>
      </c>
      <c r="F116">
        <v>0.527</v>
      </c>
      <c r="G116">
        <v>21.628</v>
      </c>
      <c r="H116">
        <v>1.973</v>
      </c>
      <c r="I116">
        <v>2.663</v>
      </c>
      <c r="J116">
        <v>0.252</v>
      </c>
      <c r="K116">
        <v>10.675</v>
      </c>
      <c r="L116">
        <v>0.814</v>
      </c>
      <c r="M116">
        <v>3.679</v>
      </c>
      <c r="N116">
        <v>107.622</v>
      </c>
      <c r="O116">
        <v>103.117</v>
      </c>
      <c r="P116">
        <f t="shared" si="4"/>
        <v>2.03190105852346</v>
      </c>
      <c r="Q116">
        <f t="shared" si="4"/>
        <v>2.01333026952768</v>
      </c>
      <c r="R116">
        <v>56.126</v>
      </c>
      <c r="S116">
        <v>58.465</v>
      </c>
      <c r="T116">
        <v>59.658</v>
      </c>
      <c r="U116">
        <v>6.996</v>
      </c>
      <c r="V116">
        <v>31.407</v>
      </c>
      <c r="W116">
        <v>0.088</v>
      </c>
      <c r="X116" t="s">
        <v>30</v>
      </c>
      <c r="Y116" t="s">
        <v>31</v>
      </c>
      <c r="Z116" s="3">
        <f t="shared" si="5"/>
        <v>0.0185707889957785</v>
      </c>
      <c r="AA116">
        <f t="shared" si="6"/>
        <v>0.562</v>
      </c>
      <c r="AB116">
        <f t="shared" si="7"/>
        <v>1.341</v>
      </c>
      <c r="AC116" t="s">
        <v>32</v>
      </c>
    </row>
    <row r="117" spans="1:29">
      <c r="A117" t="s">
        <v>37</v>
      </c>
      <c r="B117">
        <v>3823.875</v>
      </c>
      <c r="C117">
        <v>12.878</v>
      </c>
      <c r="D117">
        <v>96.884</v>
      </c>
      <c r="E117">
        <v>178.423</v>
      </c>
      <c r="F117">
        <v>0.538</v>
      </c>
      <c r="G117">
        <v>21.634</v>
      </c>
      <c r="H117">
        <v>1.851</v>
      </c>
      <c r="I117">
        <v>2.66</v>
      </c>
      <c r="J117">
        <v>0.238</v>
      </c>
      <c r="K117">
        <v>10.779</v>
      </c>
      <c r="L117">
        <v>0.827</v>
      </c>
      <c r="M117">
        <v>3.734</v>
      </c>
      <c r="N117">
        <v>104.652</v>
      </c>
      <c r="O117">
        <v>100.266</v>
      </c>
      <c r="P117">
        <f t="shared" si="4"/>
        <v>2.01974753253771</v>
      </c>
      <c r="Q117">
        <f t="shared" si="4"/>
        <v>2.00115368959405</v>
      </c>
      <c r="R117">
        <v>54.907</v>
      </c>
      <c r="S117">
        <v>57.195</v>
      </c>
      <c r="T117">
        <v>58.362</v>
      </c>
      <c r="U117">
        <v>7.173</v>
      </c>
      <c r="V117">
        <v>30.013</v>
      </c>
      <c r="W117">
        <v>0.098</v>
      </c>
      <c r="X117" t="s">
        <v>30</v>
      </c>
      <c r="Y117" t="s">
        <v>31</v>
      </c>
      <c r="Z117" s="3">
        <f t="shared" si="5"/>
        <v>0.0185938429436616</v>
      </c>
      <c r="AA117">
        <f t="shared" si="6"/>
        <v>0.589</v>
      </c>
      <c r="AB117">
        <f t="shared" si="7"/>
        <v>1.365</v>
      </c>
      <c r="AC117" t="s">
        <v>32</v>
      </c>
    </row>
    <row r="118" spans="1:29">
      <c r="A118" t="s">
        <v>37</v>
      </c>
      <c r="B118">
        <v>3824</v>
      </c>
      <c r="C118">
        <v>12.532</v>
      </c>
      <c r="D118">
        <v>97.132</v>
      </c>
      <c r="E118">
        <v>179.813</v>
      </c>
      <c r="F118">
        <v>0.563</v>
      </c>
      <c r="G118">
        <v>21.599</v>
      </c>
      <c r="H118">
        <v>1.633</v>
      </c>
      <c r="I118">
        <v>2.658</v>
      </c>
      <c r="J118">
        <v>0.229</v>
      </c>
      <c r="K118">
        <v>10.727</v>
      </c>
      <c r="L118">
        <v>0.82</v>
      </c>
      <c r="M118">
        <v>3.882</v>
      </c>
      <c r="N118">
        <v>97.995</v>
      </c>
      <c r="O118">
        <v>93.875</v>
      </c>
      <c r="P118">
        <f t="shared" si="4"/>
        <v>1.99120391724549</v>
      </c>
      <c r="Q118">
        <f t="shared" si="4"/>
        <v>1.97254995001222</v>
      </c>
      <c r="R118">
        <v>56.659</v>
      </c>
      <c r="S118">
        <v>59.02</v>
      </c>
      <c r="T118">
        <v>60.224</v>
      </c>
      <c r="U118">
        <v>7.21</v>
      </c>
      <c r="V118">
        <v>29.488</v>
      </c>
      <c r="W118">
        <v>0.1</v>
      </c>
      <c r="X118" t="s">
        <v>30</v>
      </c>
      <c r="Y118" t="s">
        <v>31</v>
      </c>
      <c r="Z118" s="3">
        <f t="shared" si="5"/>
        <v>0.0186539672332691</v>
      </c>
      <c r="AA118">
        <f t="shared" si="6"/>
        <v>0.591</v>
      </c>
      <c r="AB118">
        <f t="shared" si="7"/>
        <v>1.383</v>
      </c>
      <c r="AC118" t="s">
        <v>32</v>
      </c>
    </row>
    <row r="119" spans="1:29">
      <c r="A119" t="s">
        <v>37</v>
      </c>
      <c r="B119">
        <v>3824.125</v>
      </c>
      <c r="C119">
        <v>12.595</v>
      </c>
      <c r="D119">
        <v>97.257</v>
      </c>
      <c r="E119">
        <v>180.158</v>
      </c>
      <c r="F119">
        <v>0.569</v>
      </c>
      <c r="G119">
        <v>21.59</v>
      </c>
      <c r="H119">
        <v>1.549</v>
      </c>
      <c r="I119">
        <v>2.659</v>
      </c>
      <c r="J119">
        <v>0.233</v>
      </c>
      <c r="K119">
        <v>10.563</v>
      </c>
      <c r="L119">
        <v>0.8</v>
      </c>
      <c r="M119">
        <v>3.972</v>
      </c>
      <c r="N119">
        <v>95.023</v>
      </c>
      <c r="O119">
        <v>91.022</v>
      </c>
      <c r="P119">
        <f t="shared" si="4"/>
        <v>1.97782873754265</v>
      </c>
      <c r="Q119">
        <f t="shared" si="4"/>
        <v>1.95914637390187</v>
      </c>
      <c r="R119">
        <v>57.483</v>
      </c>
      <c r="S119">
        <v>59.878</v>
      </c>
      <c r="T119">
        <v>61.1</v>
      </c>
      <c r="U119">
        <v>7.19</v>
      </c>
      <c r="V119">
        <v>29.549</v>
      </c>
      <c r="W119">
        <v>0.099</v>
      </c>
      <c r="X119" t="s">
        <v>30</v>
      </c>
      <c r="Y119" t="s">
        <v>31</v>
      </c>
      <c r="Z119" s="3">
        <f t="shared" si="5"/>
        <v>0.0186823636407805</v>
      </c>
      <c r="AA119">
        <f t="shared" si="6"/>
        <v>0.567</v>
      </c>
      <c r="AB119">
        <f t="shared" si="7"/>
        <v>1.369</v>
      </c>
      <c r="AC119" t="s">
        <v>32</v>
      </c>
    </row>
    <row r="120" spans="1:29">
      <c r="A120" t="s">
        <v>37</v>
      </c>
      <c r="B120">
        <v>3824.25</v>
      </c>
      <c r="C120">
        <v>13.006</v>
      </c>
      <c r="D120">
        <v>97.355</v>
      </c>
      <c r="E120">
        <v>180.167</v>
      </c>
      <c r="F120">
        <v>0.57</v>
      </c>
      <c r="G120">
        <v>21.617</v>
      </c>
      <c r="H120">
        <v>1.527</v>
      </c>
      <c r="I120">
        <v>2.661</v>
      </c>
      <c r="J120">
        <v>0.243</v>
      </c>
      <c r="K120">
        <v>10.323</v>
      </c>
      <c r="L120">
        <v>0.77</v>
      </c>
      <c r="M120">
        <v>4.066</v>
      </c>
      <c r="N120">
        <v>92.402</v>
      </c>
      <c r="O120">
        <v>88.506</v>
      </c>
      <c r="P120">
        <f t="shared" si="4"/>
        <v>1.96568137143183</v>
      </c>
      <c r="Q120">
        <f t="shared" si="4"/>
        <v>1.94697271339347</v>
      </c>
      <c r="R120">
        <v>56.127</v>
      </c>
      <c r="S120">
        <v>58.466</v>
      </c>
      <c r="T120">
        <v>59.659</v>
      </c>
      <c r="U120">
        <v>6.648</v>
      </c>
      <c r="V120">
        <v>33.084</v>
      </c>
      <c r="W120">
        <v>0.07</v>
      </c>
      <c r="X120" t="s">
        <v>30</v>
      </c>
      <c r="Y120" t="s">
        <v>31</v>
      </c>
      <c r="Z120" s="3">
        <f t="shared" si="5"/>
        <v>0.0187086580383666</v>
      </c>
      <c r="AA120">
        <f t="shared" si="6"/>
        <v>0.527</v>
      </c>
      <c r="AB120">
        <f t="shared" si="7"/>
        <v>1.34</v>
      </c>
      <c r="AC120" t="s">
        <v>32</v>
      </c>
    </row>
    <row r="121" spans="1:29">
      <c r="A121" t="s">
        <v>37</v>
      </c>
      <c r="B121">
        <v>3824.375</v>
      </c>
      <c r="C121">
        <v>13.584</v>
      </c>
      <c r="D121">
        <v>97.391</v>
      </c>
      <c r="E121">
        <v>179.916</v>
      </c>
      <c r="F121">
        <v>0.565</v>
      </c>
      <c r="G121">
        <v>21.655</v>
      </c>
      <c r="H121">
        <v>1.493</v>
      </c>
      <c r="I121">
        <v>2.663</v>
      </c>
      <c r="J121">
        <v>0.252</v>
      </c>
      <c r="K121">
        <v>10.062</v>
      </c>
      <c r="L121">
        <v>0.738</v>
      </c>
      <c r="M121">
        <v>4.151</v>
      </c>
      <c r="N121">
        <v>91.535</v>
      </c>
      <c r="O121">
        <v>87.673</v>
      </c>
      <c r="P121">
        <f t="shared" si="4"/>
        <v>1.96158718587459</v>
      </c>
      <c r="Q121">
        <f t="shared" si="4"/>
        <v>1.94286586752336</v>
      </c>
      <c r="R121">
        <v>51.425</v>
      </c>
      <c r="S121">
        <v>53.567</v>
      </c>
      <c r="T121">
        <v>54.661</v>
      </c>
      <c r="U121">
        <v>6.43</v>
      </c>
      <c r="V121">
        <v>36.581</v>
      </c>
      <c r="W121">
        <v>0.06</v>
      </c>
      <c r="X121" t="s">
        <v>30</v>
      </c>
      <c r="Y121" t="s">
        <v>31</v>
      </c>
      <c r="Z121" s="3">
        <f t="shared" si="5"/>
        <v>0.0187213183512311</v>
      </c>
      <c r="AA121">
        <f t="shared" si="6"/>
        <v>0.486</v>
      </c>
      <c r="AB121">
        <f t="shared" si="7"/>
        <v>1.303</v>
      </c>
      <c r="AC121" t="s">
        <v>32</v>
      </c>
    </row>
    <row r="122" spans="1:29">
      <c r="A122" t="s">
        <v>37</v>
      </c>
      <c r="B122">
        <v>3824.5</v>
      </c>
      <c r="C122">
        <v>12.732</v>
      </c>
      <c r="D122">
        <v>97.306</v>
      </c>
      <c r="E122">
        <v>177.633</v>
      </c>
      <c r="F122">
        <v>0.524</v>
      </c>
      <c r="G122">
        <v>21.695</v>
      </c>
      <c r="H122">
        <v>1.221</v>
      </c>
      <c r="I122">
        <v>2.667</v>
      </c>
      <c r="J122">
        <v>0.271</v>
      </c>
      <c r="K122">
        <v>9.609</v>
      </c>
      <c r="L122">
        <v>0.682</v>
      </c>
      <c r="M122">
        <v>4.243</v>
      </c>
      <c r="N122">
        <v>91.932</v>
      </c>
      <c r="O122">
        <v>88.055</v>
      </c>
      <c r="P122">
        <f t="shared" si="4"/>
        <v>1.9634667083873</v>
      </c>
      <c r="Q122">
        <f t="shared" si="4"/>
        <v>1.94475402141354</v>
      </c>
      <c r="R122">
        <v>43.934</v>
      </c>
      <c r="S122">
        <v>45.765</v>
      </c>
      <c r="T122">
        <v>46.699</v>
      </c>
      <c r="U122">
        <v>6.201</v>
      </c>
      <c r="V122">
        <v>42.034</v>
      </c>
      <c r="W122">
        <v>0.051</v>
      </c>
      <c r="X122" t="s">
        <v>30</v>
      </c>
      <c r="Y122" t="s">
        <v>31</v>
      </c>
      <c r="Z122" s="3">
        <f t="shared" si="5"/>
        <v>0.0187126869737564</v>
      </c>
      <c r="AA122">
        <f t="shared" si="6"/>
        <v>0.411</v>
      </c>
      <c r="AB122">
        <f t="shared" si="7"/>
        <v>1.206</v>
      </c>
      <c r="AC122" t="s">
        <v>32</v>
      </c>
    </row>
    <row r="123" spans="1:29">
      <c r="A123" t="s">
        <v>37</v>
      </c>
      <c r="B123">
        <v>3824.625</v>
      </c>
      <c r="C123">
        <v>12.1</v>
      </c>
      <c r="D123">
        <v>97.062</v>
      </c>
      <c r="E123">
        <v>175.335</v>
      </c>
      <c r="F123">
        <v>0.482</v>
      </c>
      <c r="G123">
        <v>21.713</v>
      </c>
      <c r="H123">
        <v>1.156</v>
      </c>
      <c r="I123">
        <v>2.671</v>
      </c>
      <c r="J123">
        <v>0.29</v>
      </c>
      <c r="K123">
        <v>9.403</v>
      </c>
      <c r="L123">
        <v>0.656</v>
      </c>
      <c r="M123">
        <v>4.233</v>
      </c>
      <c r="N123">
        <v>91.4</v>
      </c>
      <c r="O123">
        <v>87.544</v>
      </c>
      <c r="P123">
        <f t="shared" si="4"/>
        <v>1.96094619573383</v>
      </c>
      <c r="Q123">
        <f t="shared" si="4"/>
        <v>1.94222638621404</v>
      </c>
      <c r="R123">
        <v>38.961</v>
      </c>
      <c r="S123">
        <v>40.585</v>
      </c>
      <c r="T123">
        <v>41.413</v>
      </c>
      <c r="U123">
        <v>5.791</v>
      </c>
      <c r="V123">
        <v>45.409</v>
      </c>
      <c r="W123">
        <v>0.038</v>
      </c>
      <c r="X123" t="s">
        <v>30</v>
      </c>
      <c r="Y123" t="s">
        <v>31</v>
      </c>
      <c r="Z123" s="3">
        <f t="shared" si="5"/>
        <v>0.0187198095197927</v>
      </c>
      <c r="AA123">
        <f t="shared" si="6"/>
        <v>0.366</v>
      </c>
      <c r="AB123">
        <f t="shared" si="7"/>
        <v>1.138</v>
      </c>
      <c r="AC123" t="s">
        <v>32</v>
      </c>
    </row>
    <row r="124" spans="1:29">
      <c r="A124" t="s">
        <v>37</v>
      </c>
      <c r="B124">
        <v>3824.75</v>
      </c>
      <c r="C124">
        <v>11.91</v>
      </c>
      <c r="D124">
        <v>96.732</v>
      </c>
      <c r="E124">
        <v>171.662</v>
      </c>
      <c r="F124">
        <v>0.416</v>
      </c>
      <c r="G124">
        <v>21.733</v>
      </c>
      <c r="H124">
        <v>1.156</v>
      </c>
      <c r="I124">
        <v>2.675</v>
      </c>
      <c r="J124">
        <v>0.31</v>
      </c>
      <c r="K124">
        <v>9.28</v>
      </c>
      <c r="L124">
        <v>0.641</v>
      </c>
      <c r="M124">
        <v>4.18</v>
      </c>
      <c r="N124">
        <v>92.753</v>
      </c>
      <c r="O124">
        <v>88.842</v>
      </c>
      <c r="P124">
        <f t="shared" si="4"/>
        <v>1.96732796532078</v>
      </c>
      <c r="Q124">
        <f t="shared" si="4"/>
        <v>1.94861832676958</v>
      </c>
      <c r="R124">
        <v>39.242</v>
      </c>
      <c r="S124">
        <v>40.877</v>
      </c>
      <c r="T124">
        <v>41.711</v>
      </c>
      <c r="U124">
        <v>5.233</v>
      </c>
      <c r="V124">
        <v>49.99</v>
      </c>
      <c r="W124">
        <v>0.024</v>
      </c>
      <c r="X124" t="s">
        <v>30</v>
      </c>
      <c r="Y124" t="s">
        <v>31</v>
      </c>
      <c r="Z124" s="3">
        <f t="shared" si="5"/>
        <v>0.0187096385511984</v>
      </c>
      <c r="AA124">
        <f t="shared" si="6"/>
        <v>0.331</v>
      </c>
      <c r="AB124">
        <f t="shared" si="7"/>
        <v>1.057</v>
      </c>
      <c r="AC124" t="s">
        <v>32</v>
      </c>
    </row>
    <row r="125" spans="1:29">
      <c r="A125" t="s">
        <v>37</v>
      </c>
      <c r="B125">
        <v>3824.875</v>
      </c>
      <c r="C125">
        <v>11.697</v>
      </c>
      <c r="D125">
        <v>96.337</v>
      </c>
      <c r="E125">
        <v>166.666</v>
      </c>
      <c r="F125">
        <v>0.326</v>
      </c>
      <c r="G125">
        <v>21.716</v>
      </c>
      <c r="H125">
        <v>1.126</v>
      </c>
      <c r="I125">
        <v>2.682</v>
      </c>
      <c r="J125">
        <v>0.343</v>
      </c>
      <c r="K125">
        <v>9.295</v>
      </c>
      <c r="L125">
        <v>0.643</v>
      </c>
      <c r="M125">
        <v>4.091</v>
      </c>
      <c r="N125">
        <v>97.219</v>
      </c>
      <c r="O125">
        <v>93.131</v>
      </c>
      <c r="P125">
        <f t="shared" si="4"/>
        <v>1.98775114958449</v>
      </c>
      <c r="Q125">
        <f t="shared" si="4"/>
        <v>1.96909426624441</v>
      </c>
      <c r="R125">
        <v>42.345</v>
      </c>
      <c r="S125">
        <v>44.078</v>
      </c>
      <c r="T125">
        <v>44.969</v>
      </c>
      <c r="U125">
        <v>4.279</v>
      </c>
      <c r="V125">
        <v>58.064</v>
      </c>
      <c r="W125">
        <v>0.01</v>
      </c>
      <c r="X125" t="s">
        <v>30</v>
      </c>
      <c r="Y125" t="s">
        <v>31</v>
      </c>
      <c r="Z125" s="3">
        <f t="shared" si="5"/>
        <v>0.018656883340074</v>
      </c>
      <c r="AA125">
        <f t="shared" si="6"/>
        <v>0.3</v>
      </c>
      <c r="AB125">
        <f t="shared" si="7"/>
        <v>0.969</v>
      </c>
      <c r="AC125" t="s">
        <v>32</v>
      </c>
    </row>
    <row r="126" spans="1:29">
      <c r="A126" t="s">
        <v>37</v>
      </c>
      <c r="B126">
        <v>3825</v>
      </c>
      <c r="C126">
        <v>11.153</v>
      </c>
      <c r="D126">
        <v>95.454</v>
      </c>
      <c r="E126">
        <v>158.017</v>
      </c>
      <c r="F126">
        <v>0.169</v>
      </c>
      <c r="G126">
        <v>21.612</v>
      </c>
      <c r="H126">
        <v>0.982</v>
      </c>
      <c r="I126">
        <v>2.697</v>
      </c>
      <c r="J126">
        <v>0.414</v>
      </c>
      <c r="K126">
        <v>9.44</v>
      </c>
      <c r="L126">
        <v>0.661</v>
      </c>
      <c r="M126">
        <v>3.848</v>
      </c>
      <c r="N126">
        <v>106.698</v>
      </c>
      <c r="O126">
        <v>102.23</v>
      </c>
      <c r="P126">
        <f t="shared" si="4"/>
        <v>2.02815627887054</v>
      </c>
      <c r="Q126">
        <f t="shared" si="4"/>
        <v>2.00957836079454</v>
      </c>
      <c r="R126">
        <v>47.294</v>
      </c>
      <c r="S126">
        <v>49.188</v>
      </c>
      <c r="T126">
        <v>50.172</v>
      </c>
      <c r="U126">
        <v>4.075</v>
      </c>
      <c r="V126">
        <v>58.716</v>
      </c>
      <c r="W126">
        <v>0.01</v>
      </c>
      <c r="X126" t="s">
        <v>30</v>
      </c>
      <c r="Y126" t="s">
        <v>31</v>
      </c>
      <c r="Z126" s="3">
        <f t="shared" si="5"/>
        <v>0.0185779180759971</v>
      </c>
      <c r="AA126">
        <f t="shared" si="6"/>
        <v>0.247</v>
      </c>
      <c r="AB126">
        <f t="shared" si="7"/>
        <v>0.83</v>
      </c>
      <c r="AC126" t="s">
        <v>32</v>
      </c>
    </row>
    <row r="127" spans="1:29">
      <c r="A127" t="s">
        <v>38</v>
      </c>
      <c r="B127">
        <v>3586</v>
      </c>
      <c r="C127">
        <v>24.94</v>
      </c>
      <c r="D127">
        <v>76.185</v>
      </c>
      <c r="E127">
        <v>163.575</v>
      </c>
      <c r="F127">
        <v>0.14</v>
      </c>
      <c r="G127">
        <v>24.019</v>
      </c>
      <c r="H127">
        <v>2.418</v>
      </c>
      <c r="I127">
        <v>2.757</v>
      </c>
      <c r="J127">
        <v>0.41</v>
      </c>
      <c r="K127">
        <v>9.844</v>
      </c>
      <c r="L127">
        <v>0.698</v>
      </c>
      <c r="M127">
        <v>3.795</v>
      </c>
      <c r="N127">
        <v>211.314</v>
      </c>
      <c r="O127">
        <v>184.131</v>
      </c>
      <c r="P127">
        <f t="shared" si="4"/>
        <v>2.32492827093462</v>
      </c>
      <c r="Q127">
        <f t="shared" si="4"/>
        <v>2.26512691178245</v>
      </c>
      <c r="R127">
        <v>791.282</v>
      </c>
      <c r="S127">
        <v>955.519</v>
      </c>
      <c r="T127">
        <v>961.801</v>
      </c>
      <c r="U127">
        <v>2.981</v>
      </c>
      <c r="V127">
        <v>16.217</v>
      </c>
      <c r="W127">
        <v>0.01</v>
      </c>
      <c r="X127" t="s">
        <v>30</v>
      </c>
      <c r="Y127" t="s">
        <v>31</v>
      </c>
      <c r="Z127" s="3">
        <f t="shared" si="5"/>
        <v>0.0598013591521709</v>
      </c>
      <c r="AA127">
        <f t="shared" si="6"/>
        <v>0.288</v>
      </c>
      <c r="AB127">
        <f t="shared" si="7"/>
        <v>0.838</v>
      </c>
      <c r="AC127" t="s">
        <v>32</v>
      </c>
    </row>
    <row r="128" spans="1:29">
      <c r="A128" t="s">
        <v>38</v>
      </c>
      <c r="B128">
        <v>3586.125</v>
      </c>
      <c r="C128">
        <v>24.1</v>
      </c>
      <c r="D128">
        <v>76.06</v>
      </c>
      <c r="E128">
        <v>164.339</v>
      </c>
      <c r="F128">
        <v>0.152</v>
      </c>
      <c r="G128">
        <v>24.412</v>
      </c>
      <c r="H128">
        <v>2.36</v>
      </c>
      <c r="I128">
        <v>2.736</v>
      </c>
      <c r="J128">
        <v>0.339</v>
      </c>
      <c r="K128">
        <v>8.594</v>
      </c>
      <c r="L128">
        <v>0.607</v>
      </c>
      <c r="M128">
        <v>3.796</v>
      </c>
      <c r="N128">
        <v>186.047</v>
      </c>
      <c r="O128">
        <v>163.422</v>
      </c>
      <c r="P128">
        <f t="shared" si="4"/>
        <v>2.26962267143388</v>
      </c>
      <c r="Q128">
        <f t="shared" si="4"/>
        <v>2.21331052120164</v>
      </c>
      <c r="R128">
        <v>616.497</v>
      </c>
      <c r="S128">
        <v>806.428</v>
      </c>
      <c r="T128">
        <v>684.831</v>
      </c>
      <c r="U128">
        <v>2.285</v>
      </c>
      <c r="V128">
        <v>23.855</v>
      </c>
      <c r="W128">
        <v>0.01</v>
      </c>
      <c r="X128" t="s">
        <v>30</v>
      </c>
      <c r="Y128" t="s">
        <v>31</v>
      </c>
      <c r="Z128" s="3">
        <f t="shared" si="5"/>
        <v>0.0563121502322326</v>
      </c>
      <c r="AA128">
        <f t="shared" si="6"/>
        <v>0.268</v>
      </c>
      <c r="AB128">
        <f t="shared" si="7"/>
        <v>0.759</v>
      </c>
      <c r="AC128" t="s">
        <v>32</v>
      </c>
    </row>
    <row r="129" spans="1:29">
      <c r="A129" t="s">
        <v>38</v>
      </c>
      <c r="B129">
        <v>3586.25</v>
      </c>
      <c r="C129">
        <v>23.612</v>
      </c>
      <c r="D129">
        <v>75.935</v>
      </c>
      <c r="E129">
        <v>165.754</v>
      </c>
      <c r="F129">
        <v>0.173</v>
      </c>
      <c r="G129">
        <v>24.774</v>
      </c>
      <c r="H129">
        <v>2.314</v>
      </c>
      <c r="I129">
        <v>2.714</v>
      </c>
      <c r="J129">
        <v>0.264</v>
      </c>
      <c r="K129">
        <v>8.339</v>
      </c>
      <c r="L129">
        <v>0.588</v>
      </c>
      <c r="M129">
        <v>3.709</v>
      </c>
      <c r="N129">
        <v>168.619</v>
      </c>
      <c r="O129">
        <v>149.191</v>
      </c>
      <c r="P129">
        <f t="shared" si="4"/>
        <v>2.22690650937676</v>
      </c>
      <c r="Q129">
        <f t="shared" si="4"/>
        <v>2.17374262495816</v>
      </c>
      <c r="R129">
        <v>350.131</v>
      </c>
      <c r="S129">
        <v>506.365</v>
      </c>
      <c r="T129">
        <v>392.059</v>
      </c>
      <c r="U129">
        <v>2.441</v>
      </c>
      <c r="V129">
        <v>29.564</v>
      </c>
      <c r="W129">
        <v>0.01</v>
      </c>
      <c r="X129" t="s">
        <v>30</v>
      </c>
      <c r="Y129" t="s">
        <v>31</v>
      </c>
      <c r="Z129" s="3">
        <f t="shared" si="5"/>
        <v>0.0531638844185993</v>
      </c>
      <c r="AA129">
        <f t="shared" si="6"/>
        <v>0.324</v>
      </c>
      <c r="AB129">
        <f t="shared" si="7"/>
        <v>0.761</v>
      </c>
      <c r="AC129" t="s">
        <v>32</v>
      </c>
    </row>
    <row r="130" spans="1:29">
      <c r="A130" t="s">
        <v>38</v>
      </c>
      <c r="B130">
        <v>3586.375</v>
      </c>
      <c r="C130">
        <v>22.577</v>
      </c>
      <c r="D130">
        <v>75.812</v>
      </c>
      <c r="E130">
        <v>167.276</v>
      </c>
      <c r="F130">
        <v>0.195</v>
      </c>
      <c r="G130">
        <v>24.94</v>
      </c>
      <c r="H130">
        <v>2.234</v>
      </c>
      <c r="I130">
        <v>2.692</v>
      </c>
      <c r="J130">
        <v>0.19</v>
      </c>
      <c r="K130">
        <v>8.691</v>
      </c>
      <c r="L130">
        <v>0.614</v>
      </c>
      <c r="M130">
        <v>3.533</v>
      </c>
      <c r="N130">
        <v>158.034</v>
      </c>
      <c r="O130">
        <v>140.588</v>
      </c>
      <c r="P130">
        <f t="shared" ref="P130:Q193" si="8">LOG(N130)</f>
        <v>2.19875053267508</v>
      </c>
      <c r="Q130">
        <f t="shared" si="8"/>
        <v>2.14794825271657</v>
      </c>
      <c r="R130">
        <v>185.64</v>
      </c>
      <c r="S130">
        <v>248.977</v>
      </c>
      <c r="T130">
        <v>195.586</v>
      </c>
      <c r="U130">
        <v>2.831</v>
      </c>
      <c r="V130">
        <v>35.121</v>
      </c>
      <c r="W130">
        <v>0.01</v>
      </c>
      <c r="X130" t="s">
        <v>30</v>
      </c>
      <c r="Y130" t="s">
        <v>31</v>
      </c>
      <c r="Z130" s="3">
        <f t="shared" ref="Z130:Z193" si="9">P130-Q130</f>
        <v>0.0508022799585173</v>
      </c>
      <c r="AA130">
        <f t="shared" ref="AA130:AA193" si="10">L130-J130</f>
        <v>0.424</v>
      </c>
      <c r="AB130">
        <f t="shared" ref="AB130:AB193" si="11">L130+F130</f>
        <v>0.809</v>
      </c>
      <c r="AC130" t="s">
        <v>32</v>
      </c>
    </row>
    <row r="131" spans="1:29">
      <c r="A131" t="s">
        <v>38</v>
      </c>
      <c r="B131">
        <v>3586.5</v>
      </c>
      <c r="C131">
        <v>21.002</v>
      </c>
      <c r="D131">
        <v>75.693</v>
      </c>
      <c r="E131">
        <v>168.556</v>
      </c>
      <c r="F131">
        <v>0.214</v>
      </c>
      <c r="G131">
        <v>24.717</v>
      </c>
      <c r="H131">
        <v>2.14</v>
      </c>
      <c r="I131">
        <v>2.678</v>
      </c>
      <c r="J131">
        <v>0.142</v>
      </c>
      <c r="K131">
        <v>9.125</v>
      </c>
      <c r="L131">
        <v>0.645</v>
      </c>
      <c r="M131">
        <v>3.303</v>
      </c>
      <c r="N131">
        <v>152.437</v>
      </c>
      <c r="O131">
        <v>136.133</v>
      </c>
      <c r="P131">
        <f t="shared" si="8"/>
        <v>2.18309039315532</v>
      </c>
      <c r="Q131">
        <f t="shared" si="8"/>
        <v>2.1339634152892</v>
      </c>
      <c r="R131">
        <v>131.088</v>
      </c>
      <c r="S131">
        <v>139.876</v>
      </c>
      <c r="T131">
        <v>105.126</v>
      </c>
      <c r="U131">
        <v>3.414</v>
      </c>
      <c r="V131">
        <v>36.963</v>
      </c>
      <c r="W131">
        <v>0.01</v>
      </c>
      <c r="X131" t="s">
        <v>30</v>
      </c>
      <c r="Y131" t="s">
        <v>31</v>
      </c>
      <c r="Z131" s="3">
        <f t="shared" si="9"/>
        <v>0.0491269778661216</v>
      </c>
      <c r="AA131">
        <f t="shared" si="10"/>
        <v>0.503</v>
      </c>
      <c r="AB131">
        <f t="shared" si="11"/>
        <v>0.859</v>
      </c>
      <c r="AC131" t="s">
        <v>32</v>
      </c>
    </row>
    <row r="132" spans="1:29">
      <c r="A132" t="s">
        <v>38</v>
      </c>
      <c r="B132">
        <v>3586.625</v>
      </c>
      <c r="C132">
        <v>19.939</v>
      </c>
      <c r="D132">
        <v>75.579</v>
      </c>
      <c r="E132">
        <v>169.271</v>
      </c>
      <c r="F132">
        <v>0.225</v>
      </c>
      <c r="G132">
        <v>24.055</v>
      </c>
      <c r="H132">
        <v>2.07</v>
      </c>
      <c r="I132">
        <v>2.676</v>
      </c>
      <c r="J132">
        <v>0.136</v>
      </c>
      <c r="K132">
        <v>9.24</v>
      </c>
      <c r="L132">
        <v>0.654</v>
      </c>
      <c r="M132">
        <v>3.076</v>
      </c>
      <c r="N132">
        <v>150.377</v>
      </c>
      <c r="O132">
        <v>134.673</v>
      </c>
      <c r="P132">
        <f t="shared" si="8"/>
        <v>2.1771814164622</v>
      </c>
      <c r="Q132">
        <f t="shared" si="8"/>
        <v>2.12928053465116</v>
      </c>
      <c r="R132">
        <v>119.598</v>
      </c>
      <c r="S132">
        <v>124.304</v>
      </c>
      <c r="T132">
        <v>99.567</v>
      </c>
      <c r="U132">
        <v>3.509</v>
      </c>
      <c r="V132">
        <v>38.063</v>
      </c>
      <c r="W132">
        <v>0.01</v>
      </c>
      <c r="X132" t="s">
        <v>30</v>
      </c>
      <c r="Y132" t="s">
        <v>31</v>
      </c>
      <c r="Z132" s="3">
        <f t="shared" si="9"/>
        <v>0.0479008818110418</v>
      </c>
      <c r="AA132">
        <f t="shared" si="10"/>
        <v>0.518</v>
      </c>
      <c r="AB132">
        <f t="shared" si="11"/>
        <v>0.879</v>
      </c>
      <c r="AC132" t="s">
        <v>32</v>
      </c>
    </row>
    <row r="133" spans="1:29">
      <c r="A133" t="s">
        <v>38</v>
      </c>
      <c r="B133">
        <v>3586.75</v>
      </c>
      <c r="C133">
        <v>20.325</v>
      </c>
      <c r="D133">
        <v>75.474</v>
      </c>
      <c r="E133">
        <v>169.378</v>
      </c>
      <c r="F133">
        <v>0.226</v>
      </c>
      <c r="G133">
        <v>23.519</v>
      </c>
      <c r="H133">
        <v>2.008</v>
      </c>
      <c r="I133">
        <v>2.686</v>
      </c>
      <c r="J133">
        <v>0.169</v>
      </c>
      <c r="K133">
        <v>9.094</v>
      </c>
      <c r="L133">
        <v>0.643</v>
      </c>
      <c r="M133">
        <v>2.882</v>
      </c>
      <c r="N133">
        <v>149.989</v>
      </c>
      <c r="O133">
        <v>134.695</v>
      </c>
      <c r="P133">
        <f t="shared" si="8"/>
        <v>2.17605940962585</v>
      </c>
      <c r="Q133">
        <f t="shared" si="8"/>
        <v>2.12935147461896</v>
      </c>
      <c r="R133">
        <v>128.859</v>
      </c>
      <c r="S133">
        <v>142.258</v>
      </c>
      <c r="T133">
        <v>133.934</v>
      </c>
      <c r="U133">
        <v>3.32</v>
      </c>
      <c r="V133">
        <v>36.464</v>
      </c>
      <c r="W133">
        <v>0.01</v>
      </c>
      <c r="X133" t="s">
        <v>30</v>
      </c>
      <c r="Y133" t="s">
        <v>31</v>
      </c>
      <c r="Z133" s="3">
        <f t="shared" si="9"/>
        <v>0.0467079350068902</v>
      </c>
      <c r="AA133">
        <f t="shared" si="10"/>
        <v>0.474</v>
      </c>
      <c r="AB133">
        <f t="shared" si="11"/>
        <v>0.869</v>
      </c>
      <c r="AC133" t="s">
        <v>32</v>
      </c>
    </row>
    <row r="134" spans="1:29">
      <c r="A134" t="s">
        <v>38</v>
      </c>
      <c r="B134">
        <v>3586.875</v>
      </c>
      <c r="C134">
        <v>22.154</v>
      </c>
      <c r="D134">
        <v>75.378</v>
      </c>
      <c r="E134">
        <v>168.862</v>
      </c>
      <c r="F134">
        <v>0.219</v>
      </c>
      <c r="G134">
        <v>23.297</v>
      </c>
      <c r="H134">
        <v>1.932</v>
      </c>
      <c r="I134">
        <v>2.704</v>
      </c>
      <c r="J134">
        <v>0.231</v>
      </c>
      <c r="K134">
        <v>8.897</v>
      </c>
      <c r="L134">
        <v>0.629</v>
      </c>
      <c r="M134">
        <v>2.718</v>
      </c>
      <c r="N134">
        <v>150.541</v>
      </c>
      <c r="O134">
        <v>135.633</v>
      </c>
      <c r="P134">
        <f t="shared" si="8"/>
        <v>2.17765479659954</v>
      </c>
      <c r="Q134">
        <f t="shared" si="8"/>
        <v>2.13236536780746</v>
      </c>
      <c r="R134">
        <v>148.243</v>
      </c>
      <c r="S134">
        <v>172.373</v>
      </c>
      <c r="T134">
        <v>185.483</v>
      </c>
      <c r="U134">
        <v>2.969</v>
      </c>
      <c r="V134">
        <v>35.441</v>
      </c>
      <c r="W134">
        <v>0.01</v>
      </c>
      <c r="X134" t="s">
        <v>30</v>
      </c>
      <c r="Y134" t="s">
        <v>31</v>
      </c>
      <c r="Z134" s="3">
        <f t="shared" si="9"/>
        <v>0.0452894287920791</v>
      </c>
      <c r="AA134">
        <f t="shared" si="10"/>
        <v>0.398</v>
      </c>
      <c r="AB134">
        <f t="shared" si="11"/>
        <v>0.848</v>
      </c>
      <c r="AC134" t="s">
        <v>32</v>
      </c>
    </row>
    <row r="135" spans="1:29">
      <c r="A135" t="s">
        <v>38</v>
      </c>
      <c r="B135">
        <v>3587</v>
      </c>
      <c r="C135">
        <v>24.276</v>
      </c>
      <c r="D135">
        <v>75.29</v>
      </c>
      <c r="E135">
        <v>167.818</v>
      </c>
      <c r="F135">
        <v>0.203</v>
      </c>
      <c r="G135">
        <v>23.296</v>
      </c>
      <c r="H135">
        <v>1.864</v>
      </c>
      <c r="I135">
        <v>2.726</v>
      </c>
      <c r="J135">
        <v>0.305</v>
      </c>
      <c r="K135">
        <v>8.842</v>
      </c>
      <c r="L135">
        <v>0.625</v>
      </c>
      <c r="M135">
        <v>2.595</v>
      </c>
      <c r="N135">
        <v>151.452</v>
      </c>
      <c r="O135">
        <v>136.981</v>
      </c>
      <c r="P135">
        <f t="shared" si="8"/>
        <v>2.18027501278428</v>
      </c>
      <c r="Q135">
        <f t="shared" si="8"/>
        <v>2.13666033235787</v>
      </c>
      <c r="R135">
        <v>166.117</v>
      </c>
      <c r="S135">
        <v>196.34</v>
      </c>
      <c r="T135">
        <v>224.166</v>
      </c>
      <c r="U135">
        <v>2.559</v>
      </c>
      <c r="V135">
        <v>36.65</v>
      </c>
      <c r="W135">
        <v>0.01</v>
      </c>
      <c r="X135" t="s">
        <v>30</v>
      </c>
      <c r="Y135" t="s">
        <v>31</v>
      </c>
      <c r="Z135" s="3">
        <f t="shared" si="9"/>
        <v>0.0436146804264173</v>
      </c>
      <c r="AA135">
        <f t="shared" si="10"/>
        <v>0.32</v>
      </c>
      <c r="AB135">
        <f t="shared" si="11"/>
        <v>0.828</v>
      </c>
      <c r="AC135" t="s">
        <v>32</v>
      </c>
    </row>
    <row r="136" spans="1:29">
      <c r="A136" t="s">
        <v>38</v>
      </c>
      <c r="B136">
        <v>3587.125</v>
      </c>
      <c r="C136">
        <v>24.891</v>
      </c>
      <c r="D136">
        <v>75.216</v>
      </c>
      <c r="E136">
        <v>166.494</v>
      </c>
      <c r="F136">
        <v>0.184</v>
      </c>
      <c r="G136">
        <v>23.598</v>
      </c>
      <c r="H136">
        <v>1.859</v>
      </c>
      <c r="I136">
        <v>2.739</v>
      </c>
      <c r="J136">
        <v>0.349</v>
      </c>
      <c r="K136">
        <v>9.018</v>
      </c>
      <c r="L136">
        <v>0.638</v>
      </c>
      <c r="M136">
        <v>2.571</v>
      </c>
      <c r="N136">
        <v>152.508</v>
      </c>
      <c r="O136">
        <v>138.434</v>
      </c>
      <c r="P136">
        <f t="shared" si="8"/>
        <v>2.18329262574659</v>
      </c>
      <c r="Q136">
        <f t="shared" si="8"/>
        <v>2.14124276785873</v>
      </c>
      <c r="R136">
        <v>170.624</v>
      </c>
      <c r="S136">
        <v>197.624</v>
      </c>
      <c r="T136">
        <v>218.839</v>
      </c>
      <c r="U136">
        <v>2.342</v>
      </c>
      <c r="V136">
        <v>39.753</v>
      </c>
      <c r="W136">
        <v>0.01</v>
      </c>
      <c r="X136" t="s">
        <v>30</v>
      </c>
      <c r="Y136" t="s">
        <v>31</v>
      </c>
      <c r="Z136" s="3">
        <f t="shared" si="9"/>
        <v>0.0420498578878674</v>
      </c>
      <c r="AA136">
        <f t="shared" si="10"/>
        <v>0.289</v>
      </c>
      <c r="AB136">
        <f t="shared" si="11"/>
        <v>0.822</v>
      </c>
      <c r="AC136" t="s">
        <v>32</v>
      </c>
    </row>
    <row r="137" spans="1:29">
      <c r="A137" t="s">
        <v>38</v>
      </c>
      <c r="B137">
        <v>3587.25</v>
      </c>
      <c r="C137">
        <v>23.928</v>
      </c>
      <c r="D137">
        <v>75.152</v>
      </c>
      <c r="E137">
        <v>165.336</v>
      </c>
      <c r="F137">
        <v>0.166</v>
      </c>
      <c r="G137">
        <v>24.166</v>
      </c>
      <c r="H137">
        <v>1.907</v>
      </c>
      <c r="I137">
        <v>2.741</v>
      </c>
      <c r="J137">
        <v>0.356</v>
      </c>
      <c r="K137">
        <v>9.321</v>
      </c>
      <c r="L137">
        <v>0.66</v>
      </c>
      <c r="M137">
        <v>2.647</v>
      </c>
      <c r="N137">
        <v>154.16</v>
      </c>
      <c r="O137">
        <v>140.297</v>
      </c>
      <c r="P137">
        <f t="shared" si="8"/>
        <v>2.1879717016474</v>
      </c>
      <c r="Q137">
        <f t="shared" si="8"/>
        <v>2.1470483845182</v>
      </c>
      <c r="R137">
        <v>161.241</v>
      </c>
      <c r="S137">
        <v>179.938</v>
      </c>
      <c r="T137">
        <v>182.737</v>
      </c>
      <c r="U137">
        <v>2.591</v>
      </c>
      <c r="V137">
        <v>39.487</v>
      </c>
      <c r="W137">
        <v>0.01</v>
      </c>
      <c r="X137" t="s">
        <v>30</v>
      </c>
      <c r="Y137" t="s">
        <v>31</v>
      </c>
      <c r="Z137" s="3">
        <f t="shared" si="9"/>
        <v>0.0409233171291974</v>
      </c>
      <c r="AA137">
        <f t="shared" si="10"/>
        <v>0.304</v>
      </c>
      <c r="AB137">
        <f t="shared" si="11"/>
        <v>0.826</v>
      </c>
      <c r="AC137" t="s">
        <v>32</v>
      </c>
    </row>
    <row r="138" spans="1:29">
      <c r="A138" t="s">
        <v>38</v>
      </c>
      <c r="B138">
        <v>3587.375</v>
      </c>
      <c r="C138">
        <v>22.552</v>
      </c>
      <c r="D138">
        <v>75.099</v>
      </c>
      <c r="E138">
        <v>164.637</v>
      </c>
      <c r="F138">
        <v>0.156</v>
      </c>
      <c r="G138">
        <v>24.681</v>
      </c>
      <c r="H138">
        <v>1.97</v>
      </c>
      <c r="I138">
        <v>2.737</v>
      </c>
      <c r="J138">
        <v>0.342</v>
      </c>
      <c r="K138">
        <v>9.659</v>
      </c>
      <c r="L138">
        <v>0.684</v>
      </c>
      <c r="M138">
        <v>2.796</v>
      </c>
      <c r="N138">
        <v>157.045</v>
      </c>
      <c r="O138">
        <v>143.128</v>
      </c>
      <c r="P138">
        <f t="shared" si="8"/>
        <v>2.19602411388335</v>
      </c>
      <c r="Q138">
        <f t="shared" si="8"/>
        <v>2.15572460270434</v>
      </c>
      <c r="R138">
        <v>144.679</v>
      </c>
      <c r="S138">
        <v>156.893</v>
      </c>
      <c r="T138">
        <v>145.936</v>
      </c>
      <c r="U138">
        <v>2.945</v>
      </c>
      <c r="V138">
        <v>37.795</v>
      </c>
      <c r="W138">
        <v>0.01</v>
      </c>
      <c r="X138" t="s">
        <v>30</v>
      </c>
      <c r="Y138" t="s">
        <v>31</v>
      </c>
      <c r="Z138" s="3">
        <f t="shared" si="9"/>
        <v>0.0402995111790112</v>
      </c>
      <c r="AA138">
        <f t="shared" si="10"/>
        <v>0.342</v>
      </c>
      <c r="AB138">
        <f t="shared" si="11"/>
        <v>0.84</v>
      </c>
      <c r="AC138" t="s">
        <v>32</v>
      </c>
    </row>
    <row r="139" spans="1:29">
      <c r="A139" t="s">
        <v>38</v>
      </c>
      <c r="B139">
        <v>3587.5</v>
      </c>
      <c r="C139">
        <v>21.829</v>
      </c>
      <c r="D139">
        <v>75.057</v>
      </c>
      <c r="E139">
        <v>164.436</v>
      </c>
      <c r="F139">
        <v>0.153</v>
      </c>
      <c r="G139">
        <v>24.712</v>
      </c>
      <c r="H139">
        <v>2.016</v>
      </c>
      <c r="I139">
        <v>2.733</v>
      </c>
      <c r="J139">
        <v>0.329</v>
      </c>
      <c r="K139">
        <v>9.976</v>
      </c>
      <c r="L139">
        <v>0.707</v>
      </c>
      <c r="M139">
        <v>2.968</v>
      </c>
      <c r="N139">
        <v>161.432</v>
      </c>
      <c r="O139">
        <v>147.146</v>
      </c>
      <c r="P139">
        <f t="shared" si="8"/>
        <v>2.20798962732481</v>
      </c>
      <c r="Q139">
        <f t="shared" si="8"/>
        <v>2.16774846078467</v>
      </c>
      <c r="R139">
        <v>131.428</v>
      </c>
      <c r="S139">
        <v>144.77</v>
      </c>
      <c r="T139">
        <v>136.686</v>
      </c>
      <c r="U139">
        <v>3.308</v>
      </c>
      <c r="V139">
        <v>34.224</v>
      </c>
      <c r="W139">
        <v>0.01</v>
      </c>
      <c r="X139" t="s">
        <v>30</v>
      </c>
      <c r="Y139" t="s">
        <v>31</v>
      </c>
      <c r="Z139" s="3">
        <f t="shared" si="9"/>
        <v>0.0402411665401408</v>
      </c>
      <c r="AA139">
        <f t="shared" si="10"/>
        <v>0.378</v>
      </c>
      <c r="AB139">
        <f t="shared" si="11"/>
        <v>0.86</v>
      </c>
      <c r="AC139" t="s">
        <v>32</v>
      </c>
    </row>
    <row r="140" spans="1:29">
      <c r="A140" t="s">
        <v>38</v>
      </c>
      <c r="B140">
        <v>3587.625</v>
      </c>
      <c r="C140">
        <v>21.854</v>
      </c>
      <c r="D140">
        <v>75.028</v>
      </c>
      <c r="E140">
        <v>164.406</v>
      </c>
      <c r="F140">
        <v>0.153</v>
      </c>
      <c r="G140">
        <v>24.193</v>
      </c>
      <c r="H140">
        <v>2.039</v>
      </c>
      <c r="I140">
        <v>2.734</v>
      </c>
      <c r="J140">
        <v>0.332</v>
      </c>
      <c r="K140">
        <v>10.313</v>
      </c>
      <c r="L140">
        <v>0.732</v>
      </c>
      <c r="M140">
        <v>3.1</v>
      </c>
      <c r="N140">
        <v>167.025</v>
      </c>
      <c r="O140">
        <v>151.993</v>
      </c>
      <c r="P140">
        <f t="shared" si="8"/>
        <v>2.22278148042574</v>
      </c>
      <c r="Q140">
        <f t="shared" si="8"/>
        <v>2.18182358708045</v>
      </c>
      <c r="R140">
        <v>139.62</v>
      </c>
      <c r="S140">
        <v>160.552</v>
      </c>
      <c r="T140">
        <v>173.498</v>
      </c>
      <c r="U140">
        <v>3.569</v>
      </c>
      <c r="V140">
        <v>30.161</v>
      </c>
      <c r="W140">
        <v>0.01</v>
      </c>
      <c r="X140" t="s">
        <v>30</v>
      </c>
      <c r="Y140" t="s">
        <v>31</v>
      </c>
      <c r="Z140" s="3">
        <f t="shared" si="9"/>
        <v>0.0409578933452872</v>
      </c>
      <c r="AA140">
        <f t="shared" si="10"/>
        <v>0.4</v>
      </c>
      <c r="AB140">
        <f t="shared" si="11"/>
        <v>0.885</v>
      </c>
      <c r="AC140" t="s">
        <v>32</v>
      </c>
    </row>
    <row r="141" spans="1:29">
      <c r="A141" t="s">
        <v>38</v>
      </c>
      <c r="B141">
        <v>3587.75</v>
      </c>
      <c r="C141">
        <v>21.923</v>
      </c>
      <c r="D141">
        <v>75.01</v>
      </c>
      <c r="E141">
        <v>163.997</v>
      </c>
      <c r="F141">
        <v>0.147</v>
      </c>
      <c r="G141">
        <v>23.685</v>
      </c>
      <c r="H141">
        <v>2.063</v>
      </c>
      <c r="I141">
        <v>2.739</v>
      </c>
      <c r="J141">
        <v>0.349</v>
      </c>
      <c r="K141">
        <v>10.661</v>
      </c>
      <c r="L141">
        <v>0.757</v>
      </c>
      <c r="M141">
        <v>3.163</v>
      </c>
      <c r="N141">
        <v>172.066</v>
      </c>
      <c r="O141">
        <v>156.277</v>
      </c>
      <c r="P141">
        <f t="shared" si="8"/>
        <v>2.23569506282518</v>
      </c>
      <c r="Q141">
        <f t="shared" si="8"/>
        <v>2.19389506561935</v>
      </c>
      <c r="R141">
        <v>165.74</v>
      </c>
      <c r="S141">
        <v>218.682</v>
      </c>
      <c r="T141">
        <v>247.286</v>
      </c>
      <c r="U141">
        <v>3.733</v>
      </c>
      <c r="V141">
        <v>24.702</v>
      </c>
      <c r="W141">
        <v>0.01</v>
      </c>
      <c r="X141" t="s">
        <v>30</v>
      </c>
      <c r="Y141" t="s">
        <v>31</v>
      </c>
      <c r="Z141" s="3">
        <f t="shared" si="9"/>
        <v>0.0417999972058256</v>
      </c>
      <c r="AA141">
        <f t="shared" si="10"/>
        <v>0.408</v>
      </c>
      <c r="AB141">
        <f t="shared" si="11"/>
        <v>0.904</v>
      </c>
      <c r="AC141" t="s">
        <v>32</v>
      </c>
    </row>
    <row r="142" spans="1:29">
      <c r="A142" t="s">
        <v>38</v>
      </c>
      <c r="B142">
        <v>3587.875</v>
      </c>
      <c r="C142">
        <v>22.142</v>
      </c>
      <c r="D142">
        <v>75.001</v>
      </c>
      <c r="E142">
        <v>162.985</v>
      </c>
      <c r="F142">
        <v>0.132</v>
      </c>
      <c r="G142">
        <v>23.354</v>
      </c>
      <c r="H142">
        <v>2.106</v>
      </c>
      <c r="I142">
        <v>2.747</v>
      </c>
      <c r="J142">
        <v>0.376</v>
      </c>
      <c r="K142">
        <v>10.831</v>
      </c>
      <c r="L142">
        <v>0.769</v>
      </c>
      <c r="M142">
        <v>3.155</v>
      </c>
      <c r="N142">
        <v>173.924</v>
      </c>
      <c r="O142">
        <v>157.901</v>
      </c>
      <c r="P142">
        <f t="shared" si="8"/>
        <v>2.24035951500091</v>
      </c>
      <c r="Q142">
        <f t="shared" si="8"/>
        <v>2.19838488043962</v>
      </c>
      <c r="R142">
        <v>215.721</v>
      </c>
      <c r="S142">
        <v>298.114</v>
      </c>
      <c r="T142">
        <v>345.718</v>
      </c>
      <c r="U142">
        <v>3.846</v>
      </c>
      <c r="V142">
        <v>19.94</v>
      </c>
      <c r="W142">
        <v>0.01</v>
      </c>
      <c r="X142" t="s">
        <v>30</v>
      </c>
      <c r="Y142" t="s">
        <v>31</v>
      </c>
      <c r="Z142" s="3">
        <f t="shared" si="9"/>
        <v>0.0419746345612859</v>
      </c>
      <c r="AA142">
        <f t="shared" si="10"/>
        <v>0.393</v>
      </c>
      <c r="AB142">
        <f t="shared" si="11"/>
        <v>0.901</v>
      </c>
      <c r="AC142" t="s">
        <v>32</v>
      </c>
    </row>
    <row r="143" spans="1:29">
      <c r="A143" t="s">
        <v>38</v>
      </c>
      <c r="B143">
        <v>3588</v>
      </c>
      <c r="C143">
        <v>23.05</v>
      </c>
      <c r="D143">
        <v>75.003</v>
      </c>
      <c r="E143">
        <v>161.578</v>
      </c>
      <c r="F143">
        <v>0.111</v>
      </c>
      <c r="G143">
        <v>23.19</v>
      </c>
      <c r="H143">
        <v>2.215</v>
      </c>
      <c r="I143">
        <v>2.756</v>
      </c>
      <c r="J143">
        <v>0.407</v>
      </c>
      <c r="K143">
        <v>10.648</v>
      </c>
      <c r="L143">
        <v>0.756</v>
      </c>
      <c r="M143">
        <v>3.092</v>
      </c>
      <c r="N143">
        <v>170.302</v>
      </c>
      <c r="O143">
        <v>154.822</v>
      </c>
      <c r="P143">
        <f t="shared" si="8"/>
        <v>2.23121974827889</v>
      </c>
      <c r="Q143">
        <f t="shared" si="8"/>
        <v>2.1898326733994</v>
      </c>
      <c r="R143">
        <v>337.949</v>
      </c>
      <c r="S143">
        <v>390.033</v>
      </c>
      <c r="T143">
        <v>428.574</v>
      </c>
      <c r="U143">
        <v>3.42</v>
      </c>
      <c r="V143">
        <v>20.02</v>
      </c>
      <c r="W143">
        <v>0.01</v>
      </c>
      <c r="X143" t="s">
        <v>30</v>
      </c>
      <c r="Y143" t="s">
        <v>31</v>
      </c>
      <c r="Z143" s="3">
        <f t="shared" si="9"/>
        <v>0.0413870748794913</v>
      </c>
      <c r="AA143">
        <f t="shared" si="10"/>
        <v>0.349</v>
      </c>
      <c r="AB143">
        <f t="shared" si="11"/>
        <v>0.867</v>
      </c>
      <c r="AC143" t="s">
        <v>32</v>
      </c>
    </row>
    <row r="144" spans="1:29">
      <c r="A144" t="s">
        <v>39</v>
      </c>
      <c r="B144">
        <v>4129</v>
      </c>
      <c r="C144">
        <v>71.063</v>
      </c>
      <c r="D144">
        <v>63.868</v>
      </c>
      <c r="E144">
        <v>166.88</v>
      </c>
      <c r="F144">
        <v>0.253</v>
      </c>
      <c r="G144">
        <v>21.955</v>
      </c>
      <c r="H144">
        <v>5.431</v>
      </c>
      <c r="I144">
        <v>2.699</v>
      </c>
      <c r="J144" s="3">
        <v>0.352</v>
      </c>
      <c r="K144">
        <v>5.991</v>
      </c>
      <c r="L144">
        <v>0.294</v>
      </c>
      <c r="M144">
        <v>4.512</v>
      </c>
      <c r="N144">
        <v>255.204</v>
      </c>
      <c r="O144">
        <v>247.517</v>
      </c>
      <c r="P144">
        <f t="shared" si="8"/>
        <v>2.40688747711932</v>
      </c>
      <c r="Q144">
        <f t="shared" si="8"/>
        <v>2.39360503257321</v>
      </c>
      <c r="R144">
        <v>148.802</v>
      </c>
      <c r="S144">
        <v>148.802</v>
      </c>
      <c r="T144">
        <v>179.356</v>
      </c>
      <c r="U144">
        <v>0.01</v>
      </c>
      <c r="V144">
        <v>100</v>
      </c>
      <c r="W144">
        <v>0.001</v>
      </c>
      <c r="X144" t="s">
        <v>30</v>
      </c>
      <c r="Y144" t="s">
        <v>31</v>
      </c>
      <c r="Z144" s="3">
        <f t="shared" si="9"/>
        <v>0.0132824445461104</v>
      </c>
      <c r="AA144">
        <f t="shared" si="10"/>
        <v>-0.058</v>
      </c>
      <c r="AB144">
        <f t="shared" si="11"/>
        <v>0.547</v>
      </c>
      <c r="AC144" t="s">
        <v>32</v>
      </c>
    </row>
    <row r="145" spans="1:29">
      <c r="A145" t="s">
        <v>39</v>
      </c>
      <c r="B145">
        <v>4129.125</v>
      </c>
      <c r="C145">
        <v>55.353</v>
      </c>
      <c r="D145">
        <v>63.823</v>
      </c>
      <c r="E145">
        <v>166.895</v>
      </c>
      <c r="F145">
        <v>0.254</v>
      </c>
      <c r="G145">
        <v>21.986</v>
      </c>
      <c r="H145">
        <v>4.733</v>
      </c>
      <c r="I145">
        <v>2.694</v>
      </c>
      <c r="J145" s="3">
        <v>0.33</v>
      </c>
      <c r="K145">
        <v>4.647</v>
      </c>
      <c r="L145">
        <v>0.188</v>
      </c>
      <c r="M145">
        <v>4.684</v>
      </c>
      <c r="N145">
        <v>475.085</v>
      </c>
      <c r="O145">
        <v>367.086</v>
      </c>
      <c r="P145">
        <f t="shared" si="8"/>
        <v>2.67677131852683</v>
      </c>
      <c r="Q145">
        <f t="shared" si="8"/>
        <v>2.56476782160917</v>
      </c>
      <c r="R145">
        <v>143.894</v>
      </c>
      <c r="S145">
        <v>143.894</v>
      </c>
      <c r="T145">
        <v>173.509</v>
      </c>
      <c r="U145">
        <v>0.01</v>
      </c>
      <c r="V145">
        <v>100</v>
      </c>
      <c r="W145">
        <v>0.001</v>
      </c>
      <c r="X145" t="s">
        <v>30</v>
      </c>
      <c r="Y145" t="s">
        <v>31</v>
      </c>
      <c r="Z145" s="3">
        <f t="shared" si="9"/>
        <v>0.11200349691766</v>
      </c>
      <c r="AA145">
        <f t="shared" si="10"/>
        <v>-0.142</v>
      </c>
      <c r="AB145">
        <f t="shared" si="11"/>
        <v>0.442</v>
      </c>
      <c r="AC145" t="s">
        <v>32</v>
      </c>
    </row>
    <row r="146" spans="1:29">
      <c r="A146" t="s">
        <v>39</v>
      </c>
      <c r="B146">
        <v>4129.25</v>
      </c>
      <c r="C146">
        <v>43.047</v>
      </c>
      <c r="D146">
        <v>63.779</v>
      </c>
      <c r="E146">
        <v>167.327</v>
      </c>
      <c r="F146">
        <v>0.263</v>
      </c>
      <c r="G146">
        <v>21.993</v>
      </c>
      <c r="H146">
        <v>3.968</v>
      </c>
      <c r="I146">
        <v>2.696</v>
      </c>
      <c r="J146" s="3">
        <v>0.339</v>
      </c>
      <c r="K146">
        <v>3.677</v>
      </c>
      <c r="L146">
        <v>0.112</v>
      </c>
      <c r="M146">
        <v>4.716</v>
      </c>
      <c r="N146">
        <v>875.239</v>
      </c>
      <c r="O146">
        <v>574.928</v>
      </c>
      <c r="P146">
        <f t="shared" si="8"/>
        <v>2.94212666126018</v>
      </c>
      <c r="Q146">
        <f t="shared" si="8"/>
        <v>2.75961346006253</v>
      </c>
      <c r="R146">
        <v>139.636</v>
      </c>
      <c r="S146">
        <v>139.636</v>
      </c>
      <c r="T146">
        <v>168.386</v>
      </c>
      <c r="U146">
        <v>0.01</v>
      </c>
      <c r="V146">
        <v>100</v>
      </c>
      <c r="W146">
        <v>0.001</v>
      </c>
      <c r="X146" t="s">
        <v>30</v>
      </c>
      <c r="Y146" t="s">
        <v>31</v>
      </c>
      <c r="Z146" s="3">
        <f t="shared" si="9"/>
        <v>0.182513201197656</v>
      </c>
      <c r="AA146">
        <f t="shared" si="10"/>
        <v>-0.227</v>
      </c>
      <c r="AB146">
        <f t="shared" si="11"/>
        <v>0.375</v>
      </c>
      <c r="AC146" t="s">
        <v>32</v>
      </c>
    </row>
    <row r="147" spans="1:29">
      <c r="A147" t="s">
        <v>39</v>
      </c>
      <c r="B147">
        <v>4129.375</v>
      </c>
      <c r="C147">
        <v>35.223</v>
      </c>
      <c r="D147">
        <v>63.736</v>
      </c>
      <c r="E147">
        <v>167.958</v>
      </c>
      <c r="F147">
        <v>0.276</v>
      </c>
      <c r="G147">
        <v>21.97</v>
      </c>
      <c r="H147">
        <v>3.464</v>
      </c>
      <c r="I147">
        <v>2.701</v>
      </c>
      <c r="J147" s="3">
        <v>0.361</v>
      </c>
      <c r="K147">
        <v>3.185</v>
      </c>
      <c r="L147">
        <v>0.074</v>
      </c>
      <c r="M147">
        <v>4.534</v>
      </c>
      <c r="N147">
        <v>1283.24</v>
      </c>
      <c r="O147">
        <v>780.344</v>
      </c>
      <c r="P147">
        <f t="shared" si="8"/>
        <v>3.10830788858701</v>
      </c>
      <c r="Q147">
        <f t="shared" si="8"/>
        <v>2.89228609546925</v>
      </c>
      <c r="R147">
        <v>136.65</v>
      </c>
      <c r="S147">
        <v>136.65</v>
      </c>
      <c r="T147">
        <v>164.792</v>
      </c>
      <c r="U147">
        <v>0.01</v>
      </c>
      <c r="V147">
        <v>100</v>
      </c>
      <c r="W147">
        <v>0.001</v>
      </c>
      <c r="X147" t="s">
        <v>30</v>
      </c>
      <c r="Y147" t="s">
        <v>31</v>
      </c>
      <c r="Z147" s="3">
        <f t="shared" si="9"/>
        <v>0.216021793117759</v>
      </c>
      <c r="AA147">
        <f t="shared" si="10"/>
        <v>-0.287</v>
      </c>
      <c r="AB147">
        <f t="shared" si="11"/>
        <v>0.35</v>
      </c>
      <c r="AC147" t="s">
        <v>32</v>
      </c>
    </row>
    <row r="148" spans="1:29">
      <c r="A148" t="s">
        <v>39</v>
      </c>
      <c r="B148">
        <v>4129.5</v>
      </c>
      <c r="C148">
        <v>30.847</v>
      </c>
      <c r="D148">
        <v>63.695</v>
      </c>
      <c r="E148">
        <v>168.272</v>
      </c>
      <c r="F148">
        <v>0.283</v>
      </c>
      <c r="G148">
        <v>21.924</v>
      </c>
      <c r="H148">
        <v>3.157</v>
      </c>
      <c r="I148">
        <v>2.703</v>
      </c>
      <c r="J148" s="3">
        <v>0.37</v>
      </c>
      <c r="K148">
        <v>2.977</v>
      </c>
      <c r="L148">
        <v>0.058</v>
      </c>
      <c r="M148">
        <v>4.187</v>
      </c>
      <c r="N148">
        <v>1397.156</v>
      </c>
      <c r="O148">
        <v>835.991</v>
      </c>
      <c r="P148">
        <f t="shared" si="8"/>
        <v>3.14524490014189</v>
      </c>
      <c r="Q148">
        <f t="shared" si="8"/>
        <v>2.92220160199479</v>
      </c>
      <c r="R148">
        <v>135.29</v>
      </c>
      <c r="S148">
        <v>135.29</v>
      </c>
      <c r="T148">
        <v>163.156</v>
      </c>
      <c r="U148">
        <v>0.01</v>
      </c>
      <c r="V148">
        <v>100</v>
      </c>
      <c r="W148">
        <v>0.001</v>
      </c>
      <c r="X148" t="s">
        <v>30</v>
      </c>
      <c r="Y148" t="s">
        <v>31</v>
      </c>
      <c r="Z148" s="3">
        <f t="shared" si="9"/>
        <v>0.223043298147108</v>
      </c>
      <c r="AA148">
        <f t="shared" si="10"/>
        <v>-0.312</v>
      </c>
      <c r="AB148">
        <f t="shared" si="11"/>
        <v>0.341</v>
      </c>
      <c r="AC148" t="s">
        <v>32</v>
      </c>
    </row>
    <row r="149" spans="1:29">
      <c r="A149" t="s">
        <v>39</v>
      </c>
      <c r="B149">
        <v>4129.625</v>
      </c>
      <c r="C149">
        <v>28.285</v>
      </c>
      <c r="D149">
        <v>63.655</v>
      </c>
      <c r="E149">
        <v>167.684</v>
      </c>
      <c r="F149">
        <v>0.27</v>
      </c>
      <c r="G149">
        <v>21.874</v>
      </c>
      <c r="H149">
        <v>2.827</v>
      </c>
      <c r="I149">
        <v>2.7</v>
      </c>
      <c r="J149" s="3">
        <v>0.357</v>
      </c>
      <c r="K149">
        <v>2.754</v>
      </c>
      <c r="L149">
        <v>0.04</v>
      </c>
      <c r="M149">
        <v>3.831</v>
      </c>
      <c r="N149">
        <v>1059.806</v>
      </c>
      <c r="O149">
        <v>660.445</v>
      </c>
      <c r="P149">
        <f t="shared" si="8"/>
        <v>3.02522637390591</v>
      </c>
      <c r="Q149">
        <f t="shared" si="8"/>
        <v>2.81983665663478</v>
      </c>
      <c r="R149">
        <v>134.285</v>
      </c>
      <c r="S149">
        <v>134.285</v>
      </c>
      <c r="T149">
        <v>161.923</v>
      </c>
      <c r="U149">
        <v>0.01</v>
      </c>
      <c r="V149">
        <v>100</v>
      </c>
      <c r="W149">
        <v>0.001</v>
      </c>
      <c r="X149" t="s">
        <v>30</v>
      </c>
      <c r="Y149" t="s">
        <v>31</v>
      </c>
      <c r="Z149" s="3">
        <f t="shared" si="9"/>
        <v>0.205389717271137</v>
      </c>
      <c r="AA149">
        <f t="shared" si="10"/>
        <v>-0.317</v>
      </c>
      <c r="AB149">
        <f t="shared" si="11"/>
        <v>0.31</v>
      </c>
      <c r="AC149" t="s">
        <v>32</v>
      </c>
    </row>
    <row r="150" spans="1:29">
      <c r="A150" t="s">
        <v>39</v>
      </c>
      <c r="B150">
        <v>4129.75</v>
      </c>
      <c r="C150">
        <v>27.682</v>
      </c>
      <c r="D150">
        <v>63.617</v>
      </c>
      <c r="E150">
        <v>166.439</v>
      </c>
      <c r="F150">
        <v>0.244</v>
      </c>
      <c r="G150">
        <v>21.84</v>
      </c>
      <c r="H150">
        <v>2.657</v>
      </c>
      <c r="I150">
        <v>2.693</v>
      </c>
      <c r="J150" s="3">
        <v>0.326</v>
      </c>
      <c r="K150">
        <v>2.455</v>
      </c>
      <c r="L150">
        <v>0.017</v>
      </c>
      <c r="M150">
        <v>3.592</v>
      </c>
      <c r="N150">
        <v>618.572</v>
      </c>
      <c r="O150">
        <v>425.152</v>
      </c>
      <c r="P150">
        <f t="shared" si="8"/>
        <v>2.79139025753475</v>
      </c>
      <c r="Q150">
        <f t="shared" si="8"/>
        <v>2.62854422642544</v>
      </c>
      <c r="R150">
        <v>131.259</v>
      </c>
      <c r="S150">
        <v>131.259</v>
      </c>
      <c r="T150">
        <v>158.234</v>
      </c>
      <c r="U150">
        <v>0.01</v>
      </c>
      <c r="V150">
        <v>100</v>
      </c>
      <c r="W150">
        <v>0.001</v>
      </c>
      <c r="X150" t="s">
        <v>30</v>
      </c>
      <c r="Y150" t="s">
        <v>31</v>
      </c>
      <c r="Z150" s="3">
        <f t="shared" si="9"/>
        <v>0.162846031109313</v>
      </c>
      <c r="AA150">
        <f t="shared" si="10"/>
        <v>-0.309</v>
      </c>
      <c r="AB150">
        <f t="shared" si="11"/>
        <v>0.261</v>
      </c>
      <c r="AC150" t="s">
        <v>32</v>
      </c>
    </row>
    <row r="151" spans="1:29">
      <c r="A151" t="s">
        <v>39</v>
      </c>
      <c r="B151">
        <v>4129.875</v>
      </c>
      <c r="C151">
        <v>30.018</v>
      </c>
      <c r="D151">
        <v>63.581</v>
      </c>
      <c r="E151">
        <v>165.143</v>
      </c>
      <c r="F151">
        <v>0.216</v>
      </c>
      <c r="G151">
        <v>21.833</v>
      </c>
      <c r="H151">
        <v>2.829</v>
      </c>
      <c r="I151">
        <v>2.685</v>
      </c>
      <c r="J151" s="3">
        <v>0.291</v>
      </c>
      <c r="K151">
        <v>2.243</v>
      </c>
      <c r="L151">
        <v>0</v>
      </c>
      <c r="M151">
        <v>3.499</v>
      </c>
      <c r="N151">
        <v>352.638</v>
      </c>
      <c r="O151">
        <v>279.393</v>
      </c>
      <c r="P151">
        <f t="shared" si="8"/>
        <v>2.54732910972477</v>
      </c>
      <c r="Q151">
        <f t="shared" si="8"/>
        <v>2.44621552096407</v>
      </c>
      <c r="R151">
        <v>125.363</v>
      </c>
      <c r="S151">
        <v>125.363</v>
      </c>
      <c r="T151">
        <v>151.073</v>
      </c>
      <c r="U151">
        <v>0.01</v>
      </c>
      <c r="V151">
        <v>100</v>
      </c>
      <c r="W151">
        <v>0.001</v>
      </c>
      <c r="X151" t="s">
        <v>30</v>
      </c>
      <c r="Y151" t="s">
        <v>31</v>
      </c>
      <c r="Z151" s="3">
        <f t="shared" si="9"/>
        <v>0.1011135887607</v>
      </c>
      <c r="AA151">
        <f t="shared" si="10"/>
        <v>-0.291</v>
      </c>
      <c r="AB151">
        <f t="shared" si="11"/>
        <v>0.216</v>
      </c>
      <c r="AC151" t="s">
        <v>32</v>
      </c>
    </row>
    <row r="152" spans="1:29">
      <c r="A152" t="s">
        <v>39</v>
      </c>
      <c r="B152">
        <v>4130</v>
      </c>
      <c r="C152">
        <v>34.324</v>
      </c>
      <c r="D152">
        <v>63.547</v>
      </c>
      <c r="E152">
        <v>164.508</v>
      </c>
      <c r="F152">
        <v>0.203</v>
      </c>
      <c r="G152">
        <v>21.855</v>
      </c>
      <c r="H152">
        <v>3.287</v>
      </c>
      <c r="I152">
        <v>2.676</v>
      </c>
      <c r="J152" s="3">
        <v>0.251</v>
      </c>
      <c r="K152">
        <v>2.306</v>
      </c>
      <c r="L152">
        <v>0.005</v>
      </c>
      <c r="M152">
        <v>3.542</v>
      </c>
      <c r="N152">
        <v>308.759</v>
      </c>
      <c r="O152">
        <v>261.617</v>
      </c>
      <c r="P152">
        <f t="shared" si="8"/>
        <v>2.48961962567945</v>
      </c>
      <c r="Q152">
        <f t="shared" si="8"/>
        <v>2.41766596123599</v>
      </c>
      <c r="R152">
        <v>116.908</v>
      </c>
      <c r="S152">
        <v>116.908</v>
      </c>
      <c r="T152">
        <v>140.817</v>
      </c>
      <c r="U152">
        <v>0.01</v>
      </c>
      <c r="V152">
        <v>100</v>
      </c>
      <c r="W152">
        <v>0.001</v>
      </c>
      <c r="X152" t="s">
        <v>30</v>
      </c>
      <c r="Y152" t="s">
        <v>31</v>
      </c>
      <c r="Z152" s="3">
        <f t="shared" si="9"/>
        <v>0.0719536644434577</v>
      </c>
      <c r="AA152">
        <f t="shared" si="10"/>
        <v>-0.246</v>
      </c>
      <c r="AB152">
        <f t="shared" si="11"/>
        <v>0.208</v>
      </c>
      <c r="AC152" t="s">
        <v>32</v>
      </c>
    </row>
    <row r="153" spans="1:29">
      <c r="A153" t="s">
        <v>40</v>
      </c>
      <c r="B153">
        <v>3876</v>
      </c>
      <c r="C153">
        <v>54.821</v>
      </c>
      <c r="D153">
        <v>44.808</v>
      </c>
      <c r="E153">
        <v>159.36</v>
      </c>
      <c r="F153">
        <v>0.14</v>
      </c>
      <c r="G153">
        <v>21.6</v>
      </c>
      <c r="H153">
        <v>3.257</v>
      </c>
      <c r="I153">
        <v>2.745</v>
      </c>
      <c r="J153" s="3">
        <v>0.478</v>
      </c>
      <c r="K153">
        <v>10.792</v>
      </c>
      <c r="L153">
        <v>0.577</v>
      </c>
      <c r="M153">
        <v>3.254</v>
      </c>
      <c r="N153">
        <v>198.729</v>
      </c>
      <c r="O153">
        <v>167.119</v>
      </c>
      <c r="P153">
        <f t="shared" si="8"/>
        <v>2.29826124718524</v>
      </c>
      <c r="Q153">
        <f t="shared" si="8"/>
        <v>2.22302582826605</v>
      </c>
      <c r="R153">
        <v>78.816</v>
      </c>
      <c r="S153">
        <v>-9999</v>
      </c>
      <c r="T153">
        <v>85.167</v>
      </c>
      <c r="U153">
        <v>2.051</v>
      </c>
      <c r="V153">
        <v>100</v>
      </c>
      <c r="W153">
        <v>0.1</v>
      </c>
      <c r="X153" t="s">
        <v>30</v>
      </c>
      <c r="Y153" t="s">
        <v>31</v>
      </c>
      <c r="Z153" s="3">
        <f t="shared" si="9"/>
        <v>0.0752354189191924</v>
      </c>
      <c r="AA153">
        <f t="shared" si="10"/>
        <v>0.099</v>
      </c>
      <c r="AB153">
        <f t="shared" si="11"/>
        <v>0.717</v>
      </c>
      <c r="AC153" t="s">
        <v>32</v>
      </c>
    </row>
    <row r="154" spans="1:29">
      <c r="A154" t="s">
        <v>40</v>
      </c>
      <c r="B154">
        <v>3876.125</v>
      </c>
      <c r="C154">
        <v>38.525</v>
      </c>
      <c r="D154">
        <v>44.312</v>
      </c>
      <c r="E154">
        <v>159.073</v>
      </c>
      <c r="F154">
        <v>0.135</v>
      </c>
      <c r="G154">
        <v>21.707</v>
      </c>
      <c r="H154">
        <v>2.803</v>
      </c>
      <c r="I154">
        <v>2.741</v>
      </c>
      <c r="J154" s="3">
        <v>0.449</v>
      </c>
      <c r="K154">
        <v>10.234</v>
      </c>
      <c r="L154">
        <v>0.519</v>
      </c>
      <c r="M154">
        <v>3.232</v>
      </c>
      <c r="N154">
        <v>185.932</v>
      </c>
      <c r="O154">
        <v>158.111</v>
      </c>
      <c r="P154">
        <f t="shared" si="8"/>
        <v>2.26935414086086</v>
      </c>
      <c r="Q154">
        <f t="shared" si="8"/>
        <v>2.19896208544845</v>
      </c>
      <c r="R154">
        <v>75.191</v>
      </c>
      <c r="S154">
        <v>-9999</v>
      </c>
      <c r="T154">
        <v>80.491</v>
      </c>
      <c r="U154">
        <v>2.983</v>
      </c>
      <c r="V154">
        <v>83.784</v>
      </c>
      <c r="W154">
        <v>0.1</v>
      </c>
      <c r="X154" t="s">
        <v>30</v>
      </c>
      <c r="Y154" t="s">
        <v>31</v>
      </c>
      <c r="Z154" s="3">
        <f t="shared" si="9"/>
        <v>0.0703920554124102</v>
      </c>
      <c r="AA154">
        <f t="shared" si="10"/>
        <v>0.07</v>
      </c>
      <c r="AB154">
        <f t="shared" si="11"/>
        <v>0.654</v>
      </c>
      <c r="AC154" t="s">
        <v>32</v>
      </c>
    </row>
    <row r="155" spans="1:29">
      <c r="A155" t="s">
        <v>40</v>
      </c>
      <c r="B155">
        <v>3876.25</v>
      </c>
      <c r="C155">
        <v>28.328</v>
      </c>
      <c r="D155">
        <v>43.843</v>
      </c>
      <c r="E155">
        <v>160.523</v>
      </c>
      <c r="F155">
        <v>0.16</v>
      </c>
      <c r="G155">
        <v>22.098</v>
      </c>
      <c r="H155">
        <v>2.393</v>
      </c>
      <c r="I155">
        <v>2.738</v>
      </c>
      <c r="J155" s="3">
        <v>0.426</v>
      </c>
      <c r="K155">
        <v>9.96</v>
      </c>
      <c r="L155">
        <v>0.49</v>
      </c>
      <c r="M155">
        <v>3.238</v>
      </c>
      <c r="N155">
        <v>166.662</v>
      </c>
      <c r="O155">
        <v>142.927</v>
      </c>
      <c r="P155">
        <f t="shared" si="8"/>
        <v>2.22183658920062</v>
      </c>
      <c r="Q155">
        <f t="shared" si="8"/>
        <v>2.15511427807985</v>
      </c>
      <c r="R155">
        <v>68.213</v>
      </c>
      <c r="S155">
        <v>-9999</v>
      </c>
      <c r="T155">
        <v>72.956</v>
      </c>
      <c r="U155">
        <v>3.478</v>
      </c>
      <c r="V155">
        <v>75.453</v>
      </c>
      <c r="W155">
        <v>0.1</v>
      </c>
      <c r="X155" t="s">
        <v>30</v>
      </c>
      <c r="Y155" t="s">
        <v>31</v>
      </c>
      <c r="Z155" s="3">
        <f t="shared" si="9"/>
        <v>0.0667223111207669</v>
      </c>
      <c r="AA155">
        <f t="shared" si="10"/>
        <v>0.064</v>
      </c>
      <c r="AB155">
        <f t="shared" si="11"/>
        <v>0.65</v>
      </c>
      <c r="AC155" t="s">
        <v>32</v>
      </c>
    </row>
    <row r="156" spans="1:29">
      <c r="A156" t="s">
        <v>40</v>
      </c>
      <c r="B156">
        <v>3876.375</v>
      </c>
      <c r="C156">
        <v>22.147</v>
      </c>
      <c r="D156">
        <v>43.443</v>
      </c>
      <c r="E156">
        <v>162.595</v>
      </c>
      <c r="F156">
        <v>0.195</v>
      </c>
      <c r="G156">
        <v>22.349</v>
      </c>
      <c r="H156">
        <v>1.999</v>
      </c>
      <c r="I156">
        <v>2.731</v>
      </c>
      <c r="J156" s="3">
        <v>0.375</v>
      </c>
      <c r="K156">
        <v>10.014</v>
      </c>
      <c r="L156">
        <v>0.496</v>
      </c>
      <c r="M156">
        <v>3.266</v>
      </c>
      <c r="N156">
        <v>151.54</v>
      </c>
      <c r="O156">
        <v>130.385</v>
      </c>
      <c r="P156">
        <f t="shared" si="8"/>
        <v>2.18052728291341</v>
      </c>
      <c r="Q156">
        <f t="shared" si="8"/>
        <v>2.11522763133504</v>
      </c>
      <c r="R156">
        <v>61.999</v>
      </c>
      <c r="S156">
        <v>-9999</v>
      </c>
      <c r="T156">
        <v>66.59</v>
      </c>
      <c r="U156">
        <v>3.99</v>
      </c>
      <c r="V156">
        <v>68.819</v>
      </c>
      <c r="W156">
        <v>0.1</v>
      </c>
      <c r="X156" t="s">
        <v>30</v>
      </c>
      <c r="Y156" t="s">
        <v>31</v>
      </c>
      <c r="Z156" s="3">
        <f t="shared" si="9"/>
        <v>0.0652996515783686</v>
      </c>
      <c r="AA156">
        <f t="shared" si="10"/>
        <v>0.121</v>
      </c>
      <c r="AB156">
        <f t="shared" si="11"/>
        <v>0.691</v>
      </c>
      <c r="AC156" t="s">
        <v>32</v>
      </c>
    </row>
    <row r="157" spans="1:29">
      <c r="A157" t="s">
        <v>40</v>
      </c>
      <c r="B157">
        <v>3876.5</v>
      </c>
      <c r="C157">
        <v>22.077</v>
      </c>
      <c r="D157">
        <v>43.01</v>
      </c>
      <c r="E157">
        <v>164.94</v>
      </c>
      <c r="F157">
        <v>0.235</v>
      </c>
      <c r="G157">
        <v>22.4</v>
      </c>
      <c r="H157">
        <v>1.608</v>
      </c>
      <c r="I157">
        <v>2.72</v>
      </c>
      <c r="J157" s="3">
        <v>0.294</v>
      </c>
      <c r="K157">
        <v>10.157</v>
      </c>
      <c r="L157">
        <v>0.511</v>
      </c>
      <c r="M157">
        <v>3.303</v>
      </c>
      <c r="N157">
        <v>139.362</v>
      </c>
      <c r="O157">
        <v>119.885</v>
      </c>
      <c r="P157">
        <f t="shared" si="8"/>
        <v>2.14414437031809</v>
      </c>
      <c r="Q157">
        <f t="shared" si="8"/>
        <v>2.078764847613</v>
      </c>
      <c r="R157">
        <v>58.706</v>
      </c>
      <c r="S157">
        <v>-9999</v>
      </c>
      <c r="T157">
        <v>63.293</v>
      </c>
      <c r="U157">
        <v>4.324</v>
      </c>
      <c r="V157">
        <v>65.007</v>
      </c>
      <c r="W157">
        <v>0.1</v>
      </c>
      <c r="X157" t="s">
        <v>30</v>
      </c>
      <c r="Y157" t="s">
        <v>31</v>
      </c>
      <c r="Z157" s="3">
        <f t="shared" si="9"/>
        <v>0.0653795227050877</v>
      </c>
      <c r="AA157">
        <f t="shared" si="10"/>
        <v>0.217</v>
      </c>
      <c r="AB157">
        <f t="shared" si="11"/>
        <v>0.746</v>
      </c>
      <c r="AC157" t="s">
        <v>32</v>
      </c>
    </row>
    <row r="158" spans="1:29">
      <c r="A158" t="s">
        <v>40</v>
      </c>
      <c r="B158">
        <v>3876.625</v>
      </c>
      <c r="C158">
        <v>23.267</v>
      </c>
      <c r="D158">
        <v>42.511</v>
      </c>
      <c r="E158">
        <v>166.492</v>
      </c>
      <c r="F158">
        <v>0.261</v>
      </c>
      <c r="G158">
        <v>22.4</v>
      </c>
      <c r="H158">
        <v>1.354</v>
      </c>
      <c r="I158">
        <v>2.715</v>
      </c>
      <c r="J158" s="3">
        <v>0.257</v>
      </c>
      <c r="K158">
        <v>10.092</v>
      </c>
      <c r="L158">
        <v>0.504</v>
      </c>
      <c r="M158">
        <v>3.346</v>
      </c>
      <c r="N158">
        <v>128.307</v>
      </c>
      <c r="O158">
        <v>110.627</v>
      </c>
      <c r="P158">
        <f t="shared" si="8"/>
        <v>2.10825035067301</v>
      </c>
      <c r="Q158">
        <f t="shared" si="8"/>
        <v>2.04386113528656</v>
      </c>
      <c r="R158">
        <v>56.652</v>
      </c>
      <c r="S158">
        <v>-9999</v>
      </c>
      <c r="T158">
        <v>61.288</v>
      </c>
      <c r="U158">
        <v>4.342</v>
      </c>
      <c r="V158">
        <v>65.795</v>
      </c>
      <c r="W158">
        <v>0.1</v>
      </c>
      <c r="X158" t="s">
        <v>30</v>
      </c>
      <c r="Y158" t="s">
        <v>31</v>
      </c>
      <c r="Z158" s="3">
        <f t="shared" si="9"/>
        <v>0.0643892153864538</v>
      </c>
      <c r="AA158">
        <f t="shared" si="10"/>
        <v>0.247</v>
      </c>
      <c r="AB158">
        <f t="shared" si="11"/>
        <v>0.765</v>
      </c>
      <c r="AC158" t="s">
        <v>32</v>
      </c>
    </row>
    <row r="159" spans="1:29">
      <c r="A159" t="s">
        <v>40</v>
      </c>
      <c r="B159">
        <v>3876.75</v>
      </c>
      <c r="C159">
        <v>22.945</v>
      </c>
      <c r="D159">
        <v>42.02</v>
      </c>
      <c r="E159">
        <v>166.45</v>
      </c>
      <c r="F159">
        <v>0.26</v>
      </c>
      <c r="G159">
        <v>22.4</v>
      </c>
      <c r="H159">
        <v>1.213</v>
      </c>
      <c r="I159">
        <v>2.717</v>
      </c>
      <c r="J159" s="3">
        <v>0.272</v>
      </c>
      <c r="K159">
        <v>10.008</v>
      </c>
      <c r="L159">
        <v>0.495</v>
      </c>
      <c r="M159">
        <v>3.385</v>
      </c>
      <c r="N159">
        <v>116.741</v>
      </c>
      <c r="O159">
        <v>101.008</v>
      </c>
      <c r="P159">
        <f t="shared" si="8"/>
        <v>2.06722340914394</v>
      </c>
      <c r="Q159">
        <f t="shared" si="8"/>
        <v>2.00435577198328</v>
      </c>
      <c r="R159">
        <v>54.398</v>
      </c>
      <c r="S159">
        <v>-9999</v>
      </c>
      <c r="T159">
        <v>59.082</v>
      </c>
      <c r="U159">
        <v>4.262</v>
      </c>
      <c r="V159">
        <v>68.285</v>
      </c>
      <c r="W159">
        <v>0.1</v>
      </c>
      <c r="X159" t="s">
        <v>30</v>
      </c>
      <c r="Y159" t="s">
        <v>31</v>
      </c>
      <c r="Z159" s="3">
        <f t="shared" si="9"/>
        <v>0.0628676371606574</v>
      </c>
      <c r="AA159">
        <f t="shared" si="10"/>
        <v>0.223</v>
      </c>
      <c r="AB159">
        <f t="shared" si="11"/>
        <v>0.755</v>
      </c>
      <c r="AC159" t="s">
        <v>32</v>
      </c>
    </row>
    <row r="160" spans="1:29">
      <c r="A160" t="s">
        <v>40</v>
      </c>
      <c r="B160">
        <v>3876.875</v>
      </c>
      <c r="C160">
        <v>22.997</v>
      </c>
      <c r="D160">
        <v>41.568</v>
      </c>
      <c r="E160">
        <v>165.486</v>
      </c>
      <c r="F160">
        <v>0.244</v>
      </c>
      <c r="G160">
        <v>22.281</v>
      </c>
      <c r="H160">
        <v>1.162</v>
      </c>
      <c r="I160">
        <v>2.721</v>
      </c>
      <c r="J160" s="3">
        <v>0.301</v>
      </c>
      <c r="K160">
        <v>9.954</v>
      </c>
      <c r="L160">
        <v>0.49</v>
      </c>
      <c r="M160">
        <v>3.417</v>
      </c>
      <c r="N160">
        <v>104.68</v>
      </c>
      <c r="O160">
        <v>90.954</v>
      </c>
      <c r="P160">
        <f t="shared" si="8"/>
        <v>2.01986371396784</v>
      </c>
      <c r="Q160">
        <f t="shared" si="8"/>
        <v>1.95882180334154</v>
      </c>
      <c r="R160">
        <v>52.916</v>
      </c>
      <c r="S160">
        <v>-9999</v>
      </c>
      <c r="T160">
        <v>57.699</v>
      </c>
      <c r="U160">
        <v>4.147</v>
      </c>
      <c r="V160">
        <v>70.982</v>
      </c>
      <c r="W160">
        <v>0.1</v>
      </c>
      <c r="X160" t="s">
        <v>30</v>
      </c>
      <c r="Y160" t="s">
        <v>31</v>
      </c>
      <c r="Z160" s="3">
        <f t="shared" si="9"/>
        <v>0.0610419106263069</v>
      </c>
      <c r="AA160">
        <f t="shared" si="10"/>
        <v>0.189</v>
      </c>
      <c r="AB160">
        <f t="shared" si="11"/>
        <v>0.734</v>
      </c>
      <c r="AC160" t="s">
        <v>32</v>
      </c>
    </row>
    <row r="161" spans="1:29">
      <c r="A161" t="s">
        <v>40</v>
      </c>
      <c r="B161">
        <v>3877</v>
      </c>
      <c r="C161">
        <v>21.542</v>
      </c>
      <c r="D161">
        <v>41.133</v>
      </c>
      <c r="E161">
        <v>163.881</v>
      </c>
      <c r="F161">
        <v>0.217</v>
      </c>
      <c r="G161">
        <v>22.082</v>
      </c>
      <c r="H161">
        <v>1.163</v>
      </c>
      <c r="I161">
        <v>2.728</v>
      </c>
      <c r="J161" s="3">
        <v>0.353</v>
      </c>
      <c r="K161">
        <v>9.953</v>
      </c>
      <c r="L161">
        <v>0.49</v>
      </c>
      <c r="M161">
        <v>3.438</v>
      </c>
      <c r="N161">
        <v>93.913</v>
      </c>
      <c r="O161">
        <v>82.268</v>
      </c>
      <c r="P161">
        <f t="shared" si="8"/>
        <v>1.97272571407103</v>
      </c>
      <c r="Q161">
        <f t="shared" si="8"/>
        <v>1.91523093939296</v>
      </c>
      <c r="R161">
        <v>52.279</v>
      </c>
      <c r="S161">
        <v>-9999</v>
      </c>
      <c r="T161">
        <v>57.22</v>
      </c>
      <c r="U161">
        <v>4.071</v>
      </c>
      <c r="V161">
        <v>72.614</v>
      </c>
      <c r="W161">
        <v>0.1</v>
      </c>
      <c r="X161" t="s">
        <v>30</v>
      </c>
      <c r="Y161" t="s">
        <v>31</v>
      </c>
      <c r="Z161" s="3">
        <f t="shared" si="9"/>
        <v>0.057494774678071</v>
      </c>
      <c r="AA161">
        <f t="shared" si="10"/>
        <v>0.137</v>
      </c>
      <c r="AB161">
        <f t="shared" si="11"/>
        <v>0.707</v>
      </c>
      <c r="AC161" t="s">
        <v>32</v>
      </c>
    </row>
    <row r="162" spans="1:29">
      <c r="A162" t="s">
        <v>40</v>
      </c>
      <c r="B162">
        <v>3877.125</v>
      </c>
      <c r="C162">
        <v>20.563</v>
      </c>
      <c r="D162">
        <v>40.657</v>
      </c>
      <c r="E162">
        <v>163.101</v>
      </c>
      <c r="F162">
        <v>0.203</v>
      </c>
      <c r="G162">
        <v>21.965</v>
      </c>
      <c r="H162">
        <v>1.188</v>
      </c>
      <c r="I162">
        <v>2.734</v>
      </c>
      <c r="J162" s="3">
        <v>0.397</v>
      </c>
      <c r="K162">
        <v>9.975</v>
      </c>
      <c r="L162">
        <v>0.492</v>
      </c>
      <c r="M162">
        <v>3.442</v>
      </c>
      <c r="N162">
        <v>87.904</v>
      </c>
      <c r="O162">
        <v>77.587</v>
      </c>
      <c r="P162">
        <f t="shared" si="8"/>
        <v>1.94400863774047</v>
      </c>
      <c r="Q162">
        <f t="shared" si="8"/>
        <v>1.88978895964442</v>
      </c>
      <c r="R162">
        <v>51.474</v>
      </c>
      <c r="S162">
        <v>-9999</v>
      </c>
      <c r="T162">
        <v>56.595</v>
      </c>
      <c r="U162">
        <v>3.991</v>
      </c>
      <c r="V162">
        <v>74.525</v>
      </c>
      <c r="W162">
        <v>0.1</v>
      </c>
      <c r="X162" t="s">
        <v>30</v>
      </c>
      <c r="Y162" t="s">
        <v>31</v>
      </c>
      <c r="Z162" s="3">
        <f t="shared" si="9"/>
        <v>0.054219678096048</v>
      </c>
      <c r="AA162">
        <f t="shared" si="10"/>
        <v>0.095</v>
      </c>
      <c r="AB162">
        <f t="shared" si="11"/>
        <v>0.695</v>
      </c>
      <c r="AC162" t="s">
        <v>32</v>
      </c>
    </row>
    <row r="163" spans="1:29">
      <c r="A163" t="s">
        <v>40</v>
      </c>
      <c r="B163">
        <v>3877.25</v>
      </c>
      <c r="C163">
        <v>20.519</v>
      </c>
      <c r="D163">
        <v>40.145</v>
      </c>
      <c r="E163">
        <v>163.005</v>
      </c>
      <c r="F163">
        <v>0.202</v>
      </c>
      <c r="G163">
        <v>21.83</v>
      </c>
      <c r="H163">
        <v>1.231</v>
      </c>
      <c r="I163">
        <v>2.721</v>
      </c>
      <c r="J163" s="3">
        <v>0.301</v>
      </c>
      <c r="K163">
        <v>10.012</v>
      </c>
      <c r="L163">
        <v>0.496</v>
      </c>
      <c r="M163">
        <v>3.433</v>
      </c>
      <c r="N163">
        <v>84.794</v>
      </c>
      <c r="O163">
        <v>75.23</v>
      </c>
      <c r="P163">
        <f t="shared" si="8"/>
        <v>1.92836512278642</v>
      </c>
      <c r="Q163">
        <f t="shared" si="8"/>
        <v>1.87639106181919</v>
      </c>
      <c r="R163">
        <v>51.144</v>
      </c>
      <c r="S163">
        <v>-9999</v>
      </c>
      <c r="T163">
        <v>56.544</v>
      </c>
      <c r="U163">
        <v>4.307</v>
      </c>
      <c r="V163">
        <v>69.101</v>
      </c>
      <c r="W163">
        <v>0.1</v>
      </c>
      <c r="X163" t="s">
        <v>30</v>
      </c>
      <c r="Y163" t="s">
        <v>31</v>
      </c>
      <c r="Z163" s="3">
        <f t="shared" si="9"/>
        <v>0.0519740609672323</v>
      </c>
      <c r="AA163">
        <f t="shared" si="10"/>
        <v>0.195</v>
      </c>
      <c r="AB163">
        <f t="shared" si="11"/>
        <v>0.698</v>
      </c>
      <c r="AC163" t="s">
        <v>32</v>
      </c>
    </row>
    <row r="164" spans="1:29">
      <c r="A164" t="s">
        <v>40</v>
      </c>
      <c r="B164">
        <v>3877.375</v>
      </c>
      <c r="C164">
        <v>20.551</v>
      </c>
      <c r="D164">
        <v>39.589</v>
      </c>
      <c r="E164">
        <v>163.634</v>
      </c>
      <c r="F164">
        <v>0.212</v>
      </c>
      <c r="G164">
        <v>21.8</v>
      </c>
      <c r="H164">
        <v>1.365</v>
      </c>
      <c r="I164">
        <v>2.715</v>
      </c>
      <c r="J164" s="3">
        <v>0.257</v>
      </c>
      <c r="K164">
        <v>10.108</v>
      </c>
      <c r="L164">
        <v>0.506</v>
      </c>
      <c r="M164">
        <v>3.412</v>
      </c>
      <c r="N164">
        <v>84.029</v>
      </c>
      <c r="O164">
        <v>75.007</v>
      </c>
      <c r="P164">
        <f t="shared" si="8"/>
        <v>1.9244291951859</v>
      </c>
      <c r="Q164">
        <f t="shared" si="8"/>
        <v>1.87510179565187</v>
      </c>
      <c r="R164">
        <v>51.255</v>
      </c>
      <c r="S164">
        <v>-9999</v>
      </c>
      <c r="T164">
        <v>56.814</v>
      </c>
      <c r="U164">
        <v>4.489</v>
      </c>
      <c r="V164">
        <v>66.093</v>
      </c>
      <c r="W164">
        <v>0.1</v>
      </c>
      <c r="X164" t="s">
        <v>30</v>
      </c>
      <c r="Y164" t="s">
        <v>31</v>
      </c>
      <c r="Z164" s="3">
        <f t="shared" si="9"/>
        <v>0.0493273995340364</v>
      </c>
      <c r="AA164">
        <f t="shared" si="10"/>
        <v>0.249</v>
      </c>
      <c r="AB164">
        <f t="shared" si="11"/>
        <v>0.718</v>
      </c>
      <c r="AC164" t="s">
        <v>32</v>
      </c>
    </row>
    <row r="165" spans="1:29">
      <c r="A165" t="s">
        <v>40</v>
      </c>
      <c r="B165">
        <v>3877.5</v>
      </c>
      <c r="C165">
        <v>21.615</v>
      </c>
      <c r="D165">
        <v>39.043</v>
      </c>
      <c r="E165">
        <v>164.967</v>
      </c>
      <c r="F165">
        <v>0.235</v>
      </c>
      <c r="G165">
        <v>22</v>
      </c>
      <c r="H165">
        <v>1.539</v>
      </c>
      <c r="I165">
        <v>2.708</v>
      </c>
      <c r="J165" s="3">
        <v>0.206</v>
      </c>
      <c r="K165">
        <v>10.232</v>
      </c>
      <c r="L165">
        <v>0.519</v>
      </c>
      <c r="M165">
        <v>3.381</v>
      </c>
      <c r="N165">
        <v>84.081</v>
      </c>
      <c r="O165">
        <v>75.377</v>
      </c>
      <c r="P165">
        <f t="shared" si="8"/>
        <v>1.92469786824258</v>
      </c>
      <c r="Q165">
        <f t="shared" si="8"/>
        <v>1.87723884856367</v>
      </c>
      <c r="R165">
        <v>51.55</v>
      </c>
      <c r="S165">
        <v>-9999</v>
      </c>
      <c r="T165">
        <v>57.862</v>
      </c>
      <c r="U165">
        <v>4.682</v>
      </c>
      <c r="V165">
        <v>62.786</v>
      </c>
      <c r="W165">
        <v>0.1</v>
      </c>
      <c r="X165" t="s">
        <v>30</v>
      </c>
      <c r="Y165" t="s">
        <v>31</v>
      </c>
      <c r="Z165" s="3">
        <f t="shared" si="9"/>
        <v>0.0474590196789151</v>
      </c>
      <c r="AA165">
        <f t="shared" si="10"/>
        <v>0.313</v>
      </c>
      <c r="AB165">
        <f t="shared" si="11"/>
        <v>0.754</v>
      </c>
      <c r="AC165" t="s">
        <v>32</v>
      </c>
    </row>
    <row r="166" spans="1:29">
      <c r="A166" t="s">
        <v>40</v>
      </c>
      <c r="B166">
        <v>3877.625</v>
      </c>
      <c r="C166">
        <v>22.463</v>
      </c>
      <c r="D166">
        <v>38.547</v>
      </c>
      <c r="E166">
        <v>166.309</v>
      </c>
      <c r="F166">
        <v>0.258</v>
      </c>
      <c r="G166">
        <v>22.2</v>
      </c>
      <c r="H166">
        <v>1.609</v>
      </c>
      <c r="I166">
        <v>2.706</v>
      </c>
      <c r="J166" s="3">
        <v>0.191</v>
      </c>
      <c r="K166">
        <v>10.359</v>
      </c>
      <c r="L166">
        <v>0.532</v>
      </c>
      <c r="M166">
        <v>3.345</v>
      </c>
      <c r="N166">
        <v>84.788</v>
      </c>
      <c r="O166">
        <v>76.12</v>
      </c>
      <c r="P166">
        <f t="shared" si="8"/>
        <v>1.92833439114164</v>
      </c>
      <c r="Q166">
        <f t="shared" si="8"/>
        <v>1.88149877961498</v>
      </c>
      <c r="R166">
        <v>49.179</v>
      </c>
      <c r="S166">
        <v>-9999</v>
      </c>
      <c r="T166">
        <v>55.681</v>
      </c>
      <c r="U166">
        <v>4.75</v>
      </c>
      <c r="V166">
        <v>63.088</v>
      </c>
      <c r="W166">
        <v>0.1</v>
      </c>
      <c r="X166" t="s">
        <v>30</v>
      </c>
      <c r="Y166" t="s">
        <v>31</v>
      </c>
      <c r="Z166" s="3">
        <f t="shared" si="9"/>
        <v>0.0468356115266575</v>
      </c>
      <c r="AA166">
        <f t="shared" si="10"/>
        <v>0.341</v>
      </c>
      <c r="AB166">
        <f t="shared" si="11"/>
        <v>0.79</v>
      </c>
      <c r="AC166" t="s">
        <v>32</v>
      </c>
    </row>
    <row r="167" spans="1:29">
      <c r="A167" t="s">
        <v>40</v>
      </c>
      <c r="B167">
        <v>3877.75</v>
      </c>
      <c r="C167">
        <v>23.568</v>
      </c>
      <c r="D167">
        <v>38.109</v>
      </c>
      <c r="E167">
        <v>166.916</v>
      </c>
      <c r="F167">
        <v>0.268</v>
      </c>
      <c r="G167">
        <v>22.3</v>
      </c>
      <c r="H167">
        <v>1.629</v>
      </c>
      <c r="I167">
        <v>2.703</v>
      </c>
      <c r="J167" s="3">
        <v>0.169</v>
      </c>
      <c r="K167">
        <v>10.474</v>
      </c>
      <c r="L167">
        <v>0.544</v>
      </c>
      <c r="M167">
        <v>3.309</v>
      </c>
      <c r="N167">
        <v>86.138</v>
      </c>
      <c r="O167">
        <v>77.712</v>
      </c>
      <c r="P167">
        <f t="shared" si="8"/>
        <v>1.93519478385278</v>
      </c>
      <c r="Q167">
        <f t="shared" si="8"/>
        <v>1.89048808612896</v>
      </c>
      <c r="R167">
        <v>47.648</v>
      </c>
      <c r="S167">
        <v>-9999</v>
      </c>
      <c r="T167">
        <v>54.332</v>
      </c>
      <c r="U167">
        <v>4.807</v>
      </c>
      <c r="V167">
        <v>63.122</v>
      </c>
      <c r="W167">
        <v>0.1</v>
      </c>
      <c r="X167" t="s">
        <v>30</v>
      </c>
      <c r="Y167" t="s">
        <v>31</v>
      </c>
      <c r="Z167" s="3">
        <f t="shared" si="9"/>
        <v>0.0447066977238169</v>
      </c>
      <c r="AA167">
        <f t="shared" si="10"/>
        <v>0.375</v>
      </c>
      <c r="AB167">
        <f t="shared" si="11"/>
        <v>0.812</v>
      </c>
      <c r="AC167" t="s">
        <v>32</v>
      </c>
    </row>
    <row r="168" spans="1:29">
      <c r="A168" t="s">
        <v>40</v>
      </c>
      <c r="B168">
        <v>3877.875</v>
      </c>
      <c r="C168">
        <v>23.98</v>
      </c>
      <c r="D168">
        <v>37.771</v>
      </c>
      <c r="E168">
        <v>167.25</v>
      </c>
      <c r="F168">
        <v>0.274</v>
      </c>
      <c r="G168">
        <v>22.4</v>
      </c>
      <c r="H168">
        <v>1.673</v>
      </c>
      <c r="I168">
        <v>2.706</v>
      </c>
      <c r="J168" s="3">
        <v>0.191</v>
      </c>
      <c r="K168">
        <v>10.565</v>
      </c>
      <c r="L168">
        <v>0.554</v>
      </c>
      <c r="M168">
        <v>3.275</v>
      </c>
      <c r="N168">
        <v>86.315</v>
      </c>
      <c r="O168">
        <v>78.352</v>
      </c>
      <c r="P168">
        <f t="shared" si="8"/>
        <v>1.93608627487108</v>
      </c>
      <c r="Q168">
        <f t="shared" si="8"/>
        <v>1.89405008667414</v>
      </c>
      <c r="R168">
        <v>48.764</v>
      </c>
      <c r="S168">
        <v>-9999</v>
      </c>
      <c r="T168">
        <v>55.912</v>
      </c>
      <c r="U168">
        <v>4.765</v>
      </c>
      <c r="V168">
        <v>62.769</v>
      </c>
      <c r="W168">
        <v>0.1</v>
      </c>
      <c r="X168" t="s">
        <v>30</v>
      </c>
      <c r="Y168" t="s">
        <v>31</v>
      </c>
      <c r="Z168" s="3">
        <f t="shared" si="9"/>
        <v>0.0420361881969331</v>
      </c>
      <c r="AA168">
        <f t="shared" si="10"/>
        <v>0.363</v>
      </c>
      <c r="AB168">
        <f t="shared" si="11"/>
        <v>0.828</v>
      </c>
      <c r="AC168" t="s">
        <v>32</v>
      </c>
    </row>
    <row r="169" spans="1:29">
      <c r="A169" t="s">
        <v>40</v>
      </c>
      <c r="B169">
        <v>3878</v>
      </c>
      <c r="C169">
        <v>24.212</v>
      </c>
      <c r="D169">
        <v>37.517</v>
      </c>
      <c r="E169">
        <v>167.214</v>
      </c>
      <c r="F169">
        <v>0.273</v>
      </c>
      <c r="G169">
        <v>22.4</v>
      </c>
      <c r="H169">
        <v>1.778</v>
      </c>
      <c r="I169">
        <v>2.71</v>
      </c>
      <c r="J169" s="3">
        <v>0.221</v>
      </c>
      <c r="K169">
        <v>10.621</v>
      </c>
      <c r="L169">
        <v>0.56</v>
      </c>
      <c r="M169">
        <v>3.245</v>
      </c>
      <c r="N169">
        <v>84.471</v>
      </c>
      <c r="O169">
        <v>77.055</v>
      </c>
      <c r="P169">
        <f t="shared" si="8"/>
        <v>1.92670763555723</v>
      </c>
      <c r="Q169">
        <f t="shared" si="8"/>
        <v>1.88680082478002</v>
      </c>
      <c r="R169">
        <v>51.607</v>
      </c>
      <c r="S169">
        <v>-9999</v>
      </c>
      <c r="T169">
        <v>59.121</v>
      </c>
      <c r="U169">
        <v>4.681</v>
      </c>
      <c r="V169">
        <v>62.125</v>
      </c>
      <c r="W169">
        <v>0.1</v>
      </c>
      <c r="X169" t="s">
        <v>30</v>
      </c>
      <c r="Y169" t="s">
        <v>31</v>
      </c>
      <c r="Z169" s="3">
        <f t="shared" si="9"/>
        <v>0.0399068107772118</v>
      </c>
      <c r="AA169">
        <f t="shared" si="10"/>
        <v>0.339</v>
      </c>
      <c r="AB169">
        <f t="shared" si="11"/>
        <v>0.833</v>
      </c>
      <c r="AC169" t="s">
        <v>32</v>
      </c>
    </row>
    <row r="170" spans="1:29">
      <c r="A170" t="s">
        <v>40</v>
      </c>
      <c r="B170">
        <v>3878.125</v>
      </c>
      <c r="C170">
        <v>22.739</v>
      </c>
      <c r="D170">
        <v>37.276</v>
      </c>
      <c r="E170">
        <v>166.836</v>
      </c>
      <c r="F170">
        <v>0.267</v>
      </c>
      <c r="G170">
        <v>22.35</v>
      </c>
      <c r="H170">
        <v>1.965</v>
      </c>
      <c r="I170">
        <v>2.714</v>
      </c>
      <c r="J170" s="3">
        <v>0.25</v>
      </c>
      <c r="K170">
        <v>10.618</v>
      </c>
      <c r="L170">
        <v>0.559</v>
      </c>
      <c r="M170">
        <v>3.216</v>
      </c>
      <c r="N170">
        <v>84.071</v>
      </c>
      <c r="O170">
        <v>76.425</v>
      </c>
      <c r="P170">
        <f t="shared" si="8"/>
        <v>1.92464621325395</v>
      </c>
      <c r="Q170">
        <f t="shared" si="8"/>
        <v>1.88323544739813</v>
      </c>
      <c r="R170">
        <v>51.985</v>
      </c>
      <c r="S170">
        <v>-9999</v>
      </c>
      <c r="T170">
        <v>59.568</v>
      </c>
      <c r="U170">
        <v>4.673</v>
      </c>
      <c r="V170">
        <v>62.007</v>
      </c>
      <c r="W170">
        <v>0.1</v>
      </c>
      <c r="X170" t="s">
        <v>30</v>
      </c>
      <c r="Y170" t="s">
        <v>31</v>
      </c>
      <c r="Z170" s="3">
        <f t="shared" si="9"/>
        <v>0.0414107658558271</v>
      </c>
      <c r="AA170">
        <f t="shared" si="10"/>
        <v>0.309</v>
      </c>
      <c r="AB170">
        <f t="shared" si="11"/>
        <v>0.826</v>
      </c>
      <c r="AC170" t="s">
        <v>32</v>
      </c>
    </row>
    <row r="171" spans="1:29">
      <c r="A171" t="s">
        <v>40</v>
      </c>
      <c r="B171">
        <v>3878.25</v>
      </c>
      <c r="C171">
        <v>20.572</v>
      </c>
      <c r="D171">
        <v>37.016</v>
      </c>
      <c r="E171">
        <v>166.498</v>
      </c>
      <c r="F171">
        <v>0.261</v>
      </c>
      <c r="G171">
        <v>22.165</v>
      </c>
      <c r="H171">
        <v>2.18</v>
      </c>
      <c r="I171">
        <v>2.717</v>
      </c>
      <c r="J171" s="3">
        <v>0.272</v>
      </c>
      <c r="K171">
        <v>10.546</v>
      </c>
      <c r="L171">
        <v>0.552</v>
      </c>
      <c r="M171">
        <v>3.185</v>
      </c>
      <c r="N171">
        <v>87.46</v>
      </c>
      <c r="O171">
        <v>79.032</v>
      </c>
      <c r="P171">
        <f t="shared" si="8"/>
        <v>1.94180947300884</v>
      </c>
      <c r="Q171">
        <f t="shared" si="8"/>
        <v>1.89780297242351</v>
      </c>
      <c r="R171">
        <v>49.842</v>
      </c>
      <c r="S171">
        <v>-9999</v>
      </c>
      <c r="T171">
        <v>57.638</v>
      </c>
      <c r="U171">
        <v>4.678</v>
      </c>
      <c r="V171">
        <v>62.985</v>
      </c>
      <c r="W171">
        <v>0.1</v>
      </c>
      <c r="X171" t="s">
        <v>30</v>
      </c>
      <c r="Y171" t="s">
        <v>31</v>
      </c>
      <c r="Z171" s="3">
        <f t="shared" si="9"/>
        <v>0.0440065005853245</v>
      </c>
      <c r="AA171">
        <f t="shared" si="10"/>
        <v>0.28</v>
      </c>
      <c r="AB171">
        <f t="shared" si="11"/>
        <v>0.813</v>
      </c>
      <c r="AC171" t="s">
        <v>32</v>
      </c>
    </row>
    <row r="172" spans="1:29">
      <c r="A172" t="s">
        <v>40</v>
      </c>
      <c r="B172">
        <v>3878.375</v>
      </c>
      <c r="C172">
        <v>18.306</v>
      </c>
      <c r="D172">
        <v>36.815</v>
      </c>
      <c r="E172">
        <v>166.456</v>
      </c>
      <c r="F172">
        <v>0.26</v>
      </c>
      <c r="G172">
        <v>22.032</v>
      </c>
      <c r="H172">
        <v>2.326</v>
      </c>
      <c r="I172">
        <v>2.714</v>
      </c>
      <c r="J172" s="3">
        <v>0.25</v>
      </c>
      <c r="K172">
        <v>10.403</v>
      </c>
      <c r="L172">
        <v>0.537</v>
      </c>
      <c r="M172">
        <v>3.152</v>
      </c>
      <c r="N172">
        <v>91.752</v>
      </c>
      <c r="O172">
        <v>82.56</v>
      </c>
      <c r="P172">
        <f t="shared" si="8"/>
        <v>1.96261553973063</v>
      </c>
      <c r="Q172">
        <f t="shared" si="8"/>
        <v>1.91676968428314</v>
      </c>
      <c r="R172">
        <v>49.564</v>
      </c>
      <c r="S172">
        <v>-9999</v>
      </c>
      <c r="T172">
        <v>57.927</v>
      </c>
      <c r="U172">
        <v>4.801</v>
      </c>
      <c r="V172">
        <v>61.201</v>
      </c>
      <c r="W172">
        <v>0.1</v>
      </c>
      <c r="X172" t="s">
        <v>30</v>
      </c>
      <c r="Y172" t="s">
        <v>31</v>
      </c>
      <c r="Z172" s="3">
        <f t="shared" si="9"/>
        <v>0.0458458554474981</v>
      </c>
      <c r="AA172">
        <f t="shared" si="10"/>
        <v>0.287</v>
      </c>
      <c r="AB172">
        <f t="shared" si="11"/>
        <v>0.797</v>
      </c>
      <c r="AC172" t="s">
        <v>32</v>
      </c>
    </row>
    <row r="173" spans="1:29">
      <c r="A173" t="s">
        <v>40</v>
      </c>
      <c r="B173">
        <v>3878.5</v>
      </c>
      <c r="C173">
        <v>15.986</v>
      </c>
      <c r="D173">
        <v>36.703</v>
      </c>
      <c r="E173">
        <v>167.088</v>
      </c>
      <c r="F173">
        <v>0.271</v>
      </c>
      <c r="G173">
        <v>22</v>
      </c>
      <c r="H173">
        <v>2.341</v>
      </c>
      <c r="I173">
        <v>2.704</v>
      </c>
      <c r="J173" s="3">
        <v>0.176</v>
      </c>
      <c r="K173">
        <v>10.211</v>
      </c>
      <c r="L173">
        <v>0.517</v>
      </c>
      <c r="M173">
        <v>3.099</v>
      </c>
      <c r="N173">
        <v>95.707</v>
      </c>
      <c r="O173">
        <v>85.756</v>
      </c>
      <c r="P173">
        <f t="shared" si="8"/>
        <v>1.98094370319164</v>
      </c>
      <c r="Q173">
        <f t="shared" si="8"/>
        <v>1.93326451560381</v>
      </c>
      <c r="R173">
        <v>54.579</v>
      </c>
      <c r="S173">
        <v>-9999</v>
      </c>
      <c r="T173">
        <v>64.206</v>
      </c>
      <c r="U173">
        <v>5.011</v>
      </c>
      <c r="V173">
        <v>55.685</v>
      </c>
      <c r="W173">
        <v>0.102</v>
      </c>
      <c r="X173" t="s">
        <v>30</v>
      </c>
      <c r="Y173" t="s">
        <v>31</v>
      </c>
      <c r="Z173" s="3">
        <f t="shared" si="9"/>
        <v>0.047679187587828</v>
      </c>
      <c r="AA173">
        <f t="shared" si="10"/>
        <v>0.341</v>
      </c>
      <c r="AB173">
        <f t="shared" si="11"/>
        <v>0.788</v>
      </c>
      <c r="AC173" t="s">
        <v>32</v>
      </c>
    </row>
    <row r="174" spans="1:29">
      <c r="A174" t="s">
        <v>40</v>
      </c>
      <c r="B174">
        <v>3878.625</v>
      </c>
      <c r="C174">
        <v>16.047</v>
      </c>
      <c r="D174">
        <v>36.633</v>
      </c>
      <c r="E174">
        <v>168.402</v>
      </c>
      <c r="F174">
        <v>0.293</v>
      </c>
      <c r="G174">
        <v>22</v>
      </c>
      <c r="H174">
        <v>2.279</v>
      </c>
      <c r="I174">
        <v>2.701</v>
      </c>
      <c r="J174" s="3">
        <v>0.154</v>
      </c>
      <c r="K174">
        <v>10.019</v>
      </c>
      <c r="L174">
        <v>0.497</v>
      </c>
      <c r="M174">
        <v>3.087</v>
      </c>
      <c r="N174">
        <v>101.354</v>
      </c>
      <c r="O174">
        <v>90.404</v>
      </c>
      <c r="P174">
        <f t="shared" si="8"/>
        <v>2.00584089307489</v>
      </c>
      <c r="Q174">
        <f t="shared" si="8"/>
        <v>1.95618764662023</v>
      </c>
      <c r="R174">
        <v>67.028</v>
      </c>
      <c r="S174">
        <v>-9999</v>
      </c>
      <c r="T174">
        <v>78.799</v>
      </c>
      <c r="U174">
        <v>4.965</v>
      </c>
      <c r="V174">
        <v>50.832</v>
      </c>
      <c r="W174">
        <v>0.1</v>
      </c>
      <c r="X174" t="s">
        <v>30</v>
      </c>
      <c r="Y174" t="s">
        <v>31</v>
      </c>
      <c r="Z174" s="3">
        <f t="shared" si="9"/>
        <v>0.04965324645466</v>
      </c>
      <c r="AA174">
        <f t="shared" si="10"/>
        <v>0.343</v>
      </c>
      <c r="AB174">
        <f t="shared" si="11"/>
        <v>0.79</v>
      </c>
      <c r="AC174" t="s">
        <v>32</v>
      </c>
    </row>
    <row r="175" spans="1:29">
      <c r="A175" t="s">
        <v>40</v>
      </c>
      <c r="B175">
        <v>3878.75</v>
      </c>
      <c r="C175">
        <v>16.594</v>
      </c>
      <c r="D175">
        <v>36.682</v>
      </c>
      <c r="E175">
        <v>169.622</v>
      </c>
      <c r="F175">
        <v>0.314</v>
      </c>
      <c r="G175">
        <v>22</v>
      </c>
      <c r="H175">
        <v>2.254</v>
      </c>
      <c r="I175">
        <v>2.699</v>
      </c>
      <c r="J175" s="3">
        <v>0.14</v>
      </c>
      <c r="K175">
        <v>9.856</v>
      </c>
      <c r="L175">
        <v>0.48</v>
      </c>
      <c r="M175">
        <v>3.093</v>
      </c>
      <c r="N175">
        <v>106.128</v>
      </c>
      <c r="O175">
        <v>94.392</v>
      </c>
      <c r="P175">
        <f t="shared" si="8"/>
        <v>2.0258299799543</v>
      </c>
      <c r="Q175">
        <f t="shared" si="8"/>
        <v>1.97493518812135</v>
      </c>
      <c r="R175">
        <v>82.253</v>
      </c>
      <c r="S175">
        <v>-9999</v>
      </c>
      <c r="T175">
        <v>96.262</v>
      </c>
      <c r="U175">
        <v>4.886</v>
      </c>
      <c r="V175">
        <v>46.726</v>
      </c>
      <c r="W175">
        <v>0.1</v>
      </c>
      <c r="X175" t="s">
        <v>30</v>
      </c>
      <c r="Y175" t="s">
        <v>31</v>
      </c>
      <c r="Z175" s="3">
        <f t="shared" si="9"/>
        <v>0.0508947918329483</v>
      </c>
      <c r="AA175">
        <f t="shared" si="10"/>
        <v>0.34</v>
      </c>
      <c r="AB175">
        <f t="shared" si="11"/>
        <v>0.794</v>
      </c>
      <c r="AC175" t="s">
        <v>32</v>
      </c>
    </row>
    <row r="176" spans="1:29">
      <c r="A176" t="s">
        <v>40</v>
      </c>
      <c r="B176">
        <v>3878.875</v>
      </c>
      <c r="C176">
        <v>17.319</v>
      </c>
      <c r="D176">
        <v>36.779</v>
      </c>
      <c r="E176">
        <v>170.659</v>
      </c>
      <c r="F176">
        <v>0.331</v>
      </c>
      <c r="G176">
        <v>22</v>
      </c>
      <c r="H176">
        <v>2.25</v>
      </c>
      <c r="I176">
        <v>2.696</v>
      </c>
      <c r="J176" s="3">
        <v>0.118</v>
      </c>
      <c r="K176">
        <v>9.707</v>
      </c>
      <c r="L176">
        <v>0.464</v>
      </c>
      <c r="M176">
        <v>3.115</v>
      </c>
      <c r="N176">
        <v>111.199</v>
      </c>
      <c r="O176">
        <v>98.308</v>
      </c>
      <c r="P176">
        <f t="shared" si="8"/>
        <v>2.04610088170256</v>
      </c>
      <c r="Q176">
        <f t="shared" si="8"/>
        <v>1.99258886080757</v>
      </c>
      <c r="R176">
        <v>91.894</v>
      </c>
      <c r="S176">
        <v>-9999</v>
      </c>
      <c r="T176">
        <v>107.376</v>
      </c>
      <c r="U176">
        <v>4.815</v>
      </c>
      <c r="V176">
        <v>44.828</v>
      </c>
      <c r="W176">
        <v>0.1</v>
      </c>
      <c r="X176" t="s">
        <v>30</v>
      </c>
      <c r="Y176" t="s">
        <v>31</v>
      </c>
      <c r="Z176" s="3">
        <f t="shared" si="9"/>
        <v>0.0535120208949909</v>
      </c>
      <c r="AA176">
        <f t="shared" si="10"/>
        <v>0.346</v>
      </c>
      <c r="AB176">
        <f t="shared" si="11"/>
        <v>0.795</v>
      </c>
      <c r="AC176" t="s">
        <v>32</v>
      </c>
    </row>
    <row r="177" spans="1:29">
      <c r="A177" t="s">
        <v>40</v>
      </c>
      <c r="B177">
        <v>3879</v>
      </c>
      <c r="C177">
        <v>18.983</v>
      </c>
      <c r="D177">
        <v>36.701</v>
      </c>
      <c r="E177">
        <v>170.711</v>
      </c>
      <c r="F177">
        <v>0.332</v>
      </c>
      <c r="G177">
        <v>22</v>
      </c>
      <c r="H177">
        <v>2.19</v>
      </c>
      <c r="I177">
        <v>2.701</v>
      </c>
      <c r="J177" s="3">
        <v>0.154</v>
      </c>
      <c r="K177">
        <v>9.541</v>
      </c>
      <c r="L177">
        <v>0.447</v>
      </c>
      <c r="M177">
        <v>3.149</v>
      </c>
      <c r="N177">
        <v>117.908</v>
      </c>
      <c r="O177">
        <v>103.206</v>
      </c>
      <c r="P177">
        <f t="shared" si="8"/>
        <v>2.07154327276248</v>
      </c>
      <c r="Q177">
        <f t="shared" si="8"/>
        <v>2.0137049462364</v>
      </c>
      <c r="R177">
        <v>90.779</v>
      </c>
      <c r="S177">
        <v>-9999</v>
      </c>
      <c r="T177">
        <v>106.728</v>
      </c>
      <c r="U177">
        <v>4.526</v>
      </c>
      <c r="V177">
        <v>47.823</v>
      </c>
      <c r="W177">
        <v>0.1</v>
      </c>
      <c r="X177" t="s">
        <v>30</v>
      </c>
      <c r="Y177" t="s">
        <v>31</v>
      </c>
      <c r="Z177" s="3">
        <f t="shared" si="9"/>
        <v>0.0578383265260851</v>
      </c>
      <c r="AA177">
        <f t="shared" si="10"/>
        <v>0.293</v>
      </c>
      <c r="AB177">
        <f t="shared" si="11"/>
        <v>0.779</v>
      </c>
      <c r="AC177" t="s">
        <v>32</v>
      </c>
    </row>
    <row r="178" spans="1:29">
      <c r="A178" t="s">
        <v>40</v>
      </c>
      <c r="B178">
        <v>3879.125</v>
      </c>
      <c r="C178">
        <v>19.59</v>
      </c>
      <c r="D178">
        <v>36.63</v>
      </c>
      <c r="E178">
        <v>169.533</v>
      </c>
      <c r="F178">
        <v>0.312</v>
      </c>
      <c r="G178">
        <v>22</v>
      </c>
      <c r="H178">
        <v>2.031</v>
      </c>
      <c r="I178">
        <v>2.706</v>
      </c>
      <c r="J178" s="3">
        <v>0.191</v>
      </c>
      <c r="K178">
        <v>9.336</v>
      </c>
      <c r="L178">
        <v>0.425</v>
      </c>
      <c r="M178">
        <v>3.188</v>
      </c>
      <c r="N178">
        <v>123.336</v>
      </c>
      <c r="O178">
        <v>107.085</v>
      </c>
      <c r="P178">
        <f t="shared" si="8"/>
        <v>2.09108985939678</v>
      </c>
      <c r="Q178">
        <f t="shared" si="8"/>
        <v>2.02972864101428</v>
      </c>
      <c r="R178">
        <v>83.024</v>
      </c>
      <c r="S178">
        <v>-9999</v>
      </c>
      <c r="T178">
        <v>98.833</v>
      </c>
      <c r="U178">
        <v>4.322</v>
      </c>
      <c r="V178">
        <v>52.064</v>
      </c>
      <c r="W178">
        <v>0.1</v>
      </c>
      <c r="X178" t="s">
        <v>30</v>
      </c>
      <c r="Y178" t="s">
        <v>31</v>
      </c>
      <c r="Z178" s="3">
        <f t="shared" si="9"/>
        <v>0.0613612183825034</v>
      </c>
      <c r="AA178">
        <f t="shared" si="10"/>
        <v>0.234</v>
      </c>
      <c r="AB178">
        <f t="shared" si="11"/>
        <v>0.737</v>
      </c>
      <c r="AC178" t="s">
        <v>32</v>
      </c>
    </row>
    <row r="179" spans="1:29">
      <c r="A179" t="s">
        <v>40</v>
      </c>
      <c r="B179">
        <v>3879.25</v>
      </c>
      <c r="C179">
        <v>19.317</v>
      </c>
      <c r="D179">
        <v>36.53</v>
      </c>
      <c r="E179">
        <v>168.037</v>
      </c>
      <c r="F179">
        <v>0.287</v>
      </c>
      <c r="G179">
        <v>22</v>
      </c>
      <c r="H179">
        <v>1.858</v>
      </c>
      <c r="I179">
        <v>2.706</v>
      </c>
      <c r="J179" s="3">
        <v>0.191</v>
      </c>
      <c r="K179">
        <v>9.125</v>
      </c>
      <c r="L179">
        <v>0.403</v>
      </c>
      <c r="M179">
        <v>3.225</v>
      </c>
      <c r="N179">
        <v>128.52</v>
      </c>
      <c r="O179">
        <v>110.801</v>
      </c>
      <c r="P179">
        <f t="shared" si="8"/>
        <v>2.10897071687948</v>
      </c>
      <c r="Q179">
        <f t="shared" si="8"/>
        <v>2.04454368000001</v>
      </c>
      <c r="R179">
        <v>77.482</v>
      </c>
      <c r="S179">
        <v>-9999</v>
      </c>
      <c r="T179">
        <v>93.431</v>
      </c>
      <c r="U179">
        <v>4.229</v>
      </c>
      <c r="V179">
        <v>54.716</v>
      </c>
      <c r="W179">
        <v>0.1</v>
      </c>
      <c r="X179" t="s">
        <v>30</v>
      </c>
      <c r="Y179" t="s">
        <v>31</v>
      </c>
      <c r="Z179" s="3">
        <f t="shared" si="9"/>
        <v>0.0644270368794695</v>
      </c>
      <c r="AA179">
        <f t="shared" si="10"/>
        <v>0.212</v>
      </c>
      <c r="AB179">
        <f t="shared" si="11"/>
        <v>0.69</v>
      </c>
      <c r="AC179" t="s">
        <v>32</v>
      </c>
    </row>
    <row r="180" spans="1:29">
      <c r="A180" t="s">
        <v>40</v>
      </c>
      <c r="B180">
        <v>3879.375</v>
      </c>
      <c r="C180">
        <v>19.984</v>
      </c>
      <c r="D180">
        <v>36.404</v>
      </c>
      <c r="E180">
        <v>166.228</v>
      </c>
      <c r="F180">
        <v>0.256</v>
      </c>
      <c r="G180">
        <v>22</v>
      </c>
      <c r="H180">
        <v>1.646</v>
      </c>
      <c r="I180">
        <v>2.711</v>
      </c>
      <c r="J180" s="3">
        <v>0.228</v>
      </c>
      <c r="K180">
        <v>8.954</v>
      </c>
      <c r="L180">
        <v>0.385</v>
      </c>
      <c r="M180">
        <v>3.255</v>
      </c>
      <c r="N180">
        <v>136.69</v>
      </c>
      <c r="O180">
        <v>116.755</v>
      </c>
      <c r="P180">
        <f t="shared" si="8"/>
        <v>2.13573674350947</v>
      </c>
      <c r="Q180">
        <f t="shared" si="8"/>
        <v>2.0672754881753</v>
      </c>
      <c r="R180">
        <v>76.698</v>
      </c>
      <c r="S180">
        <v>-9999</v>
      </c>
      <c r="T180">
        <v>93.543</v>
      </c>
      <c r="U180">
        <v>3.999</v>
      </c>
      <c r="V180">
        <v>57.846</v>
      </c>
      <c r="W180">
        <v>0.1</v>
      </c>
      <c r="X180" t="s">
        <v>30</v>
      </c>
      <c r="Y180" t="s">
        <v>31</v>
      </c>
      <c r="Z180" s="3">
        <f t="shared" si="9"/>
        <v>0.0684612553341717</v>
      </c>
      <c r="AA180">
        <f t="shared" si="10"/>
        <v>0.157</v>
      </c>
      <c r="AB180">
        <f t="shared" si="11"/>
        <v>0.641</v>
      </c>
      <c r="AC180" t="s">
        <v>32</v>
      </c>
    </row>
    <row r="181" spans="1:29">
      <c r="A181" t="s">
        <v>40</v>
      </c>
      <c r="B181">
        <v>3879.5</v>
      </c>
      <c r="C181">
        <v>20.103</v>
      </c>
      <c r="D181">
        <v>36.3</v>
      </c>
      <c r="E181">
        <v>163.865</v>
      </c>
      <c r="F181">
        <v>0.216</v>
      </c>
      <c r="G181">
        <v>22</v>
      </c>
      <c r="H181">
        <v>1.503</v>
      </c>
      <c r="I181">
        <v>2.716</v>
      </c>
      <c r="J181" s="3">
        <v>0.265</v>
      </c>
      <c r="K181">
        <v>8.822</v>
      </c>
      <c r="L181">
        <v>0.372</v>
      </c>
      <c r="M181">
        <v>3.279</v>
      </c>
      <c r="N181">
        <v>143.964</v>
      </c>
      <c r="O181">
        <v>121.904</v>
      </c>
      <c r="P181">
        <f t="shared" si="8"/>
        <v>2.15825390490081</v>
      </c>
      <c r="Q181">
        <f t="shared" si="8"/>
        <v>2.08601795622894</v>
      </c>
      <c r="R181">
        <v>92.761</v>
      </c>
      <c r="S181">
        <v>-9999</v>
      </c>
      <c r="T181">
        <v>98.057</v>
      </c>
      <c r="U181">
        <v>3.797</v>
      </c>
      <c r="V181">
        <v>59.469</v>
      </c>
      <c r="W181">
        <v>0.1</v>
      </c>
      <c r="X181" t="s">
        <v>30</v>
      </c>
      <c r="Y181" t="s">
        <v>31</v>
      </c>
      <c r="Z181" s="3">
        <f t="shared" si="9"/>
        <v>0.0722359486718727</v>
      </c>
      <c r="AA181">
        <f t="shared" si="10"/>
        <v>0.107</v>
      </c>
      <c r="AB181">
        <f t="shared" si="11"/>
        <v>0.588</v>
      </c>
      <c r="AC181" t="s">
        <v>32</v>
      </c>
    </row>
    <row r="182" spans="1:29">
      <c r="A182" t="s">
        <v>40</v>
      </c>
      <c r="B182">
        <v>3879.625</v>
      </c>
      <c r="C182">
        <v>20.469</v>
      </c>
      <c r="D182">
        <v>36.232</v>
      </c>
      <c r="E182">
        <v>162.189</v>
      </c>
      <c r="F182">
        <v>0.188</v>
      </c>
      <c r="G182">
        <v>22.05</v>
      </c>
      <c r="H182">
        <v>1.504</v>
      </c>
      <c r="I182">
        <v>2.721</v>
      </c>
      <c r="J182" s="3">
        <v>0.301</v>
      </c>
      <c r="K182">
        <v>8.651</v>
      </c>
      <c r="L182">
        <v>0.354</v>
      </c>
      <c r="M182">
        <v>3.295</v>
      </c>
      <c r="N182">
        <v>145.464</v>
      </c>
      <c r="O182">
        <v>122.089</v>
      </c>
      <c r="P182">
        <f t="shared" si="8"/>
        <v>2.16275552572162</v>
      </c>
      <c r="Q182">
        <f t="shared" si="8"/>
        <v>2.08667653655336</v>
      </c>
      <c r="R182">
        <v>100.915</v>
      </c>
      <c r="S182">
        <v>-9999</v>
      </c>
      <c r="T182">
        <v>104.012</v>
      </c>
      <c r="U182">
        <v>3.579</v>
      </c>
      <c r="V182">
        <v>61.282</v>
      </c>
      <c r="W182">
        <v>0.1</v>
      </c>
      <c r="X182" t="s">
        <v>30</v>
      </c>
      <c r="Y182" t="s">
        <v>31</v>
      </c>
      <c r="Z182" s="3">
        <f t="shared" si="9"/>
        <v>0.0760789891682556</v>
      </c>
      <c r="AA182">
        <f t="shared" si="10"/>
        <v>0.053</v>
      </c>
      <c r="AB182">
        <f t="shared" si="11"/>
        <v>0.542</v>
      </c>
      <c r="AC182" t="s">
        <v>32</v>
      </c>
    </row>
    <row r="183" spans="1:29">
      <c r="A183" t="s">
        <v>40</v>
      </c>
      <c r="B183">
        <v>3879.75</v>
      </c>
      <c r="C183">
        <v>21.053</v>
      </c>
      <c r="D183">
        <v>36.211</v>
      </c>
      <c r="E183">
        <v>160.211</v>
      </c>
      <c r="F183">
        <v>0.155</v>
      </c>
      <c r="G183">
        <v>22.2</v>
      </c>
      <c r="H183">
        <v>1.462</v>
      </c>
      <c r="I183">
        <v>2.725</v>
      </c>
      <c r="J183" s="3">
        <v>0.331</v>
      </c>
      <c r="K183">
        <v>8.503</v>
      </c>
      <c r="L183">
        <v>0.338</v>
      </c>
      <c r="M183">
        <v>3.306</v>
      </c>
      <c r="N183">
        <v>149.391</v>
      </c>
      <c r="O183">
        <v>123.57</v>
      </c>
      <c r="P183">
        <f t="shared" si="8"/>
        <v>2.17432443437314</v>
      </c>
      <c r="Q183">
        <f t="shared" si="8"/>
        <v>2.09191304667608</v>
      </c>
      <c r="R183">
        <v>107.318</v>
      </c>
      <c r="S183">
        <v>-9999</v>
      </c>
      <c r="T183">
        <v>110.611</v>
      </c>
      <c r="U183">
        <v>3.406</v>
      </c>
      <c r="V183">
        <v>62.436</v>
      </c>
      <c r="W183">
        <v>0.1</v>
      </c>
      <c r="X183" t="s">
        <v>30</v>
      </c>
      <c r="Y183" t="s">
        <v>31</v>
      </c>
      <c r="Z183" s="3">
        <f t="shared" si="9"/>
        <v>0.0824113876970598</v>
      </c>
      <c r="AA183">
        <f t="shared" si="10"/>
        <v>0.00700000000000001</v>
      </c>
      <c r="AB183">
        <f t="shared" si="11"/>
        <v>0.493</v>
      </c>
      <c r="AC183" t="s">
        <v>32</v>
      </c>
    </row>
    <row r="184" spans="1:29">
      <c r="A184" t="s">
        <v>40</v>
      </c>
      <c r="B184">
        <v>3879.875</v>
      </c>
      <c r="C184">
        <v>20.54</v>
      </c>
      <c r="D184">
        <v>36.216</v>
      </c>
      <c r="E184">
        <v>159</v>
      </c>
      <c r="F184">
        <v>0.134</v>
      </c>
      <c r="G184">
        <v>22.05</v>
      </c>
      <c r="H184">
        <v>1.383</v>
      </c>
      <c r="I184">
        <v>2.725</v>
      </c>
      <c r="J184" s="3">
        <v>0.331</v>
      </c>
      <c r="K184">
        <v>8.393</v>
      </c>
      <c r="L184">
        <v>0.327</v>
      </c>
      <c r="M184">
        <v>3.318</v>
      </c>
      <c r="N184">
        <v>162.446</v>
      </c>
      <c r="O184">
        <v>131.947</v>
      </c>
      <c r="P184">
        <f t="shared" si="8"/>
        <v>2.21070902193329</v>
      </c>
      <c r="Q184">
        <f t="shared" si="8"/>
        <v>2.12039952037451</v>
      </c>
      <c r="R184">
        <v>117.4</v>
      </c>
      <c r="S184">
        <v>-9999</v>
      </c>
      <c r="T184">
        <v>121.003</v>
      </c>
      <c r="U184">
        <v>3.363</v>
      </c>
      <c r="V184">
        <v>60.477</v>
      </c>
      <c r="W184">
        <v>0.1</v>
      </c>
      <c r="X184" t="s">
        <v>30</v>
      </c>
      <c r="Y184" t="s">
        <v>31</v>
      </c>
      <c r="Z184" s="3">
        <f t="shared" si="9"/>
        <v>0.0903095015587865</v>
      </c>
      <c r="AA184">
        <f t="shared" si="10"/>
        <v>-0.004</v>
      </c>
      <c r="AB184">
        <f t="shared" si="11"/>
        <v>0.461</v>
      </c>
      <c r="AC184" t="s">
        <v>32</v>
      </c>
    </row>
    <row r="185" spans="1:29">
      <c r="A185" t="s">
        <v>40</v>
      </c>
      <c r="B185">
        <v>3880</v>
      </c>
      <c r="C185">
        <v>19.639</v>
      </c>
      <c r="D185">
        <v>36.218</v>
      </c>
      <c r="E185">
        <v>158.482</v>
      </c>
      <c r="F185">
        <v>0.125</v>
      </c>
      <c r="G185">
        <v>22</v>
      </c>
      <c r="H185">
        <v>1.304</v>
      </c>
      <c r="I185">
        <v>2.724</v>
      </c>
      <c r="J185" s="3">
        <v>0.324</v>
      </c>
      <c r="K185">
        <v>8.249</v>
      </c>
      <c r="L185">
        <v>0.312</v>
      </c>
      <c r="M185">
        <v>3.333</v>
      </c>
      <c r="N185">
        <v>182.231</v>
      </c>
      <c r="O185">
        <v>160.934</v>
      </c>
      <c r="P185">
        <f t="shared" si="8"/>
        <v>2.26062225838749</v>
      </c>
      <c r="Q185">
        <f t="shared" si="8"/>
        <v>2.20664780576771</v>
      </c>
      <c r="R185">
        <v>120.795</v>
      </c>
      <c r="S185">
        <v>-9999</v>
      </c>
      <c r="T185">
        <v>124.502</v>
      </c>
      <c r="U185">
        <v>3.335</v>
      </c>
      <c r="V185">
        <v>60.088</v>
      </c>
      <c r="W185">
        <v>0.1</v>
      </c>
      <c r="X185" t="s">
        <v>30</v>
      </c>
      <c r="Y185" t="s">
        <v>31</v>
      </c>
      <c r="Z185" s="3">
        <f t="shared" si="9"/>
        <v>0.0539744526197725</v>
      </c>
      <c r="AA185">
        <f t="shared" si="10"/>
        <v>-0.012</v>
      </c>
      <c r="AB185">
        <f t="shared" si="11"/>
        <v>0.437</v>
      </c>
      <c r="AC185" t="s">
        <v>32</v>
      </c>
    </row>
    <row r="186" spans="1:29">
      <c r="A186" t="s">
        <v>40</v>
      </c>
      <c r="B186">
        <v>3880.125</v>
      </c>
      <c r="C186">
        <v>18.58</v>
      </c>
      <c r="D186">
        <v>36.218</v>
      </c>
      <c r="E186">
        <v>158.364</v>
      </c>
      <c r="F186">
        <v>0.123</v>
      </c>
      <c r="G186">
        <v>22.045</v>
      </c>
      <c r="H186">
        <v>1.202</v>
      </c>
      <c r="I186">
        <v>2.726</v>
      </c>
      <c r="J186" s="3">
        <v>0.338</v>
      </c>
      <c r="K186">
        <v>8.1</v>
      </c>
      <c r="L186">
        <v>0.296</v>
      </c>
      <c r="M186">
        <v>3.354</v>
      </c>
      <c r="N186">
        <v>207.648</v>
      </c>
      <c r="O186">
        <v>182.149</v>
      </c>
      <c r="P186">
        <f t="shared" si="8"/>
        <v>2.31732775247866</v>
      </c>
      <c r="Q186">
        <f t="shared" si="8"/>
        <v>2.26042679130303</v>
      </c>
      <c r="R186">
        <v>156.263</v>
      </c>
      <c r="S186">
        <v>-9999</v>
      </c>
      <c r="T186">
        <v>161.058</v>
      </c>
      <c r="U186">
        <v>3.25</v>
      </c>
      <c r="V186">
        <v>54.272</v>
      </c>
      <c r="W186">
        <v>0.1</v>
      </c>
      <c r="X186" t="s">
        <v>30</v>
      </c>
      <c r="Y186" t="s">
        <v>31</v>
      </c>
      <c r="Z186" s="3">
        <f t="shared" si="9"/>
        <v>0.0569009611756308</v>
      </c>
      <c r="AA186">
        <f t="shared" si="10"/>
        <v>-0.042</v>
      </c>
      <c r="AB186">
        <f t="shared" si="11"/>
        <v>0.419</v>
      </c>
      <c r="AC186" t="s">
        <v>32</v>
      </c>
    </row>
    <row r="187" spans="1:29">
      <c r="A187" t="s">
        <v>40</v>
      </c>
      <c r="B187">
        <v>3880.25</v>
      </c>
      <c r="C187">
        <v>17.983</v>
      </c>
      <c r="D187">
        <v>36.218</v>
      </c>
      <c r="E187">
        <v>158.395</v>
      </c>
      <c r="F187">
        <v>0.124</v>
      </c>
      <c r="G187">
        <v>22.334</v>
      </c>
      <c r="H187">
        <v>1.073</v>
      </c>
      <c r="I187">
        <v>2.734</v>
      </c>
      <c r="J187" s="3">
        <v>0.397</v>
      </c>
      <c r="K187">
        <v>8.04</v>
      </c>
      <c r="L187">
        <v>0.29</v>
      </c>
      <c r="M187">
        <v>3.376</v>
      </c>
      <c r="N187">
        <v>249.834</v>
      </c>
      <c r="O187">
        <v>219.322</v>
      </c>
      <c r="P187">
        <f t="shared" si="8"/>
        <v>2.3976515413543</v>
      </c>
      <c r="Q187">
        <f t="shared" si="8"/>
        <v>2.34108219756619</v>
      </c>
      <c r="R187">
        <v>183.985</v>
      </c>
      <c r="S187">
        <v>-9999</v>
      </c>
      <c r="T187">
        <v>189.632</v>
      </c>
      <c r="U187">
        <v>3.077</v>
      </c>
      <c r="V187">
        <v>52.853</v>
      </c>
      <c r="W187">
        <v>0.1</v>
      </c>
      <c r="X187" t="s">
        <v>30</v>
      </c>
      <c r="Y187" t="s">
        <v>31</v>
      </c>
      <c r="Z187" s="3">
        <f t="shared" si="9"/>
        <v>0.0565693437881101</v>
      </c>
      <c r="AA187">
        <f t="shared" si="10"/>
        <v>-0.107</v>
      </c>
      <c r="AB187">
        <f t="shared" si="11"/>
        <v>0.414</v>
      </c>
      <c r="AC187" t="s">
        <v>32</v>
      </c>
    </row>
    <row r="188" spans="1:29">
      <c r="A188" t="s">
        <v>40</v>
      </c>
      <c r="B188">
        <v>3880.375</v>
      </c>
      <c r="C188">
        <v>18.027</v>
      </c>
      <c r="D188">
        <v>36.213</v>
      </c>
      <c r="E188">
        <v>158.218</v>
      </c>
      <c r="F188">
        <v>0.121</v>
      </c>
      <c r="G188">
        <v>22.572</v>
      </c>
      <c r="H188">
        <v>0.984</v>
      </c>
      <c r="I188">
        <v>2.747</v>
      </c>
      <c r="J188" s="3">
        <v>0.493</v>
      </c>
      <c r="K188">
        <v>8.046</v>
      </c>
      <c r="L188">
        <v>0.29</v>
      </c>
      <c r="M188">
        <v>3.393</v>
      </c>
      <c r="N188">
        <v>295.494</v>
      </c>
      <c r="O188">
        <v>261.005</v>
      </c>
      <c r="P188">
        <f t="shared" si="8"/>
        <v>2.47054866696568</v>
      </c>
      <c r="Q188">
        <f t="shared" si="8"/>
        <v>2.41664882707625</v>
      </c>
      <c r="R188">
        <v>213.48</v>
      </c>
      <c r="S188">
        <v>-9999</v>
      </c>
      <c r="T188">
        <v>220.032</v>
      </c>
      <c r="U188">
        <v>2.818</v>
      </c>
      <c r="V188">
        <v>53.565</v>
      </c>
      <c r="W188">
        <v>0.1</v>
      </c>
      <c r="X188" t="s">
        <v>30</v>
      </c>
      <c r="Y188" t="s">
        <v>31</v>
      </c>
      <c r="Z188" s="3">
        <f t="shared" si="9"/>
        <v>0.0538998398894281</v>
      </c>
      <c r="AA188">
        <f t="shared" si="10"/>
        <v>-0.203</v>
      </c>
      <c r="AB188">
        <f t="shared" si="11"/>
        <v>0.411</v>
      </c>
      <c r="AC188" t="s">
        <v>32</v>
      </c>
    </row>
    <row r="189" ht="15" customHeight="1" spans="1:29">
      <c r="A189" t="s">
        <v>40</v>
      </c>
      <c r="B189">
        <v>3880.5</v>
      </c>
      <c r="C189">
        <v>18.483</v>
      </c>
      <c r="D189">
        <v>36.208</v>
      </c>
      <c r="E189">
        <v>157.665</v>
      </c>
      <c r="F189">
        <v>0.111</v>
      </c>
      <c r="G189">
        <v>22.719</v>
      </c>
      <c r="H189">
        <v>0.945</v>
      </c>
      <c r="I189">
        <v>2.762</v>
      </c>
      <c r="J189" s="3">
        <v>0.603</v>
      </c>
      <c r="K189">
        <v>8.065</v>
      </c>
      <c r="L189">
        <v>0.292</v>
      </c>
      <c r="M189">
        <v>3.4</v>
      </c>
      <c r="N189">
        <v>319.891</v>
      </c>
      <c r="O189">
        <v>283.707</v>
      </c>
      <c r="P189">
        <f t="shared" si="8"/>
        <v>2.50500202156169</v>
      </c>
      <c r="Q189">
        <f t="shared" si="8"/>
        <v>2.45287005142458</v>
      </c>
      <c r="R189">
        <v>238.727</v>
      </c>
      <c r="S189">
        <v>-9999</v>
      </c>
      <c r="T189">
        <v>246.053</v>
      </c>
      <c r="U189">
        <v>0</v>
      </c>
      <c r="V189">
        <v>100</v>
      </c>
      <c r="W189">
        <v>0</v>
      </c>
      <c r="X189" t="s">
        <v>30</v>
      </c>
      <c r="Y189" t="s">
        <v>31</v>
      </c>
      <c r="Z189" s="3">
        <f t="shared" si="9"/>
        <v>0.0521319701371161</v>
      </c>
      <c r="AA189">
        <f t="shared" si="10"/>
        <v>-0.311</v>
      </c>
      <c r="AB189">
        <f t="shared" si="11"/>
        <v>0.403</v>
      </c>
      <c r="AC189" t="s">
        <v>32</v>
      </c>
    </row>
    <row r="190" spans="1:29">
      <c r="A190" t="s">
        <v>40</v>
      </c>
      <c r="B190">
        <v>3880.625</v>
      </c>
      <c r="C190">
        <v>18.644</v>
      </c>
      <c r="D190">
        <v>36.257</v>
      </c>
      <c r="E190">
        <v>156.964</v>
      </c>
      <c r="F190">
        <v>0.1</v>
      </c>
      <c r="G190">
        <v>22.396</v>
      </c>
      <c r="H190">
        <v>0.953</v>
      </c>
      <c r="I190">
        <v>2.773</v>
      </c>
      <c r="J190" s="3">
        <v>0.684</v>
      </c>
      <c r="K190">
        <v>8.029</v>
      </c>
      <c r="L190">
        <v>0.289</v>
      </c>
      <c r="M190">
        <v>3.392</v>
      </c>
      <c r="N190">
        <v>332.777</v>
      </c>
      <c r="O190">
        <v>295.461</v>
      </c>
      <c r="P190">
        <f t="shared" si="8"/>
        <v>2.52215330223929</v>
      </c>
      <c r="Q190">
        <f t="shared" si="8"/>
        <v>2.47050016338108</v>
      </c>
      <c r="R190">
        <v>249.121</v>
      </c>
      <c r="S190">
        <v>-9999</v>
      </c>
      <c r="T190">
        <v>256.766</v>
      </c>
      <c r="U190">
        <v>0</v>
      </c>
      <c r="V190">
        <v>100</v>
      </c>
      <c r="W190">
        <v>0</v>
      </c>
      <c r="X190" t="s">
        <v>30</v>
      </c>
      <c r="Y190" t="s">
        <v>31</v>
      </c>
      <c r="Z190" s="3">
        <f t="shared" si="9"/>
        <v>0.0516531388582031</v>
      </c>
      <c r="AA190">
        <f t="shared" si="10"/>
        <v>-0.395</v>
      </c>
      <c r="AB190">
        <f t="shared" si="11"/>
        <v>0.389</v>
      </c>
      <c r="AC190" t="s">
        <v>32</v>
      </c>
    </row>
    <row r="191" spans="1:29">
      <c r="A191" t="s">
        <v>40</v>
      </c>
      <c r="B191">
        <v>3880.75</v>
      </c>
      <c r="C191">
        <v>18.696</v>
      </c>
      <c r="D191">
        <v>36.388</v>
      </c>
      <c r="E191">
        <v>155.948</v>
      </c>
      <c r="F191">
        <v>0.082</v>
      </c>
      <c r="G191">
        <v>22.225</v>
      </c>
      <c r="H191">
        <v>0.984</v>
      </c>
      <c r="I191">
        <v>2.779</v>
      </c>
      <c r="J191" s="3">
        <v>0.728</v>
      </c>
      <c r="K191">
        <v>7.941</v>
      </c>
      <c r="L191">
        <v>0.279</v>
      </c>
      <c r="M191">
        <v>3.372</v>
      </c>
      <c r="N191">
        <v>343.527</v>
      </c>
      <c r="O191">
        <v>304.288</v>
      </c>
      <c r="P191">
        <f t="shared" si="8"/>
        <v>2.53596087673819</v>
      </c>
      <c r="Q191">
        <f t="shared" si="8"/>
        <v>2.4832848257182</v>
      </c>
      <c r="R191">
        <v>243.822</v>
      </c>
      <c r="S191">
        <v>-9999</v>
      </c>
      <c r="T191">
        <v>251.304</v>
      </c>
      <c r="U191">
        <v>0</v>
      </c>
      <c r="V191">
        <v>100</v>
      </c>
      <c r="W191">
        <v>0</v>
      </c>
      <c r="X191" t="s">
        <v>30</v>
      </c>
      <c r="Y191" t="s">
        <v>31</v>
      </c>
      <c r="Z191" s="3">
        <f t="shared" si="9"/>
        <v>0.0526760510199948</v>
      </c>
      <c r="AA191">
        <f t="shared" si="10"/>
        <v>-0.449</v>
      </c>
      <c r="AB191">
        <f t="shared" si="11"/>
        <v>0.361</v>
      </c>
      <c r="AC191" t="s">
        <v>32</v>
      </c>
    </row>
    <row r="192" spans="1:29">
      <c r="A192" t="s">
        <v>40</v>
      </c>
      <c r="B192">
        <v>3880.875</v>
      </c>
      <c r="C192">
        <v>18.277</v>
      </c>
      <c r="D192">
        <v>36.6</v>
      </c>
      <c r="E192">
        <v>155.145</v>
      </c>
      <c r="F192">
        <v>0.069</v>
      </c>
      <c r="G192">
        <v>22.2</v>
      </c>
      <c r="H192">
        <v>0.999</v>
      </c>
      <c r="I192">
        <v>2.78</v>
      </c>
      <c r="J192" s="3">
        <v>0.735</v>
      </c>
      <c r="K192">
        <v>7.868</v>
      </c>
      <c r="L192">
        <v>0.272</v>
      </c>
      <c r="M192">
        <v>3.344</v>
      </c>
      <c r="N192">
        <v>360.088</v>
      </c>
      <c r="O192">
        <v>317.273</v>
      </c>
      <c r="P192">
        <f t="shared" si="8"/>
        <v>2.55640864866754</v>
      </c>
      <c r="Q192">
        <f t="shared" si="8"/>
        <v>2.50143311511983</v>
      </c>
      <c r="R192">
        <v>233.514</v>
      </c>
      <c r="S192">
        <v>-9999</v>
      </c>
      <c r="T192">
        <v>240.68</v>
      </c>
      <c r="U192">
        <v>0</v>
      </c>
      <c r="V192">
        <v>100</v>
      </c>
      <c r="W192">
        <v>0</v>
      </c>
      <c r="X192" t="s">
        <v>30</v>
      </c>
      <c r="Y192" t="s">
        <v>31</v>
      </c>
      <c r="Z192" s="3">
        <f t="shared" si="9"/>
        <v>0.0549755335477045</v>
      </c>
      <c r="AA192">
        <f t="shared" si="10"/>
        <v>-0.463</v>
      </c>
      <c r="AB192">
        <f t="shared" si="11"/>
        <v>0.341</v>
      </c>
      <c r="AC192" t="s">
        <v>32</v>
      </c>
    </row>
    <row r="193" spans="1:29">
      <c r="A193" t="s">
        <v>40</v>
      </c>
      <c r="B193">
        <v>3881</v>
      </c>
      <c r="C193">
        <v>17.879</v>
      </c>
      <c r="D193">
        <v>36.893</v>
      </c>
      <c r="E193">
        <v>154.28</v>
      </c>
      <c r="F193">
        <v>0.054</v>
      </c>
      <c r="G193">
        <v>22.2</v>
      </c>
      <c r="H193">
        <v>1.007</v>
      </c>
      <c r="I193">
        <v>2.78</v>
      </c>
      <c r="J193" s="3">
        <v>0.735</v>
      </c>
      <c r="K193">
        <v>7.798</v>
      </c>
      <c r="L193">
        <v>0.265</v>
      </c>
      <c r="M193">
        <v>3.313</v>
      </c>
      <c r="N193">
        <v>392.15</v>
      </c>
      <c r="O193">
        <v>343.219</v>
      </c>
      <c r="P193">
        <f t="shared" si="8"/>
        <v>2.59345221934611</v>
      </c>
      <c r="Q193">
        <f t="shared" si="8"/>
        <v>2.53557132162059</v>
      </c>
      <c r="R193">
        <v>242.9</v>
      </c>
      <c r="S193">
        <v>-9999</v>
      </c>
      <c r="T193">
        <v>250.354</v>
      </c>
      <c r="U193">
        <v>0</v>
      </c>
      <c r="V193">
        <v>100</v>
      </c>
      <c r="W193">
        <v>0</v>
      </c>
      <c r="X193" t="s">
        <v>30</v>
      </c>
      <c r="Y193" t="s">
        <v>31</v>
      </c>
      <c r="Z193" s="3">
        <f t="shared" si="9"/>
        <v>0.0578808977255165</v>
      </c>
      <c r="AA193">
        <f t="shared" si="10"/>
        <v>-0.47</v>
      </c>
      <c r="AB193">
        <f t="shared" si="11"/>
        <v>0.319</v>
      </c>
      <c r="AC193" t="s">
        <v>32</v>
      </c>
    </row>
    <row r="194" spans="1:29">
      <c r="A194" t="s">
        <v>41</v>
      </c>
      <c r="B194">
        <v>3983.125</v>
      </c>
      <c r="C194">
        <v>24.086</v>
      </c>
      <c r="D194">
        <v>55.656</v>
      </c>
      <c r="E194">
        <v>174.555</v>
      </c>
      <c r="F194">
        <v>0.478</v>
      </c>
      <c r="G194">
        <v>22.673</v>
      </c>
      <c r="H194">
        <v>1.307</v>
      </c>
      <c r="I194">
        <v>2.697</v>
      </c>
      <c r="J194">
        <v>0.141</v>
      </c>
      <c r="K194">
        <v>10.921</v>
      </c>
      <c r="L194">
        <v>0.745</v>
      </c>
      <c r="M194">
        <v>3.259</v>
      </c>
      <c r="N194">
        <v>242.953</v>
      </c>
      <c r="O194">
        <v>218.657</v>
      </c>
      <c r="P194">
        <f t="shared" ref="P194:Q257" si="12">LOG(N194)</f>
        <v>2.38552226612963</v>
      </c>
      <c r="Q194">
        <f t="shared" si="12"/>
        <v>2.33976338523775</v>
      </c>
      <c r="R194">
        <v>148.178</v>
      </c>
      <c r="S194">
        <v>159.331</v>
      </c>
      <c r="T194">
        <v>171.324</v>
      </c>
      <c r="U194">
        <v>2.644</v>
      </c>
      <c r="V194">
        <v>71.244</v>
      </c>
      <c r="W194">
        <v>0.024</v>
      </c>
      <c r="X194" t="s">
        <v>30</v>
      </c>
      <c r="Y194" t="s">
        <v>31</v>
      </c>
      <c r="Z194" s="3">
        <f t="shared" ref="Z194:Z257" si="13">P194-Q194</f>
        <v>0.0457588808918818</v>
      </c>
      <c r="AA194">
        <f t="shared" ref="AA194:AA257" si="14">L194-J194</f>
        <v>0.604</v>
      </c>
      <c r="AB194">
        <f t="shared" ref="AB194:AB257" si="15">L194+F194</f>
        <v>1.223</v>
      </c>
      <c r="AC194" t="s">
        <v>32</v>
      </c>
    </row>
    <row r="195" spans="1:29">
      <c r="A195" t="s">
        <v>41</v>
      </c>
      <c r="B195">
        <v>3983.25</v>
      </c>
      <c r="C195">
        <v>23.841</v>
      </c>
      <c r="D195">
        <v>55.642</v>
      </c>
      <c r="E195">
        <v>174.474</v>
      </c>
      <c r="F195">
        <v>0.476</v>
      </c>
      <c r="G195">
        <v>22.662</v>
      </c>
      <c r="H195">
        <v>1.481</v>
      </c>
      <c r="I195">
        <v>2.696</v>
      </c>
      <c r="J195">
        <v>0.137</v>
      </c>
      <c r="K195">
        <v>11.095</v>
      </c>
      <c r="L195">
        <v>0.758</v>
      </c>
      <c r="M195">
        <v>3.299</v>
      </c>
      <c r="N195">
        <v>238.133</v>
      </c>
      <c r="O195">
        <v>214.32</v>
      </c>
      <c r="P195">
        <f t="shared" si="12"/>
        <v>2.37681958324539</v>
      </c>
      <c r="Q195">
        <f t="shared" si="12"/>
        <v>2.33106270060015</v>
      </c>
      <c r="R195">
        <v>145.542</v>
      </c>
      <c r="S195">
        <v>156.498</v>
      </c>
      <c r="T195">
        <v>168.276</v>
      </c>
      <c r="U195">
        <v>2.714</v>
      </c>
      <c r="V195">
        <v>70.596</v>
      </c>
      <c r="W195">
        <v>0.027</v>
      </c>
      <c r="X195" t="s">
        <v>30</v>
      </c>
      <c r="Y195" t="s">
        <v>31</v>
      </c>
      <c r="Z195" s="3">
        <f t="shared" si="13"/>
        <v>0.0457568826452417</v>
      </c>
      <c r="AA195">
        <f t="shared" si="14"/>
        <v>0.621</v>
      </c>
      <c r="AB195">
        <f t="shared" si="15"/>
        <v>1.234</v>
      </c>
      <c r="AC195" t="s">
        <v>32</v>
      </c>
    </row>
    <row r="196" spans="1:29">
      <c r="A196" t="s">
        <v>41</v>
      </c>
      <c r="B196">
        <v>3983.375</v>
      </c>
      <c r="C196">
        <v>23.943</v>
      </c>
      <c r="D196">
        <v>55.635</v>
      </c>
      <c r="E196">
        <v>174.63</v>
      </c>
      <c r="F196">
        <v>0.481</v>
      </c>
      <c r="G196">
        <v>22.487</v>
      </c>
      <c r="H196">
        <v>1.596</v>
      </c>
      <c r="I196">
        <v>2.691</v>
      </c>
      <c r="J196">
        <v>0.118</v>
      </c>
      <c r="K196">
        <v>11.42</v>
      </c>
      <c r="L196">
        <v>0.783</v>
      </c>
      <c r="M196">
        <v>3.354</v>
      </c>
      <c r="N196">
        <v>221.306</v>
      </c>
      <c r="O196">
        <v>199.176</v>
      </c>
      <c r="P196">
        <f t="shared" si="12"/>
        <v>2.34499318858414</v>
      </c>
      <c r="Q196">
        <f t="shared" si="12"/>
        <v>2.29923700629897</v>
      </c>
      <c r="R196">
        <v>141.079</v>
      </c>
      <c r="S196">
        <v>151.699</v>
      </c>
      <c r="T196">
        <v>163.117</v>
      </c>
      <c r="U196">
        <v>2.949</v>
      </c>
      <c r="V196">
        <v>69.325</v>
      </c>
      <c r="W196">
        <v>0.04</v>
      </c>
      <c r="X196" t="s">
        <v>30</v>
      </c>
      <c r="Y196" t="s">
        <v>31</v>
      </c>
      <c r="Z196" s="3">
        <f t="shared" si="13"/>
        <v>0.0457561822851718</v>
      </c>
      <c r="AA196">
        <f t="shared" si="14"/>
        <v>0.665</v>
      </c>
      <c r="AB196">
        <f t="shared" si="15"/>
        <v>1.264</v>
      </c>
      <c r="AC196" t="s">
        <v>32</v>
      </c>
    </row>
    <row r="197" spans="1:29">
      <c r="A197" t="s">
        <v>41</v>
      </c>
      <c r="B197">
        <v>3983.5</v>
      </c>
      <c r="C197">
        <v>24.223</v>
      </c>
      <c r="D197">
        <v>55.634</v>
      </c>
      <c r="E197">
        <v>175.244</v>
      </c>
      <c r="F197">
        <v>0.502</v>
      </c>
      <c r="G197">
        <v>22.37</v>
      </c>
      <c r="H197">
        <v>1.649</v>
      </c>
      <c r="I197">
        <v>2.686</v>
      </c>
      <c r="J197">
        <v>0.099</v>
      </c>
      <c r="K197">
        <v>11.789</v>
      </c>
      <c r="L197">
        <v>0.812</v>
      </c>
      <c r="M197">
        <v>3.41</v>
      </c>
      <c r="N197">
        <v>199.304</v>
      </c>
      <c r="O197">
        <v>179.374</v>
      </c>
      <c r="P197">
        <f t="shared" si="12"/>
        <v>2.29951601501005</v>
      </c>
      <c r="Q197">
        <f t="shared" si="12"/>
        <v>2.25375949291741</v>
      </c>
      <c r="R197">
        <v>136.06</v>
      </c>
      <c r="S197">
        <v>146.301</v>
      </c>
      <c r="T197">
        <v>157.313</v>
      </c>
      <c r="U197">
        <v>3.204</v>
      </c>
      <c r="V197">
        <v>68.715</v>
      </c>
      <c r="W197">
        <v>0.057</v>
      </c>
      <c r="X197" t="s">
        <v>30</v>
      </c>
      <c r="Y197" t="s">
        <v>31</v>
      </c>
      <c r="Z197" s="3">
        <f t="shared" si="13"/>
        <v>0.0457565220926335</v>
      </c>
      <c r="AA197">
        <f t="shared" si="14"/>
        <v>0.713</v>
      </c>
      <c r="AB197">
        <f t="shared" si="15"/>
        <v>1.314</v>
      </c>
      <c r="AC197" t="s">
        <v>32</v>
      </c>
    </row>
    <row r="198" spans="1:29">
      <c r="A198" t="s">
        <v>41</v>
      </c>
      <c r="B198">
        <v>3983.625</v>
      </c>
      <c r="C198">
        <v>24.276</v>
      </c>
      <c r="D198">
        <v>55.637</v>
      </c>
      <c r="E198">
        <v>176.352</v>
      </c>
      <c r="F198">
        <v>0.54</v>
      </c>
      <c r="G198">
        <v>22.362</v>
      </c>
      <c r="H198">
        <v>1.637</v>
      </c>
      <c r="I198">
        <v>2.682</v>
      </c>
      <c r="J198">
        <v>0.084</v>
      </c>
      <c r="K198">
        <v>12.12</v>
      </c>
      <c r="L198">
        <v>0.837</v>
      </c>
      <c r="M198">
        <v>3.443</v>
      </c>
      <c r="N198">
        <v>176.549</v>
      </c>
      <c r="O198">
        <v>158.895</v>
      </c>
      <c r="P198">
        <f t="shared" si="12"/>
        <v>2.24686526199704</v>
      </c>
      <c r="Q198">
        <f t="shared" si="12"/>
        <v>2.20111023133844</v>
      </c>
      <c r="R198">
        <v>131.008</v>
      </c>
      <c r="S198">
        <v>140.869</v>
      </c>
      <c r="T198">
        <v>151.472</v>
      </c>
      <c r="U198">
        <v>3.443</v>
      </c>
      <c r="V198">
        <v>68.791</v>
      </c>
      <c r="W198">
        <v>0.078</v>
      </c>
      <c r="X198" t="s">
        <v>30</v>
      </c>
      <c r="Y198" t="s">
        <v>31</v>
      </c>
      <c r="Z198" s="3">
        <f t="shared" si="13"/>
        <v>0.0457550306585972</v>
      </c>
      <c r="AA198">
        <f t="shared" si="14"/>
        <v>0.753</v>
      </c>
      <c r="AB198">
        <f t="shared" si="15"/>
        <v>1.377</v>
      </c>
      <c r="AC198" t="s">
        <v>32</v>
      </c>
    </row>
    <row r="199" spans="1:29">
      <c r="A199" t="s">
        <v>41</v>
      </c>
      <c r="B199">
        <v>3983.75</v>
      </c>
      <c r="C199">
        <v>23.86</v>
      </c>
      <c r="D199">
        <v>55.642</v>
      </c>
      <c r="E199">
        <v>177.537</v>
      </c>
      <c r="F199">
        <v>0.581</v>
      </c>
      <c r="G199">
        <v>22.395</v>
      </c>
      <c r="H199">
        <v>1.575</v>
      </c>
      <c r="I199">
        <v>2.682</v>
      </c>
      <c r="J199">
        <v>0.084</v>
      </c>
      <c r="K199">
        <v>12.35</v>
      </c>
      <c r="L199">
        <v>0.855</v>
      </c>
      <c r="M199">
        <v>3.438</v>
      </c>
      <c r="N199">
        <v>157.333</v>
      </c>
      <c r="O199">
        <v>141.599</v>
      </c>
      <c r="P199">
        <f t="shared" si="12"/>
        <v>2.19681982379802</v>
      </c>
      <c r="Q199">
        <f t="shared" si="12"/>
        <v>2.15106018629149</v>
      </c>
      <c r="R199">
        <v>126.095</v>
      </c>
      <c r="S199">
        <v>135.587</v>
      </c>
      <c r="T199">
        <v>145.792</v>
      </c>
      <c r="U199">
        <v>3.614</v>
      </c>
      <c r="V199">
        <v>69.592</v>
      </c>
      <c r="W199">
        <v>0.097</v>
      </c>
      <c r="X199" t="s">
        <v>30</v>
      </c>
      <c r="Y199" t="s">
        <v>31</v>
      </c>
      <c r="Z199" s="3">
        <f t="shared" si="13"/>
        <v>0.0457596375065283</v>
      </c>
      <c r="AA199">
        <f t="shared" si="14"/>
        <v>0.771</v>
      </c>
      <c r="AB199">
        <f t="shared" si="15"/>
        <v>1.436</v>
      </c>
      <c r="AC199" t="s">
        <v>32</v>
      </c>
    </row>
    <row r="200" spans="1:29">
      <c r="A200" t="s">
        <v>41</v>
      </c>
      <c r="B200">
        <v>3983.875</v>
      </c>
      <c r="C200">
        <v>23.064</v>
      </c>
      <c r="D200">
        <v>55.65</v>
      </c>
      <c r="E200">
        <v>177.95</v>
      </c>
      <c r="F200">
        <v>0.595</v>
      </c>
      <c r="G200">
        <v>22.419</v>
      </c>
      <c r="H200">
        <v>1.468</v>
      </c>
      <c r="I200">
        <v>2.686</v>
      </c>
      <c r="J200">
        <v>0.099</v>
      </c>
      <c r="K200">
        <v>12.443</v>
      </c>
      <c r="L200">
        <v>0.862</v>
      </c>
      <c r="M200">
        <v>3.405</v>
      </c>
      <c r="N200">
        <v>148.311</v>
      </c>
      <c r="O200">
        <v>133.48</v>
      </c>
      <c r="P200">
        <f t="shared" si="12"/>
        <v>2.17117336318035</v>
      </c>
      <c r="Q200">
        <f t="shared" si="12"/>
        <v>2.12541619798275</v>
      </c>
      <c r="R200">
        <v>121.122</v>
      </c>
      <c r="S200">
        <v>130.239</v>
      </c>
      <c r="T200">
        <v>140.042</v>
      </c>
      <c r="U200">
        <v>3.664</v>
      </c>
      <c r="V200">
        <v>70.628</v>
      </c>
      <c r="W200">
        <v>0.103</v>
      </c>
      <c r="X200" t="s">
        <v>30</v>
      </c>
      <c r="Y200" t="s">
        <v>31</v>
      </c>
      <c r="Z200" s="3">
        <f t="shared" si="13"/>
        <v>0.0457571651975912</v>
      </c>
      <c r="AA200">
        <f t="shared" si="14"/>
        <v>0.763</v>
      </c>
      <c r="AB200">
        <f t="shared" si="15"/>
        <v>1.457</v>
      </c>
      <c r="AC200" t="s">
        <v>32</v>
      </c>
    </row>
    <row r="201" spans="1:29">
      <c r="A201" t="s">
        <v>41</v>
      </c>
      <c r="B201">
        <v>3984</v>
      </c>
      <c r="C201">
        <v>22.649</v>
      </c>
      <c r="D201">
        <v>55.658</v>
      </c>
      <c r="E201">
        <v>177.336</v>
      </c>
      <c r="F201">
        <v>0.574</v>
      </c>
      <c r="G201">
        <v>22.39</v>
      </c>
      <c r="H201">
        <v>1.361</v>
      </c>
      <c r="I201">
        <v>2.692</v>
      </c>
      <c r="J201">
        <v>0.122</v>
      </c>
      <c r="K201">
        <v>12.45</v>
      </c>
      <c r="L201">
        <v>0.862</v>
      </c>
      <c r="M201">
        <v>3.364</v>
      </c>
      <c r="N201">
        <v>151.077</v>
      </c>
      <c r="O201">
        <v>135.97</v>
      </c>
      <c r="P201">
        <f t="shared" si="12"/>
        <v>2.17919835227157</v>
      </c>
      <c r="Q201">
        <f t="shared" si="12"/>
        <v>2.1334430975491</v>
      </c>
      <c r="R201">
        <v>116.011</v>
      </c>
      <c r="S201">
        <v>124.744</v>
      </c>
      <c r="T201">
        <v>134.133</v>
      </c>
      <c r="U201">
        <v>3.588</v>
      </c>
      <c r="V201">
        <v>71.276</v>
      </c>
      <c r="W201">
        <v>0.094</v>
      </c>
      <c r="X201" t="s">
        <v>30</v>
      </c>
      <c r="Y201" t="s">
        <v>31</v>
      </c>
      <c r="Z201" s="3">
        <f t="shared" si="13"/>
        <v>0.0457552547224767</v>
      </c>
      <c r="AA201">
        <f t="shared" si="14"/>
        <v>0.74</v>
      </c>
      <c r="AB201">
        <f t="shared" si="15"/>
        <v>1.436</v>
      </c>
      <c r="AC201" t="s">
        <v>32</v>
      </c>
    </row>
    <row r="202" spans="1:29">
      <c r="A202" t="s">
        <v>41</v>
      </c>
      <c r="B202">
        <v>3984.125</v>
      </c>
      <c r="C202">
        <v>22.985</v>
      </c>
      <c r="D202">
        <v>55.667</v>
      </c>
      <c r="E202">
        <v>176.006</v>
      </c>
      <c r="F202">
        <v>0.528</v>
      </c>
      <c r="G202">
        <v>22.318</v>
      </c>
      <c r="H202">
        <v>1.289</v>
      </c>
      <c r="I202">
        <v>2.698</v>
      </c>
      <c r="J202">
        <v>0.144</v>
      </c>
      <c r="K202">
        <v>12.421</v>
      </c>
      <c r="L202">
        <v>0.86</v>
      </c>
      <c r="M202">
        <v>3.337</v>
      </c>
      <c r="N202">
        <v>164.586</v>
      </c>
      <c r="O202">
        <v>148.128</v>
      </c>
      <c r="P202">
        <f t="shared" si="12"/>
        <v>2.21639289052794</v>
      </c>
      <c r="Q202">
        <f t="shared" si="12"/>
        <v>2.17063715910272</v>
      </c>
      <c r="R202">
        <v>111.008</v>
      </c>
      <c r="S202">
        <v>119.363</v>
      </c>
      <c r="T202">
        <v>128.347</v>
      </c>
      <c r="U202">
        <v>3.422</v>
      </c>
      <c r="V202">
        <v>71.32</v>
      </c>
      <c r="W202">
        <v>0.077</v>
      </c>
      <c r="X202" t="s">
        <v>30</v>
      </c>
      <c r="Y202" t="s">
        <v>31</v>
      </c>
      <c r="Z202" s="3">
        <f t="shared" si="13"/>
        <v>0.0457557314252188</v>
      </c>
      <c r="AA202">
        <f t="shared" si="14"/>
        <v>0.716</v>
      </c>
      <c r="AB202">
        <f t="shared" si="15"/>
        <v>1.388</v>
      </c>
      <c r="AC202" t="s">
        <v>32</v>
      </c>
    </row>
    <row r="203" spans="1:29">
      <c r="A203" t="s">
        <v>41</v>
      </c>
      <c r="B203">
        <v>3984.25</v>
      </c>
      <c r="C203">
        <v>23.88</v>
      </c>
      <c r="D203">
        <v>55.675</v>
      </c>
      <c r="E203">
        <v>174.657</v>
      </c>
      <c r="F203">
        <v>0.482</v>
      </c>
      <c r="G203">
        <v>22.205</v>
      </c>
      <c r="H203">
        <v>1.261</v>
      </c>
      <c r="I203">
        <v>2.702</v>
      </c>
      <c r="J203">
        <v>0.16</v>
      </c>
      <c r="K203">
        <v>12.406</v>
      </c>
      <c r="L203">
        <v>0.859</v>
      </c>
      <c r="M203">
        <v>3.342</v>
      </c>
      <c r="N203">
        <v>184.377</v>
      </c>
      <c r="O203">
        <v>165.94</v>
      </c>
      <c r="P203">
        <f t="shared" si="12"/>
        <v>2.26570674428768</v>
      </c>
      <c r="Q203">
        <f t="shared" si="12"/>
        <v>2.21995108575532</v>
      </c>
      <c r="R203">
        <v>106.773</v>
      </c>
      <c r="S203">
        <v>114.81</v>
      </c>
      <c r="T203">
        <v>123.452</v>
      </c>
      <c r="U203">
        <v>3.251</v>
      </c>
      <c r="V203">
        <v>70.681</v>
      </c>
      <c r="W203">
        <v>0.061</v>
      </c>
      <c r="X203" t="s">
        <v>30</v>
      </c>
      <c r="Y203" t="s">
        <v>31</v>
      </c>
      <c r="Z203" s="3">
        <f t="shared" si="13"/>
        <v>0.0457556585323604</v>
      </c>
      <c r="AA203">
        <f t="shared" si="14"/>
        <v>0.699</v>
      </c>
      <c r="AB203">
        <f t="shared" si="15"/>
        <v>1.341</v>
      </c>
      <c r="AC203" t="s">
        <v>32</v>
      </c>
    </row>
    <row r="204" spans="1:29">
      <c r="A204" t="s">
        <v>41</v>
      </c>
      <c r="B204">
        <v>3984.375</v>
      </c>
      <c r="C204">
        <v>24.595</v>
      </c>
      <c r="D204">
        <v>55.683</v>
      </c>
      <c r="E204">
        <v>174.132</v>
      </c>
      <c r="F204">
        <v>0.464</v>
      </c>
      <c r="G204">
        <v>22.131</v>
      </c>
      <c r="H204">
        <v>1.256</v>
      </c>
      <c r="I204">
        <v>2.702</v>
      </c>
      <c r="J204">
        <v>0.16</v>
      </c>
      <c r="K204">
        <v>12.481</v>
      </c>
      <c r="L204">
        <v>0.865</v>
      </c>
      <c r="M204">
        <v>3.375</v>
      </c>
      <c r="N204">
        <v>201.864</v>
      </c>
      <c r="O204">
        <v>181.677</v>
      </c>
      <c r="P204">
        <f t="shared" si="12"/>
        <v>2.30505887468714</v>
      </c>
      <c r="Q204">
        <f t="shared" si="12"/>
        <v>2.25929994984332</v>
      </c>
      <c r="R204">
        <v>104.634</v>
      </c>
      <c r="S204">
        <v>112.508</v>
      </c>
      <c r="T204">
        <v>120.977</v>
      </c>
      <c r="U204">
        <v>3.211</v>
      </c>
      <c r="V204">
        <v>69.148</v>
      </c>
      <c r="W204">
        <v>0.057</v>
      </c>
      <c r="X204" t="s">
        <v>30</v>
      </c>
      <c r="Y204" t="s">
        <v>31</v>
      </c>
      <c r="Z204" s="3">
        <f t="shared" si="13"/>
        <v>0.0457589248438195</v>
      </c>
      <c r="AA204">
        <f t="shared" si="14"/>
        <v>0.705</v>
      </c>
      <c r="AB204">
        <f t="shared" si="15"/>
        <v>1.329</v>
      </c>
      <c r="AC204" t="s">
        <v>32</v>
      </c>
    </row>
    <row r="205" spans="1:29">
      <c r="A205" t="s">
        <v>41</v>
      </c>
      <c r="B205">
        <v>3984.5</v>
      </c>
      <c r="C205">
        <v>24.585</v>
      </c>
      <c r="D205">
        <v>55.691</v>
      </c>
      <c r="E205">
        <v>174.61</v>
      </c>
      <c r="F205">
        <v>0.48</v>
      </c>
      <c r="G205">
        <v>22.163</v>
      </c>
      <c r="H205">
        <v>1.242</v>
      </c>
      <c r="I205">
        <v>2.697</v>
      </c>
      <c r="J205">
        <v>0.141</v>
      </c>
      <c r="K205">
        <v>12.691</v>
      </c>
      <c r="L205">
        <v>0.881</v>
      </c>
      <c r="M205">
        <v>3.415</v>
      </c>
      <c r="N205">
        <v>209.331</v>
      </c>
      <c r="O205">
        <v>188.398</v>
      </c>
      <c r="P205">
        <f t="shared" si="12"/>
        <v>2.32083354812849</v>
      </c>
      <c r="Q205">
        <f t="shared" si="12"/>
        <v>2.27507628808757</v>
      </c>
      <c r="R205">
        <v>105.357</v>
      </c>
      <c r="S205">
        <v>113.287</v>
      </c>
      <c r="T205">
        <v>121.813</v>
      </c>
      <c r="U205">
        <v>3.373</v>
      </c>
      <c r="V205">
        <v>66.811</v>
      </c>
      <c r="W205">
        <v>0.072</v>
      </c>
      <c r="X205" t="s">
        <v>30</v>
      </c>
      <c r="Y205" t="s">
        <v>31</v>
      </c>
      <c r="Z205" s="3">
        <f t="shared" si="13"/>
        <v>0.0457572600409257</v>
      </c>
      <c r="AA205">
        <f t="shared" si="14"/>
        <v>0.74</v>
      </c>
      <c r="AB205">
        <f t="shared" si="15"/>
        <v>1.361</v>
      </c>
      <c r="AC205" t="s">
        <v>32</v>
      </c>
    </row>
    <row r="206" spans="1:29">
      <c r="A206" t="s">
        <v>41</v>
      </c>
      <c r="B206">
        <v>3984.625</v>
      </c>
      <c r="C206">
        <v>23.99</v>
      </c>
      <c r="D206">
        <v>55.697</v>
      </c>
      <c r="E206">
        <v>175.998</v>
      </c>
      <c r="F206">
        <v>0.528</v>
      </c>
      <c r="G206">
        <v>22.229</v>
      </c>
      <c r="H206">
        <v>1.195</v>
      </c>
      <c r="I206">
        <v>2.69</v>
      </c>
      <c r="J206">
        <v>0.114</v>
      </c>
      <c r="K206">
        <v>13.065</v>
      </c>
      <c r="L206">
        <v>0.91</v>
      </c>
      <c r="M206">
        <v>3.45</v>
      </c>
      <c r="N206">
        <v>204.767</v>
      </c>
      <c r="O206">
        <v>184.291</v>
      </c>
      <c r="P206">
        <f t="shared" si="12"/>
        <v>2.3112599675739</v>
      </c>
      <c r="Q206">
        <f t="shared" si="12"/>
        <v>2.26550412661475</v>
      </c>
      <c r="R206">
        <v>110.232</v>
      </c>
      <c r="S206">
        <v>118.528</v>
      </c>
      <c r="T206">
        <v>127.45</v>
      </c>
      <c r="U206">
        <v>3.726</v>
      </c>
      <c r="V206">
        <v>64.218</v>
      </c>
      <c r="W206">
        <v>0.112</v>
      </c>
      <c r="X206" t="s">
        <v>30</v>
      </c>
      <c r="Y206" t="s">
        <v>31</v>
      </c>
      <c r="Z206" s="3">
        <f t="shared" si="13"/>
        <v>0.0457558409591496</v>
      </c>
      <c r="AA206">
        <f t="shared" si="14"/>
        <v>0.796</v>
      </c>
      <c r="AB206">
        <f t="shared" si="15"/>
        <v>1.438</v>
      </c>
      <c r="AC206" t="s">
        <v>32</v>
      </c>
    </row>
    <row r="207" spans="1:29">
      <c r="A207" t="s">
        <v>41</v>
      </c>
      <c r="B207">
        <v>3984.75</v>
      </c>
      <c r="C207">
        <v>23.257</v>
      </c>
      <c r="D207">
        <v>55.703</v>
      </c>
      <c r="E207">
        <v>178.002</v>
      </c>
      <c r="F207">
        <v>0.596</v>
      </c>
      <c r="G207">
        <v>22.284</v>
      </c>
      <c r="H207">
        <v>1.118</v>
      </c>
      <c r="I207">
        <v>2.683</v>
      </c>
      <c r="J207">
        <v>0.087</v>
      </c>
      <c r="K207">
        <v>13.569</v>
      </c>
      <c r="L207">
        <v>0.949</v>
      </c>
      <c r="M207">
        <v>3.452</v>
      </c>
      <c r="N207">
        <v>192.225</v>
      </c>
      <c r="O207">
        <v>173.002</v>
      </c>
      <c r="P207">
        <f t="shared" si="12"/>
        <v>2.28380986957594</v>
      </c>
      <c r="Q207">
        <f t="shared" si="12"/>
        <v>2.23805112384523</v>
      </c>
      <c r="R207">
        <v>118.927</v>
      </c>
      <c r="S207">
        <v>127.878</v>
      </c>
      <c r="T207">
        <v>137.504</v>
      </c>
      <c r="U207">
        <v>4.176</v>
      </c>
      <c r="V207">
        <v>62.097</v>
      </c>
      <c r="W207">
        <v>0.184</v>
      </c>
      <c r="X207" t="s">
        <v>30</v>
      </c>
      <c r="Y207" t="s">
        <v>31</v>
      </c>
      <c r="Z207" s="3">
        <f t="shared" si="13"/>
        <v>0.0457587457307143</v>
      </c>
      <c r="AA207">
        <f t="shared" si="14"/>
        <v>0.862</v>
      </c>
      <c r="AB207">
        <f t="shared" si="15"/>
        <v>1.545</v>
      </c>
      <c r="AC207" t="s">
        <v>32</v>
      </c>
    </row>
    <row r="208" spans="1:29">
      <c r="A208" t="s">
        <v>41</v>
      </c>
      <c r="B208">
        <v>3984.875</v>
      </c>
      <c r="C208">
        <v>22.822</v>
      </c>
      <c r="D208">
        <v>55.708</v>
      </c>
      <c r="E208">
        <v>180.042</v>
      </c>
      <c r="F208">
        <v>0.666</v>
      </c>
      <c r="G208">
        <v>22.3</v>
      </c>
      <c r="H208">
        <v>1.039</v>
      </c>
      <c r="I208">
        <v>2.68</v>
      </c>
      <c r="J208">
        <v>0.076</v>
      </c>
      <c r="K208">
        <v>14.03</v>
      </c>
      <c r="L208">
        <v>0.984</v>
      </c>
      <c r="M208">
        <v>3.431</v>
      </c>
      <c r="N208">
        <v>178.98</v>
      </c>
      <c r="O208">
        <v>161.082</v>
      </c>
      <c r="P208">
        <f t="shared" si="12"/>
        <v>2.25280450374571</v>
      </c>
      <c r="Q208">
        <f t="shared" si="12"/>
        <v>2.20704701318503</v>
      </c>
      <c r="R208">
        <v>130.457</v>
      </c>
      <c r="S208">
        <v>140.276</v>
      </c>
      <c r="T208">
        <v>150.834</v>
      </c>
      <c r="U208">
        <v>4.538</v>
      </c>
      <c r="V208">
        <v>61.147</v>
      </c>
      <c r="W208">
        <v>0.265</v>
      </c>
      <c r="X208" t="s">
        <v>30</v>
      </c>
      <c r="Y208" t="s">
        <v>31</v>
      </c>
      <c r="Z208" s="3">
        <f t="shared" si="13"/>
        <v>0.0457574905606752</v>
      </c>
      <c r="AA208">
        <f t="shared" si="14"/>
        <v>0.908</v>
      </c>
      <c r="AB208">
        <f t="shared" si="15"/>
        <v>1.65</v>
      </c>
      <c r="AC208" t="s">
        <v>32</v>
      </c>
    </row>
    <row r="209" spans="1:29">
      <c r="A209" t="s">
        <v>41</v>
      </c>
      <c r="B209">
        <v>3985</v>
      </c>
      <c r="C209">
        <v>22.676</v>
      </c>
      <c r="D209">
        <v>55.713</v>
      </c>
      <c r="E209">
        <v>181.355</v>
      </c>
      <c r="F209">
        <v>0.711</v>
      </c>
      <c r="G209">
        <v>22.257</v>
      </c>
      <c r="H209">
        <v>0.986</v>
      </c>
      <c r="I209">
        <v>2.68</v>
      </c>
      <c r="J209">
        <v>0.076</v>
      </c>
      <c r="K209">
        <v>14.237</v>
      </c>
      <c r="L209">
        <v>1</v>
      </c>
      <c r="M209">
        <v>3.42</v>
      </c>
      <c r="N209">
        <v>172.146</v>
      </c>
      <c r="O209">
        <v>154.931</v>
      </c>
      <c r="P209">
        <f t="shared" si="12"/>
        <v>2.23589693585214</v>
      </c>
      <c r="Q209">
        <f t="shared" si="12"/>
        <v>2.19013832403381</v>
      </c>
      <c r="R209">
        <v>141.54</v>
      </c>
      <c r="S209">
        <v>152.194</v>
      </c>
      <c r="T209">
        <v>163.649</v>
      </c>
      <c r="U209">
        <v>4.679</v>
      </c>
      <c r="V209">
        <v>61.21</v>
      </c>
      <c r="W209">
        <v>0.302</v>
      </c>
      <c r="X209" t="s">
        <v>30</v>
      </c>
      <c r="Y209" t="s">
        <v>31</v>
      </c>
      <c r="Z209" s="3">
        <f t="shared" si="13"/>
        <v>0.045758611818322</v>
      </c>
      <c r="AA209">
        <f t="shared" si="14"/>
        <v>0.924</v>
      </c>
      <c r="AB209">
        <f t="shared" si="15"/>
        <v>1.711</v>
      </c>
      <c r="AC209" t="s">
        <v>32</v>
      </c>
    </row>
    <row r="210" spans="1:29">
      <c r="A210" t="s">
        <v>42</v>
      </c>
      <c r="B210">
        <v>4116</v>
      </c>
      <c r="C210">
        <v>35.006</v>
      </c>
      <c r="D210">
        <v>28.311</v>
      </c>
      <c r="E210">
        <v>171.911</v>
      </c>
      <c r="F210">
        <v>0.253</v>
      </c>
      <c r="G210">
        <v>21.989</v>
      </c>
      <c r="H210">
        <v>4.545</v>
      </c>
      <c r="I210">
        <v>2.697</v>
      </c>
      <c r="J210">
        <v>0.524</v>
      </c>
      <c r="K210">
        <v>4.105</v>
      </c>
      <c r="L210">
        <v>0.045</v>
      </c>
      <c r="M210">
        <v>4.613</v>
      </c>
      <c r="N210">
        <v>153.154</v>
      </c>
      <c r="O210">
        <v>129.981</v>
      </c>
      <c r="P210">
        <f t="shared" si="12"/>
        <v>2.185128343978</v>
      </c>
      <c r="Q210">
        <f t="shared" si="12"/>
        <v>2.11387987385902</v>
      </c>
      <c r="R210">
        <v>145.065</v>
      </c>
      <c r="S210">
        <v>-9999</v>
      </c>
      <c r="T210">
        <v>175.263</v>
      </c>
      <c r="U210">
        <v>0.01</v>
      </c>
      <c r="V210">
        <v>100</v>
      </c>
      <c r="W210">
        <v>0.001</v>
      </c>
      <c r="X210" t="s">
        <v>30</v>
      </c>
      <c r="Y210" t="s">
        <v>31</v>
      </c>
      <c r="Z210" s="3">
        <f t="shared" si="13"/>
        <v>0.0712484701189746</v>
      </c>
      <c r="AA210">
        <f t="shared" si="14"/>
        <v>-0.479</v>
      </c>
      <c r="AB210">
        <f t="shared" si="15"/>
        <v>0.298</v>
      </c>
      <c r="AC210" t="s">
        <v>43</v>
      </c>
    </row>
    <row r="211" spans="1:29">
      <c r="A211" t="s">
        <v>42</v>
      </c>
      <c r="B211">
        <v>4116.125</v>
      </c>
      <c r="C211">
        <v>29.322</v>
      </c>
      <c r="D211">
        <v>28.368</v>
      </c>
      <c r="E211">
        <v>167.868</v>
      </c>
      <c r="F211">
        <v>0.203</v>
      </c>
      <c r="G211">
        <v>21.904</v>
      </c>
      <c r="H211">
        <v>3.732</v>
      </c>
      <c r="I211">
        <v>2.689</v>
      </c>
      <c r="J211">
        <v>0.497</v>
      </c>
      <c r="K211">
        <v>5.271</v>
      </c>
      <c r="L211">
        <v>0.157</v>
      </c>
      <c r="M211">
        <v>4.412</v>
      </c>
      <c r="N211">
        <v>129.786</v>
      </c>
      <c r="O211">
        <v>115.07</v>
      </c>
      <c r="P211">
        <f t="shared" si="12"/>
        <v>2.11322784769805</v>
      </c>
      <c r="Q211">
        <f t="shared" si="12"/>
        <v>2.06096211309383</v>
      </c>
      <c r="R211">
        <v>110.737</v>
      </c>
      <c r="S211">
        <v>-9999</v>
      </c>
      <c r="T211">
        <v>133.789</v>
      </c>
      <c r="U211">
        <v>0.01</v>
      </c>
      <c r="V211">
        <v>100</v>
      </c>
      <c r="W211">
        <v>0.001</v>
      </c>
      <c r="X211" t="s">
        <v>30</v>
      </c>
      <c r="Y211" t="s">
        <v>31</v>
      </c>
      <c r="Z211" s="3">
        <f t="shared" si="13"/>
        <v>0.0522657346042168</v>
      </c>
      <c r="AA211">
        <f t="shared" si="14"/>
        <v>-0.34</v>
      </c>
      <c r="AB211">
        <f t="shared" si="15"/>
        <v>0.36</v>
      </c>
      <c r="AC211" t="s">
        <v>43</v>
      </c>
    </row>
    <row r="212" spans="1:29">
      <c r="A212" t="s">
        <v>42</v>
      </c>
      <c r="B212">
        <v>4116.25</v>
      </c>
      <c r="C212">
        <v>25.106</v>
      </c>
      <c r="D212">
        <v>28.463</v>
      </c>
      <c r="E212">
        <v>165.408</v>
      </c>
      <c r="F212">
        <v>0.173</v>
      </c>
      <c r="G212">
        <v>21.751</v>
      </c>
      <c r="H212">
        <v>3.26</v>
      </c>
      <c r="I212">
        <v>2.685</v>
      </c>
      <c r="J212">
        <v>0.483</v>
      </c>
      <c r="K212">
        <v>6.838</v>
      </c>
      <c r="L212">
        <v>0.307</v>
      </c>
      <c r="M212">
        <v>4.134</v>
      </c>
      <c r="N212">
        <v>117.065</v>
      </c>
      <c r="O212">
        <v>107.936</v>
      </c>
      <c r="P212">
        <f t="shared" si="12"/>
        <v>2.06842706946239</v>
      </c>
      <c r="Q212">
        <f t="shared" si="12"/>
        <v>2.03316631950911</v>
      </c>
      <c r="R212">
        <v>87.909</v>
      </c>
      <c r="S212">
        <v>-9999</v>
      </c>
      <c r="T212">
        <v>106.208</v>
      </c>
      <c r="U212">
        <v>1.732</v>
      </c>
      <c r="V212">
        <v>86.969</v>
      </c>
      <c r="W212">
        <v>0.007</v>
      </c>
      <c r="X212" t="s">
        <v>30</v>
      </c>
      <c r="Y212" t="s">
        <v>31</v>
      </c>
      <c r="Z212" s="3">
        <f t="shared" si="13"/>
        <v>0.0352607499532813</v>
      </c>
      <c r="AA212">
        <f t="shared" si="14"/>
        <v>-0.176</v>
      </c>
      <c r="AB212">
        <f t="shared" si="15"/>
        <v>0.48</v>
      </c>
      <c r="AC212" t="s">
        <v>43</v>
      </c>
    </row>
    <row r="213" spans="1:29">
      <c r="A213" t="s">
        <v>42</v>
      </c>
      <c r="B213">
        <v>4116.375</v>
      </c>
      <c r="C213">
        <v>21.971</v>
      </c>
      <c r="D213">
        <v>28.591</v>
      </c>
      <c r="E213">
        <v>165.843</v>
      </c>
      <c r="F213">
        <v>0.178</v>
      </c>
      <c r="G213">
        <v>21.661</v>
      </c>
      <c r="H213">
        <v>2.796</v>
      </c>
      <c r="I213">
        <v>2.683</v>
      </c>
      <c r="J213">
        <v>0.476</v>
      </c>
      <c r="K213">
        <v>8.329</v>
      </c>
      <c r="L213">
        <v>0.45</v>
      </c>
      <c r="M213">
        <v>3.786</v>
      </c>
      <c r="N213">
        <v>108.227</v>
      </c>
      <c r="O213">
        <v>103.34</v>
      </c>
      <c r="P213">
        <f t="shared" si="12"/>
        <v>2.03433562018109</v>
      </c>
      <c r="Q213">
        <f t="shared" si="12"/>
        <v>2.01426845720964</v>
      </c>
      <c r="R213">
        <v>73.464</v>
      </c>
      <c r="S213">
        <v>-9999</v>
      </c>
      <c r="T213">
        <v>88.757</v>
      </c>
      <c r="U213">
        <v>3.863</v>
      </c>
      <c r="V213">
        <v>62.982</v>
      </c>
      <c r="W213">
        <v>0.014</v>
      </c>
      <c r="X213" t="s">
        <v>30</v>
      </c>
      <c r="Y213" t="s">
        <v>31</v>
      </c>
      <c r="Z213" s="3">
        <f t="shared" si="13"/>
        <v>0.0200671629714453</v>
      </c>
      <c r="AA213">
        <f t="shared" si="14"/>
        <v>-0.026</v>
      </c>
      <c r="AB213">
        <f t="shared" si="15"/>
        <v>0.628</v>
      </c>
      <c r="AC213" t="s">
        <v>43</v>
      </c>
    </row>
    <row r="214" spans="1:29">
      <c r="A214" t="s">
        <v>42</v>
      </c>
      <c r="B214">
        <v>4116.5</v>
      </c>
      <c r="C214">
        <v>19.745</v>
      </c>
      <c r="D214">
        <v>28.748</v>
      </c>
      <c r="E214">
        <v>168.278</v>
      </c>
      <c r="F214">
        <v>0.209</v>
      </c>
      <c r="G214">
        <v>21.676</v>
      </c>
      <c r="H214">
        <v>2.136</v>
      </c>
      <c r="I214">
        <v>2.677</v>
      </c>
      <c r="J214">
        <v>0.455</v>
      </c>
      <c r="K214">
        <v>9.314</v>
      </c>
      <c r="L214">
        <v>0.544</v>
      </c>
      <c r="M214">
        <v>3.387</v>
      </c>
      <c r="N214">
        <v>99.657</v>
      </c>
      <c r="O214">
        <v>98.405</v>
      </c>
      <c r="P214">
        <f t="shared" si="12"/>
        <v>1.99850780935464</v>
      </c>
      <c r="Q214">
        <f t="shared" si="12"/>
        <v>1.99301716567973</v>
      </c>
      <c r="R214">
        <v>63.967</v>
      </c>
      <c r="S214">
        <v>-9999</v>
      </c>
      <c r="T214">
        <v>77.283</v>
      </c>
      <c r="U214">
        <v>4.571</v>
      </c>
      <c r="V214">
        <v>54.287</v>
      </c>
      <c r="W214">
        <v>0.017</v>
      </c>
      <c r="X214" t="s">
        <v>30</v>
      </c>
      <c r="Y214" t="s">
        <v>31</v>
      </c>
      <c r="Z214" s="3">
        <f t="shared" si="13"/>
        <v>0.00549064367491003</v>
      </c>
      <c r="AA214">
        <f t="shared" si="14"/>
        <v>0.089</v>
      </c>
      <c r="AB214">
        <f t="shared" si="15"/>
        <v>0.753</v>
      </c>
      <c r="AC214" t="s">
        <v>43</v>
      </c>
    </row>
    <row r="215" spans="1:29">
      <c r="A215" t="s">
        <v>42</v>
      </c>
      <c r="B215">
        <v>4116.625</v>
      </c>
      <c r="C215">
        <v>17.97</v>
      </c>
      <c r="D215">
        <v>28.93</v>
      </c>
      <c r="E215">
        <v>171.29</v>
      </c>
      <c r="F215">
        <v>0.246</v>
      </c>
      <c r="G215">
        <v>21.668</v>
      </c>
      <c r="H215">
        <v>1.553</v>
      </c>
      <c r="I215">
        <v>2.666</v>
      </c>
      <c r="J215">
        <v>0.416</v>
      </c>
      <c r="K215">
        <v>9.705</v>
      </c>
      <c r="L215">
        <v>0.582</v>
      </c>
      <c r="M215">
        <v>3.037</v>
      </c>
      <c r="N215">
        <v>91.304</v>
      </c>
      <c r="O215">
        <v>93.143</v>
      </c>
      <c r="P215">
        <f t="shared" si="12"/>
        <v>1.96048980425801</v>
      </c>
      <c r="Q215">
        <f t="shared" si="12"/>
        <v>1.96915022181298</v>
      </c>
      <c r="R215">
        <v>58.243</v>
      </c>
      <c r="S215">
        <v>-9999</v>
      </c>
      <c r="T215">
        <v>70.368</v>
      </c>
      <c r="U215">
        <v>5.24</v>
      </c>
      <c r="V215">
        <v>50.228</v>
      </c>
      <c r="W215">
        <v>0.033</v>
      </c>
      <c r="X215" t="s">
        <v>30</v>
      </c>
      <c r="Y215" t="s">
        <v>31</v>
      </c>
      <c r="Z215" s="3">
        <f t="shared" si="13"/>
        <v>-0.00866041755497782</v>
      </c>
      <c r="AA215">
        <f t="shared" si="14"/>
        <v>0.166</v>
      </c>
      <c r="AB215">
        <f t="shared" si="15"/>
        <v>0.828</v>
      </c>
      <c r="AC215" t="s">
        <v>43</v>
      </c>
    </row>
    <row r="216" spans="1:29">
      <c r="A216" t="s">
        <v>42</v>
      </c>
      <c r="B216">
        <v>4116.75</v>
      </c>
      <c r="C216">
        <v>16.504</v>
      </c>
      <c r="D216">
        <v>29.125</v>
      </c>
      <c r="E216">
        <v>173.32</v>
      </c>
      <c r="F216">
        <v>0.271</v>
      </c>
      <c r="G216">
        <v>21.655</v>
      </c>
      <c r="H216">
        <v>1.307</v>
      </c>
      <c r="I216">
        <v>2.653</v>
      </c>
      <c r="J216">
        <v>0.371</v>
      </c>
      <c r="K216">
        <v>9.834</v>
      </c>
      <c r="L216">
        <v>0.594</v>
      </c>
      <c r="M216">
        <v>2.888</v>
      </c>
      <c r="N216">
        <v>84.479</v>
      </c>
      <c r="O216">
        <v>88.752</v>
      </c>
      <c r="P216">
        <f t="shared" si="12"/>
        <v>1.92674876436289</v>
      </c>
      <c r="Q216">
        <f t="shared" si="12"/>
        <v>1.94817814853476</v>
      </c>
      <c r="R216">
        <v>53.81</v>
      </c>
      <c r="S216">
        <v>-9999</v>
      </c>
      <c r="T216">
        <v>65.012</v>
      </c>
      <c r="U216">
        <v>5.752</v>
      </c>
      <c r="V216">
        <v>47.891</v>
      </c>
      <c r="W216">
        <v>0.047</v>
      </c>
      <c r="X216" t="s">
        <v>30</v>
      </c>
      <c r="Y216" t="s">
        <v>31</v>
      </c>
      <c r="Z216" s="3">
        <f t="shared" si="13"/>
        <v>-0.0214293841718736</v>
      </c>
      <c r="AA216">
        <f t="shared" si="14"/>
        <v>0.223</v>
      </c>
      <c r="AB216">
        <f t="shared" si="15"/>
        <v>0.865</v>
      </c>
      <c r="AC216" t="s">
        <v>43</v>
      </c>
    </row>
    <row r="217" spans="1:29">
      <c r="A217" t="s">
        <v>42</v>
      </c>
      <c r="B217">
        <v>4116.875</v>
      </c>
      <c r="C217">
        <v>15.668</v>
      </c>
      <c r="D217">
        <v>29.326</v>
      </c>
      <c r="E217">
        <v>173.965</v>
      </c>
      <c r="F217">
        <v>0.279</v>
      </c>
      <c r="G217">
        <v>21.684</v>
      </c>
      <c r="H217">
        <v>1.257</v>
      </c>
      <c r="I217">
        <v>2.642</v>
      </c>
      <c r="J217">
        <v>0.332</v>
      </c>
      <c r="K217">
        <v>10.042</v>
      </c>
      <c r="L217">
        <v>0.614</v>
      </c>
      <c r="M217">
        <v>2.879</v>
      </c>
      <c r="N217">
        <v>79.73</v>
      </c>
      <c r="O217">
        <v>85.814</v>
      </c>
      <c r="P217">
        <f t="shared" si="12"/>
        <v>1.90162176409336</v>
      </c>
      <c r="Q217">
        <f t="shared" si="12"/>
        <v>1.93355814596937</v>
      </c>
      <c r="R217">
        <v>48.916</v>
      </c>
      <c r="S217">
        <v>-9999</v>
      </c>
      <c r="T217">
        <v>59.099</v>
      </c>
      <c r="U217">
        <v>5.881</v>
      </c>
      <c r="V217">
        <v>48.581</v>
      </c>
      <c r="W217">
        <v>0.052</v>
      </c>
      <c r="X217" t="s">
        <v>30</v>
      </c>
      <c r="Y217" t="s">
        <v>31</v>
      </c>
      <c r="Z217" s="3">
        <f t="shared" si="13"/>
        <v>-0.0319363818760159</v>
      </c>
      <c r="AA217">
        <f t="shared" si="14"/>
        <v>0.282</v>
      </c>
      <c r="AB217">
        <f t="shared" si="15"/>
        <v>0.893</v>
      </c>
      <c r="AC217" t="s">
        <v>43</v>
      </c>
    </row>
    <row r="218" spans="1:29">
      <c r="A218" t="s">
        <v>42</v>
      </c>
      <c r="B218">
        <v>4117</v>
      </c>
      <c r="C218">
        <v>15.705</v>
      </c>
      <c r="D218">
        <v>29.521</v>
      </c>
      <c r="E218">
        <v>174.129</v>
      </c>
      <c r="F218">
        <v>0.281</v>
      </c>
      <c r="G218">
        <v>21.693</v>
      </c>
      <c r="H218">
        <v>1.268</v>
      </c>
      <c r="I218">
        <v>2.641</v>
      </c>
      <c r="J218">
        <v>0.329</v>
      </c>
      <c r="K218">
        <v>10.26</v>
      </c>
      <c r="L218">
        <v>0.635</v>
      </c>
      <c r="M218">
        <v>2.906</v>
      </c>
      <c r="N218">
        <v>77.004</v>
      </c>
      <c r="O218">
        <v>84.285</v>
      </c>
      <c r="P218">
        <f t="shared" si="12"/>
        <v>1.88651328533882</v>
      </c>
      <c r="Q218">
        <f t="shared" si="12"/>
        <v>1.92575029115058</v>
      </c>
      <c r="R218">
        <v>43.667</v>
      </c>
      <c r="S218">
        <v>-9999</v>
      </c>
      <c r="T218">
        <v>52.757</v>
      </c>
      <c r="U218">
        <v>6.443</v>
      </c>
      <c r="V218">
        <v>46.948</v>
      </c>
      <c r="W218">
        <v>0.079</v>
      </c>
      <c r="X218" t="s">
        <v>30</v>
      </c>
      <c r="Y218" t="s">
        <v>31</v>
      </c>
      <c r="Z218" s="3">
        <f t="shared" si="13"/>
        <v>-0.0392370058117657</v>
      </c>
      <c r="AA218">
        <f t="shared" si="14"/>
        <v>0.306</v>
      </c>
      <c r="AB218">
        <f t="shared" si="15"/>
        <v>0.916</v>
      </c>
      <c r="AC218" t="s">
        <v>43</v>
      </c>
    </row>
    <row r="219" spans="1:29">
      <c r="A219" t="s">
        <v>42</v>
      </c>
      <c r="B219">
        <v>4117.125</v>
      </c>
      <c r="C219">
        <v>16.517</v>
      </c>
      <c r="D219">
        <v>29.705</v>
      </c>
      <c r="E219">
        <v>175.311</v>
      </c>
      <c r="F219">
        <v>0.296</v>
      </c>
      <c r="G219">
        <v>21.69</v>
      </c>
      <c r="H219">
        <v>1.318</v>
      </c>
      <c r="I219">
        <v>2.648</v>
      </c>
      <c r="J219">
        <v>0.353</v>
      </c>
      <c r="K219">
        <v>10.267</v>
      </c>
      <c r="L219">
        <v>0.636</v>
      </c>
      <c r="M219">
        <v>2.934</v>
      </c>
      <c r="N219">
        <v>75.741</v>
      </c>
      <c r="O219">
        <v>83.652</v>
      </c>
      <c r="P219">
        <f t="shared" si="12"/>
        <v>1.87933103476441</v>
      </c>
      <c r="Q219">
        <f t="shared" si="12"/>
        <v>1.92247632878413</v>
      </c>
      <c r="R219">
        <v>38.947</v>
      </c>
      <c r="S219">
        <v>-9999</v>
      </c>
      <c r="T219">
        <v>47.054</v>
      </c>
      <c r="U219">
        <v>6.147</v>
      </c>
      <c r="V219">
        <v>53.012</v>
      </c>
      <c r="W219">
        <v>0.065</v>
      </c>
      <c r="X219" t="s">
        <v>30</v>
      </c>
      <c r="Y219" t="s">
        <v>31</v>
      </c>
      <c r="Z219" s="3">
        <f t="shared" si="13"/>
        <v>-0.0431452940197243</v>
      </c>
      <c r="AA219">
        <f t="shared" si="14"/>
        <v>0.283</v>
      </c>
      <c r="AB219">
        <f t="shared" si="15"/>
        <v>0.932</v>
      </c>
      <c r="AC219" t="s">
        <v>43</v>
      </c>
    </row>
    <row r="220" spans="1:29">
      <c r="A220" t="s">
        <v>42</v>
      </c>
      <c r="B220">
        <v>4117.25</v>
      </c>
      <c r="C220">
        <v>17.819</v>
      </c>
      <c r="D220">
        <v>29.869</v>
      </c>
      <c r="E220">
        <v>177.769</v>
      </c>
      <c r="F220">
        <v>0.326</v>
      </c>
      <c r="G220">
        <v>21.725</v>
      </c>
      <c r="H220">
        <v>1.441</v>
      </c>
      <c r="I220">
        <v>2.654</v>
      </c>
      <c r="J220">
        <v>0.374</v>
      </c>
      <c r="K220">
        <v>10.174</v>
      </c>
      <c r="L220">
        <v>0.627</v>
      </c>
      <c r="M220">
        <v>2.949</v>
      </c>
      <c r="N220">
        <v>75.059</v>
      </c>
      <c r="O220">
        <v>83.124</v>
      </c>
      <c r="P220">
        <f t="shared" si="12"/>
        <v>1.8754027740742</v>
      </c>
      <c r="Q220">
        <f t="shared" si="12"/>
        <v>1.91972643368446</v>
      </c>
      <c r="R220">
        <v>35.523</v>
      </c>
      <c r="S220">
        <v>-9999</v>
      </c>
      <c r="T220">
        <v>42.918</v>
      </c>
      <c r="U220">
        <v>5.762</v>
      </c>
      <c r="V220">
        <v>58.504</v>
      </c>
      <c r="W220">
        <v>0.047</v>
      </c>
      <c r="X220" t="s">
        <v>30</v>
      </c>
      <c r="Y220" t="s">
        <v>31</v>
      </c>
      <c r="Z220" s="3">
        <f t="shared" si="13"/>
        <v>-0.0443236596102632</v>
      </c>
      <c r="AA220">
        <f t="shared" si="14"/>
        <v>0.253</v>
      </c>
      <c r="AB220">
        <f t="shared" si="15"/>
        <v>0.953</v>
      </c>
      <c r="AC220" t="s">
        <v>43</v>
      </c>
    </row>
    <row r="221" spans="1:29">
      <c r="A221" t="s">
        <v>42</v>
      </c>
      <c r="B221">
        <v>4117.375</v>
      </c>
      <c r="C221">
        <v>19.559</v>
      </c>
      <c r="D221">
        <v>30.007</v>
      </c>
      <c r="E221">
        <v>179.229</v>
      </c>
      <c r="F221">
        <v>0.344</v>
      </c>
      <c r="G221">
        <v>21.764</v>
      </c>
      <c r="H221">
        <v>1.627</v>
      </c>
      <c r="I221">
        <v>2.649</v>
      </c>
      <c r="J221">
        <v>0.357</v>
      </c>
      <c r="K221">
        <v>10.203</v>
      </c>
      <c r="L221">
        <v>0.63</v>
      </c>
      <c r="M221">
        <v>2.964</v>
      </c>
      <c r="N221">
        <v>74.122</v>
      </c>
      <c r="O221">
        <v>81.883</v>
      </c>
      <c r="P221">
        <f t="shared" si="12"/>
        <v>1.86994712917418</v>
      </c>
      <c r="Q221">
        <f t="shared" si="12"/>
        <v>1.91319374580749</v>
      </c>
      <c r="R221">
        <v>33.587</v>
      </c>
      <c r="S221">
        <v>-9999</v>
      </c>
      <c r="T221">
        <v>40.579</v>
      </c>
      <c r="U221">
        <v>5.754</v>
      </c>
      <c r="V221">
        <v>60.446</v>
      </c>
      <c r="W221">
        <v>0.047</v>
      </c>
      <c r="X221" t="s">
        <v>30</v>
      </c>
      <c r="Y221" t="s">
        <v>31</v>
      </c>
      <c r="Z221" s="3">
        <f t="shared" si="13"/>
        <v>-0.0432466166333096</v>
      </c>
      <c r="AA221">
        <f t="shared" si="14"/>
        <v>0.273</v>
      </c>
      <c r="AB221">
        <f t="shared" si="15"/>
        <v>0.974</v>
      </c>
      <c r="AC221" t="s">
        <v>43</v>
      </c>
    </row>
    <row r="222" spans="1:29">
      <c r="A222" t="s">
        <v>42</v>
      </c>
      <c r="B222">
        <v>4117.5</v>
      </c>
      <c r="C222">
        <v>21.608</v>
      </c>
      <c r="D222">
        <v>30.117</v>
      </c>
      <c r="E222">
        <v>179.75</v>
      </c>
      <c r="F222">
        <v>0.35</v>
      </c>
      <c r="G222">
        <v>21.743</v>
      </c>
      <c r="H222">
        <v>1.843</v>
      </c>
      <c r="I222">
        <v>2.639</v>
      </c>
      <c r="J222">
        <v>0.322</v>
      </c>
      <c r="K222">
        <v>10.389</v>
      </c>
      <c r="L222">
        <v>0.647</v>
      </c>
      <c r="M222">
        <v>2.971</v>
      </c>
      <c r="N222">
        <v>72.589</v>
      </c>
      <c r="O222">
        <v>79.69</v>
      </c>
      <c r="P222">
        <f t="shared" si="12"/>
        <v>1.86087081352035</v>
      </c>
      <c r="Q222">
        <f t="shared" si="12"/>
        <v>1.90140382682525</v>
      </c>
      <c r="R222">
        <v>32.613</v>
      </c>
      <c r="S222">
        <v>-9999</v>
      </c>
      <c r="T222">
        <v>39.402</v>
      </c>
      <c r="U222">
        <v>5.79</v>
      </c>
      <c r="V222">
        <v>61.407</v>
      </c>
      <c r="W222">
        <v>0.048</v>
      </c>
      <c r="X222" t="s">
        <v>30</v>
      </c>
      <c r="Y222" t="s">
        <v>31</v>
      </c>
      <c r="Z222" s="3">
        <f t="shared" si="13"/>
        <v>-0.0405330133049042</v>
      </c>
      <c r="AA222">
        <f t="shared" si="14"/>
        <v>0.325</v>
      </c>
      <c r="AB222">
        <f t="shared" si="15"/>
        <v>0.997</v>
      </c>
      <c r="AC222" t="s">
        <v>43</v>
      </c>
    </row>
    <row r="223" spans="1:29">
      <c r="A223" t="s">
        <v>42</v>
      </c>
      <c r="B223">
        <v>4117.625</v>
      </c>
      <c r="C223">
        <v>23.524</v>
      </c>
      <c r="D223">
        <v>30.197</v>
      </c>
      <c r="E223">
        <v>180.884</v>
      </c>
      <c r="F223">
        <v>0.364</v>
      </c>
      <c r="G223">
        <v>21.714</v>
      </c>
      <c r="H223">
        <v>2.12</v>
      </c>
      <c r="I223">
        <v>2.635</v>
      </c>
      <c r="J223">
        <v>0.308</v>
      </c>
      <c r="K223">
        <v>10.64</v>
      </c>
      <c r="L223">
        <v>0.671</v>
      </c>
      <c r="M223">
        <v>2.962</v>
      </c>
      <c r="N223">
        <v>71.095</v>
      </c>
      <c r="O223">
        <v>77.306</v>
      </c>
      <c r="P223">
        <f t="shared" si="12"/>
        <v>1.85183905855303</v>
      </c>
      <c r="Q223">
        <f t="shared" si="12"/>
        <v>1.88821320240173</v>
      </c>
      <c r="R223">
        <v>31.971</v>
      </c>
      <c r="S223">
        <v>-9999</v>
      </c>
      <c r="T223">
        <v>38.626</v>
      </c>
      <c r="U223">
        <v>6.316</v>
      </c>
      <c r="V223">
        <v>57.035</v>
      </c>
      <c r="W223">
        <v>0.073</v>
      </c>
      <c r="X223" t="s">
        <v>30</v>
      </c>
      <c r="Y223" t="s">
        <v>31</v>
      </c>
      <c r="Z223" s="3">
        <f t="shared" si="13"/>
        <v>-0.0363741438486995</v>
      </c>
      <c r="AA223">
        <f t="shared" si="14"/>
        <v>0.363</v>
      </c>
      <c r="AB223">
        <f t="shared" si="15"/>
        <v>1.035</v>
      </c>
      <c r="AC223" t="s">
        <v>43</v>
      </c>
    </row>
    <row r="224" spans="1:29">
      <c r="A224" t="s">
        <v>42</v>
      </c>
      <c r="B224">
        <v>4117.75</v>
      </c>
      <c r="C224">
        <v>24.309</v>
      </c>
      <c r="D224">
        <v>30.247</v>
      </c>
      <c r="E224">
        <v>180.541</v>
      </c>
      <c r="F224">
        <v>0.36</v>
      </c>
      <c r="G224">
        <v>21.724</v>
      </c>
      <c r="H224">
        <v>2.425</v>
      </c>
      <c r="I224">
        <v>2.642</v>
      </c>
      <c r="J224">
        <v>0.332</v>
      </c>
      <c r="K224">
        <v>10.893</v>
      </c>
      <c r="L224">
        <v>0.696</v>
      </c>
      <c r="M224">
        <v>2.947</v>
      </c>
      <c r="N224">
        <v>71.341</v>
      </c>
      <c r="O224">
        <v>76.56</v>
      </c>
      <c r="P224">
        <f t="shared" si="12"/>
        <v>1.85333919263113</v>
      </c>
      <c r="Q224">
        <f t="shared" si="12"/>
        <v>1.88400192476879</v>
      </c>
      <c r="R224">
        <v>31.443</v>
      </c>
      <c r="S224">
        <v>-9999</v>
      </c>
      <c r="T224">
        <v>37.988</v>
      </c>
      <c r="U224">
        <v>6.535</v>
      </c>
      <c r="V224">
        <v>55.396</v>
      </c>
      <c r="W224">
        <v>0.082</v>
      </c>
      <c r="X224" t="s">
        <v>30</v>
      </c>
      <c r="Y224" t="s">
        <v>31</v>
      </c>
      <c r="Z224" s="3">
        <f t="shared" si="13"/>
        <v>-0.0306627321376589</v>
      </c>
      <c r="AA224">
        <f t="shared" si="14"/>
        <v>0.364</v>
      </c>
      <c r="AB224">
        <f t="shared" si="15"/>
        <v>1.056</v>
      </c>
      <c r="AC224" t="s">
        <v>43</v>
      </c>
    </row>
    <row r="225" spans="1:29">
      <c r="A225" t="s">
        <v>42</v>
      </c>
      <c r="B225">
        <v>4117.875</v>
      </c>
      <c r="C225">
        <v>23.22</v>
      </c>
      <c r="D225">
        <v>30.271</v>
      </c>
      <c r="E225">
        <v>178.503</v>
      </c>
      <c r="F225">
        <v>0.335</v>
      </c>
      <c r="G225">
        <v>21.754</v>
      </c>
      <c r="H225">
        <v>2.583</v>
      </c>
      <c r="I225">
        <v>2.651</v>
      </c>
      <c r="J225">
        <v>0.364</v>
      </c>
      <c r="K225">
        <v>11.104</v>
      </c>
      <c r="L225">
        <v>0.716</v>
      </c>
      <c r="M225">
        <v>2.902</v>
      </c>
      <c r="N225">
        <v>74.933</v>
      </c>
      <c r="O225">
        <v>79.072</v>
      </c>
      <c r="P225">
        <f t="shared" si="12"/>
        <v>1.87467312025811</v>
      </c>
      <c r="Q225">
        <f t="shared" si="12"/>
        <v>1.89802272372199</v>
      </c>
      <c r="R225">
        <v>31.114</v>
      </c>
      <c r="S225">
        <v>-9999</v>
      </c>
      <c r="T225">
        <v>37.591</v>
      </c>
      <c r="U225">
        <v>6.462</v>
      </c>
      <c r="V225">
        <v>56.333</v>
      </c>
      <c r="W225">
        <v>0.078</v>
      </c>
      <c r="X225" t="s">
        <v>30</v>
      </c>
      <c r="Y225" t="s">
        <v>31</v>
      </c>
      <c r="Z225" s="3">
        <f t="shared" si="13"/>
        <v>-0.0233496034638763</v>
      </c>
      <c r="AA225">
        <f t="shared" si="14"/>
        <v>0.352</v>
      </c>
      <c r="AB225">
        <f t="shared" si="15"/>
        <v>1.051</v>
      </c>
      <c r="AC225" t="s">
        <v>43</v>
      </c>
    </row>
    <row r="226" spans="1:29">
      <c r="A226" t="s">
        <v>42</v>
      </c>
      <c r="B226">
        <v>4118</v>
      </c>
      <c r="C226">
        <v>20.843</v>
      </c>
      <c r="D226">
        <v>30.269</v>
      </c>
      <c r="E226">
        <v>180.106</v>
      </c>
      <c r="F226">
        <v>0.355</v>
      </c>
      <c r="G226">
        <v>21.791</v>
      </c>
      <c r="H226">
        <v>2.496</v>
      </c>
      <c r="I226">
        <v>2.649</v>
      </c>
      <c r="J226">
        <v>0.357</v>
      </c>
      <c r="K226">
        <v>11.08</v>
      </c>
      <c r="L226">
        <v>0.714</v>
      </c>
      <c r="M226">
        <v>2.842</v>
      </c>
      <c r="N226">
        <v>82.854</v>
      </c>
      <c r="O226">
        <v>85.663</v>
      </c>
      <c r="P226">
        <f t="shared" si="12"/>
        <v>1.91831347999728</v>
      </c>
      <c r="Q226">
        <f t="shared" si="12"/>
        <v>1.93279327973404</v>
      </c>
      <c r="R226">
        <v>30.915</v>
      </c>
      <c r="S226">
        <v>-9999</v>
      </c>
      <c r="T226">
        <v>37.351</v>
      </c>
      <c r="U226">
        <v>6.503</v>
      </c>
      <c r="V226">
        <v>56.188</v>
      </c>
      <c r="W226">
        <v>0.08</v>
      </c>
      <c r="X226" t="s">
        <v>30</v>
      </c>
      <c r="Y226" t="s">
        <v>31</v>
      </c>
      <c r="Z226" s="3">
        <f t="shared" si="13"/>
        <v>-0.0144797997367623</v>
      </c>
      <c r="AA226">
        <f t="shared" si="14"/>
        <v>0.357</v>
      </c>
      <c r="AB226">
        <f t="shared" si="15"/>
        <v>1.069</v>
      </c>
      <c r="AC226" t="s">
        <v>43</v>
      </c>
    </row>
    <row r="227" spans="1:29">
      <c r="A227" t="s">
        <v>44</v>
      </c>
      <c r="B227">
        <v>3781</v>
      </c>
      <c r="C227">
        <v>22.894</v>
      </c>
      <c r="D227">
        <v>60.608</v>
      </c>
      <c r="E227">
        <v>163.302</v>
      </c>
      <c r="F227">
        <v>0.159</v>
      </c>
      <c r="G227">
        <v>22.883</v>
      </c>
      <c r="H227">
        <v>1.326</v>
      </c>
      <c r="I227">
        <v>2.733</v>
      </c>
      <c r="J227">
        <v>0.703</v>
      </c>
      <c r="K227">
        <v>9.138</v>
      </c>
      <c r="L227">
        <v>0.25</v>
      </c>
      <c r="M227">
        <v>3.375</v>
      </c>
      <c r="N227">
        <v>382.606</v>
      </c>
      <c r="O227">
        <v>359.133</v>
      </c>
      <c r="P227">
        <f t="shared" si="12"/>
        <v>2.58275177631977</v>
      </c>
      <c r="Q227">
        <f t="shared" si="12"/>
        <v>2.55525531339515</v>
      </c>
      <c r="R227">
        <v>136.383</v>
      </c>
      <c r="S227">
        <v>-9999</v>
      </c>
      <c r="T227">
        <v>173.157</v>
      </c>
      <c r="U227">
        <v>3.575</v>
      </c>
      <c r="V227">
        <v>83.689</v>
      </c>
      <c r="W227">
        <v>0.1</v>
      </c>
      <c r="X227" t="s">
        <v>30</v>
      </c>
      <c r="Y227" t="s">
        <v>31</v>
      </c>
      <c r="Z227" s="3">
        <f t="shared" si="13"/>
        <v>0.0274964629246126</v>
      </c>
      <c r="AA227">
        <f t="shared" si="14"/>
        <v>-0.453</v>
      </c>
      <c r="AB227">
        <f t="shared" si="15"/>
        <v>0.409</v>
      </c>
      <c r="AC227" t="s">
        <v>43</v>
      </c>
    </row>
    <row r="228" spans="1:29">
      <c r="A228" t="s">
        <v>44</v>
      </c>
      <c r="B228">
        <v>3781.125</v>
      </c>
      <c r="C228">
        <v>18.366</v>
      </c>
      <c r="D228">
        <v>59.813</v>
      </c>
      <c r="E228">
        <v>161.832</v>
      </c>
      <c r="F228">
        <v>0.14</v>
      </c>
      <c r="G228">
        <v>22.893</v>
      </c>
      <c r="H228">
        <v>1.166</v>
      </c>
      <c r="I228">
        <v>2.726</v>
      </c>
      <c r="J228">
        <v>0.68</v>
      </c>
      <c r="K228">
        <v>8.821</v>
      </c>
      <c r="L228">
        <v>0.219</v>
      </c>
      <c r="M228">
        <v>3.362</v>
      </c>
      <c r="N228">
        <v>355.307</v>
      </c>
      <c r="O228">
        <v>327.094</v>
      </c>
      <c r="P228">
        <f t="shared" si="12"/>
        <v>2.55060376372751</v>
      </c>
      <c r="Q228">
        <f t="shared" si="12"/>
        <v>2.514672577782</v>
      </c>
      <c r="R228">
        <v>128.08</v>
      </c>
      <c r="S228">
        <v>-9999</v>
      </c>
      <c r="T228">
        <v>157.63</v>
      </c>
      <c r="U228">
        <v>3.399</v>
      </c>
      <c r="V228">
        <v>91.582</v>
      </c>
      <c r="W228">
        <v>0.1</v>
      </c>
      <c r="X228" t="s">
        <v>30</v>
      </c>
      <c r="Y228" t="s">
        <v>31</v>
      </c>
      <c r="Z228" s="3">
        <f t="shared" si="13"/>
        <v>0.0359311859455156</v>
      </c>
      <c r="AA228">
        <f t="shared" si="14"/>
        <v>-0.461</v>
      </c>
      <c r="AB228">
        <f t="shared" si="15"/>
        <v>0.359</v>
      </c>
      <c r="AC228" t="s">
        <v>43</v>
      </c>
    </row>
    <row r="229" spans="1:29">
      <c r="A229" t="s">
        <v>44</v>
      </c>
      <c r="B229">
        <v>3781.25</v>
      </c>
      <c r="C229">
        <v>16.239</v>
      </c>
      <c r="D229">
        <v>59.075</v>
      </c>
      <c r="E229">
        <v>161.484</v>
      </c>
      <c r="F229">
        <v>0.135</v>
      </c>
      <c r="G229">
        <v>22.87</v>
      </c>
      <c r="H229">
        <v>1.066</v>
      </c>
      <c r="I229">
        <v>2.717</v>
      </c>
      <c r="J229">
        <v>0.65</v>
      </c>
      <c r="K229">
        <v>8.771</v>
      </c>
      <c r="L229">
        <v>0.214</v>
      </c>
      <c r="M229">
        <v>3.341</v>
      </c>
      <c r="N229">
        <v>351.227</v>
      </c>
      <c r="O229">
        <v>326.433</v>
      </c>
      <c r="P229">
        <f t="shared" si="12"/>
        <v>2.5455878941939</v>
      </c>
      <c r="Q229">
        <f t="shared" si="12"/>
        <v>2.51379405631179</v>
      </c>
      <c r="R229">
        <v>117.389</v>
      </c>
      <c r="S229">
        <v>-9999</v>
      </c>
      <c r="T229">
        <v>140.125</v>
      </c>
      <c r="U229">
        <v>3.384</v>
      </c>
      <c r="V229">
        <v>97.492</v>
      </c>
      <c r="W229">
        <v>0.1</v>
      </c>
      <c r="X229" t="s">
        <v>30</v>
      </c>
      <c r="Y229" t="s">
        <v>31</v>
      </c>
      <c r="Z229" s="3">
        <f t="shared" si="13"/>
        <v>0.0317938378821037</v>
      </c>
      <c r="AA229">
        <f t="shared" si="14"/>
        <v>-0.436</v>
      </c>
      <c r="AB229">
        <f t="shared" si="15"/>
        <v>0.349</v>
      </c>
      <c r="AC229" t="s">
        <v>43</v>
      </c>
    </row>
    <row r="230" spans="1:29">
      <c r="A230" t="s">
        <v>44</v>
      </c>
      <c r="B230">
        <v>3781.375</v>
      </c>
      <c r="C230">
        <v>15.126</v>
      </c>
      <c r="D230">
        <v>58.403</v>
      </c>
      <c r="E230">
        <v>161.976</v>
      </c>
      <c r="F230">
        <v>0.142</v>
      </c>
      <c r="G230">
        <v>22.865</v>
      </c>
      <c r="H230">
        <v>1.021</v>
      </c>
      <c r="I230">
        <v>2.708</v>
      </c>
      <c r="J230">
        <v>0.62</v>
      </c>
      <c r="K230">
        <v>8.891</v>
      </c>
      <c r="L230">
        <v>0.226</v>
      </c>
      <c r="M230">
        <v>3.331</v>
      </c>
      <c r="N230">
        <v>333.746</v>
      </c>
      <c r="O230">
        <v>313.43</v>
      </c>
      <c r="P230">
        <f t="shared" si="12"/>
        <v>2.52341606931394</v>
      </c>
      <c r="Q230">
        <f t="shared" si="12"/>
        <v>2.49614056268429</v>
      </c>
      <c r="R230">
        <v>106.492</v>
      </c>
      <c r="S230">
        <v>-9999</v>
      </c>
      <c r="T230">
        <v>123.379</v>
      </c>
      <c r="U230">
        <v>3.517</v>
      </c>
      <c r="V230">
        <v>99.796</v>
      </c>
      <c r="W230">
        <v>0.1</v>
      </c>
      <c r="X230" t="s">
        <v>30</v>
      </c>
      <c r="Y230" t="s">
        <v>31</v>
      </c>
      <c r="Z230" s="3">
        <f t="shared" si="13"/>
        <v>0.0272755066296515</v>
      </c>
      <c r="AA230">
        <f t="shared" si="14"/>
        <v>-0.394</v>
      </c>
      <c r="AB230">
        <f t="shared" si="15"/>
        <v>0.368</v>
      </c>
      <c r="AC230" t="s">
        <v>43</v>
      </c>
    </row>
    <row r="231" spans="1:29">
      <c r="A231" t="s">
        <v>44</v>
      </c>
      <c r="B231">
        <v>3781.5</v>
      </c>
      <c r="C231">
        <v>15.065</v>
      </c>
      <c r="D231">
        <v>57.795</v>
      </c>
      <c r="E231">
        <v>162.711</v>
      </c>
      <c r="F231">
        <v>0.152</v>
      </c>
      <c r="G231">
        <v>22.901</v>
      </c>
      <c r="H231">
        <v>1.026</v>
      </c>
      <c r="I231">
        <v>2.701</v>
      </c>
      <c r="J231">
        <v>0.597</v>
      </c>
      <c r="K231">
        <v>9.037</v>
      </c>
      <c r="L231">
        <v>0.24</v>
      </c>
      <c r="M231">
        <v>3.339</v>
      </c>
      <c r="N231">
        <v>324.453</v>
      </c>
      <c r="O231">
        <v>304.654</v>
      </c>
      <c r="P231">
        <f t="shared" si="12"/>
        <v>2.51115179414409</v>
      </c>
      <c r="Q231">
        <f t="shared" si="12"/>
        <v>2.48380688463191</v>
      </c>
      <c r="R231">
        <v>97.63</v>
      </c>
      <c r="S231">
        <v>-9999</v>
      </c>
      <c r="T231">
        <v>110.018</v>
      </c>
      <c r="U231">
        <v>3.672</v>
      </c>
      <c r="V231">
        <v>100</v>
      </c>
      <c r="W231">
        <v>0.1</v>
      </c>
      <c r="X231" t="s">
        <v>30</v>
      </c>
      <c r="Y231" t="s">
        <v>31</v>
      </c>
      <c r="Z231" s="3">
        <f t="shared" si="13"/>
        <v>0.0273449095121854</v>
      </c>
      <c r="AA231">
        <f t="shared" si="14"/>
        <v>-0.357</v>
      </c>
      <c r="AB231">
        <f t="shared" si="15"/>
        <v>0.392</v>
      </c>
      <c r="AC231" t="s">
        <v>43</v>
      </c>
    </row>
    <row r="232" spans="1:29">
      <c r="A232" t="s">
        <v>44</v>
      </c>
      <c r="B232">
        <v>3781.625</v>
      </c>
      <c r="C232">
        <v>15.662</v>
      </c>
      <c r="D232">
        <v>57.265</v>
      </c>
      <c r="E232">
        <v>163</v>
      </c>
      <c r="F232">
        <v>0.155</v>
      </c>
      <c r="G232">
        <v>22.892</v>
      </c>
      <c r="H232">
        <v>1.058</v>
      </c>
      <c r="I232">
        <v>2.697</v>
      </c>
      <c r="J232">
        <v>0.583</v>
      </c>
      <c r="K232">
        <v>8.987</v>
      </c>
      <c r="L232">
        <v>0.235</v>
      </c>
      <c r="M232">
        <v>3.322</v>
      </c>
      <c r="N232">
        <v>334.386</v>
      </c>
      <c r="O232">
        <v>315.734</v>
      </c>
      <c r="P232">
        <f t="shared" si="12"/>
        <v>2.52424808620111</v>
      </c>
      <c r="Q232">
        <f t="shared" si="12"/>
        <v>2.49932135166514</v>
      </c>
      <c r="R232">
        <v>92.673</v>
      </c>
      <c r="S232">
        <v>-9999</v>
      </c>
      <c r="T232">
        <v>102.182</v>
      </c>
      <c r="U232">
        <v>3.717</v>
      </c>
      <c r="V232">
        <v>100</v>
      </c>
      <c r="W232">
        <v>0.1</v>
      </c>
      <c r="X232" t="s">
        <v>30</v>
      </c>
      <c r="Y232" t="s">
        <v>31</v>
      </c>
      <c r="Z232" s="3">
        <f t="shared" si="13"/>
        <v>0.0249267345359692</v>
      </c>
      <c r="AA232">
        <f t="shared" si="14"/>
        <v>-0.348</v>
      </c>
      <c r="AB232">
        <f t="shared" si="15"/>
        <v>0.39</v>
      </c>
      <c r="AC232" t="s">
        <v>43</v>
      </c>
    </row>
    <row r="233" spans="1:29">
      <c r="A233" t="s">
        <v>44</v>
      </c>
      <c r="B233">
        <v>3781.75</v>
      </c>
      <c r="C233">
        <v>16.167</v>
      </c>
      <c r="D233">
        <v>56.797</v>
      </c>
      <c r="E233">
        <v>162.72</v>
      </c>
      <c r="F233">
        <v>0.152</v>
      </c>
      <c r="G233">
        <v>22.838</v>
      </c>
      <c r="H233">
        <v>1.096</v>
      </c>
      <c r="I233">
        <v>2.696</v>
      </c>
      <c r="J233">
        <v>0.58</v>
      </c>
      <c r="K233">
        <v>8.691</v>
      </c>
      <c r="L233">
        <v>0.206</v>
      </c>
      <c r="M233">
        <v>3.262</v>
      </c>
      <c r="N233">
        <v>344.646</v>
      </c>
      <c r="O233">
        <v>330.737</v>
      </c>
      <c r="P233">
        <f t="shared" si="12"/>
        <v>2.53737324238915</v>
      </c>
      <c r="Q233">
        <f t="shared" si="12"/>
        <v>2.51948278274851</v>
      </c>
      <c r="R233">
        <v>90.729</v>
      </c>
      <c r="S233">
        <v>-9999</v>
      </c>
      <c r="T233">
        <v>98.43</v>
      </c>
      <c r="U233">
        <v>3.645</v>
      </c>
      <c r="V233">
        <v>100</v>
      </c>
      <c r="W233">
        <v>0.1</v>
      </c>
      <c r="X233" t="s">
        <v>30</v>
      </c>
      <c r="Y233" t="s">
        <v>31</v>
      </c>
      <c r="Z233" s="3">
        <f t="shared" si="13"/>
        <v>0.0178904596406393</v>
      </c>
      <c r="AA233">
        <f t="shared" si="14"/>
        <v>-0.374</v>
      </c>
      <c r="AB233">
        <f t="shared" si="15"/>
        <v>0.358</v>
      </c>
      <c r="AC233" t="s">
        <v>43</v>
      </c>
    </row>
    <row r="234" spans="1:29">
      <c r="A234" t="s">
        <v>44</v>
      </c>
      <c r="B234">
        <v>3781.875</v>
      </c>
      <c r="C234">
        <v>16.416</v>
      </c>
      <c r="D234">
        <v>56.389</v>
      </c>
      <c r="E234">
        <v>162.113</v>
      </c>
      <c r="F234">
        <v>0.143</v>
      </c>
      <c r="G234">
        <v>22.779</v>
      </c>
      <c r="H234">
        <v>1.132</v>
      </c>
      <c r="I234">
        <v>2.697</v>
      </c>
      <c r="J234">
        <v>0.583</v>
      </c>
      <c r="K234">
        <v>8.35</v>
      </c>
      <c r="L234">
        <v>0.173</v>
      </c>
      <c r="M234">
        <v>3.204</v>
      </c>
      <c r="N234">
        <v>333.065</v>
      </c>
      <c r="O234">
        <v>329.548</v>
      </c>
      <c r="P234">
        <f t="shared" si="12"/>
        <v>2.52252899743</v>
      </c>
      <c r="Q234">
        <f t="shared" si="12"/>
        <v>2.51791868028631</v>
      </c>
      <c r="R234">
        <v>90.829</v>
      </c>
      <c r="S234">
        <v>-9999</v>
      </c>
      <c r="T234">
        <v>97.484</v>
      </c>
      <c r="U234">
        <v>3.511</v>
      </c>
      <c r="V234">
        <v>100</v>
      </c>
      <c r="W234">
        <v>0.1</v>
      </c>
      <c r="X234" t="s">
        <v>30</v>
      </c>
      <c r="Y234" t="s">
        <v>31</v>
      </c>
      <c r="Z234" s="3">
        <f t="shared" si="13"/>
        <v>0.0046103171436882</v>
      </c>
      <c r="AA234">
        <f t="shared" si="14"/>
        <v>-0.41</v>
      </c>
      <c r="AB234">
        <f t="shared" si="15"/>
        <v>0.316</v>
      </c>
      <c r="AC234" t="s">
        <v>43</v>
      </c>
    </row>
    <row r="235" spans="1:29">
      <c r="A235" t="s">
        <v>44</v>
      </c>
      <c r="B235">
        <v>3782</v>
      </c>
      <c r="C235">
        <v>16.499</v>
      </c>
      <c r="D235">
        <v>56.036</v>
      </c>
      <c r="E235">
        <v>161.56</v>
      </c>
      <c r="F235">
        <v>0.136</v>
      </c>
      <c r="G235">
        <v>22.762</v>
      </c>
      <c r="H235">
        <v>1.161</v>
      </c>
      <c r="I235">
        <v>2.698</v>
      </c>
      <c r="J235">
        <v>0.587</v>
      </c>
      <c r="K235">
        <v>8.256</v>
      </c>
      <c r="L235">
        <v>0.164</v>
      </c>
      <c r="M235">
        <v>3.182</v>
      </c>
      <c r="N235">
        <v>284.519</v>
      </c>
      <c r="O235">
        <v>293.839</v>
      </c>
      <c r="P235">
        <f t="shared" si="12"/>
        <v>2.45411127361205</v>
      </c>
      <c r="Q235">
        <f t="shared" si="12"/>
        <v>2.46810943733825</v>
      </c>
      <c r="R235">
        <v>91.792</v>
      </c>
      <c r="S235">
        <v>-9999</v>
      </c>
      <c r="T235">
        <v>97.851</v>
      </c>
      <c r="U235">
        <v>3.393</v>
      </c>
      <c r="V235">
        <v>100</v>
      </c>
      <c r="W235">
        <v>0.1</v>
      </c>
      <c r="X235" t="s">
        <v>30</v>
      </c>
      <c r="Y235" t="s">
        <v>31</v>
      </c>
      <c r="Z235" s="3">
        <f t="shared" si="13"/>
        <v>-0.0139981637262094</v>
      </c>
      <c r="AA235">
        <f t="shared" si="14"/>
        <v>-0.423</v>
      </c>
      <c r="AB235">
        <f t="shared" si="15"/>
        <v>0.3</v>
      </c>
      <c r="AC235" t="s">
        <v>43</v>
      </c>
    </row>
    <row r="236" spans="1:29">
      <c r="A236" t="s">
        <v>44</v>
      </c>
      <c r="B236">
        <v>3782.125</v>
      </c>
      <c r="C236">
        <v>16.509</v>
      </c>
      <c r="D236">
        <v>55.743</v>
      </c>
      <c r="E236">
        <v>161.421</v>
      </c>
      <c r="F236">
        <v>0.134</v>
      </c>
      <c r="G236">
        <v>22.775</v>
      </c>
      <c r="H236">
        <v>1.175</v>
      </c>
      <c r="I236">
        <v>2.698</v>
      </c>
      <c r="J236">
        <v>0.587</v>
      </c>
      <c r="K236">
        <v>8.593</v>
      </c>
      <c r="L236">
        <v>0.197</v>
      </c>
      <c r="M236">
        <v>3.158</v>
      </c>
      <c r="N236">
        <v>217.978</v>
      </c>
      <c r="O236">
        <v>230.296</v>
      </c>
      <c r="P236">
        <f t="shared" si="12"/>
        <v>2.33841266350946</v>
      </c>
      <c r="Q236">
        <f t="shared" si="12"/>
        <v>2.36228639479005</v>
      </c>
      <c r="R236">
        <v>92.382</v>
      </c>
      <c r="S236">
        <v>-9999</v>
      </c>
      <c r="T236">
        <v>98.014</v>
      </c>
      <c r="U236">
        <v>3.364</v>
      </c>
      <c r="V236">
        <v>100</v>
      </c>
      <c r="W236">
        <v>0.1</v>
      </c>
      <c r="X236" t="s">
        <v>30</v>
      </c>
      <c r="Y236" t="s">
        <v>31</v>
      </c>
      <c r="Z236" s="3">
        <f t="shared" si="13"/>
        <v>-0.0238737312805872</v>
      </c>
      <c r="AA236">
        <f t="shared" si="14"/>
        <v>-0.39</v>
      </c>
      <c r="AB236">
        <f t="shared" si="15"/>
        <v>0.331</v>
      </c>
      <c r="AC236" t="s">
        <v>43</v>
      </c>
    </row>
    <row r="237" spans="1:29">
      <c r="A237" t="s">
        <v>44</v>
      </c>
      <c r="B237">
        <v>3782.25</v>
      </c>
      <c r="C237">
        <v>16.596</v>
      </c>
      <c r="D237">
        <v>55.495</v>
      </c>
      <c r="E237">
        <v>161.668</v>
      </c>
      <c r="F237">
        <v>0.137</v>
      </c>
      <c r="G237">
        <v>22.758</v>
      </c>
      <c r="H237">
        <v>1.162</v>
      </c>
      <c r="I237">
        <v>2.697</v>
      </c>
      <c r="J237">
        <v>0.583</v>
      </c>
      <c r="K237">
        <v>9.079</v>
      </c>
      <c r="L237">
        <v>0.244</v>
      </c>
      <c r="M237">
        <v>3.127</v>
      </c>
      <c r="N237">
        <v>178.428</v>
      </c>
      <c r="O237">
        <v>187.467</v>
      </c>
      <c r="P237">
        <f t="shared" si="12"/>
        <v>2.25146300750263</v>
      </c>
      <c r="Q237">
        <f t="shared" si="12"/>
        <v>2.27292482950778</v>
      </c>
      <c r="R237">
        <v>91.922</v>
      </c>
      <c r="S237">
        <v>-9999</v>
      </c>
      <c r="T237">
        <v>97.184</v>
      </c>
      <c r="U237">
        <v>3.413</v>
      </c>
      <c r="V237">
        <v>100</v>
      </c>
      <c r="W237">
        <v>0.1</v>
      </c>
      <c r="X237" t="s">
        <v>30</v>
      </c>
      <c r="Y237" t="s">
        <v>31</v>
      </c>
      <c r="Z237" s="3">
        <f t="shared" si="13"/>
        <v>-0.021461822005155</v>
      </c>
      <c r="AA237">
        <f t="shared" si="14"/>
        <v>-0.339</v>
      </c>
      <c r="AB237">
        <f t="shared" si="15"/>
        <v>0.381</v>
      </c>
      <c r="AC237" t="s">
        <v>43</v>
      </c>
    </row>
    <row r="238" spans="1:29">
      <c r="A238" t="s">
        <v>44</v>
      </c>
      <c r="B238">
        <v>3782.375</v>
      </c>
      <c r="C238">
        <v>16.878</v>
      </c>
      <c r="D238">
        <v>55.29</v>
      </c>
      <c r="E238">
        <v>162.198</v>
      </c>
      <c r="F238">
        <v>0.145</v>
      </c>
      <c r="G238">
        <v>22.712</v>
      </c>
      <c r="H238">
        <v>1.117</v>
      </c>
      <c r="I238">
        <v>2.694</v>
      </c>
      <c r="J238">
        <v>0.573</v>
      </c>
      <c r="K238">
        <v>9.516</v>
      </c>
      <c r="L238">
        <v>0.287</v>
      </c>
      <c r="M238">
        <v>3.114</v>
      </c>
      <c r="N238">
        <v>166.71</v>
      </c>
      <c r="O238">
        <v>173.948</v>
      </c>
      <c r="P238">
        <f t="shared" si="12"/>
        <v>2.22196165150504</v>
      </c>
      <c r="Q238">
        <f t="shared" si="12"/>
        <v>2.24041943972944</v>
      </c>
      <c r="R238">
        <v>90.212</v>
      </c>
      <c r="S238">
        <v>-9999</v>
      </c>
      <c r="T238">
        <v>95.202</v>
      </c>
      <c r="U238">
        <v>3.517</v>
      </c>
      <c r="V238">
        <v>100</v>
      </c>
      <c r="W238">
        <v>0.1</v>
      </c>
      <c r="X238" t="s">
        <v>30</v>
      </c>
      <c r="Y238" t="s">
        <v>31</v>
      </c>
      <c r="Z238" s="3">
        <f t="shared" si="13"/>
        <v>-0.0184577882244001</v>
      </c>
      <c r="AA238">
        <f t="shared" si="14"/>
        <v>-0.286</v>
      </c>
      <c r="AB238">
        <f t="shared" si="15"/>
        <v>0.432</v>
      </c>
      <c r="AC238" t="s">
        <v>43</v>
      </c>
    </row>
    <row r="239" spans="1:29">
      <c r="A239" t="s">
        <v>44</v>
      </c>
      <c r="B239">
        <v>3782.5</v>
      </c>
      <c r="C239">
        <v>17.256</v>
      </c>
      <c r="D239">
        <v>55.121</v>
      </c>
      <c r="E239">
        <v>163.001</v>
      </c>
      <c r="F239">
        <v>0.155</v>
      </c>
      <c r="G239">
        <v>22.693</v>
      </c>
      <c r="H239">
        <v>1.051</v>
      </c>
      <c r="I239">
        <v>2.689</v>
      </c>
      <c r="J239">
        <v>0.557</v>
      </c>
      <c r="K239">
        <v>9.895</v>
      </c>
      <c r="L239">
        <v>0.324</v>
      </c>
      <c r="M239">
        <v>3.093</v>
      </c>
      <c r="N239">
        <v>161.659</v>
      </c>
      <c r="O239">
        <v>171.233</v>
      </c>
      <c r="P239">
        <f t="shared" si="12"/>
        <v>2.20859988798582</v>
      </c>
      <c r="Q239">
        <f t="shared" si="12"/>
        <v>2.23358746557951</v>
      </c>
      <c r="R239">
        <v>87.571</v>
      </c>
      <c r="S239">
        <v>-9999</v>
      </c>
      <c r="T239">
        <v>92.446</v>
      </c>
      <c r="U239">
        <v>3.674</v>
      </c>
      <c r="V239">
        <v>100</v>
      </c>
      <c r="W239">
        <v>0.1</v>
      </c>
      <c r="X239" t="s">
        <v>30</v>
      </c>
      <c r="Y239" t="s">
        <v>31</v>
      </c>
      <c r="Z239" s="3">
        <f t="shared" si="13"/>
        <v>-0.0249875775936941</v>
      </c>
      <c r="AA239">
        <f t="shared" si="14"/>
        <v>-0.233</v>
      </c>
      <c r="AB239">
        <f t="shared" si="15"/>
        <v>0.479</v>
      </c>
      <c r="AC239" t="s">
        <v>43</v>
      </c>
    </row>
    <row r="240" spans="1:29">
      <c r="A240" t="s">
        <v>44</v>
      </c>
      <c r="B240">
        <v>3782.625</v>
      </c>
      <c r="C240">
        <v>17.206</v>
      </c>
      <c r="D240">
        <v>54.991</v>
      </c>
      <c r="E240">
        <v>164.381</v>
      </c>
      <c r="F240">
        <v>0.174</v>
      </c>
      <c r="G240">
        <v>22.713</v>
      </c>
      <c r="H240">
        <v>0.974</v>
      </c>
      <c r="I240">
        <v>2.683</v>
      </c>
      <c r="J240">
        <v>0.537</v>
      </c>
      <c r="K240">
        <v>10.356</v>
      </c>
      <c r="L240">
        <v>0.369</v>
      </c>
      <c r="M240">
        <v>3.006</v>
      </c>
      <c r="N240">
        <v>152.398</v>
      </c>
      <c r="O240">
        <v>163.615</v>
      </c>
      <c r="P240">
        <f t="shared" si="12"/>
        <v>2.18297926756353</v>
      </c>
      <c r="Q240">
        <f t="shared" si="12"/>
        <v>2.21382311668618</v>
      </c>
      <c r="R240">
        <v>84.714</v>
      </c>
      <c r="S240">
        <v>-9999</v>
      </c>
      <c r="T240">
        <v>89.753</v>
      </c>
      <c r="U240">
        <v>3.964</v>
      </c>
      <c r="V240">
        <v>100</v>
      </c>
      <c r="W240">
        <v>0.1</v>
      </c>
      <c r="X240" t="s">
        <v>30</v>
      </c>
      <c r="Y240" t="s">
        <v>31</v>
      </c>
      <c r="Z240" s="3">
        <f t="shared" si="13"/>
        <v>-0.0308438491226442</v>
      </c>
      <c r="AA240">
        <f t="shared" si="14"/>
        <v>-0.168</v>
      </c>
      <c r="AB240">
        <f t="shared" si="15"/>
        <v>0.543</v>
      </c>
      <c r="AC240" t="s">
        <v>43</v>
      </c>
    </row>
    <row r="241" spans="1:29">
      <c r="A241" t="s">
        <v>44</v>
      </c>
      <c r="B241">
        <v>3782.75</v>
      </c>
      <c r="C241">
        <v>16.674</v>
      </c>
      <c r="D241">
        <v>54.89</v>
      </c>
      <c r="E241">
        <v>166.539</v>
      </c>
      <c r="F241">
        <v>0.203</v>
      </c>
      <c r="G241">
        <v>22.743</v>
      </c>
      <c r="H241">
        <v>0.888</v>
      </c>
      <c r="I241">
        <v>2.678</v>
      </c>
      <c r="J241">
        <v>0.52</v>
      </c>
      <c r="K241">
        <v>10.84</v>
      </c>
      <c r="L241">
        <v>0.416</v>
      </c>
      <c r="M241">
        <v>2.928</v>
      </c>
      <c r="N241">
        <v>140.499</v>
      </c>
      <c r="O241">
        <v>152.705</v>
      </c>
      <c r="P241">
        <f t="shared" si="12"/>
        <v>2.14767323316617</v>
      </c>
      <c r="Q241">
        <f t="shared" si="12"/>
        <v>2.1838532573371</v>
      </c>
      <c r="R241">
        <v>82.264</v>
      </c>
      <c r="S241">
        <v>-9999</v>
      </c>
      <c r="T241">
        <v>87.79</v>
      </c>
      <c r="U241">
        <v>4.43</v>
      </c>
      <c r="V241">
        <v>97.249</v>
      </c>
      <c r="W241">
        <v>0.1</v>
      </c>
      <c r="X241" t="s">
        <v>30</v>
      </c>
      <c r="Y241" t="s">
        <v>31</v>
      </c>
      <c r="Z241" s="3">
        <f t="shared" si="13"/>
        <v>-0.0361800241709256</v>
      </c>
      <c r="AA241">
        <f t="shared" si="14"/>
        <v>-0.104</v>
      </c>
      <c r="AB241">
        <f t="shared" si="15"/>
        <v>0.619</v>
      </c>
      <c r="AC241" t="s">
        <v>43</v>
      </c>
    </row>
    <row r="242" spans="1:29">
      <c r="A242" t="s">
        <v>44</v>
      </c>
      <c r="B242">
        <v>3782.875</v>
      </c>
      <c r="C242">
        <v>16.218</v>
      </c>
      <c r="D242">
        <v>54.814</v>
      </c>
      <c r="E242">
        <v>169.47</v>
      </c>
      <c r="F242">
        <v>0.242</v>
      </c>
      <c r="G242">
        <v>22.777</v>
      </c>
      <c r="H242">
        <v>0.81</v>
      </c>
      <c r="I242">
        <v>2.671</v>
      </c>
      <c r="J242">
        <v>0.497</v>
      </c>
      <c r="K242">
        <v>11.238</v>
      </c>
      <c r="L242">
        <v>0.455</v>
      </c>
      <c r="M242">
        <v>2.894</v>
      </c>
      <c r="N242">
        <v>131.364</v>
      </c>
      <c r="O242">
        <v>143.108</v>
      </c>
      <c r="P242">
        <f t="shared" si="12"/>
        <v>2.11847636413194</v>
      </c>
      <c r="Q242">
        <f t="shared" si="12"/>
        <v>2.15566391229746</v>
      </c>
      <c r="R242">
        <v>80.763</v>
      </c>
      <c r="S242">
        <v>-9999</v>
      </c>
      <c r="T242">
        <v>86.885</v>
      </c>
      <c r="U242">
        <v>5.056</v>
      </c>
      <c r="V242">
        <v>88.443</v>
      </c>
      <c r="W242">
        <v>0.114</v>
      </c>
      <c r="X242" t="s">
        <v>30</v>
      </c>
      <c r="Y242" t="s">
        <v>31</v>
      </c>
      <c r="Z242" s="3">
        <f t="shared" si="13"/>
        <v>-0.0371875481655208</v>
      </c>
      <c r="AA242">
        <f t="shared" si="14"/>
        <v>-0.042</v>
      </c>
      <c r="AB242">
        <f t="shared" si="15"/>
        <v>0.697</v>
      </c>
      <c r="AC242" t="s">
        <v>43</v>
      </c>
    </row>
    <row r="243" spans="1:29">
      <c r="A243" t="s">
        <v>44</v>
      </c>
      <c r="B243">
        <v>3783</v>
      </c>
      <c r="C243">
        <v>16.368</v>
      </c>
      <c r="D243">
        <v>54.761</v>
      </c>
      <c r="E243">
        <v>172.862</v>
      </c>
      <c r="F243">
        <v>0.288</v>
      </c>
      <c r="G243">
        <v>22.81</v>
      </c>
      <c r="H243">
        <v>0.763</v>
      </c>
      <c r="I243">
        <v>2.654</v>
      </c>
      <c r="J243">
        <v>0.44</v>
      </c>
      <c r="K243">
        <v>11.594</v>
      </c>
      <c r="L243">
        <v>0.49</v>
      </c>
      <c r="M243">
        <v>2.87</v>
      </c>
      <c r="N243">
        <v>130.089</v>
      </c>
      <c r="O243">
        <v>141.657</v>
      </c>
      <c r="P243">
        <f t="shared" si="12"/>
        <v>2.1142405752605</v>
      </c>
      <c r="Q243">
        <f t="shared" si="12"/>
        <v>2.15123804010785</v>
      </c>
      <c r="R243">
        <v>82.106</v>
      </c>
      <c r="S243">
        <v>-9999</v>
      </c>
      <c r="T243">
        <v>87.348</v>
      </c>
      <c r="U243">
        <v>5.761</v>
      </c>
      <c r="V243">
        <v>78.915</v>
      </c>
      <c r="W243">
        <v>0.189</v>
      </c>
      <c r="X243" t="s">
        <v>30</v>
      </c>
      <c r="Y243" t="s">
        <v>31</v>
      </c>
      <c r="Z243" s="3">
        <f t="shared" si="13"/>
        <v>-0.0369974648473441</v>
      </c>
      <c r="AA243">
        <f t="shared" si="14"/>
        <v>0.05</v>
      </c>
      <c r="AB243">
        <f t="shared" si="15"/>
        <v>0.778</v>
      </c>
      <c r="AC243" t="s">
        <v>43</v>
      </c>
    </row>
    <row r="244" spans="1:29">
      <c r="A244" t="s">
        <v>44</v>
      </c>
      <c r="B244">
        <v>3783.125</v>
      </c>
      <c r="C244">
        <v>16.883</v>
      </c>
      <c r="D244">
        <v>54.733</v>
      </c>
      <c r="E244">
        <v>176.18</v>
      </c>
      <c r="F244">
        <v>0.333</v>
      </c>
      <c r="G244">
        <v>22.783</v>
      </c>
      <c r="H244">
        <v>0.749</v>
      </c>
      <c r="I244">
        <v>2.624</v>
      </c>
      <c r="J244">
        <v>0.34</v>
      </c>
      <c r="K244">
        <v>11.979</v>
      </c>
      <c r="L244">
        <v>0.527</v>
      </c>
      <c r="M244">
        <v>2.854</v>
      </c>
      <c r="N244">
        <v>132.606</v>
      </c>
      <c r="O244">
        <v>145.468</v>
      </c>
      <c r="P244">
        <f t="shared" si="12"/>
        <v>2.12256317495819</v>
      </c>
      <c r="Q244">
        <f t="shared" si="12"/>
        <v>2.16276746787942</v>
      </c>
      <c r="R244">
        <v>88.62</v>
      </c>
      <c r="S244">
        <v>-9999</v>
      </c>
      <c r="T244">
        <v>90.077</v>
      </c>
      <c r="U244">
        <v>6.442</v>
      </c>
      <c r="V244">
        <v>70.836</v>
      </c>
      <c r="W244">
        <v>0.311</v>
      </c>
      <c r="X244" t="s">
        <v>30</v>
      </c>
      <c r="Y244" t="s">
        <v>31</v>
      </c>
      <c r="Z244" s="3">
        <f t="shared" si="13"/>
        <v>-0.0402042929212341</v>
      </c>
      <c r="AA244">
        <f t="shared" si="14"/>
        <v>0.187</v>
      </c>
      <c r="AB244">
        <f t="shared" si="15"/>
        <v>0.86</v>
      </c>
      <c r="AC244" t="s">
        <v>43</v>
      </c>
    </row>
    <row r="245" spans="1:29">
      <c r="A245" t="s">
        <v>44</v>
      </c>
      <c r="B245">
        <v>3783.25</v>
      </c>
      <c r="C245">
        <v>16.708</v>
      </c>
      <c r="D245">
        <v>54.726</v>
      </c>
      <c r="E245">
        <v>179.151</v>
      </c>
      <c r="F245">
        <v>0.373</v>
      </c>
      <c r="G245">
        <v>22.78</v>
      </c>
      <c r="H245">
        <v>0.739</v>
      </c>
      <c r="I245">
        <v>2.593</v>
      </c>
      <c r="J245">
        <v>0.237</v>
      </c>
      <c r="K245">
        <v>12.269</v>
      </c>
      <c r="L245">
        <v>0.556</v>
      </c>
      <c r="M245">
        <v>2.851</v>
      </c>
      <c r="N245">
        <v>132.549</v>
      </c>
      <c r="O245">
        <v>145.948</v>
      </c>
      <c r="P245">
        <f t="shared" si="12"/>
        <v>2.12237645559895</v>
      </c>
      <c r="Q245">
        <f t="shared" si="12"/>
        <v>2.16419814800567</v>
      </c>
      <c r="R245">
        <v>97.493</v>
      </c>
      <c r="S245">
        <v>-9999</v>
      </c>
      <c r="T245">
        <v>95.225</v>
      </c>
      <c r="U245">
        <v>7.068</v>
      </c>
      <c r="V245">
        <v>63.756</v>
      </c>
      <c r="W245">
        <v>0.468</v>
      </c>
      <c r="X245" t="s">
        <v>30</v>
      </c>
      <c r="Y245" t="s">
        <v>31</v>
      </c>
      <c r="Z245" s="3">
        <f t="shared" si="13"/>
        <v>-0.041821692406721</v>
      </c>
      <c r="AA245">
        <f t="shared" si="14"/>
        <v>0.319</v>
      </c>
      <c r="AB245">
        <f t="shared" si="15"/>
        <v>0.929</v>
      </c>
      <c r="AC245" t="s">
        <v>43</v>
      </c>
    </row>
    <row r="246" spans="1:29">
      <c r="A246" t="s">
        <v>44</v>
      </c>
      <c r="B246">
        <v>3783.375</v>
      </c>
      <c r="C246">
        <v>15.587</v>
      </c>
      <c r="D246">
        <v>54.739</v>
      </c>
      <c r="E246">
        <v>181.797</v>
      </c>
      <c r="F246">
        <v>0.408</v>
      </c>
      <c r="G246">
        <v>22.828</v>
      </c>
      <c r="H246">
        <v>0.739</v>
      </c>
      <c r="I246">
        <v>2.57</v>
      </c>
      <c r="J246">
        <v>0.16</v>
      </c>
      <c r="K246">
        <v>12.306</v>
      </c>
      <c r="L246">
        <v>0.559</v>
      </c>
      <c r="M246">
        <v>2.86</v>
      </c>
      <c r="N246">
        <v>132.966</v>
      </c>
      <c r="O246">
        <v>145.194</v>
      </c>
      <c r="P246">
        <f t="shared" si="12"/>
        <v>2.12374060412429</v>
      </c>
      <c r="Q246">
        <f t="shared" si="12"/>
        <v>2.16194866994031</v>
      </c>
      <c r="R246">
        <v>104.816</v>
      </c>
      <c r="S246">
        <v>-9999</v>
      </c>
      <c r="T246">
        <v>103.067</v>
      </c>
      <c r="U246">
        <v>7.652</v>
      </c>
      <c r="V246">
        <v>57.306</v>
      </c>
      <c r="W246">
        <v>0.661</v>
      </c>
      <c r="X246" t="s">
        <v>30</v>
      </c>
      <c r="Y246" t="s">
        <v>31</v>
      </c>
      <c r="Z246" s="3">
        <f t="shared" si="13"/>
        <v>-0.0382080658160144</v>
      </c>
      <c r="AA246">
        <f t="shared" si="14"/>
        <v>0.399</v>
      </c>
      <c r="AB246">
        <f t="shared" si="15"/>
        <v>0.967</v>
      </c>
      <c r="AC246" t="s">
        <v>43</v>
      </c>
    </row>
    <row r="247" spans="1:29">
      <c r="A247" t="s">
        <v>44</v>
      </c>
      <c r="B247">
        <v>3783.5</v>
      </c>
      <c r="C247">
        <v>14.326</v>
      </c>
      <c r="D247">
        <v>54.775</v>
      </c>
      <c r="E247">
        <v>184.206</v>
      </c>
      <c r="F247">
        <v>0.441</v>
      </c>
      <c r="G247">
        <v>22.872</v>
      </c>
      <c r="H247">
        <v>0.768</v>
      </c>
      <c r="I247">
        <v>2.557</v>
      </c>
      <c r="J247">
        <v>0.117</v>
      </c>
      <c r="K247">
        <v>12.201</v>
      </c>
      <c r="L247">
        <v>0.549</v>
      </c>
      <c r="M247">
        <v>2.881</v>
      </c>
      <c r="N247">
        <v>137.294</v>
      </c>
      <c r="O247">
        <v>148.323</v>
      </c>
      <c r="P247">
        <f t="shared" si="12"/>
        <v>2.13765155818483</v>
      </c>
      <c r="Q247">
        <f t="shared" si="12"/>
        <v>2.17120850098509</v>
      </c>
      <c r="R247">
        <v>111.417</v>
      </c>
      <c r="S247">
        <v>-9999</v>
      </c>
      <c r="T247">
        <v>113.13</v>
      </c>
      <c r="U247">
        <v>8.188</v>
      </c>
      <c r="V247">
        <v>51.613</v>
      </c>
      <c r="W247">
        <v>0.886</v>
      </c>
      <c r="X247" t="s">
        <v>30</v>
      </c>
      <c r="Y247" t="s">
        <v>31</v>
      </c>
      <c r="Z247" s="3">
        <f t="shared" si="13"/>
        <v>-0.0335569428002542</v>
      </c>
      <c r="AA247">
        <f t="shared" si="14"/>
        <v>0.432</v>
      </c>
      <c r="AB247">
        <f t="shared" si="15"/>
        <v>0.99</v>
      </c>
      <c r="AC247" t="s">
        <v>43</v>
      </c>
    </row>
    <row r="248" spans="1:29">
      <c r="A248" t="s">
        <v>44</v>
      </c>
      <c r="B248">
        <v>3783.625</v>
      </c>
      <c r="C248">
        <v>14.033</v>
      </c>
      <c r="D248">
        <v>54.84</v>
      </c>
      <c r="E248">
        <v>186.068</v>
      </c>
      <c r="F248">
        <v>0.466</v>
      </c>
      <c r="G248">
        <v>22.879</v>
      </c>
      <c r="H248">
        <v>0.832</v>
      </c>
      <c r="I248">
        <v>2.546</v>
      </c>
      <c r="J248">
        <v>0.08</v>
      </c>
      <c r="K248">
        <v>12.199</v>
      </c>
      <c r="L248">
        <v>0.549</v>
      </c>
      <c r="M248">
        <v>2.916</v>
      </c>
      <c r="N248">
        <v>137.955</v>
      </c>
      <c r="O248">
        <v>148.835</v>
      </c>
      <c r="P248">
        <f t="shared" si="12"/>
        <v>2.13973744554052</v>
      </c>
      <c r="Q248">
        <f t="shared" si="12"/>
        <v>2.17270507179774</v>
      </c>
      <c r="R248">
        <v>117.729</v>
      </c>
      <c r="S248">
        <v>-9999</v>
      </c>
      <c r="T248">
        <v>124.125</v>
      </c>
      <c r="U248">
        <v>8.585</v>
      </c>
      <c r="V248">
        <v>47.375</v>
      </c>
      <c r="W248">
        <v>1.092</v>
      </c>
      <c r="X248" t="s">
        <v>30</v>
      </c>
      <c r="Y248" t="s">
        <v>31</v>
      </c>
      <c r="Z248" s="3">
        <f t="shared" si="13"/>
        <v>-0.0329676262572143</v>
      </c>
      <c r="AA248">
        <f t="shared" si="14"/>
        <v>0.469</v>
      </c>
      <c r="AB248">
        <f t="shared" si="15"/>
        <v>1.015</v>
      </c>
      <c r="AC248" t="s">
        <v>43</v>
      </c>
    </row>
    <row r="249" spans="1:29">
      <c r="A249" t="s">
        <v>44</v>
      </c>
      <c r="B249">
        <v>3783.75</v>
      </c>
      <c r="C249">
        <v>14.565</v>
      </c>
      <c r="D249">
        <v>54.932</v>
      </c>
      <c r="E249">
        <v>186.872</v>
      </c>
      <c r="F249">
        <v>0.476</v>
      </c>
      <c r="G249">
        <v>22.901</v>
      </c>
      <c r="H249">
        <v>0.913</v>
      </c>
      <c r="I249">
        <v>2.534</v>
      </c>
      <c r="J249">
        <v>0.04</v>
      </c>
      <c r="K249">
        <v>12.243</v>
      </c>
      <c r="L249">
        <v>0.553</v>
      </c>
      <c r="M249">
        <v>2.943</v>
      </c>
      <c r="N249">
        <v>137.019</v>
      </c>
      <c r="O249">
        <v>146.553</v>
      </c>
      <c r="P249">
        <f t="shared" si="12"/>
        <v>2.13678079360179</v>
      </c>
      <c r="Q249">
        <f t="shared" si="12"/>
        <v>2.16599471305156</v>
      </c>
      <c r="R249">
        <v>122.332</v>
      </c>
      <c r="S249">
        <v>-9999</v>
      </c>
      <c r="T249">
        <v>134.018</v>
      </c>
      <c r="U249">
        <v>8.739</v>
      </c>
      <c r="V249">
        <v>44.905</v>
      </c>
      <c r="W249">
        <v>1.18</v>
      </c>
      <c r="X249" t="s">
        <v>30</v>
      </c>
      <c r="Y249" t="s">
        <v>31</v>
      </c>
      <c r="Z249" s="3">
        <f t="shared" si="13"/>
        <v>-0.0292139194497687</v>
      </c>
      <c r="AA249">
        <f t="shared" si="14"/>
        <v>0.513</v>
      </c>
      <c r="AB249">
        <f t="shared" si="15"/>
        <v>1.029</v>
      </c>
      <c r="AC249" t="s">
        <v>43</v>
      </c>
    </row>
    <row r="250" spans="1:29">
      <c r="A250" t="s">
        <v>44</v>
      </c>
      <c r="B250">
        <v>3783.875</v>
      </c>
      <c r="C250">
        <v>15.353</v>
      </c>
      <c r="D250">
        <v>55.056</v>
      </c>
      <c r="E250">
        <v>186.045</v>
      </c>
      <c r="F250">
        <v>0.465</v>
      </c>
      <c r="G250">
        <v>22.942</v>
      </c>
      <c r="H250">
        <v>0.993</v>
      </c>
      <c r="I250">
        <v>2.523</v>
      </c>
      <c r="J250">
        <v>0.003</v>
      </c>
      <c r="K250">
        <v>12.113</v>
      </c>
      <c r="L250">
        <v>0.54</v>
      </c>
      <c r="M250">
        <v>2.96</v>
      </c>
      <c r="N250">
        <v>147.355</v>
      </c>
      <c r="O250">
        <v>153.045</v>
      </c>
      <c r="P250">
        <f t="shared" si="12"/>
        <v>2.16836487676937</v>
      </c>
      <c r="Q250">
        <f t="shared" si="12"/>
        <v>2.18481914570807</v>
      </c>
      <c r="R250">
        <v>124.518</v>
      </c>
      <c r="S250">
        <v>-9999</v>
      </c>
      <c r="T250">
        <v>141.893</v>
      </c>
      <c r="U250">
        <v>8.545</v>
      </c>
      <c r="V250">
        <v>44.466</v>
      </c>
      <c r="W250">
        <v>1.071</v>
      </c>
      <c r="X250" t="s">
        <v>30</v>
      </c>
      <c r="Y250" t="s">
        <v>31</v>
      </c>
      <c r="Z250" s="3">
        <f t="shared" si="13"/>
        <v>-0.0164542689386926</v>
      </c>
      <c r="AA250">
        <f t="shared" si="14"/>
        <v>0.537</v>
      </c>
      <c r="AB250">
        <f t="shared" si="15"/>
        <v>1.005</v>
      </c>
      <c r="AC250" t="s">
        <v>43</v>
      </c>
    </row>
    <row r="251" spans="1:29">
      <c r="A251" t="s">
        <v>44</v>
      </c>
      <c r="B251">
        <v>3784</v>
      </c>
      <c r="C251">
        <v>15.98</v>
      </c>
      <c r="D251">
        <v>55.214</v>
      </c>
      <c r="E251">
        <v>183.297</v>
      </c>
      <c r="F251">
        <v>0.428</v>
      </c>
      <c r="G251">
        <v>22.941</v>
      </c>
      <c r="H251">
        <v>1.066</v>
      </c>
      <c r="I251">
        <v>2.522</v>
      </c>
      <c r="J251">
        <v>0</v>
      </c>
      <c r="K251">
        <v>11.715</v>
      </c>
      <c r="L251">
        <v>0.501</v>
      </c>
      <c r="M251">
        <v>2.977</v>
      </c>
      <c r="N251">
        <v>185.227</v>
      </c>
      <c r="O251">
        <v>185.549</v>
      </c>
      <c r="P251">
        <f t="shared" si="12"/>
        <v>2.26770429280132</v>
      </c>
      <c r="Q251">
        <f t="shared" si="12"/>
        <v>2.26845861809923</v>
      </c>
      <c r="R251">
        <v>124.773</v>
      </c>
      <c r="S251">
        <v>-9999</v>
      </c>
      <c r="T251">
        <v>148.123</v>
      </c>
      <c r="U251">
        <v>7.955</v>
      </c>
      <c r="V251">
        <v>46.215</v>
      </c>
      <c r="W251">
        <v>0.78</v>
      </c>
      <c r="X251" t="s">
        <v>30</v>
      </c>
      <c r="Y251" t="s">
        <v>31</v>
      </c>
      <c r="Z251" s="3">
        <f t="shared" si="13"/>
        <v>-0.00075432529791275</v>
      </c>
      <c r="AA251">
        <f t="shared" si="14"/>
        <v>0.501</v>
      </c>
      <c r="AB251">
        <f t="shared" si="15"/>
        <v>0.929</v>
      </c>
      <c r="AC251" t="s">
        <v>43</v>
      </c>
    </row>
    <row r="252" spans="1:29">
      <c r="A252" t="s">
        <v>45</v>
      </c>
      <c r="B252">
        <v>3815</v>
      </c>
      <c r="C252">
        <v>15.221</v>
      </c>
      <c r="D252">
        <v>85.099</v>
      </c>
      <c r="E252">
        <v>173.683</v>
      </c>
      <c r="F252">
        <v>0.632</v>
      </c>
      <c r="G252">
        <v>22.667</v>
      </c>
      <c r="H252">
        <v>1.569</v>
      </c>
      <c r="I252">
        <v>2.704</v>
      </c>
      <c r="J252">
        <v>0.266</v>
      </c>
      <c r="K252">
        <v>7.664</v>
      </c>
      <c r="L252">
        <v>0.713</v>
      </c>
      <c r="M252">
        <v>2.919</v>
      </c>
      <c r="N252">
        <v>162.857</v>
      </c>
      <c r="O252">
        <v>157.157</v>
      </c>
      <c r="P252">
        <f t="shared" si="12"/>
        <v>2.21180643036198</v>
      </c>
      <c r="Q252">
        <f t="shared" si="12"/>
        <v>2.19633372988855</v>
      </c>
      <c r="R252">
        <v>155.887</v>
      </c>
      <c r="S252">
        <v>155.887</v>
      </c>
      <c r="T252">
        <v>161.541</v>
      </c>
      <c r="U252">
        <v>4.838</v>
      </c>
      <c r="V252">
        <v>66.487</v>
      </c>
      <c r="W252">
        <v>0.156</v>
      </c>
      <c r="X252" t="s">
        <v>30</v>
      </c>
      <c r="Y252" t="s">
        <v>31</v>
      </c>
      <c r="Z252" s="3">
        <f t="shared" si="13"/>
        <v>0.0154727004734245</v>
      </c>
      <c r="AA252">
        <f t="shared" si="14"/>
        <v>0.447</v>
      </c>
      <c r="AB252">
        <f t="shared" si="15"/>
        <v>1.345</v>
      </c>
      <c r="AC252" t="s">
        <v>43</v>
      </c>
    </row>
    <row r="253" spans="1:29">
      <c r="A253" t="s">
        <v>45</v>
      </c>
      <c r="B253">
        <v>3815.125</v>
      </c>
      <c r="C253">
        <v>14.996</v>
      </c>
      <c r="D253">
        <v>84.686</v>
      </c>
      <c r="E253">
        <v>173.521</v>
      </c>
      <c r="F253">
        <v>0.627</v>
      </c>
      <c r="G253">
        <v>22.664</v>
      </c>
      <c r="H253">
        <v>1.542</v>
      </c>
      <c r="I253">
        <v>2.703</v>
      </c>
      <c r="J253">
        <v>0.262</v>
      </c>
      <c r="K253">
        <v>7.729</v>
      </c>
      <c r="L253">
        <v>0.719</v>
      </c>
      <c r="M253">
        <v>2.882</v>
      </c>
      <c r="N253">
        <v>163.365</v>
      </c>
      <c r="O253">
        <v>157.647</v>
      </c>
      <c r="P253">
        <f t="shared" si="12"/>
        <v>2.21315901709824</v>
      </c>
      <c r="Q253">
        <f t="shared" si="12"/>
        <v>2.1976857106003</v>
      </c>
      <c r="R253">
        <v>156.837</v>
      </c>
      <c r="S253">
        <v>156.837</v>
      </c>
      <c r="T253">
        <v>162.525</v>
      </c>
      <c r="U253">
        <v>4.867</v>
      </c>
      <c r="V253">
        <v>65.93</v>
      </c>
      <c r="W253">
        <v>0.16</v>
      </c>
      <c r="X253" t="s">
        <v>30</v>
      </c>
      <c r="Y253" t="s">
        <v>31</v>
      </c>
      <c r="Z253" s="3">
        <f t="shared" si="13"/>
        <v>0.0154733064979342</v>
      </c>
      <c r="AA253">
        <f t="shared" si="14"/>
        <v>0.457</v>
      </c>
      <c r="AB253">
        <f t="shared" si="15"/>
        <v>1.346</v>
      </c>
      <c r="AC253" t="s">
        <v>43</v>
      </c>
    </row>
    <row r="254" spans="1:29">
      <c r="A254" t="s">
        <v>45</v>
      </c>
      <c r="B254">
        <v>3815.25</v>
      </c>
      <c r="C254">
        <v>15.048</v>
      </c>
      <c r="D254">
        <v>84.38</v>
      </c>
      <c r="E254">
        <v>170.899</v>
      </c>
      <c r="F254">
        <v>0.548</v>
      </c>
      <c r="G254">
        <v>22.67</v>
      </c>
      <c r="H254">
        <v>1.522</v>
      </c>
      <c r="I254">
        <v>2.707</v>
      </c>
      <c r="J254">
        <v>0.278</v>
      </c>
      <c r="K254">
        <v>7.664</v>
      </c>
      <c r="L254">
        <v>0.713</v>
      </c>
      <c r="M254">
        <v>2.857</v>
      </c>
      <c r="N254">
        <v>166.785</v>
      </c>
      <c r="O254">
        <v>160.947</v>
      </c>
      <c r="P254">
        <f t="shared" si="12"/>
        <v>2.22215698928637</v>
      </c>
      <c r="Q254">
        <f t="shared" si="12"/>
        <v>2.20668288598846</v>
      </c>
      <c r="R254">
        <v>160.217</v>
      </c>
      <c r="S254">
        <v>160.217</v>
      </c>
      <c r="T254">
        <v>166.028</v>
      </c>
      <c r="U254">
        <v>4.84</v>
      </c>
      <c r="V254">
        <v>65.593</v>
      </c>
      <c r="W254">
        <v>0.156</v>
      </c>
      <c r="X254" t="s">
        <v>30</v>
      </c>
      <c r="Y254" t="s">
        <v>31</v>
      </c>
      <c r="Z254" s="3">
        <f t="shared" si="13"/>
        <v>0.0154741032979038</v>
      </c>
      <c r="AA254">
        <f t="shared" si="14"/>
        <v>0.435</v>
      </c>
      <c r="AB254">
        <f t="shared" si="15"/>
        <v>1.261</v>
      </c>
      <c r="AC254" t="s">
        <v>43</v>
      </c>
    </row>
    <row r="255" spans="1:29">
      <c r="A255" t="s">
        <v>45</v>
      </c>
      <c r="B255">
        <v>3815.375</v>
      </c>
      <c r="C255">
        <v>15.376</v>
      </c>
      <c r="D255">
        <v>84.168</v>
      </c>
      <c r="E255">
        <v>167.399</v>
      </c>
      <c r="F255">
        <v>0.443</v>
      </c>
      <c r="G255">
        <v>22.687</v>
      </c>
      <c r="H255">
        <v>1.519</v>
      </c>
      <c r="I255">
        <v>2.714</v>
      </c>
      <c r="J255">
        <v>0.306</v>
      </c>
      <c r="K255">
        <v>7.476</v>
      </c>
      <c r="L255">
        <v>0.694</v>
      </c>
      <c r="M255">
        <v>2.857</v>
      </c>
      <c r="N255">
        <v>172.412</v>
      </c>
      <c r="O255">
        <v>166.377</v>
      </c>
      <c r="P255">
        <f t="shared" si="12"/>
        <v>2.23656748975096</v>
      </c>
      <c r="Q255">
        <f t="shared" si="12"/>
        <v>2.22109328912131</v>
      </c>
      <c r="R255">
        <v>165.788</v>
      </c>
      <c r="S255">
        <v>165.788</v>
      </c>
      <c r="T255">
        <v>171.801</v>
      </c>
      <c r="U255">
        <v>4.769</v>
      </c>
      <c r="V255">
        <v>65.416</v>
      </c>
      <c r="W255">
        <v>0.146</v>
      </c>
      <c r="X255" t="s">
        <v>30</v>
      </c>
      <c r="Y255" t="s">
        <v>31</v>
      </c>
      <c r="Z255" s="3">
        <f t="shared" si="13"/>
        <v>0.0154742006296562</v>
      </c>
      <c r="AA255">
        <f t="shared" si="14"/>
        <v>0.388</v>
      </c>
      <c r="AB255">
        <f t="shared" si="15"/>
        <v>1.137</v>
      </c>
      <c r="AC255" t="s">
        <v>43</v>
      </c>
    </row>
    <row r="256" spans="1:29">
      <c r="A256" t="s">
        <v>45</v>
      </c>
      <c r="B256">
        <v>3815.5</v>
      </c>
      <c r="C256">
        <v>15.764</v>
      </c>
      <c r="D256">
        <v>84.037</v>
      </c>
      <c r="E256">
        <v>164.767</v>
      </c>
      <c r="F256">
        <v>0.364</v>
      </c>
      <c r="G256">
        <v>22.712</v>
      </c>
      <c r="H256">
        <v>1.535</v>
      </c>
      <c r="I256">
        <v>2.721</v>
      </c>
      <c r="J256">
        <v>0.333</v>
      </c>
      <c r="K256">
        <v>7.19</v>
      </c>
      <c r="L256">
        <v>0.666</v>
      </c>
      <c r="M256">
        <v>2.857</v>
      </c>
      <c r="N256">
        <v>179.482</v>
      </c>
      <c r="O256">
        <v>173.2</v>
      </c>
      <c r="P256">
        <f t="shared" si="12"/>
        <v>2.25402090030902</v>
      </c>
      <c r="Q256">
        <f t="shared" si="12"/>
        <v>2.23854788768133</v>
      </c>
      <c r="R256">
        <v>173.127</v>
      </c>
      <c r="S256">
        <v>173.127</v>
      </c>
      <c r="T256">
        <v>179.407</v>
      </c>
      <c r="U256">
        <v>4.691</v>
      </c>
      <c r="V256">
        <v>65.061</v>
      </c>
      <c r="W256">
        <v>0.136</v>
      </c>
      <c r="X256" t="s">
        <v>30</v>
      </c>
      <c r="Y256" t="s">
        <v>31</v>
      </c>
      <c r="Z256" s="3">
        <f t="shared" si="13"/>
        <v>0.0154730126276941</v>
      </c>
      <c r="AA256">
        <f t="shared" si="14"/>
        <v>0.333</v>
      </c>
      <c r="AB256">
        <f t="shared" si="15"/>
        <v>1.03</v>
      </c>
      <c r="AC256" t="s">
        <v>43</v>
      </c>
    </row>
    <row r="257" spans="1:29">
      <c r="A257" t="s">
        <v>45</v>
      </c>
      <c r="B257">
        <v>3815.625</v>
      </c>
      <c r="C257">
        <v>16.104</v>
      </c>
      <c r="D257">
        <v>83.983</v>
      </c>
      <c r="E257">
        <v>163.93</v>
      </c>
      <c r="F257">
        <v>0.339</v>
      </c>
      <c r="G257">
        <v>22.732</v>
      </c>
      <c r="H257">
        <v>1.559</v>
      </c>
      <c r="I257">
        <v>2.727</v>
      </c>
      <c r="J257">
        <v>0.357</v>
      </c>
      <c r="K257">
        <v>6.867</v>
      </c>
      <c r="L257">
        <v>0.635</v>
      </c>
      <c r="M257">
        <v>2.884</v>
      </c>
      <c r="N257">
        <v>186.758</v>
      </c>
      <c r="O257">
        <v>180.221</v>
      </c>
      <c r="P257">
        <f t="shared" si="12"/>
        <v>2.27127921440412</v>
      </c>
      <c r="Q257">
        <f t="shared" si="12"/>
        <v>2.25580539514882</v>
      </c>
      <c r="R257">
        <v>180.684</v>
      </c>
      <c r="S257">
        <v>180.684</v>
      </c>
      <c r="T257">
        <v>187.237</v>
      </c>
      <c r="U257">
        <v>4.506</v>
      </c>
      <c r="V257">
        <v>66.159</v>
      </c>
      <c r="W257">
        <v>0.114</v>
      </c>
      <c r="X257" t="s">
        <v>30</v>
      </c>
      <c r="Y257" t="s">
        <v>31</v>
      </c>
      <c r="Z257" s="3">
        <f t="shared" si="13"/>
        <v>0.0154738192552961</v>
      </c>
      <c r="AA257">
        <f t="shared" si="14"/>
        <v>0.278</v>
      </c>
      <c r="AB257">
        <f t="shared" si="15"/>
        <v>0.974</v>
      </c>
      <c r="AC257" t="s">
        <v>43</v>
      </c>
    </row>
    <row r="258" spans="1:29">
      <c r="A258" t="s">
        <v>45</v>
      </c>
      <c r="B258">
        <v>3815.75</v>
      </c>
      <c r="C258">
        <v>16.537</v>
      </c>
      <c r="D258">
        <v>83.979</v>
      </c>
      <c r="E258">
        <v>164.012</v>
      </c>
      <c r="F258">
        <v>0.342</v>
      </c>
      <c r="G258">
        <v>22.753</v>
      </c>
      <c r="H258">
        <v>1.581</v>
      </c>
      <c r="I258">
        <v>2.731</v>
      </c>
      <c r="J258">
        <v>0.373</v>
      </c>
      <c r="K258">
        <v>6.609</v>
      </c>
      <c r="L258">
        <v>0.609</v>
      </c>
      <c r="M258">
        <v>2.912</v>
      </c>
      <c r="N258">
        <v>193.221</v>
      </c>
      <c r="O258">
        <v>186.458</v>
      </c>
      <c r="P258">
        <f t="shared" ref="P258:Q321" si="16">LOG(N258)</f>
        <v>2.28605432543607</v>
      </c>
      <c r="Q258">
        <f t="shared" si="16"/>
        <v>2.27058102154726</v>
      </c>
      <c r="R258">
        <v>186.853</v>
      </c>
      <c r="S258">
        <v>186.853</v>
      </c>
      <c r="T258">
        <v>193.63</v>
      </c>
      <c r="U258">
        <v>4.206</v>
      </c>
      <c r="V258">
        <v>69.393</v>
      </c>
      <c r="W258">
        <v>0.084</v>
      </c>
      <c r="X258" t="s">
        <v>30</v>
      </c>
      <c r="Y258" t="s">
        <v>31</v>
      </c>
      <c r="Z258" s="3">
        <f t="shared" ref="Z258:Z321" si="17">P258-Q258</f>
        <v>0.0154733038888062</v>
      </c>
      <c r="AA258">
        <f t="shared" ref="AA258:AA321" si="18">L258-J258</f>
        <v>0.236</v>
      </c>
      <c r="AB258">
        <f t="shared" ref="AB258:AB321" si="19">L258+F258</f>
        <v>0.951</v>
      </c>
      <c r="AC258" t="s">
        <v>43</v>
      </c>
    </row>
    <row r="259" spans="1:29">
      <c r="A259" t="s">
        <v>45</v>
      </c>
      <c r="B259">
        <v>3815.875</v>
      </c>
      <c r="C259">
        <v>16.921</v>
      </c>
      <c r="D259">
        <v>84.014</v>
      </c>
      <c r="E259">
        <v>164.322</v>
      </c>
      <c r="F259">
        <v>0.351</v>
      </c>
      <c r="G259">
        <v>22.769</v>
      </c>
      <c r="H259">
        <v>1.6</v>
      </c>
      <c r="I259">
        <v>2.736</v>
      </c>
      <c r="J259">
        <v>0.393</v>
      </c>
      <c r="K259">
        <v>6.456</v>
      </c>
      <c r="L259">
        <v>0.594</v>
      </c>
      <c r="M259">
        <v>2.92</v>
      </c>
      <c r="N259">
        <v>199.514</v>
      </c>
      <c r="O259">
        <v>192.531</v>
      </c>
      <c r="P259">
        <f t="shared" si="16"/>
        <v>2.2999733757592</v>
      </c>
      <c r="Q259">
        <f t="shared" si="16"/>
        <v>2.28450066654588</v>
      </c>
      <c r="R259">
        <v>191.838</v>
      </c>
      <c r="S259">
        <v>191.838</v>
      </c>
      <c r="T259">
        <v>198.796</v>
      </c>
      <c r="U259">
        <v>4.007</v>
      </c>
      <c r="V259">
        <v>71.683</v>
      </c>
      <c r="W259">
        <v>0.068</v>
      </c>
      <c r="X259" t="s">
        <v>30</v>
      </c>
      <c r="Y259" t="s">
        <v>31</v>
      </c>
      <c r="Z259" s="3">
        <f t="shared" si="17"/>
        <v>0.0154727092133262</v>
      </c>
      <c r="AA259">
        <f t="shared" si="18"/>
        <v>0.201</v>
      </c>
      <c r="AB259">
        <f t="shared" si="19"/>
        <v>0.945</v>
      </c>
      <c r="AC259" t="s">
        <v>43</v>
      </c>
    </row>
    <row r="260" spans="1:29">
      <c r="A260" t="s">
        <v>45</v>
      </c>
      <c r="B260">
        <v>3816</v>
      </c>
      <c r="C260">
        <v>16.877</v>
      </c>
      <c r="D260">
        <v>84.077</v>
      </c>
      <c r="E260">
        <v>164.549</v>
      </c>
      <c r="F260">
        <v>0.358</v>
      </c>
      <c r="G260">
        <v>22.778</v>
      </c>
      <c r="H260">
        <v>1.619</v>
      </c>
      <c r="I260">
        <v>2.741</v>
      </c>
      <c r="J260">
        <v>0.413</v>
      </c>
      <c r="K260">
        <v>6.37</v>
      </c>
      <c r="L260">
        <v>0.586</v>
      </c>
      <c r="M260">
        <v>2.956</v>
      </c>
      <c r="N260">
        <v>208.035</v>
      </c>
      <c r="O260">
        <v>200.754</v>
      </c>
      <c r="P260">
        <f t="shared" si="16"/>
        <v>2.31813640721343</v>
      </c>
      <c r="Q260">
        <f t="shared" si="16"/>
        <v>2.30266420730375</v>
      </c>
      <c r="R260">
        <v>198.903</v>
      </c>
      <c r="S260">
        <v>198.903</v>
      </c>
      <c r="T260">
        <v>206.117</v>
      </c>
      <c r="U260">
        <v>3.906</v>
      </c>
      <c r="V260">
        <v>72.131</v>
      </c>
      <c r="W260">
        <v>0.061</v>
      </c>
      <c r="X260" t="s">
        <v>30</v>
      </c>
      <c r="Y260" t="s">
        <v>31</v>
      </c>
      <c r="Z260" s="3">
        <f t="shared" si="17"/>
        <v>0.0154721999096763</v>
      </c>
      <c r="AA260">
        <f t="shared" si="18"/>
        <v>0.173</v>
      </c>
      <c r="AB260">
        <f t="shared" si="19"/>
        <v>0.944</v>
      </c>
      <c r="AC260" t="s">
        <v>43</v>
      </c>
    </row>
    <row r="261" spans="1:29">
      <c r="A261" t="s">
        <v>45</v>
      </c>
      <c r="B261">
        <v>3816.125</v>
      </c>
      <c r="C261">
        <v>16.342</v>
      </c>
      <c r="D261">
        <v>84.16</v>
      </c>
      <c r="E261">
        <v>164.439</v>
      </c>
      <c r="F261">
        <v>0.354</v>
      </c>
      <c r="G261">
        <v>22.789</v>
      </c>
      <c r="H261">
        <v>1.643</v>
      </c>
      <c r="I261">
        <v>2.747</v>
      </c>
      <c r="J261">
        <v>0.437</v>
      </c>
      <c r="K261">
        <v>6.273</v>
      </c>
      <c r="L261">
        <v>0.576</v>
      </c>
      <c r="M261">
        <v>2.967</v>
      </c>
      <c r="N261">
        <v>221.935</v>
      </c>
      <c r="O261">
        <v>214.168</v>
      </c>
      <c r="P261">
        <f t="shared" si="16"/>
        <v>2.34622579753724</v>
      </c>
      <c r="Q261">
        <f t="shared" si="16"/>
        <v>2.33075458105413</v>
      </c>
      <c r="R261">
        <v>211.521</v>
      </c>
      <c r="S261">
        <v>211.521</v>
      </c>
      <c r="T261">
        <v>219.193</v>
      </c>
      <c r="U261">
        <v>3.84</v>
      </c>
      <c r="V261">
        <v>71.148</v>
      </c>
      <c r="W261">
        <v>0.056</v>
      </c>
      <c r="X261" t="s">
        <v>30</v>
      </c>
      <c r="Y261" t="s">
        <v>31</v>
      </c>
      <c r="Z261" s="3">
        <f t="shared" si="17"/>
        <v>0.0154712164831081</v>
      </c>
      <c r="AA261">
        <f t="shared" si="18"/>
        <v>0.139</v>
      </c>
      <c r="AB261">
        <f t="shared" si="19"/>
        <v>0.93</v>
      </c>
      <c r="AC261" t="s">
        <v>43</v>
      </c>
    </row>
    <row r="262" spans="1:29">
      <c r="A262" t="s">
        <v>45</v>
      </c>
      <c r="B262">
        <v>3816.25</v>
      </c>
      <c r="C262">
        <v>16.028</v>
      </c>
      <c r="D262">
        <v>84.253</v>
      </c>
      <c r="E262">
        <v>163.659</v>
      </c>
      <c r="F262">
        <v>0.331</v>
      </c>
      <c r="G262">
        <v>22.805</v>
      </c>
      <c r="H262">
        <v>1.681</v>
      </c>
      <c r="I262">
        <v>2.753</v>
      </c>
      <c r="J262">
        <v>0.46</v>
      </c>
      <c r="K262">
        <v>6.113</v>
      </c>
      <c r="L262">
        <v>0.561</v>
      </c>
      <c r="M262">
        <v>2.967</v>
      </c>
      <c r="N262">
        <v>243.803</v>
      </c>
      <c r="O262">
        <v>235.27</v>
      </c>
      <c r="P262">
        <f t="shared" si="16"/>
        <v>2.38703904531612</v>
      </c>
      <c r="Q262">
        <f t="shared" si="16"/>
        <v>2.37156655248373</v>
      </c>
      <c r="R262">
        <v>232.079</v>
      </c>
      <c r="S262">
        <v>232.079</v>
      </c>
      <c r="T262">
        <v>240.496</v>
      </c>
      <c r="U262">
        <v>3.695</v>
      </c>
      <c r="V262">
        <v>70.523</v>
      </c>
      <c r="W262">
        <v>0.047</v>
      </c>
      <c r="X262" t="s">
        <v>30</v>
      </c>
      <c r="Y262" t="s">
        <v>31</v>
      </c>
      <c r="Z262" s="3">
        <f t="shared" si="17"/>
        <v>0.0154724928323846</v>
      </c>
      <c r="AA262">
        <f t="shared" si="18"/>
        <v>0.101</v>
      </c>
      <c r="AB262">
        <f t="shared" si="19"/>
        <v>0.892</v>
      </c>
      <c r="AC262" t="s">
        <v>43</v>
      </c>
    </row>
    <row r="263" spans="1:29">
      <c r="A263" t="s">
        <v>45</v>
      </c>
      <c r="B263">
        <v>3816.375</v>
      </c>
      <c r="C263">
        <v>16.342</v>
      </c>
      <c r="D263">
        <v>84.349</v>
      </c>
      <c r="E263">
        <v>161.926</v>
      </c>
      <c r="F263">
        <v>0.279</v>
      </c>
      <c r="G263">
        <v>22.822</v>
      </c>
      <c r="H263">
        <v>1.751</v>
      </c>
      <c r="I263">
        <v>2.758</v>
      </c>
      <c r="J263">
        <v>0.48</v>
      </c>
      <c r="K263">
        <v>6.108</v>
      </c>
      <c r="L263">
        <v>0.56</v>
      </c>
      <c r="M263">
        <v>2.967</v>
      </c>
      <c r="N263">
        <v>276.038</v>
      </c>
      <c r="O263">
        <v>266.377</v>
      </c>
      <c r="P263">
        <f t="shared" si="16"/>
        <v>2.44096887211713</v>
      </c>
      <c r="Q263">
        <f t="shared" si="16"/>
        <v>2.4254967234851</v>
      </c>
      <c r="R263">
        <v>262.21</v>
      </c>
      <c r="S263">
        <v>262.21</v>
      </c>
      <c r="T263">
        <v>271.72</v>
      </c>
      <c r="U263">
        <v>3.63</v>
      </c>
      <c r="V263">
        <v>67.603</v>
      </c>
      <c r="W263">
        <v>0.044</v>
      </c>
      <c r="X263" t="s">
        <v>30</v>
      </c>
      <c r="Y263" t="s">
        <v>31</v>
      </c>
      <c r="Z263" s="3">
        <f t="shared" si="17"/>
        <v>0.0154721486320244</v>
      </c>
      <c r="AA263">
        <f t="shared" si="18"/>
        <v>0.0800000000000001</v>
      </c>
      <c r="AB263">
        <f t="shared" si="19"/>
        <v>0.839</v>
      </c>
      <c r="AC263" t="s">
        <v>43</v>
      </c>
    </row>
    <row r="264" spans="1:29">
      <c r="A264" t="s">
        <v>45</v>
      </c>
      <c r="B264">
        <v>3816.5</v>
      </c>
      <c r="C264">
        <v>17.102</v>
      </c>
      <c r="D264">
        <v>84.444</v>
      </c>
      <c r="E264">
        <v>159.456</v>
      </c>
      <c r="F264">
        <v>0.205</v>
      </c>
      <c r="G264">
        <v>22.829</v>
      </c>
      <c r="H264">
        <v>1.856</v>
      </c>
      <c r="I264">
        <v>2.762</v>
      </c>
      <c r="J264">
        <v>0.496</v>
      </c>
      <c r="K264">
        <v>5.759</v>
      </c>
      <c r="L264">
        <v>0.526</v>
      </c>
      <c r="M264">
        <v>2.981</v>
      </c>
      <c r="N264">
        <v>319.19</v>
      </c>
      <c r="O264">
        <v>308.018</v>
      </c>
      <c r="P264">
        <f t="shared" si="16"/>
        <v>2.50404927674871</v>
      </c>
      <c r="Q264">
        <f t="shared" si="16"/>
        <v>2.48857609660517</v>
      </c>
      <c r="R264">
        <v>304.842</v>
      </c>
      <c r="S264">
        <v>304.842</v>
      </c>
      <c r="T264">
        <v>315.898</v>
      </c>
      <c r="U264">
        <v>3.22</v>
      </c>
      <c r="V264">
        <v>70.272</v>
      </c>
      <c r="W264">
        <v>0.026</v>
      </c>
      <c r="X264" t="s">
        <v>30</v>
      </c>
      <c r="Y264" t="s">
        <v>31</v>
      </c>
      <c r="Z264" s="3">
        <f t="shared" si="17"/>
        <v>0.0154731801435433</v>
      </c>
      <c r="AA264">
        <f t="shared" si="18"/>
        <v>0.03</v>
      </c>
      <c r="AB264">
        <f t="shared" si="19"/>
        <v>0.731</v>
      </c>
      <c r="AC264" t="s">
        <v>43</v>
      </c>
    </row>
    <row r="265" spans="1:29">
      <c r="A265" t="s">
        <v>45</v>
      </c>
      <c r="B265">
        <v>3816.625</v>
      </c>
      <c r="C265">
        <v>17.831</v>
      </c>
      <c r="D265">
        <v>84.533</v>
      </c>
      <c r="E265">
        <v>157.156</v>
      </c>
      <c r="F265">
        <v>0.136</v>
      </c>
      <c r="G265">
        <v>22.821</v>
      </c>
      <c r="H265">
        <v>1.982</v>
      </c>
      <c r="I265">
        <v>2.766</v>
      </c>
      <c r="J265">
        <v>0.512</v>
      </c>
      <c r="K265">
        <v>5.665</v>
      </c>
      <c r="L265">
        <v>0.517</v>
      </c>
      <c r="M265">
        <v>3.015</v>
      </c>
      <c r="N265">
        <v>369.083</v>
      </c>
      <c r="O265">
        <v>356.165</v>
      </c>
      <c r="P265">
        <f t="shared" si="16"/>
        <v>2.56712404200893</v>
      </c>
      <c r="Q265">
        <f t="shared" si="16"/>
        <v>2.55165123951324</v>
      </c>
      <c r="R265">
        <v>357.002</v>
      </c>
      <c r="S265">
        <v>357.002</v>
      </c>
      <c r="T265">
        <v>369.951</v>
      </c>
      <c r="U265">
        <v>3.043</v>
      </c>
      <c r="V265">
        <v>68.643</v>
      </c>
      <c r="W265">
        <v>0.02</v>
      </c>
      <c r="X265" t="s">
        <v>30</v>
      </c>
      <c r="Y265" t="s">
        <v>31</v>
      </c>
      <c r="Z265" s="3">
        <f t="shared" si="17"/>
        <v>0.0154728024956929</v>
      </c>
      <c r="AA265">
        <f t="shared" si="18"/>
        <v>0.005</v>
      </c>
      <c r="AB265">
        <f t="shared" si="19"/>
        <v>0.653</v>
      </c>
      <c r="AC265" t="s">
        <v>43</v>
      </c>
    </row>
    <row r="266" spans="1:29">
      <c r="A266" t="s">
        <v>45</v>
      </c>
      <c r="B266">
        <v>3816.75</v>
      </c>
      <c r="C266">
        <v>18.588</v>
      </c>
      <c r="D266">
        <v>84.614</v>
      </c>
      <c r="E266">
        <v>155.684</v>
      </c>
      <c r="F266">
        <v>0.092</v>
      </c>
      <c r="G266">
        <v>22.819</v>
      </c>
      <c r="H266">
        <v>2.116</v>
      </c>
      <c r="I266">
        <v>2.771</v>
      </c>
      <c r="J266">
        <v>0.532</v>
      </c>
      <c r="K266">
        <v>5.629</v>
      </c>
      <c r="L266">
        <v>0.513</v>
      </c>
      <c r="M266">
        <v>3.076</v>
      </c>
      <c r="N266">
        <v>414.696</v>
      </c>
      <c r="O266">
        <v>400.182</v>
      </c>
      <c r="P266">
        <f t="shared" si="16"/>
        <v>2.61772984634471</v>
      </c>
      <c r="Q266">
        <f t="shared" si="16"/>
        <v>2.60225755037595</v>
      </c>
      <c r="R266">
        <v>406.651</v>
      </c>
      <c r="S266">
        <v>406.651</v>
      </c>
      <c r="T266">
        <v>421.4</v>
      </c>
      <c r="U266">
        <v>2.908</v>
      </c>
      <c r="V266">
        <v>67.26</v>
      </c>
      <c r="W266">
        <v>0.017</v>
      </c>
      <c r="X266" t="s">
        <v>30</v>
      </c>
      <c r="Y266" t="s">
        <v>31</v>
      </c>
      <c r="Z266" s="3">
        <f t="shared" si="17"/>
        <v>0.0154722959687605</v>
      </c>
      <c r="AA266">
        <f t="shared" si="18"/>
        <v>-0.019</v>
      </c>
      <c r="AB266">
        <f t="shared" si="19"/>
        <v>0.605</v>
      </c>
      <c r="AC266" t="s">
        <v>43</v>
      </c>
    </row>
    <row r="267" spans="1:29">
      <c r="A267" t="s">
        <v>45</v>
      </c>
      <c r="B267">
        <v>3816.875</v>
      </c>
      <c r="C267">
        <v>19.831</v>
      </c>
      <c r="D267">
        <v>84.685</v>
      </c>
      <c r="E267">
        <v>154.854</v>
      </c>
      <c r="F267">
        <v>0.067</v>
      </c>
      <c r="G267">
        <v>22.836</v>
      </c>
      <c r="H267">
        <v>2.301</v>
      </c>
      <c r="I267">
        <v>2.779</v>
      </c>
      <c r="J267">
        <v>0.563</v>
      </c>
      <c r="K267">
        <v>5.589</v>
      </c>
      <c r="L267">
        <v>0.509</v>
      </c>
      <c r="M267">
        <v>3.09</v>
      </c>
      <c r="N267">
        <v>443.75</v>
      </c>
      <c r="O267">
        <v>428.219</v>
      </c>
      <c r="P267">
        <f t="shared" si="16"/>
        <v>2.64713836606315</v>
      </c>
      <c r="Q267">
        <f t="shared" si="16"/>
        <v>2.63166593295396</v>
      </c>
      <c r="R267">
        <v>436.892</v>
      </c>
      <c r="S267">
        <v>436.892</v>
      </c>
      <c r="T267">
        <v>452.738</v>
      </c>
      <c r="U267">
        <v>2.699</v>
      </c>
      <c r="V267">
        <v>69.616</v>
      </c>
      <c r="W267">
        <v>0.012</v>
      </c>
      <c r="X267" t="s">
        <v>30</v>
      </c>
      <c r="Y267" t="s">
        <v>31</v>
      </c>
      <c r="Z267" s="3">
        <f t="shared" si="17"/>
        <v>0.0154724331091853</v>
      </c>
      <c r="AA267">
        <f t="shared" si="18"/>
        <v>-0.0539999999999999</v>
      </c>
      <c r="AB267">
        <f t="shared" si="19"/>
        <v>0.576</v>
      </c>
      <c r="AC267" t="s">
        <v>43</v>
      </c>
    </row>
    <row r="268" spans="1:29">
      <c r="A268" t="s">
        <v>45</v>
      </c>
      <c r="B268">
        <v>3817</v>
      </c>
      <c r="C268">
        <v>21.577</v>
      </c>
      <c r="D268">
        <v>84.746</v>
      </c>
      <c r="E268">
        <v>154.345</v>
      </c>
      <c r="F268">
        <v>0.051</v>
      </c>
      <c r="G268">
        <v>22.874</v>
      </c>
      <c r="H268">
        <v>2.547</v>
      </c>
      <c r="I268">
        <v>2.791</v>
      </c>
      <c r="J268">
        <v>0.611</v>
      </c>
      <c r="K268">
        <v>5.502</v>
      </c>
      <c r="L268">
        <v>0.501</v>
      </c>
      <c r="M268">
        <v>3.13</v>
      </c>
      <c r="N268">
        <v>451.227</v>
      </c>
      <c r="O268">
        <v>435.434</v>
      </c>
      <c r="P268">
        <f t="shared" si="16"/>
        <v>2.65439507856434</v>
      </c>
      <c r="Q268">
        <f t="shared" si="16"/>
        <v>2.63892233705207</v>
      </c>
      <c r="R268">
        <v>441.114</v>
      </c>
      <c r="S268">
        <v>441.114</v>
      </c>
      <c r="T268">
        <v>457.113</v>
      </c>
      <c r="U268">
        <v>2.374</v>
      </c>
      <c r="V268">
        <v>78.079</v>
      </c>
      <c r="W268">
        <v>0.007</v>
      </c>
      <c r="X268" t="s">
        <v>30</v>
      </c>
      <c r="Y268" t="s">
        <v>31</v>
      </c>
      <c r="Z268" s="3">
        <f t="shared" si="17"/>
        <v>0.0154727415122706</v>
      </c>
      <c r="AA268">
        <f t="shared" si="18"/>
        <v>-0.11</v>
      </c>
      <c r="AB268">
        <f t="shared" si="19"/>
        <v>0.552</v>
      </c>
      <c r="AC268" t="s">
        <v>43</v>
      </c>
    </row>
    <row r="269" spans="1:29">
      <c r="A269" t="s">
        <v>45</v>
      </c>
      <c r="B269">
        <v>3817.125</v>
      </c>
      <c r="C269">
        <v>22.932</v>
      </c>
      <c r="D269">
        <v>84.795</v>
      </c>
      <c r="E269">
        <v>154.689</v>
      </c>
      <c r="F269">
        <v>0.062</v>
      </c>
      <c r="G269">
        <v>22.934</v>
      </c>
      <c r="H269">
        <v>2.699</v>
      </c>
      <c r="I269">
        <v>2.805</v>
      </c>
      <c r="J269">
        <v>0.667</v>
      </c>
      <c r="K269">
        <v>5.384</v>
      </c>
      <c r="L269">
        <v>0.489</v>
      </c>
      <c r="M269">
        <v>3.132</v>
      </c>
      <c r="N269">
        <v>442.364</v>
      </c>
      <c r="O269">
        <v>426.881</v>
      </c>
      <c r="P269">
        <f t="shared" si="16"/>
        <v>2.6457797764397</v>
      </c>
      <c r="Q269">
        <f t="shared" si="16"/>
        <v>2.63030682526825</v>
      </c>
      <c r="R269">
        <v>428.297</v>
      </c>
      <c r="S269">
        <v>428.297</v>
      </c>
      <c r="T269">
        <v>443.831</v>
      </c>
      <c r="U269">
        <v>2.049</v>
      </c>
      <c r="V269">
        <v>90.773</v>
      </c>
      <c r="W269">
        <v>0.004</v>
      </c>
      <c r="X269" t="s">
        <v>30</v>
      </c>
      <c r="Y269" t="s">
        <v>31</v>
      </c>
      <c r="Z269" s="3">
        <f t="shared" si="17"/>
        <v>0.0154729511714491</v>
      </c>
      <c r="AA269">
        <f t="shared" si="18"/>
        <v>-0.178</v>
      </c>
      <c r="AB269">
        <f t="shared" si="19"/>
        <v>0.551</v>
      </c>
      <c r="AC269" t="s">
        <v>43</v>
      </c>
    </row>
    <row r="270" spans="1:29">
      <c r="A270" t="s">
        <v>45</v>
      </c>
      <c r="B270">
        <v>3817.25</v>
      </c>
      <c r="C270">
        <v>23.07</v>
      </c>
      <c r="D270">
        <v>84.834</v>
      </c>
      <c r="E270">
        <v>155.985</v>
      </c>
      <c r="F270">
        <v>0.101</v>
      </c>
      <c r="G270">
        <v>23.032</v>
      </c>
      <c r="H270">
        <v>2.647</v>
      </c>
      <c r="I270">
        <v>2.815</v>
      </c>
      <c r="J270">
        <v>0.706</v>
      </c>
      <c r="K270">
        <v>5.28</v>
      </c>
      <c r="L270">
        <v>0.479</v>
      </c>
      <c r="M270">
        <v>3.132</v>
      </c>
      <c r="N270">
        <v>426.664</v>
      </c>
      <c r="O270">
        <v>411.731</v>
      </c>
      <c r="P270">
        <f t="shared" si="16"/>
        <v>2.63008600057921</v>
      </c>
      <c r="Q270">
        <f t="shared" si="16"/>
        <v>2.61461356707544</v>
      </c>
      <c r="R270">
        <v>411.232</v>
      </c>
      <c r="S270">
        <v>411.232</v>
      </c>
      <c r="T270">
        <v>426.148</v>
      </c>
      <c r="U270">
        <v>1.885</v>
      </c>
      <c r="V270">
        <v>100</v>
      </c>
      <c r="W270">
        <v>0.002</v>
      </c>
      <c r="X270" t="s">
        <v>30</v>
      </c>
      <c r="Y270" t="s">
        <v>31</v>
      </c>
      <c r="Z270" s="3">
        <f t="shared" si="17"/>
        <v>0.0154724335037706</v>
      </c>
      <c r="AA270">
        <f t="shared" si="18"/>
        <v>-0.227</v>
      </c>
      <c r="AB270">
        <f t="shared" si="19"/>
        <v>0.58</v>
      </c>
      <c r="AC270" t="s">
        <v>43</v>
      </c>
    </row>
    <row r="271" spans="1:29">
      <c r="A271" t="s">
        <v>45</v>
      </c>
      <c r="B271">
        <v>3817.375</v>
      </c>
      <c r="C271">
        <v>21.946</v>
      </c>
      <c r="D271">
        <v>84.865</v>
      </c>
      <c r="E271">
        <v>157.09</v>
      </c>
      <c r="F271">
        <v>0.134</v>
      </c>
      <c r="G271">
        <v>23.128</v>
      </c>
      <c r="H271">
        <v>2.417</v>
      </c>
      <c r="I271">
        <v>2.818</v>
      </c>
      <c r="J271">
        <v>0.718</v>
      </c>
      <c r="K271">
        <v>5.234</v>
      </c>
      <c r="L271">
        <v>0.474</v>
      </c>
      <c r="M271">
        <v>3.07</v>
      </c>
      <c r="N271">
        <v>409.663</v>
      </c>
      <c r="O271">
        <v>395.324</v>
      </c>
      <c r="P271">
        <f t="shared" si="16"/>
        <v>2.61242674105477</v>
      </c>
      <c r="Q271">
        <f t="shared" si="16"/>
        <v>2.59695318102946</v>
      </c>
      <c r="R271">
        <v>395.663</v>
      </c>
      <c r="S271">
        <v>395.663</v>
      </c>
      <c r="T271">
        <v>410.014</v>
      </c>
      <c r="U271">
        <v>1.948</v>
      </c>
      <c r="V271">
        <v>98.805</v>
      </c>
      <c r="W271">
        <v>0.003</v>
      </c>
      <c r="X271" t="s">
        <v>30</v>
      </c>
      <c r="Y271" t="s">
        <v>31</v>
      </c>
      <c r="Z271" s="3">
        <f t="shared" si="17"/>
        <v>0.0154735600253071</v>
      </c>
      <c r="AA271">
        <f t="shared" si="18"/>
        <v>-0.244</v>
      </c>
      <c r="AB271">
        <f t="shared" si="19"/>
        <v>0.608</v>
      </c>
      <c r="AC271" t="s">
        <v>43</v>
      </c>
    </row>
    <row r="272" spans="1:29">
      <c r="A272" t="s">
        <v>45</v>
      </c>
      <c r="B272">
        <v>3817.5</v>
      </c>
      <c r="C272">
        <v>20.139</v>
      </c>
      <c r="D272">
        <v>84.891</v>
      </c>
      <c r="E272">
        <v>156.615</v>
      </c>
      <c r="F272">
        <v>0.119</v>
      </c>
      <c r="G272">
        <v>23.175</v>
      </c>
      <c r="H272">
        <v>2.073</v>
      </c>
      <c r="I272">
        <v>2.812</v>
      </c>
      <c r="J272">
        <v>0.694</v>
      </c>
      <c r="K272">
        <v>5.282</v>
      </c>
      <c r="L272">
        <v>0.479</v>
      </c>
      <c r="M272">
        <v>3.002</v>
      </c>
      <c r="N272">
        <v>392.777</v>
      </c>
      <c r="O272">
        <v>379.03</v>
      </c>
      <c r="P272">
        <f t="shared" si="16"/>
        <v>2.59414604870367</v>
      </c>
      <c r="Q272">
        <f t="shared" si="16"/>
        <v>2.5786735854795</v>
      </c>
      <c r="R272">
        <v>379.078</v>
      </c>
      <c r="S272">
        <v>379.078</v>
      </c>
      <c r="T272">
        <v>392.827</v>
      </c>
      <c r="U272">
        <v>2.209</v>
      </c>
      <c r="V272">
        <v>89.787</v>
      </c>
      <c r="W272">
        <v>0.005</v>
      </c>
      <c r="X272" t="s">
        <v>30</v>
      </c>
      <c r="Y272" t="s">
        <v>31</v>
      </c>
      <c r="Z272" s="3">
        <f t="shared" si="17"/>
        <v>0.0154724632241687</v>
      </c>
      <c r="AA272">
        <f t="shared" si="18"/>
        <v>-0.215</v>
      </c>
      <c r="AB272">
        <f t="shared" si="19"/>
        <v>0.598</v>
      </c>
      <c r="AC272" t="s">
        <v>43</v>
      </c>
    </row>
    <row r="273" spans="1:29">
      <c r="A273" t="s">
        <v>45</v>
      </c>
      <c r="B273">
        <v>3817.625</v>
      </c>
      <c r="C273">
        <v>18.281</v>
      </c>
      <c r="D273">
        <v>84.915</v>
      </c>
      <c r="E273">
        <v>154.907</v>
      </c>
      <c r="F273">
        <v>0.068</v>
      </c>
      <c r="G273">
        <v>23.233</v>
      </c>
      <c r="H273">
        <v>1.723</v>
      </c>
      <c r="I273">
        <v>2.802</v>
      </c>
      <c r="J273">
        <v>0.655</v>
      </c>
      <c r="K273">
        <v>5.458</v>
      </c>
      <c r="L273">
        <v>0.496</v>
      </c>
      <c r="M273">
        <v>2.969</v>
      </c>
      <c r="N273">
        <v>378.338</v>
      </c>
      <c r="O273">
        <v>365.096</v>
      </c>
      <c r="P273">
        <f t="shared" si="16"/>
        <v>2.57787996371278</v>
      </c>
      <c r="Q273">
        <f t="shared" si="16"/>
        <v>2.56240707483567</v>
      </c>
      <c r="R273">
        <v>362.349</v>
      </c>
      <c r="S273">
        <v>362.349</v>
      </c>
      <c r="T273">
        <v>375.491</v>
      </c>
      <c r="U273">
        <v>2.61</v>
      </c>
      <c r="V273">
        <v>78.582</v>
      </c>
      <c r="W273">
        <v>0.01</v>
      </c>
      <c r="X273" t="s">
        <v>30</v>
      </c>
      <c r="Y273" t="s">
        <v>31</v>
      </c>
      <c r="Z273" s="3">
        <f t="shared" si="17"/>
        <v>0.0154728888771158</v>
      </c>
      <c r="AA273">
        <f t="shared" si="18"/>
        <v>-0.159</v>
      </c>
      <c r="AB273">
        <f t="shared" si="19"/>
        <v>0.564</v>
      </c>
      <c r="AC273" t="s">
        <v>43</v>
      </c>
    </row>
    <row r="274" spans="1:29">
      <c r="A274" t="s">
        <v>45</v>
      </c>
      <c r="B274">
        <v>3817.75</v>
      </c>
      <c r="C274">
        <v>16.939</v>
      </c>
      <c r="D274">
        <v>84.94</v>
      </c>
      <c r="E274">
        <v>154.254</v>
      </c>
      <c r="F274">
        <v>0.049</v>
      </c>
      <c r="G274">
        <v>23.424</v>
      </c>
      <c r="H274">
        <v>1.496</v>
      </c>
      <c r="I274">
        <v>2.792</v>
      </c>
      <c r="J274">
        <v>0.615</v>
      </c>
      <c r="K274">
        <v>5.776</v>
      </c>
      <c r="L274">
        <v>0.528</v>
      </c>
      <c r="M274">
        <v>2.967</v>
      </c>
      <c r="N274">
        <v>375.005</v>
      </c>
      <c r="O274">
        <v>361.88</v>
      </c>
      <c r="P274">
        <f t="shared" si="16"/>
        <v>2.57403705828221</v>
      </c>
      <c r="Q274">
        <f t="shared" si="16"/>
        <v>2.55856458164466</v>
      </c>
      <c r="R274">
        <v>353.86</v>
      </c>
      <c r="S274">
        <v>353.86</v>
      </c>
      <c r="T274">
        <v>366.695</v>
      </c>
      <c r="U274">
        <v>3.084</v>
      </c>
      <c r="V274">
        <v>68.074</v>
      </c>
      <c r="W274">
        <v>0.021</v>
      </c>
      <c r="X274" t="s">
        <v>30</v>
      </c>
      <c r="Y274" t="s">
        <v>31</v>
      </c>
      <c r="Z274" s="3">
        <f t="shared" si="17"/>
        <v>0.0154724766375471</v>
      </c>
      <c r="AA274">
        <f t="shared" si="18"/>
        <v>-0.087</v>
      </c>
      <c r="AB274">
        <f t="shared" si="19"/>
        <v>0.577</v>
      </c>
      <c r="AC274" t="s">
        <v>43</v>
      </c>
    </row>
    <row r="275" spans="1:29">
      <c r="A275" t="s">
        <v>45</v>
      </c>
      <c r="B275">
        <v>3817.875</v>
      </c>
      <c r="C275">
        <v>16.617</v>
      </c>
      <c r="D275">
        <v>84.971</v>
      </c>
      <c r="E275">
        <v>155.477</v>
      </c>
      <c r="F275">
        <v>0.085</v>
      </c>
      <c r="G275">
        <v>23.632</v>
      </c>
      <c r="H275">
        <v>1.396</v>
      </c>
      <c r="I275">
        <v>2.784</v>
      </c>
      <c r="J275">
        <v>0.583</v>
      </c>
      <c r="K275">
        <v>6.177</v>
      </c>
      <c r="L275">
        <v>0.567</v>
      </c>
      <c r="M275">
        <v>2.967</v>
      </c>
      <c r="N275">
        <v>399.561</v>
      </c>
      <c r="O275">
        <v>385.446</v>
      </c>
      <c r="P275">
        <f t="shared" si="16"/>
        <v>2.60158309138734</v>
      </c>
      <c r="Q275">
        <f t="shared" si="16"/>
        <v>2.58596354310106</v>
      </c>
      <c r="R275">
        <v>369.431</v>
      </c>
      <c r="S275">
        <v>369.431</v>
      </c>
      <c r="T275">
        <v>382.83</v>
      </c>
      <c r="U275">
        <v>3.521</v>
      </c>
      <c r="V275">
        <v>58.98</v>
      </c>
      <c r="W275">
        <v>0.038</v>
      </c>
      <c r="X275" t="s">
        <v>30</v>
      </c>
      <c r="Y275" t="s">
        <v>31</v>
      </c>
      <c r="Z275" s="3">
        <f t="shared" si="17"/>
        <v>0.0156195482862791</v>
      </c>
      <c r="AA275">
        <f t="shared" si="18"/>
        <v>-0.016</v>
      </c>
      <c r="AB275">
        <f t="shared" si="19"/>
        <v>0.652</v>
      </c>
      <c r="AC275" t="s">
        <v>43</v>
      </c>
    </row>
    <row r="276" spans="1:29">
      <c r="A276" t="s">
        <v>45</v>
      </c>
      <c r="B276">
        <v>3818</v>
      </c>
      <c r="C276">
        <v>17.635</v>
      </c>
      <c r="D276">
        <v>85.01</v>
      </c>
      <c r="E276">
        <v>157.69</v>
      </c>
      <c r="F276">
        <v>0.152</v>
      </c>
      <c r="G276">
        <v>23.642</v>
      </c>
      <c r="H276">
        <v>1.375</v>
      </c>
      <c r="I276">
        <v>2.777</v>
      </c>
      <c r="J276">
        <v>0.556</v>
      </c>
      <c r="K276">
        <v>6.552</v>
      </c>
      <c r="L276">
        <v>0.604</v>
      </c>
      <c r="M276">
        <v>2.967</v>
      </c>
      <c r="N276">
        <v>471.161</v>
      </c>
      <c r="O276">
        <v>452.707</v>
      </c>
      <c r="P276">
        <f t="shared" si="16"/>
        <v>2.67316933486527</v>
      </c>
      <c r="Q276">
        <f t="shared" si="16"/>
        <v>2.65581720984288</v>
      </c>
      <c r="R276">
        <v>433.047</v>
      </c>
      <c r="S276">
        <v>433.047</v>
      </c>
      <c r="T276">
        <v>449.159</v>
      </c>
      <c r="U276">
        <v>3.788</v>
      </c>
      <c r="V276">
        <v>51.034</v>
      </c>
      <c r="W276">
        <v>0.053</v>
      </c>
      <c r="X276" t="s">
        <v>30</v>
      </c>
      <c r="Y276" t="s">
        <v>31</v>
      </c>
      <c r="Z276" s="3">
        <f t="shared" si="17"/>
        <v>0.017352125022398</v>
      </c>
      <c r="AA276">
        <f t="shared" si="18"/>
        <v>0.0479999999999999</v>
      </c>
      <c r="AB276">
        <f t="shared" si="19"/>
        <v>0.756</v>
      </c>
      <c r="AC276" t="s">
        <v>43</v>
      </c>
    </row>
    <row r="277" spans="1:29">
      <c r="A277" t="s">
        <v>46</v>
      </c>
      <c r="B277">
        <v>4239</v>
      </c>
      <c r="C277">
        <v>15.894</v>
      </c>
      <c r="D277">
        <v>53.34</v>
      </c>
      <c r="E277">
        <v>160.863</v>
      </c>
      <c r="F277">
        <v>0.113</v>
      </c>
      <c r="G277">
        <v>22.978</v>
      </c>
      <c r="H277">
        <v>1.34</v>
      </c>
      <c r="I277">
        <v>2.77</v>
      </c>
      <c r="J277">
        <v>0.793</v>
      </c>
      <c r="K277">
        <v>10.093</v>
      </c>
      <c r="L277">
        <v>0.302</v>
      </c>
      <c r="M277">
        <v>2.66</v>
      </c>
      <c r="N277">
        <v>106.579</v>
      </c>
      <c r="O277">
        <v>100.97</v>
      </c>
      <c r="P277">
        <f t="shared" si="16"/>
        <v>2.02767164106422</v>
      </c>
      <c r="Q277">
        <f t="shared" si="16"/>
        <v>2.00419235625971</v>
      </c>
      <c r="R277">
        <v>60.203</v>
      </c>
      <c r="S277">
        <v>60.203</v>
      </c>
      <c r="T277">
        <v>63.372</v>
      </c>
      <c r="U277">
        <v>4.395</v>
      </c>
      <c r="V277">
        <v>49.309</v>
      </c>
      <c r="W277">
        <v>0.012</v>
      </c>
      <c r="X277" t="s">
        <v>30</v>
      </c>
      <c r="Y277" t="s">
        <v>31</v>
      </c>
      <c r="Z277" s="3">
        <f t="shared" si="17"/>
        <v>0.0234792848045018</v>
      </c>
      <c r="AA277">
        <f t="shared" si="18"/>
        <v>-0.491</v>
      </c>
      <c r="AB277">
        <f t="shared" si="19"/>
        <v>0.415</v>
      </c>
      <c r="AC277" t="s">
        <v>43</v>
      </c>
    </row>
    <row r="278" spans="1:29">
      <c r="A278" t="s">
        <v>46</v>
      </c>
      <c r="B278">
        <v>4239.125</v>
      </c>
      <c r="C278">
        <v>15.493</v>
      </c>
      <c r="D278">
        <v>52.888</v>
      </c>
      <c r="E278">
        <v>161.021</v>
      </c>
      <c r="F278">
        <v>0.115</v>
      </c>
      <c r="G278">
        <v>22.936</v>
      </c>
      <c r="H278">
        <v>1.38</v>
      </c>
      <c r="I278">
        <v>2.781</v>
      </c>
      <c r="J278">
        <v>0.855</v>
      </c>
      <c r="K278">
        <v>10.422</v>
      </c>
      <c r="L278">
        <v>0.325</v>
      </c>
      <c r="M278">
        <v>2.639</v>
      </c>
      <c r="N278">
        <v>107.003</v>
      </c>
      <c r="O278">
        <v>101.372</v>
      </c>
      <c r="P278">
        <f t="shared" si="16"/>
        <v>2.02939595399532</v>
      </c>
      <c r="Q278">
        <f t="shared" si="16"/>
        <v>2.0059180149112</v>
      </c>
      <c r="R278">
        <v>58.463</v>
      </c>
      <c r="S278">
        <v>58.463</v>
      </c>
      <c r="T278">
        <v>61.54</v>
      </c>
      <c r="U278">
        <v>4.479</v>
      </c>
      <c r="V278">
        <v>48.93</v>
      </c>
      <c r="W278">
        <v>0.013</v>
      </c>
      <c r="X278" t="s">
        <v>30</v>
      </c>
      <c r="Y278" t="s">
        <v>31</v>
      </c>
      <c r="Z278" s="3">
        <f t="shared" si="17"/>
        <v>0.0234779390841107</v>
      </c>
      <c r="AA278">
        <f t="shared" si="18"/>
        <v>-0.53</v>
      </c>
      <c r="AB278">
        <f t="shared" si="19"/>
        <v>0.44</v>
      </c>
      <c r="AC278" t="s">
        <v>43</v>
      </c>
    </row>
    <row r="279" spans="1:29">
      <c r="A279" t="s">
        <v>46</v>
      </c>
      <c r="B279">
        <v>4239.25</v>
      </c>
      <c r="C279">
        <v>15.691</v>
      </c>
      <c r="D279">
        <v>52.443</v>
      </c>
      <c r="E279">
        <v>161.471</v>
      </c>
      <c r="F279">
        <v>0.12</v>
      </c>
      <c r="G279">
        <v>22.858</v>
      </c>
      <c r="H279">
        <v>1.4</v>
      </c>
      <c r="I279">
        <v>2.782</v>
      </c>
      <c r="J279">
        <v>0.86</v>
      </c>
      <c r="K279">
        <v>10.751</v>
      </c>
      <c r="L279">
        <v>0.349</v>
      </c>
      <c r="M279">
        <v>2.638</v>
      </c>
      <c r="N279">
        <v>109.326</v>
      </c>
      <c r="O279">
        <v>103.572</v>
      </c>
      <c r="P279">
        <f t="shared" si="16"/>
        <v>2.03872345850714</v>
      </c>
      <c r="Q279">
        <f t="shared" si="16"/>
        <v>2.01524236265761</v>
      </c>
      <c r="R279">
        <v>58.555</v>
      </c>
      <c r="S279">
        <v>58.555</v>
      </c>
      <c r="T279">
        <v>61.637</v>
      </c>
      <c r="U279">
        <v>4.926</v>
      </c>
      <c r="V279">
        <v>44.261</v>
      </c>
      <c r="W279">
        <v>0.02</v>
      </c>
      <c r="X279" t="s">
        <v>30</v>
      </c>
      <c r="Y279" t="s">
        <v>31</v>
      </c>
      <c r="Z279" s="3">
        <f t="shared" si="17"/>
        <v>0.0234810958495228</v>
      </c>
      <c r="AA279">
        <f t="shared" si="18"/>
        <v>-0.511</v>
      </c>
      <c r="AB279">
        <f t="shared" si="19"/>
        <v>0.469</v>
      </c>
      <c r="AC279" t="s">
        <v>43</v>
      </c>
    </row>
    <row r="280" spans="1:29">
      <c r="A280" t="s">
        <v>46</v>
      </c>
      <c r="B280">
        <v>4239.375</v>
      </c>
      <c r="C280">
        <v>16.004</v>
      </c>
      <c r="D280">
        <v>52.02</v>
      </c>
      <c r="E280">
        <v>162.071</v>
      </c>
      <c r="F280">
        <v>0.128</v>
      </c>
      <c r="G280">
        <v>22.797</v>
      </c>
      <c r="H280">
        <v>1.411</v>
      </c>
      <c r="I280">
        <v>2.772</v>
      </c>
      <c r="J280">
        <v>0.804</v>
      </c>
      <c r="K280">
        <v>11.054</v>
      </c>
      <c r="L280">
        <v>0.371</v>
      </c>
      <c r="M280">
        <v>2.621</v>
      </c>
      <c r="N280">
        <v>112.467</v>
      </c>
      <c r="O280">
        <v>106.547</v>
      </c>
      <c r="P280">
        <f t="shared" si="16"/>
        <v>2.05102511071139</v>
      </c>
      <c r="Q280">
        <f t="shared" si="16"/>
        <v>2.0275412259715</v>
      </c>
      <c r="R280">
        <v>60.64</v>
      </c>
      <c r="S280">
        <v>60.64</v>
      </c>
      <c r="T280">
        <v>63.831</v>
      </c>
      <c r="U280">
        <v>5.258</v>
      </c>
      <c r="V280">
        <v>40.752</v>
      </c>
      <c r="W280">
        <v>0.026</v>
      </c>
      <c r="X280" t="s">
        <v>30</v>
      </c>
      <c r="Y280" t="s">
        <v>31</v>
      </c>
      <c r="Z280" s="3">
        <f t="shared" si="17"/>
        <v>0.0234838847398904</v>
      </c>
      <c r="AA280">
        <f t="shared" si="18"/>
        <v>-0.433</v>
      </c>
      <c r="AB280">
        <f t="shared" si="19"/>
        <v>0.499</v>
      </c>
      <c r="AC280" t="s">
        <v>43</v>
      </c>
    </row>
    <row r="281" spans="1:29">
      <c r="A281" t="s">
        <v>46</v>
      </c>
      <c r="B281">
        <v>4239.5</v>
      </c>
      <c r="C281">
        <v>15.844</v>
      </c>
      <c r="D281">
        <v>51.622</v>
      </c>
      <c r="E281">
        <v>162.829</v>
      </c>
      <c r="F281">
        <v>0.137</v>
      </c>
      <c r="G281">
        <v>22.858</v>
      </c>
      <c r="H281">
        <v>1.415</v>
      </c>
      <c r="I281">
        <v>2.754</v>
      </c>
      <c r="J281">
        <v>0.704</v>
      </c>
      <c r="K281">
        <v>11.344</v>
      </c>
      <c r="L281">
        <v>0.392</v>
      </c>
      <c r="M281">
        <v>2.606</v>
      </c>
      <c r="N281">
        <v>116.553</v>
      </c>
      <c r="O281">
        <v>110.419</v>
      </c>
      <c r="P281">
        <f t="shared" si="16"/>
        <v>2.06652345646387</v>
      </c>
      <c r="Q281">
        <f t="shared" si="16"/>
        <v>2.043043809672</v>
      </c>
      <c r="R281">
        <v>64.316</v>
      </c>
      <c r="S281">
        <v>64.316</v>
      </c>
      <c r="T281">
        <v>67.701</v>
      </c>
      <c r="U281">
        <v>5.659</v>
      </c>
      <c r="V281">
        <v>36.379</v>
      </c>
      <c r="W281">
        <v>0.035</v>
      </c>
      <c r="X281" t="s">
        <v>30</v>
      </c>
      <c r="Y281" t="s">
        <v>31</v>
      </c>
      <c r="Z281" s="3">
        <f t="shared" si="17"/>
        <v>0.023479646791869</v>
      </c>
      <c r="AA281">
        <f t="shared" si="18"/>
        <v>-0.312</v>
      </c>
      <c r="AB281">
        <f t="shared" si="19"/>
        <v>0.529</v>
      </c>
      <c r="AC281" t="s">
        <v>43</v>
      </c>
    </row>
    <row r="282" spans="1:29">
      <c r="A282" t="s">
        <v>46</v>
      </c>
      <c r="B282">
        <v>4239.625</v>
      </c>
      <c r="C282">
        <v>15.171</v>
      </c>
      <c r="D282">
        <v>51.265</v>
      </c>
      <c r="E282">
        <v>163.836</v>
      </c>
      <c r="F282">
        <v>0.15</v>
      </c>
      <c r="G282">
        <v>22.96</v>
      </c>
      <c r="H282">
        <v>1.4</v>
      </c>
      <c r="I282">
        <v>2.737</v>
      </c>
      <c r="J282">
        <v>0.609</v>
      </c>
      <c r="K282">
        <v>11.576</v>
      </c>
      <c r="L282">
        <v>0.409</v>
      </c>
      <c r="M282">
        <v>2.651</v>
      </c>
      <c r="N282">
        <v>121.589</v>
      </c>
      <c r="O282">
        <v>115.19</v>
      </c>
      <c r="P282">
        <f t="shared" si="16"/>
        <v>2.08489428665226</v>
      </c>
      <c r="Q282">
        <f t="shared" si="16"/>
        <v>2.06141477827707</v>
      </c>
      <c r="R282">
        <v>68.385</v>
      </c>
      <c r="S282">
        <v>68.385</v>
      </c>
      <c r="T282">
        <v>71.984</v>
      </c>
      <c r="U282">
        <v>5.854</v>
      </c>
      <c r="V282">
        <v>34.253</v>
      </c>
      <c r="W282">
        <v>0.04</v>
      </c>
      <c r="X282" t="s">
        <v>30</v>
      </c>
      <c r="Y282" t="s">
        <v>31</v>
      </c>
      <c r="Z282" s="3">
        <f t="shared" si="17"/>
        <v>0.0234795083751873</v>
      </c>
      <c r="AA282">
        <f t="shared" si="18"/>
        <v>-0.2</v>
      </c>
      <c r="AB282">
        <f t="shared" si="19"/>
        <v>0.559</v>
      </c>
      <c r="AC282" t="s">
        <v>43</v>
      </c>
    </row>
    <row r="283" spans="1:29">
      <c r="A283" t="s">
        <v>46</v>
      </c>
      <c r="B283">
        <v>4239.75</v>
      </c>
      <c r="C283">
        <v>14.697</v>
      </c>
      <c r="D283">
        <v>50.95</v>
      </c>
      <c r="E283">
        <v>164.983</v>
      </c>
      <c r="F283">
        <v>0.164</v>
      </c>
      <c r="G283">
        <v>23.061</v>
      </c>
      <c r="H283">
        <v>1.374</v>
      </c>
      <c r="I283">
        <v>2.712</v>
      </c>
      <c r="J283">
        <v>0.469</v>
      </c>
      <c r="K283">
        <v>11.649</v>
      </c>
      <c r="L283">
        <v>0.414</v>
      </c>
      <c r="M283">
        <v>2.82</v>
      </c>
      <c r="N283">
        <v>125.021</v>
      </c>
      <c r="O283">
        <v>118.441</v>
      </c>
      <c r="P283">
        <f t="shared" si="16"/>
        <v>2.09698296835294</v>
      </c>
      <c r="Q283">
        <f t="shared" si="16"/>
        <v>2.07350206549072</v>
      </c>
      <c r="R283">
        <v>71.87</v>
      </c>
      <c r="S283">
        <v>71.87</v>
      </c>
      <c r="T283">
        <v>75.652</v>
      </c>
      <c r="U283">
        <v>6.141</v>
      </c>
      <c r="V283">
        <v>31.774</v>
      </c>
      <c r="W283">
        <v>0.05</v>
      </c>
      <c r="X283" t="s">
        <v>30</v>
      </c>
      <c r="Y283" t="s">
        <v>31</v>
      </c>
      <c r="Z283" s="3">
        <f t="shared" si="17"/>
        <v>0.023480902862218</v>
      </c>
      <c r="AA283">
        <f t="shared" si="18"/>
        <v>-0.055</v>
      </c>
      <c r="AB283">
        <f t="shared" si="19"/>
        <v>0.578</v>
      </c>
      <c r="AC283" t="s">
        <v>43</v>
      </c>
    </row>
    <row r="284" spans="1:29">
      <c r="A284" t="s">
        <v>46</v>
      </c>
      <c r="B284">
        <v>4239.875</v>
      </c>
      <c r="C284">
        <v>14.832</v>
      </c>
      <c r="D284">
        <v>50.678</v>
      </c>
      <c r="E284">
        <v>166.057</v>
      </c>
      <c r="F284">
        <v>0.177</v>
      </c>
      <c r="G284">
        <v>23.135</v>
      </c>
      <c r="H284">
        <v>1.342</v>
      </c>
      <c r="I284">
        <v>2.69</v>
      </c>
      <c r="J284">
        <v>0.346</v>
      </c>
      <c r="K284">
        <v>11.513</v>
      </c>
      <c r="L284">
        <v>0.404</v>
      </c>
      <c r="M284">
        <v>2.975</v>
      </c>
      <c r="N284">
        <v>124.373</v>
      </c>
      <c r="O284">
        <v>117.827</v>
      </c>
      <c r="P284">
        <f t="shared" si="16"/>
        <v>2.09472611006777</v>
      </c>
      <c r="Q284">
        <f t="shared" si="16"/>
        <v>2.07124482022537</v>
      </c>
      <c r="R284">
        <v>74.585</v>
      </c>
      <c r="S284">
        <v>74.585</v>
      </c>
      <c r="T284">
        <v>78.511</v>
      </c>
      <c r="U284">
        <v>6.371</v>
      </c>
      <c r="V284">
        <v>29.857</v>
      </c>
      <c r="W284">
        <v>0.059</v>
      </c>
      <c r="X284" t="s">
        <v>30</v>
      </c>
      <c r="Y284" t="s">
        <v>31</v>
      </c>
      <c r="Z284" s="3">
        <f t="shared" si="17"/>
        <v>0.0234812898424042</v>
      </c>
      <c r="AA284">
        <f t="shared" si="18"/>
        <v>0.0580000000000001</v>
      </c>
      <c r="AB284">
        <f t="shared" si="19"/>
        <v>0.581</v>
      </c>
      <c r="AC284" t="s">
        <v>43</v>
      </c>
    </row>
    <row r="285" spans="1:29">
      <c r="A285" t="s">
        <v>46</v>
      </c>
      <c r="B285">
        <v>4240</v>
      </c>
      <c r="C285">
        <v>15.587</v>
      </c>
      <c r="D285">
        <v>50.449</v>
      </c>
      <c r="E285">
        <v>166.838</v>
      </c>
      <c r="F285">
        <v>0.187</v>
      </c>
      <c r="G285">
        <v>23.153</v>
      </c>
      <c r="H285">
        <v>1.289</v>
      </c>
      <c r="I285">
        <v>2.686</v>
      </c>
      <c r="J285">
        <v>0.324</v>
      </c>
      <c r="K285">
        <v>11.228</v>
      </c>
      <c r="L285">
        <v>0.384</v>
      </c>
      <c r="M285">
        <v>3.023</v>
      </c>
      <c r="N285">
        <v>120.779</v>
      </c>
      <c r="O285">
        <v>114.423</v>
      </c>
      <c r="P285">
        <f t="shared" si="16"/>
        <v>2.08199142950909</v>
      </c>
      <c r="Q285">
        <f t="shared" si="16"/>
        <v>2.05851333013098</v>
      </c>
      <c r="R285">
        <v>76.79</v>
      </c>
      <c r="S285">
        <v>76.79</v>
      </c>
      <c r="T285">
        <v>80.832</v>
      </c>
      <c r="U285">
        <v>6.267</v>
      </c>
      <c r="V285">
        <v>29.916</v>
      </c>
      <c r="W285">
        <v>0.055</v>
      </c>
      <c r="X285" t="s">
        <v>30</v>
      </c>
      <c r="Y285" t="s">
        <v>31</v>
      </c>
      <c r="Z285" s="3">
        <f t="shared" si="17"/>
        <v>0.0234780993781185</v>
      </c>
      <c r="AA285">
        <f t="shared" si="18"/>
        <v>0.06</v>
      </c>
      <c r="AB285">
        <f t="shared" si="19"/>
        <v>0.571</v>
      </c>
      <c r="AC285" t="s">
        <v>43</v>
      </c>
    </row>
    <row r="286" spans="1:29">
      <c r="A286" t="s">
        <v>46</v>
      </c>
      <c r="B286">
        <v>4240.125</v>
      </c>
      <c r="C286">
        <v>16.698</v>
      </c>
      <c r="D286">
        <v>50.271</v>
      </c>
      <c r="E286">
        <v>167.077</v>
      </c>
      <c r="F286">
        <v>0.19</v>
      </c>
      <c r="G286">
        <v>23.16</v>
      </c>
      <c r="H286">
        <v>1.204</v>
      </c>
      <c r="I286">
        <v>2.698</v>
      </c>
      <c r="J286">
        <v>0.391</v>
      </c>
      <c r="K286">
        <v>10.885</v>
      </c>
      <c r="L286">
        <v>0.359</v>
      </c>
      <c r="M286">
        <v>3.022</v>
      </c>
      <c r="N286">
        <v>120.438</v>
      </c>
      <c r="O286">
        <v>114.099</v>
      </c>
      <c r="P286">
        <f t="shared" si="16"/>
        <v>2.08076353498274</v>
      </c>
      <c r="Q286">
        <f t="shared" si="16"/>
        <v>2.05728183813964</v>
      </c>
      <c r="R286">
        <v>78.65</v>
      </c>
      <c r="S286">
        <v>78.65</v>
      </c>
      <c r="T286">
        <v>82.79</v>
      </c>
      <c r="U286">
        <v>5.956</v>
      </c>
      <c r="V286">
        <v>31.316</v>
      </c>
      <c r="W286">
        <v>0.045</v>
      </c>
      <c r="X286" t="s">
        <v>30</v>
      </c>
      <c r="Y286" t="s">
        <v>31</v>
      </c>
      <c r="Z286" s="3">
        <f t="shared" si="17"/>
        <v>0.0234816968430942</v>
      </c>
      <c r="AA286">
        <f t="shared" si="18"/>
        <v>-0.032</v>
      </c>
      <c r="AB286">
        <f t="shared" si="19"/>
        <v>0.549</v>
      </c>
      <c r="AC286" t="s">
        <v>43</v>
      </c>
    </row>
    <row r="287" spans="1:29">
      <c r="A287" t="s">
        <v>46</v>
      </c>
      <c r="B287">
        <v>4240.25</v>
      </c>
      <c r="C287">
        <v>17.396</v>
      </c>
      <c r="D287">
        <v>50.131</v>
      </c>
      <c r="E287">
        <v>166.814</v>
      </c>
      <c r="F287">
        <v>0.186</v>
      </c>
      <c r="G287">
        <v>23.189</v>
      </c>
      <c r="H287">
        <v>1.121</v>
      </c>
      <c r="I287">
        <v>2.716</v>
      </c>
      <c r="J287">
        <v>0.492</v>
      </c>
      <c r="K287">
        <v>10.547</v>
      </c>
      <c r="L287">
        <v>0.334</v>
      </c>
      <c r="M287">
        <v>2.983</v>
      </c>
      <c r="N287">
        <v>126.731</v>
      </c>
      <c r="O287">
        <v>120.061</v>
      </c>
      <c r="P287">
        <f t="shared" si="16"/>
        <v>2.10288286178304</v>
      </c>
      <c r="Q287">
        <f t="shared" si="16"/>
        <v>2.07940195631682</v>
      </c>
      <c r="R287">
        <v>80.389</v>
      </c>
      <c r="S287">
        <v>80.389</v>
      </c>
      <c r="T287">
        <v>84.619</v>
      </c>
      <c r="U287">
        <v>5.482</v>
      </c>
      <c r="V287">
        <v>33.76</v>
      </c>
      <c r="W287">
        <v>0.031</v>
      </c>
      <c r="X287" t="s">
        <v>30</v>
      </c>
      <c r="Y287" t="s">
        <v>31</v>
      </c>
      <c r="Z287" s="3">
        <f t="shared" si="17"/>
        <v>0.0234809054662235</v>
      </c>
      <c r="AA287">
        <f t="shared" si="18"/>
        <v>-0.158</v>
      </c>
      <c r="AB287">
        <f t="shared" si="19"/>
        <v>0.52</v>
      </c>
      <c r="AC287" t="s">
        <v>43</v>
      </c>
    </row>
    <row r="288" spans="1:29">
      <c r="A288" t="s">
        <v>46</v>
      </c>
      <c r="B288">
        <v>4240.375</v>
      </c>
      <c r="C288">
        <v>17.027</v>
      </c>
      <c r="D288">
        <v>50.028</v>
      </c>
      <c r="E288">
        <v>166.104</v>
      </c>
      <c r="F288">
        <v>0.178</v>
      </c>
      <c r="G288">
        <v>23.236</v>
      </c>
      <c r="H288">
        <v>1.045</v>
      </c>
      <c r="I288">
        <v>2.74</v>
      </c>
      <c r="J288">
        <v>0.626</v>
      </c>
      <c r="K288">
        <v>10.236</v>
      </c>
      <c r="L288">
        <v>0.312</v>
      </c>
      <c r="M288">
        <v>2.868</v>
      </c>
      <c r="N288">
        <v>137.395</v>
      </c>
      <c r="O288">
        <v>130.164</v>
      </c>
      <c r="P288">
        <f t="shared" si="16"/>
        <v>2.13797092841552</v>
      </c>
      <c r="Q288">
        <f t="shared" si="16"/>
        <v>2.11449088620443</v>
      </c>
      <c r="R288">
        <v>82.066</v>
      </c>
      <c r="S288">
        <v>82.066</v>
      </c>
      <c r="T288">
        <v>86.385</v>
      </c>
      <c r="U288">
        <v>5.002</v>
      </c>
      <c r="V288">
        <v>37.189</v>
      </c>
      <c r="W288">
        <v>0.022</v>
      </c>
      <c r="X288" t="s">
        <v>30</v>
      </c>
      <c r="Y288" t="s">
        <v>31</v>
      </c>
      <c r="Z288" s="3">
        <f t="shared" si="17"/>
        <v>0.0234800422110957</v>
      </c>
      <c r="AA288">
        <f t="shared" si="18"/>
        <v>-0.314</v>
      </c>
      <c r="AB288">
        <f t="shared" si="19"/>
        <v>0.49</v>
      </c>
      <c r="AC288" t="s">
        <v>43</v>
      </c>
    </row>
    <row r="289" spans="1:29">
      <c r="A289" t="s">
        <v>46</v>
      </c>
      <c r="B289">
        <v>4240.5</v>
      </c>
      <c r="C289">
        <v>15.667</v>
      </c>
      <c r="D289">
        <v>49.957</v>
      </c>
      <c r="E289">
        <v>165.042</v>
      </c>
      <c r="F289">
        <v>0.165</v>
      </c>
      <c r="G289">
        <v>23.282</v>
      </c>
      <c r="H289">
        <v>0.969</v>
      </c>
      <c r="I289">
        <v>2.757</v>
      </c>
      <c r="J289">
        <v>0.721</v>
      </c>
      <c r="K289">
        <v>9.987</v>
      </c>
      <c r="L289">
        <v>0.294</v>
      </c>
      <c r="M289">
        <v>2.785</v>
      </c>
      <c r="N289">
        <v>147.696</v>
      </c>
      <c r="O289">
        <v>139.923</v>
      </c>
      <c r="P289">
        <f t="shared" si="16"/>
        <v>2.16936873362305</v>
      </c>
      <c r="Q289">
        <f t="shared" si="16"/>
        <v>2.14588910800206</v>
      </c>
      <c r="R289">
        <v>83.85</v>
      </c>
      <c r="S289">
        <v>83.85</v>
      </c>
      <c r="T289">
        <v>88.263</v>
      </c>
      <c r="U289">
        <v>4.6</v>
      </c>
      <c r="V289">
        <v>39.982</v>
      </c>
      <c r="W289">
        <v>0.014</v>
      </c>
      <c r="X289" t="s">
        <v>30</v>
      </c>
      <c r="Y289" t="s">
        <v>31</v>
      </c>
      <c r="Z289" s="3">
        <f t="shared" si="17"/>
        <v>0.0234796256209902</v>
      </c>
      <c r="AA289">
        <f t="shared" si="18"/>
        <v>-0.427</v>
      </c>
      <c r="AB289">
        <f t="shared" si="19"/>
        <v>0.459</v>
      </c>
      <c r="AC289" t="s">
        <v>43</v>
      </c>
    </row>
    <row r="290" spans="1:29">
      <c r="A290" t="s">
        <v>46</v>
      </c>
      <c r="B290">
        <v>4240.625</v>
      </c>
      <c r="C290">
        <v>14.286</v>
      </c>
      <c r="D290">
        <v>49.92</v>
      </c>
      <c r="E290">
        <v>163.73</v>
      </c>
      <c r="F290">
        <v>0.148</v>
      </c>
      <c r="G290">
        <v>23.316</v>
      </c>
      <c r="H290">
        <v>0.936</v>
      </c>
      <c r="I290">
        <v>2.746</v>
      </c>
      <c r="J290">
        <v>0.659</v>
      </c>
      <c r="K290">
        <v>9.823</v>
      </c>
      <c r="L290">
        <v>0.282</v>
      </c>
      <c r="M290">
        <v>2.905</v>
      </c>
      <c r="N290">
        <v>153.636</v>
      </c>
      <c r="O290">
        <v>145.551</v>
      </c>
      <c r="P290">
        <f t="shared" si="16"/>
        <v>2.1864929915383</v>
      </c>
      <c r="Q290">
        <f t="shared" si="16"/>
        <v>2.16301519358101</v>
      </c>
      <c r="R290">
        <v>86.04</v>
      </c>
      <c r="S290">
        <v>86.04</v>
      </c>
      <c r="T290">
        <v>90.569</v>
      </c>
      <c r="U290">
        <v>4.449</v>
      </c>
      <c r="V290">
        <v>40.838</v>
      </c>
      <c r="W290">
        <v>0.012</v>
      </c>
      <c r="X290" t="s">
        <v>30</v>
      </c>
      <c r="Y290" t="s">
        <v>31</v>
      </c>
      <c r="Z290" s="3">
        <f t="shared" si="17"/>
        <v>0.0234777979572853</v>
      </c>
      <c r="AA290">
        <f t="shared" si="18"/>
        <v>-0.377</v>
      </c>
      <c r="AB290">
        <f t="shared" si="19"/>
        <v>0.43</v>
      </c>
      <c r="AC290" t="s">
        <v>43</v>
      </c>
    </row>
    <row r="291" spans="1:29">
      <c r="A291" t="s">
        <v>46</v>
      </c>
      <c r="B291">
        <v>4240.75</v>
      </c>
      <c r="C291">
        <v>13.749</v>
      </c>
      <c r="D291">
        <v>49.908</v>
      </c>
      <c r="E291">
        <v>162.299</v>
      </c>
      <c r="F291">
        <v>0.13</v>
      </c>
      <c r="G291">
        <v>23.304</v>
      </c>
      <c r="H291">
        <v>0.967</v>
      </c>
      <c r="I291">
        <v>2.719</v>
      </c>
      <c r="J291">
        <v>0.508</v>
      </c>
      <c r="K291">
        <v>9.664</v>
      </c>
      <c r="L291">
        <v>0.271</v>
      </c>
      <c r="M291">
        <v>3.125</v>
      </c>
      <c r="N291">
        <v>158.112</v>
      </c>
      <c r="O291">
        <v>149.791</v>
      </c>
      <c r="P291">
        <f t="shared" si="16"/>
        <v>2.19896483220932</v>
      </c>
      <c r="Q291">
        <f t="shared" si="16"/>
        <v>2.17548572012074</v>
      </c>
      <c r="R291">
        <v>88.96</v>
      </c>
      <c r="S291">
        <v>88.96</v>
      </c>
      <c r="T291">
        <v>93.642</v>
      </c>
      <c r="U291">
        <v>4.728</v>
      </c>
      <c r="V291">
        <v>37.746</v>
      </c>
      <c r="W291">
        <v>0.016</v>
      </c>
      <c r="X291" t="s">
        <v>30</v>
      </c>
      <c r="Y291" t="s">
        <v>31</v>
      </c>
      <c r="Z291" s="3">
        <f t="shared" si="17"/>
        <v>0.0234791120885847</v>
      </c>
      <c r="AA291">
        <f t="shared" si="18"/>
        <v>-0.237</v>
      </c>
      <c r="AB291">
        <f t="shared" si="19"/>
        <v>0.401</v>
      </c>
      <c r="AC291" t="s">
        <v>43</v>
      </c>
    </row>
    <row r="292" spans="1:29">
      <c r="A292" t="s">
        <v>46</v>
      </c>
      <c r="B292">
        <v>4240.875</v>
      </c>
      <c r="C292">
        <v>13.975</v>
      </c>
      <c r="D292">
        <v>49.917</v>
      </c>
      <c r="E292">
        <v>160.815</v>
      </c>
      <c r="F292">
        <v>0.112</v>
      </c>
      <c r="G292">
        <v>23.228</v>
      </c>
      <c r="H292">
        <v>1.056</v>
      </c>
      <c r="I292">
        <v>2.695</v>
      </c>
      <c r="J292">
        <v>0.374</v>
      </c>
      <c r="K292">
        <v>9.381</v>
      </c>
      <c r="L292">
        <v>0.25</v>
      </c>
      <c r="M292">
        <v>3.214</v>
      </c>
      <c r="N292">
        <v>169.218</v>
      </c>
      <c r="O292">
        <v>160.312</v>
      </c>
      <c r="P292">
        <f t="shared" si="16"/>
        <v>2.22844655778628</v>
      </c>
      <c r="Q292">
        <f t="shared" si="16"/>
        <v>2.2049660322651</v>
      </c>
      <c r="R292">
        <v>92.686</v>
      </c>
      <c r="S292">
        <v>92.686</v>
      </c>
      <c r="T292">
        <v>97.564</v>
      </c>
      <c r="U292">
        <v>4.797</v>
      </c>
      <c r="V292">
        <v>36.252</v>
      </c>
      <c r="W292">
        <v>0.017</v>
      </c>
      <c r="X292" t="s">
        <v>30</v>
      </c>
      <c r="Y292" t="s">
        <v>31</v>
      </c>
      <c r="Z292" s="3">
        <f t="shared" si="17"/>
        <v>0.0234805255211805</v>
      </c>
      <c r="AA292">
        <f t="shared" si="18"/>
        <v>-0.124</v>
      </c>
      <c r="AB292">
        <f t="shared" si="19"/>
        <v>0.362</v>
      </c>
      <c r="AC292" t="s">
        <v>43</v>
      </c>
    </row>
    <row r="293" spans="1:29">
      <c r="A293" t="s">
        <v>46</v>
      </c>
      <c r="B293">
        <v>4241</v>
      </c>
      <c r="C293">
        <v>14.683</v>
      </c>
      <c r="D293">
        <v>49.948</v>
      </c>
      <c r="E293">
        <v>159.35</v>
      </c>
      <c r="F293">
        <v>0.094</v>
      </c>
      <c r="G293">
        <v>23.161</v>
      </c>
      <c r="H293">
        <v>1.201</v>
      </c>
      <c r="I293">
        <v>2.682</v>
      </c>
      <c r="J293">
        <v>0.302</v>
      </c>
      <c r="K293">
        <v>8.842</v>
      </c>
      <c r="L293">
        <v>0.211</v>
      </c>
      <c r="M293">
        <v>3.214</v>
      </c>
      <c r="N293">
        <v>198.186</v>
      </c>
      <c r="O293">
        <v>187.755</v>
      </c>
      <c r="P293">
        <f t="shared" si="16"/>
        <v>2.2970729723617</v>
      </c>
      <c r="Q293">
        <f t="shared" si="16"/>
        <v>2.27359151128737</v>
      </c>
      <c r="R293">
        <v>97.299</v>
      </c>
      <c r="S293">
        <v>97.299</v>
      </c>
      <c r="T293">
        <v>102.42</v>
      </c>
      <c r="U293">
        <v>4.772</v>
      </c>
      <c r="V293">
        <v>35.55</v>
      </c>
      <c r="W293">
        <v>0.017</v>
      </c>
      <c r="X293" t="s">
        <v>30</v>
      </c>
      <c r="Y293" t="s">
        <v>31</v>
      </c>
      <c r="Z293" s="3">
        <f t="shared" si="17"/>
        <v>0.0234814610743324</v>
      </c>
      <c r="AA293">
        <f t="shared" si="18"/>
        <v>-0.091</v>
      </c>
      <c r="AB293">
        <f t="shared" si="19"/>
        <v>0.305</v>
      </c>
      <c r="AC293" t="s">
        <v>43</v>
      </c>
    </row>
    <row r="294" spans="1:29">
      <c r="A294" t="s">
        <v>47</v>
      </c>
      <c r="B294">
        <v>3847</v>
      </c>
      <c r="C294">
        <v>11.903</v>
      </c>
      <c r="D294">
        <v>73.28</v>
      </c>
      <c r="E294">
        <v>167.877</v>
      </c>
      <c r="F294">
        <v>0.236</v>
      </c>
      <c r="G294">
        <v>22.17</v>
      </c>
      <c r="H294">
        <v>0.71</v>
      </c>
      <c r="I294">
        <v>2.76</v>
      </c>
      <c r="J294">
        <v>0.553</v>
      </c>
      <c r="K294">
        <v>8.458</v>
      </c>
      <c r="L294">
        <v>0.462</v>
      </c>
      <c r="M294">
        <v>3.298</v>
      </c>
      <c r="N294">
        <v>73.888</v>
      </c>
      <c r="O294">
        <v>66.799</v>
      </c>
      <c r="P294">
        <f t="shared" si="16"/>
        <v>1.86857391123708</v>
      </c>
      <c r="Q294">
        <f t="shared" si="16"/>
        <v>1.82476996101248</v>
      </c>
      <c r="R294">
        <v>33.784</v>
      </c>
      <c r="S294">
        <v>34.462</v>
      </c>
      <c r="T294">
        <v>34.809</v>
      </c>
      <c r="U294">
        <v>4.285</v>
      </c>
      <c r="V294">
        <v>70.154</v>
      </c>
      <c r="W294">
        <v>0.01</v>
      </c>
      <c r="X294" t="s">
        <v>30</v>
      </c>
      <c r="Y294" t="s">
        <v>31</v>
      </c>
      <c r="Z294" s="3">
        <f t="shared" si="17"/>
        <v>0.0438039502246002</v>
      </c>
      <c r="AA294">
        <f t="shared" si="18"/>
        <v>-0.091</v>
      </c>
      <c r="AB294">
        <f t="shared" si="19"/>
        <v>0.698</v>
      </c>
      <c r="AC294" t="s">
        <v>43</v>
      </c>
    </row>
    <row r="295" spans="1:29">
      <c r="A295" t="s">
        <v>47</v>
      </c>
      <c r="B295">
        <v>3847.125</v>
      </c>
      <c r="C295">
        <v>12.088</v>
      </c>
      <c r="D295">
        <v>73.175</v>
      </c>
      <c r="E295">
        <v>169.708</v>
      </c>
      <c r="F295">
        <v>0.266</v>
      </c>
      <c r="G295">
        <v>22.256</v>
      </c>
      <c r="H295">
        <v>0.731</v>
      </c>
      <c r="I295">
        <v>2.757</v>
      </c>
      <c r="J295">
        <v>0.536</v>
      </c>
      <c r="K295">
        <v>8.772</v>
      </c>
      <c r="L295">
        <v>0.501</v>
      </c>
      <c r="M295">
        <v>3.287</v>
      </c>
      <c r="N295">
        <v>73.506</v>
      </c>
      <c r="O295">
        <v>66.455</v>
      </c>
      <c r="P295">
        <f t="shared" si="16"/>
        <v>1.866322790248</v>
      </c>
      <c r="Q295">
        <f t="shared" si="16"/>
        <v>1.82252766233997</v>
      </c>
      <c r="R295">
        <v>31.344</v>
      </c>
      <c r="S295">
        <v>31.908</v>
      </c>
      <c r="T295">
        <v>32.201</v>
      </c>
      <c r="U295">
        <v>4.29</v>
      </c>
      <c r="V295">
        <v>72.005</v>
      </c>
      <c r="W295">
        <v>0.01</v>
      </c>
      <c r="X295" t="s">
        <v>30</v>
      </c>
      <c r="Y295" t="s">
        <v>31</v>
      </c>
      <c r="Z295" s="3">
        <f t="shared" si="17"/>
        <v>0.043795127908028</v>
      </c>
      <c r="AA295">
        <f t="shared" si="18"/>
        <v>-0.035</v>
      </c>
      <c r="AB295">
        <f t="shared" si="19"/>
        <v>0.767</v>
      </c>
      <c r="AC295" t="s">
        <v>43</v>
      </c>
    </row>
    <row r="296" spans="1:29">
      <c r="A296" t="s">
        <v>47</v>
      </c>
      <c r="B296">
        <v>3847.25</v>
      </c>
      <c r="C296">
        <v>13.374</v>
      </c>
      <c r="D296">
        <v>73.076</v>
      </c>
      <c r="E296">
        <v>171.905</v>
      </c>
      <c r="F296">
        <v>0.302</v>
      </c>
      <c r="G296">
        <v>22.265</v>
      </c>
      <c r="H296">
        <v>0.752</v>
      </c>
      <c r="I296">
        <v>2.758</v>
      </c>
      <c r="J296">
        <v>0.542</v>
      </c>
      <c r="K296">
        <v>8.91</v>
      </c>
      <c r="L296">
        <v>0.518</v>
      </c>
      <c r="M296">
        <v>3.269</v>
      </c>
      <c r="N296">
        <v>76.093</v>
      </c>
      <c r="O296">
        <v>68.783</v>
      </c>
      <c r="P296">
        <f t="shared" si="16"/>
        <v>1.88134470668909</v>
      </c>
      <c r="Q296">
        <f t="shared" si="16"/>
        <v>1.83748111383889</v>
      </c>
      <c r="R296">
        <v>29.895</v>
      </c>
      <c r="S296">
        <v>30.392</v>
      </c>
      <c r="T296">
        <v>30.654</v>
      </c>
      <c r="U296">
        <v>4.258</v>
      </c>
      <c r="V296">
        <v>73.706</v>
      </c>
      <c r="W296">
        <v>0.01</v>
      </c>
      <c r="X296" t="s">
        <v>30</v>
      </c>
      <c r="Y296" t="s">
        <v>31</v>
      </c>
      <c r="Z296" s="3">
        <f t="shared" si="17"/>
        <v>0.0438635928501976</v>
      </c>
      <c r="AA296">
        <f t="shared" si="18"/>
        <v>-0.024</v>
      </c>
      <c r="AB296">
        <f t="shared" si="19"/>
        <v>0.82</v>
      </c>
      <c r="AC296" t="s">
        <v>43</v>
      </c>
    </row>
    <row r="297" spans="1:29">
      <c r="A297" t="s">
        <v>47</v>
      </c>
      <c r="B297">
        <v>3847.375</v>
      </c>
      <c r="C297">
        <v>15.532</v>
      </c>
      <c r="D297">
        <v>72.986</v>
      </c>
      <c r="E297">
        <v>173.07</v>
      </c>
      <c r="F297">
        <v>0.322</v>
      </c>
      <c r="G297">
        <v>22.217</v>
      </c>
      <c r="H297">
        <v>0.726</v>
      </c>
      <c r="I297">
        <v>2.765</v>
      </c>
      <c r="J297">
        <v>0.581</v>
      </c>
      <c r="K297">
        <v>8.809</v>
      </c>
      <c r="L297">
        <v>0.506</v>
      </c>
      <c r="M297">
        <v>3.23</v>
      </c>
      <c r="N297">
        <v>82.07</v>
      </c>
      <c r="O297">
        <v>74.163</v>
      </c>
      <c r="P297">
        <f t="shared" si="16"/>
        <v>1.91418443342325</v>
      </c>
      <c r="Q297">
        <f t="shared" si="16"/>
        <v>1.8701872893281</v>
      </c>
      <c r="R297">
        <v>29.613</v>
      </c>
      <c r="S297">
        <v>30.088</v>
      </c>
      <c r="T297">
        <v>30.342</v>
      </c>
      <c r="U297">
        <v>4.154</v>
      </c>
      <c r="V297">
        <v>75.413</v>
      </c>
      <c r="W297">
        <v>0.01</v>
      </c>
      <c r="X297" t="s">
        <v>30</v>
      </c>
      <c r="Y297" t="s">
        <v>31</v>
      </c>
      <c r="Z297" s="3">
        <f t="shared" si="17"/>
        <v>0.0439971440951443</v>
      </c>
      <c r="AA297">
        <f t="shared" si="18"/>
        <v>-0.075</v>
      </c>
      <c r="AB297">
        <f t="shared" si="19"/>
        <v>0.828</v>
      </c>
      <c r="AC297" t="s">
        <v>43</v>
      </c>
    </row>
    <row r="298" spans="1:29">
      <c r="A298" t="s">
        <v>47</v>
      </c>
      <c r="B298">
        <v>3847.5</v>
      </c>
      <c r="C298">
        <v>17.087</v>
      </c>
      <c r="D298">
        <v>72.904</v>
      </c>
      <c r="E298">
        <v>172.35</v>
      </c>
      <c r="F298">
        <v>0.31</v>
      </c>
      <c r="G298">
        <v>22.115</v>
      </c>
      <c r="H298">
        <v>0.618</v>
      </c>
      <c r="I298">
        <v>2.775</v>
      </c>
      <c r="J298">
        <v>0.637</v>
      </c>
      <c r="K298">
        <v>8.465</v>
      </c>
      <c r="L298">
        <v>0.463</v>
      </c>
      <c r="M298">
        <v>3.186</v>
      </c>
      <c r="N298">
        <v>90.435</v>
      </c>
      <c r="O298">
        <v>81.692</v>
      </c>
      <c r="P298">
        <f t="shared" si="16"/>
        <v>1.95633654292103</v>
      </c>
      <c r="Q298">
        <f t="shared" si="16"/>
        <v>1.91217952867477</v>
      </c>
      <c r="R298">
        <v>30.299</v>
      </c>
      <c r="S298">
        <v>30.79</v>
      </c>
      <c r="T298">
        <v>31.055</v>
      </c>
      <c r="U298">
        <v>4.036</v>
      </c>
      <c r="V298">
        <v>76.333</v>
      </c>
      <c r="W298">
        <v>0.01</v>
      </c>
      <c r="X298" t="s">
        <v>30</v>
      </c>
      <c r="Y298" t="s">
        <v>31</v>
      </c>
      <c r="Z298" s="3">
        <f t="shared" si="17"/>
        <v>0.0441570142462613</v>
      </c>
      <c r="AA298">
        <f t="shared" si="18"/>
        <v>-0.174</v>
      </c>
      <c r="AB298">
        <f t="shared" si="19"/>
        <v>0.773</v>
      </c>
      <c r="AC298" t="s">
        <v>43</v>
      </c>
    </row>
    <row r="299" spans="1:29">
      <c r="A299" t="s">
        <v>47</v>
      </c>
      <c r="B299">
        <v>3847.625</v>
      </c>
      <c r="C299">
        <v>16.671</v>
      </c>
      <c r="D299">
        <v>72.831</v>
      </c>
      <c r="E299">
        <v>170.294</v>
      </c>
      <c r="F299">
        <v>0.276</v>
      </c>
      <c r="G299">
        <v>21.982</v>
      </c>
      <c r="H299">
        <v>0.495</v>
      </c>
      <c r="I299">
        <v>2.785</v>
      </c>
      <c r="J299">
        <v>0.693</v>
      </c>
      <c r="K299">
        <v>8.004</v>
      </c>
      <c r="L299">
        <v>0.406</v>
      </c>
      <c r="M299">
        <v>3.176</v>
      </c>
      <c r="N299">
        <v>97.708</v>
      </c>
      <c r="O299">
        <v>88.237</v>
      </c>
      <c r="P299">
        <f t="shared" si="16"/>
        <v>1.98993012373532</v>
      </c>
      <c r="Q299">
        <f t="shared" si="16"/>
        <v>1.94565073395623</v>
      </c>
      <c r="R299">
        <v>31.281</v>
      </c>
      <c r="S299">
        <v>31.803</v>
      </c>
      <c r="T299">
        <v>32.084</v>
      </c>
      <c r="U299">
        <v>3.65</v>
      </c>
      <c r="V299">
        <v>84.605</v>
      </c>
      <c r="W299">
        <v>0.01</v>
      </c>
      <c r="X299" t="s">
        <v>30</v>
      </c>
      <c r="Y299" t="s">
        <v>31</v>
      </c>
      <c r="Z299" s="3">
        <f t="shared" si="17"/>
        <v>0.0442793897790978</v>
      </c>
      <c r="AA299">
        <f t="shared" si="18"/>
        <v>-0.287</v>
      </c>
      <c r="AB299">
        <f t="shared" si="19"/>
        <v>0.682</v>
      </c>
      <c r="AC299" t="s">
        <v>43</v>
      </c>
    </row>
    <row r="300" spans="1:29">
      <c r="A300" t="s">
        <v>47</v>
      </c>
      <c r="B300">
        <v>3847.75</v>
      </c>
      <c r="C300">
        <v>14.727</v>
      </c>
      <c r="D300">
        <v>72.766</v>
      </c>
      <c r="E300">
        <v>168.128</v>
      </c>
      <c r="F300">
        <v>0.24</v>
      </c>
      <c r="G300">
        <v>21.885</v>
      </c>
      <c r="H300">
        <v>0.46</v>
      </c>
      <c r="I300">
        <v>2.789</v>
      </c>
      <c r="J300">
        <v>0.715</v>
      </c>
      <c r="K300">
        <v>7.645</v>
      </c>
      <c r="L300">
        <v>0.362</v>
      </c>
      <c r="M300">
        <v>3.226</v>
      </c>
      <c r="N300">
        <v>101.686</v>
      </c>
      <c r="O300">
        <v>91.817</v>
      </c>
      <c r="P300">
        <f t="shared" si="16"/>
        <v>2.00726116392295</v>
      </c>
      <c r="Q300">
        <f t="shared" si="16"/>
        <v>1.96292309865947</v>
      </c>
      <c r="R300">
        <v>31.823</v>
      </c>
      <c r="S300">
        <v>32.365</v>
      </c>
      <c r="T300">
        <v>32.658</v>
      </c>
      <c r="U300">
        <v>3.118</v>
      </c>
      <c r="V300">
        <v>97.078</v>
      </c>
      <c r="W300">
        <v>0.01</v>
      </c>
      <c r="X300" t="s">
        <v>30</v>
      </c>
      <c r="Y300" t="s">
        <v>31</v>
      </c>
      <c r="Z300" s="3">
        <f t="shared" si="17"/>
        <v>0.0443380652634813</v>
      </c>
      <c r="AA300">
        <f t="shared" si="18"/>
        <v>-0.353</v>
      </c>
      <c r="AB300">
        <f t="shared" si="19"/>
        <v>0.602</v>
      </c>
      <c r="AC300" t="s">
        <v>43</v>
      </c>
    </row>
    <row r="301" spans="1:29">
      <c r="A301" t="s">
        <v>47</v>
      </c>
      <c r="B301">
        <v>3847.875</v>
      </c>
      <c r="C301">
        <v>13.277</v>
      </c>
      <c r="D301">
        <v>72.71</v>
      </c>
      <c r="E301">
        <v>167.228</v>
      </c>
      <c r="F301">
        <v>0.225</v>
      </c>
      <c r="G301">
        <v>21.932</v>
      </c>
      <c r="H301">
        <v>0.508</v>
      </c>
      <c r="I301">
        <v>2.788</v>
      </c>
      <c r="J301">
        <v>0.709</v>
      </c>
      <c r="K301">
        <v>7.539</v>
      </c>
      <c r="L301">
        <v>0.349</v>
      </c>
      <c r="M301">
        <v>3.294</v>
      </c>
      <c r="N301">
        <v>102.895</v>
      </c>
      <c r="O301">
        <v>92.906</v>
      </c>
      <c r="P301">
        <f t="shared" si="16"/>
        <v>2.01239427150521</v>
      </c>
      <c r="Q301">
        <f t="shared" si="16"/>
        <v>1.96804376224711</v>
      </c>
      <c r="R301">
        <v>31.331</v>
      </c>
      <c r="S301">
        <v>31.865</v>
      </c>
      <c r="T301">
        <v>32.154</v>
      </c>
      <c r="U301">
        <v>3.162</v>
      </c>
      <c r="V301">
        <v>97.287</v>
      </c>
      <c r="W301">
        <v>0.01</v>
      </c>
      <c r="X301" t="s">
        <v>30</v>
      </c>
      <c r="Y301" t="s">
        <v>31</v>
      </c>
      <c r="Z301" s="3">
        <f t="shared" si="17"/>
        <v>0.0443505092580978</v>
      </c>
      <c r="AA301">
        <f t="shared" si="18"/>
        <v>-0.36</v>
      </c>
      <c r="AB301">
        <f t="shared" si="19"/>
        <v>0.574</v>
      </c>
      <c r="AC301" t="s">
        <v>43</v>
      </c>
    </row>
    <row r="302" spans="1:29">
      <c r="A302" t="s">
        <v>47</v>
      </c>
      <c r="B302">
        <v>3848</v>
      </c>
      <c r="C302">
        <v>13.055</v>
      </c>
      <c r="D302">
        <v>72.664</v>
      </c>
      <c r="E302">
        <v>168.164</v>
      </c>
      <c r="F302">
        <v>0.241</v>
      </c>
      <c r="G302">
        <v>22.096</v>
      </c>
      <c r="H302">
        <v>0.527</v>
      </c>
      <c r="I302">
        <v>2.78</v>
      </c>
      <c r="J302">
        <v>0.665</v>
      </c>
      <c r="K302">
        <v>7.679</v>
      </c>
      <c r="L302">
        <v>0.366</v>
      </c>
      <c r="M302">
        <v>3.348</v>
      </c>
      <c r="N302">
        <v>102.812</v>
      </c>
      <c r="O302">
        <v>92.831</v>
      </c>
      <c r="P302">
        <f t="shared" si="16"/>
        <v>2.0120438075545</v>
      </c>
      <c r="Q302">
        <f t="shared" si="16"/>
        <v>1.96769302881314</v>
      </c>
      <c r="R302">
        <v>29.922</v>
      </c>
      <c r="S302">
        <v>30.426</v>
      </c>
      <c r="T302">
        <v>30.702</v>
      </c>
      <c r="U302">
        <v>3.217</v>
      </c>
      <c r="V302">
        <v>98.633</v>
      </c>
      <c r="W302">
        <v>0.01</v>
      </c>
      <c r="X302" t="s">
        <v>30</v>
      </c>
      <c r="Y302" t="s">
        <v>31</v>
      </c>
      <c r="Z302" s="3">
        <f t="shared" si="17"/>
        <v>0.0443507787413644</v>
      </c>
      <c r="AA302">
        <f t="shared" si="18"/>
        <v>-0.299</v>
      </c>
      <c r="AB302">
        <f t="shared" si="19"/>
        <v>0.607</v>
      </c>
      <c r="AC302" t="s">
        <v>43</v>
      </c>
    </row>
    <row r="303" spans="1:29">
      <c r="A303" t="s">
        <v>47</v>
      </c>
      <c r="B303">
        <v>3848.125</v>
      </c>
      <c r="C303">
        <v>12.946</v>
      </c>
      <c r="D303">
        <v>72.627</v>
      </c>
      <c r="E303">
        <v>170.282</v>
      </c>
      <c r="F303">
        <v>0.276</v>
      </c>
      <c r="G303">
        <v>22.187</v>
      </c>
      <c r="H303">
        <v>0.496</v>
      </c>
      <c r="I303">
        <v>2.772</v>
      </c>
      <c r="J303">
        <v>0.62</v>
      </c>
      <c r="K303">
        <v>7.972</v>
      </c>
      <c r="L303">
        <v>0.402</v>
      </c>
      <c r="M303">
        <v>3.384</v>
      </c>
      <c r="N303">
        <v>101.44</v>
      </c>
      <c r="O303">
        <v>91.596</v>
      </c>
      <c r="P303">
        <f t="shared" si="16"/>
        <v>2.00620924053766</v>
      </c>
      <c r="Q303">
        <f t="shared" si="16"/>
        <v>1.96187650842922</v>
      </c>
      <c r="R303">
        <v>28.425</v>
      </c>
      <c r="S303">
        <v>28.906</v>
      </c>
      <c r="T303">
        <v>29.173</v>
      </c>
      <c r="U303">
        <v>3.628</v>
      </c>
      <c r="V303">
        <v>90.502</v>
      </c>
      <c r="W303">
        <v>0.01</v>
      </c>
      <c r="X303" t="s">
        <v>30</v>
      </c>
      <c r="Y303" t="s">
        <v>31</v>
      </c>
      <c r="Z303" s="3">
        <f t="shared" si="17"/>
        <v>0.0443327321084355</v>
      </c>
      <c r="AA303">
        <f t="shared" si="18"/>
        <v>-0.218</v>
      </c>
      <c r="AB303">
        <f t="shared" si="19"/>
        <v>0.678</v>
      </c>
      <c r="AC303" t="s">
        <v>43</v>
      </c>
    </row>
    <row r="304" spans="1:29">
      <c r="A304" t="s">
        <v>47</v>
      </c>
      <c r="B304">
        <v>3848.25</v>
      </c>
      <c r="C304">
        <v>12.899</v>
      </c>
      <c r="D304">
        <v>72.598</v>
      </c>
      <c r="E304">
        <v>172.662</v>
      </c>
      <c r="F304">
        <v>0.315</v>
      </c>
      <c r="G304">
        <v>22.179</v>
      </c>
      <c r="H304">
        <v>0.524</v>
      </c>
      <c r="I304">
        <v>2.765</v>
      </c>
      <c r="J304">
        <v>0.581</v>
      </c>
      <c r="K304">
        <v>8.317</v>
      </c>
      <c r="L304">
        <v>0.445</v>
      </c>
      <c r="M304">
        <v>3.419</v>
      </c>
      <c r="N304">
        <v>97.953</v>
      </c>
      <c r="O304">
        <v>88.457</v>
      </c>
      <c r="P304">
        <f t="shared" si="16"/>
        <v>1.99101774164259</v>
      </c>
      <c r="Q304">
        <f t="shared" si="16"/>
        <v>1.94673220628004</v>
      </c>
      <c r="R304">
        <v>27.542</v>
      </c>
      <c r="S304">
        <v>28.027</v>
      </c>
      <c r="T304">
        <v>28.297</v>
      </c>
      <c r="U304">
        <v>4.213</v>
      </c>
      <c r="V304">
        <v>77.444</v>
      </c>
      <c r="W304">
        <v>0.01</v>
      </c>
      <c r="X304" t="s">
        <v>30</v>
      </c>
      <c r="Y304" t="s">
        <v>31</v>
      </c>
      <c r="Z304" s="3">
        <f t="shared" si="17"/>
        <v>0.0442855353625504</v>
      </c>
      <c r="AA304">
        <f t="shared" si="18"/>
        <v>-0.136</v>
      </c>
      <c r="AB304">
        <f t="shared" si="19"/>
        <v>0.76</v>
      </c>
      <c r="AC304" t="s">
        <v>43</v>
      </c>
    </row>
    <row r="305" spans="1:29">
      <c r="A305" t="s">
        <v>47</v>
      </c>
      <c r="B305">
        <v>3848.375</v>
      </c>
      <c r="C305">
        <v>13.286</v>
      </c>
      <c r="D305">
        <v>72.579</v>
      </c>
      <c r="E305">
        <v>174.469</v>
      </c>
      <c r="F305">
        <v>0.345</v>
      </c>
      <c r="G305">
        <v>22.186</v>
      </c>
      <c r="H305">
        <v>0.674</v>
      </c>
      <c r="I305">
        <v>2.758</v>
      </c>
      <c r="J305">
        <v>0.542</v>
      </c>
      <c r="K305">
        <v>8.652</v>
      </c>
      <c r="L305">
        <v>0.486</v>
      </c>
      <c r="M305">
        <v>3.465</v>
      </c>
      <c r="N305">
        <v>92.3</v>
      </c>
      <c r="O305">
        <v>83.37</v>
      </c>
      <c r="P305">
        <f t="shared" si="16"/>
        <v>1.96520170102591</v>
      </c>
      <c r="Q305">
        <f t="shared" si="16"/>
        <v>1.92100980149703</v>
      </c>
      <c r="R305">
        <v>27.775</v>
      </c>
      <c r="S305">
        <v>28.302</v>
      </c>
      <c r="T305">
        <v>28.594</v>
      </c>
      <c r="U305">
        <v>4.245</v>
      </c>
      <c r="V305">
        <v>75.715</v>
      </c>
      <c r="W305">
        <v>0.01</v>
      </c>
      <c r="X305" t="s">
        <v>30</v>
      </c>
      <c r="Y305" t="s">
        <v>31</v>
      </c>
      <c r="Z305" s="3">
        <f t="shared" si="17"/>
        <v>0.0441918995288777</v>
      </c>
      <c r="AA305">
        <f t="shared" si="18"/>
        <v>-0.056</v>
      </c>
      <c r="AB305">
        <f t="shared" si="19"/>
        <v>0.831</v>
      </c>
      <c r="AC305" t="s">
        <v>43</v>
      </c>
    </row>
    <row r="306" spans="1:29">
      <c r="A306" t="s">
        <v>47</v>
      </c>
      <c r="B306">
        <v>3848.5</v>
      </c>
      <c r="C306">
        <v>13.672</v>
      </c>
      <c r="D306">
        <v>72.569</v>
      </c>
      <c r="E306">
        <v>175.388</v>
      </c>
      <c r="F306">
        <v>0.36</v>
      </c>
      <c r="G306">
        <v>22.239</v>
      </c>
      <c r="H306">
        <v>0.882</v>
      </c>
      <c r="I306">
        <v>2.751</v>
      </c>
      <c r="J306">
        <v>0.503</v>
      </c>
      <c r="K306">
        <v>8.964</v>
      </c>
      <c r="L306">
        <v>0.525</v>
      </c>
      <c r="M306">
        <v>3.481</v>
      </c>
      <c r="N306">
        <v>85.801</v>
      </c>
      <c r="O306">
        <v>77.521</v>
      </c>
      <c r="P306">
        <f t="shared" si="16"/>
        <v>1.93349234952646</v>
      </c>
      <c r="Q306">
        <f t="shared" si="16"/>
        <v>1.88941936636057</v>
      </c>
      <c r="R306">
        <v>29.276</v>
      </c>
      <c r="S306">
        <v>29.893</v>
      </c>
      <c r="T306">
        <v>30.229</v>
      </c>
      <c r="U306">
        <v>4.658</v>
      </c>
      <c r="V306">
        <v>67.165</v>
      </c>
      <c r="W306">
        <v>0.016</v>
      </c>
      <c r="X306" t="s">
        <v>30</v>
      </c>
      <c r="Y306" t="s">
        <v>31</v>
      </c>
      <c r="Z306" s="3">
        <f t="shared" si="17"/>
        <v>0.0440729831658848</v>
      </c>
      <c r="AA306">
        <f t="shared" si="18"/>
        <v>0.022</v>
      </c>
      <c r="AB306">
        <f t="shared" si="19"/>
        <v>0.885</v>
      </c>
      <c r="AC306" t="s">
        <v>43</v>
      </c>
    </row>
    <row r="307" spans="1:29">
      <c r="A307" t="s">
        <v>47</v>
      </c>
      <c r="B307">
        <v>3848.625</v>
      </c>
      <c r="C307">
        <v>13.266</v>
      </c>
      <c r="D307">
        <v>72.566</v>
      </c>
      <c r="E307">
        <v>175.687</v>
      </c>
      <c r="F307">
        <v>0.365</v>
      </c>
      <c r="G307">
        <v>22.232</v>
      </c>
      <c r="H307">
        <v>1.063</v>
      </c>
      <c r="I307">
        <v>2.744</v>
      </c>
      <c r="J307">
        <v>0.464</v>
      </c>
      <c r="K307">
        <v>9.245</v>
      </c>
      <c r="L307">
        <v>0.559</v>
      </c>
      <c r="M307">
        <v>3.453</v>
      </c>
      <c r="N307">
        <v>80.711</v>
      </c>
      <c r="O307">
        <v>72.94</v>
      </c>
      <c r="P307">
        <f t="shared" si="16"/>
        <v>1.90693272820093</v>
      </c>
      <c r="Q307">
        <f t="shared" si="16"/>
        <v>1.86296575897776</v>
      </c>
      <c r="R307">
        <v>31.795</v>
      </c>
      <c r="S307">
        <v>32.554</v>
      </c>
      <c r="T307">
        <v>32.957</v>
      </c>
      <c r="U307">
        <v>5.261</v>
      </c>
      <c r="V307">
        <v>56.554</v>
      </c>
      <c r="W307">
        <v>0.025</v>
      </c>
      <c r="X307" t="s">
        <v>30</v>
      </c>
      <c r="Y307" t="s">
        <v>31</v>
      </c>
      <c r="Z307" s="3">
        <f t="shared" si="17"/>
        <v>0.0439669692231703</v>
      </c>
      <c r="AA307">
        <f t="shared" si="18"/>
        <v>0.095</v>
      </c>
      <c r="AB307">
        <f t="shared" si="19"/>
        <v>0.924</v>
      </c>
      <c r="AC307" t="s">
        <v>43</v>
      </c>
    </row>
    <row r="308" spans="1:29">
      <c r="A308" t="s">
        <v>47</v>
      </c>
      <c r="B308">
        <v>3848.75</v>
      </c>
      <c r="C308">
        <v>12.678</v>
      </c>
      <c r="D308">
        <v>72.572</v>
      </c>
      <c r="E308">
        <v>175.638</v>
      </c>
      <c r="F308">
        <v>0.364</v>
      </c>
      <c r="G308">
        <v>22.211</v>
      </c>
      <c r="H308">
        <v>1.211</v>
      </c>
      <c r="I308">
        <v>2.74</v>
      </c>
      <c r="J308">
        <v>0.441</v>
      </c>
      <c r="K308">
        <v>9.463</v>
      </c>
      <c r="L308">
        <v>0.586</v>
      </c>
      <c r="M308">
        <v>3.392</v>
      </c>
      <c r="N308">
        <v>78.86</v>
      </c>
      <c r="O308">
        <v>71.274</v>
      </c>
      <c r="P308">
        <f t="shared" si="16"/>
        <v>1.8968567727372</v>
      </c>
      <c r="Q308">
        <f t="shared" si="16"/>
        <v>1.85293113271558</v>
      </c>
      <c r="R308">
        <v>35.117</v>
      </c>
      <c r="S308">
        <v>36.075</v>
      </c>
      <c r="T308">
        <v>36.577</v>
      </c>
      <c r="U308">
        <v>5.301</v>
      </c>
      <c r="V308">
        <v>53.749</v>
      </c>
      <c r="W308">
        <v>0.026</v>
      </c>
      <c r="X308" t="s">
        <v>30</v>
      </c>
      <c r="Y308" t="s">
        <v>31</v>
      </c>
      <c r="Z308" s="3">
        <f t="shared" si="17"/>
        <v>0.0439256400216281</v>
      </c>
      <c r="AA308">
        <f t="shared" si="18"/>
        <v>0.145</v>
      </c>
      <c r="AB308">
        <f t="shared" si="19"/>
        <v>0.95</v>
      </c>
      <c r="AC308" t="s">
        <v>43</v>
      </c>
    </row>
    <row r="309" spans="1:29">
      <c r="A309" t="s">
        <v>47</v>
      </c>
      <c r="B309">
        <v>3848.875</v>
      </c>
      <c r="C309">
        <v>12.843</v>
      </c>
      <c r="D309">
        <v>72.585</v>
      </c>
      <c r="E309">
        <v>175.249</v>
      </c>
      <c r="F309">
        <v>0.358</v>
      </c>
      <c r="G309">
        <v>22.248</v>
      </c>
      <c r="H309">
        <v>1.321</v>
      </c>
      <c r="I309">
        <v>2.743</v>
      </c>
      <c r="J309">
        <v>0.458</v>
      </c>
      <c r="K309">
        <v>9.552</v>
      </c>
      <c r="L309">
        <v>0.597</v>
      </c>
      <c r="M309">
        <v>3.329</v>
      </c>
      <c r="N309">
        <v>82.239</v>
      </c>
      <c r="O309">
        <v>74.315</v>
      </c>
      <c r="P309">
        <f t="shared" si="16"/>
        <v>1.91507782080098</v>
      </c>
      <c r="Q309">
        <f t="shared" si="16"/>
        <v>1.87107648212851</v>
      </c>
      <c r="R309">
        <v>39.312</v>
      </c>
      <c r="S309">
        <v>40.553</v>
      </c>
      <c r="T309">
        <v>41.202</v>
      </c>
      <c r="U309">
        <v>5.276</v>
      </c>
      <c r="V309">
        <v>50.373</v>
      </c>
      <c r="W309">
        <v>0.025</v>
      </c>
      <c r="X309" t="s">
        <v>30</v>
      </c>
      <c r="Y309" t="s">
        <v>31</v>
      </c>
      <c r="Z309" s="3">
        <f t="shared" si="17"/>
        <v>0.0440013386724627</v>
      </c>
      <c r="AA309">
        <f t="shared" si="18"/>
        <v>0.139</v>
      </c>
      <c r="AB309">
        <f t="shared" si="19"/>
        <v>0.955</v>
      </c>
      <c r="AC309" t="s">
        <v>43</v>
      </c>
    </row>
    <row r="310" spans="1:29">
      <c r="A310" t="s">
        <v>47</v>
      </c>
      <c r="B310">
        <v>3849</v>
      </c>
      <c r="C310">
        <v>13.595</v>
      </c>
      <c r="D310">
        <v>72.606</v>
      </c>
      <c r="E310">
        <v>174.234</v>
      </c>
      <c r="F310">
        <v>0.341</v>
      </c>
      <c r="G310">
        <v>22.362</v>
      </c>
      <c r="H310">
        <v>1.377</v>
      </c>
      <c r="I310">
        <v>2.751</v>
      </c>
      <c r="J310">
        <v>0.503</v>
      </c>
      <c r="K310">
        <v>9.428</v>
      </c>
      <c r="L310">
        <v>0.582</v>
      </c>
      <c r="M310">
        <v>3.302</v>
      </c>
      <c r="N310">
        <v>93.056</v>
      </c>
      <c r="O310">
        <v>84.05</v>
      </c>
      <c r="P310">
        <f t="shared" si="16"/>
        <v>1.96874438050691</v>
      </c>
      <c r="Q310">
        <f t="shared" si="16"/>
        <v>1.92453771777549</v>
      </c>
      <c r="R310">
        <v>45.037</v>
      </c>
      <c r="S310">
        <v>46.704</v>
      </c>
      <c r="T310">
        <v>47.581</v>
      </c>
      <c r="U310">
        <v>5.193</v>
      </c>
      <c r="V310">
        <v>46.551</v>
      </c>
      <c r="W310">
        <v>0.024</v>
      </c>
      <c r="X310" t="s">
        <v>30</v>
      </c>
      <c r="Y310" t="s">
        <v>31</v>
      </c>
      <c r="Z310" s="3">
        <f t="shared" si="17"/>
        <v>0.0442066627314164</v>
      </c>
      <c r="AA310">
        <f t="shared" si="18"/>
        <v>0.079</v>
      </c>
      <c r="AB310">
        <f t="shared" si="19"/>
        <v>0.923</v>
      </c>
      <c r="AC310" t="s">
        <v>43</v>
      </c>
    </row>
    <row r="311" spans="1:29">
      <c r="A311" t="s">
        <v>48</v>
      </c>
      <c r="B311">
        <v>3853</v>
      </c>
      <c r="C311">
        <v>19.63</v>
      </c>
      <c r="D311">
        <v>55.529</v>
      </c>
      <c r="E311">
        <v>164.27</v>
      </c>
      <c r="F311">
        <v>0.097</v>
      </c>
      <c r="G311">
        <v>23.216</v>
      </c>
      <c r="H311">
        <v>2.743</v>
      </c>
      <c r="I311">
        <v>2.754</v>
      </c>
      <c r="J311">
        <v>0.434</v>
      </c>
      <c r="K311">
        <v>1.664</v>
      </c>
      <c r="L311">
        <v>0.03</v>
      </c>
      <c r="M311">
        <v>3.28</v>
      </c>
      <c r="N311">
        <v>113.069</v>
      </c>
      <c r="O311">
        <v>97.108</v>
      </c>
      <c r="P311">
        <f t="shared" si="16"/>
        <v>2.05334355121762</v>
      </c>
      <c r="Q311">
        <f t="shared" si="16"/>
        <v>1.98725500964784</v>
      </c>
      <c r="R311">
        <v>18.849</v>
      </c>
      <c r="S311">
        <v>20.277</v>
      </c>
      <c r="T311">
        <v>21.705</v>
      </c>
      <c r="U311">
        <v>5.206</v>
      </c>
      <c r="V311">
        <v>31.718</v>
      </c>
      <c r="W311">
        <v>0.483</v>
      </c>
      <c r="X311" t="s">
        <v>30</v>
      </c>
      <c r="Y311" t="s">
        <v>31</v>
      </c>
      <c r="Z311" s="3">
        <f t="shared" si="17"/>
        <v>0.0660885415697809</v>
      </c>
      <c r="AA311">
        <f t="shared" si="18"/>
        <v>-0.404</v>
      </c>
      <c r="AB311">
        <f t="shared" si="19"/>
        <v>0.127</v>
      </c>
      <c r="AC311" t="s">
        <v>43</v>
      </c>
    </row>
    <row r="312" spans="1:29">
      <c r="A312" t="s">
        <v>48</v>
      </c>
      <c r="B312">
        <v>3853.125</v>
      </c>
      <c r="C312">
        <v>17.516</v>
      </c>
      <c r="D312">
        <v>55.476</v>
      </c>
      <c r="E312">
        <v>165.383</v>
      </c>
      <c r="F312">
        <v>0.11</v>
      </c>
      <c r="G312">
        <v>22.43</v>
      </c>
      <c r="H312">
        <v>2.251</v>
      </c>
      <c r="I312">
        <v>2.749</v>
      </c>
      <c r="J312">
        <v>0.413</v>
      </c>
      <c r="K312">
        <v>1.699</v>
      </c>
      <c r="L312">
        <v>0.032</v>
      </c>
      <c r="M312">
        <v>3.267</v>
      </c>
      <c r="N312">
        <v>81.695</v>
      </c>
      <c r="O312">
        <v>70.44</v>
      </c>
      <c r="P312">
        <f t="shared" si="16"/>
        <v>1.91219547710942</v>
      </c>
      <c r="Q312">
        <f t="shared" si="16"/>
        <v>1.84781934729524</v>
      </c>
      <c r="R312">
        <v>16.802</v>
      </c>
      <c r="S312">
        <v>18.049</v>
      </c>
      <c r="T312">
        <v>19.296</v>
      </c>
      <c r="U312">
        <v>5.274</v>
      </c>
      <c r="V312">
        <v>36.848</v>
      </c>
      <c r="W312">
        <v>0.512</v>
      </c>
      <c r="X312" t="s">
        <v>30</v>
      </c>
      <c r="Y312" t="s">
        <v>31</v>
      </c>
      <c r="Z312" s="3">
        <f t="shared" si="17"/>
        <v>0.0643761298141803</v>
      </c>
      <c r="AA312">
        <f t="shared" si="18"/>
        <v>-0.381</v>
      </c>
      <c r="AB312">
        <f t="shared" si="19"/>
        <v>0.142</v>
      </c>
      <c r="AC312" t="s">
        <v>43</v>
      </c>
    </row>
    <row r="313" spans="1:29">
      <c r="A313" t="s">
        <v>48</v>
      </c>
      <c r="B313">
        <v>3853.25</v>
      </c>
      <c r="C313">
        <v>17.763</v>
      </c>
      <c r="D313">
        <v>55.418</v>
      </c>
      <c r="E313">
        <v>166.741</v>
      </c>
      <c r="F313">
        <v>0.125</v>
      </c>
      <c r="G313">
        <v>21.957</v>
      </c>
      <c r="H313">
        <v>2.016</v>
      </c>
      <c r="I313">
        <v>2.747</v>
      </c>
      <c r="J313">
        <v>0.405</v>
      </c>
      <c r="K313">
        <v>1.759</v>
      </c>
      <c r="L313">
        <v>0.034</v>
      </c>
      <c r="M313">
        <v>3.25</v>
      </c>
      <c r="N313">
        <v>60.092</v>
      </c>
      <c r="O313">
        <v>52.078</v>
      </c>
      <c r="P313">
        <f t="shared" si="16"/>
        <v>1.77881665857322</v>
      </c>
      <c r="Q313">
        <f t="shared" si="16"/>
        <v>1.71665429726439</v>
      </c>
      <c r="R313">
        <v>16.031</v>
      </c>
      <c r="S313">
        <v>17.211</v>
      </c>
      <c r="T313">
        <v>18.39</v>
      </c>
      <c r="U313">
        <v>5.325</v>
      </c>
      <c r="V313">
        <v>42.316</v>
      </c>
      <c r="W313">
        <v>0.534</v>
      </c>
      <c r="X313" t="s">
        <v>30</v>
      </c>
      <c r="Y313" t="s">
        <v>31</v>
      </c>
      <c r="Z313" s="3">
        <f t="shared" si="17"/>
        <v>0.0621623613088267</v>
      </c>
      <c r="AA313">
        <f t="shared" si="18"/>
        <v>-0.371</v>
      </c>
      <c r="AB313">
        <f t="shared" si="19"/>
        <v>0.159</v>
      </c>
      <c r="AC313" t="s">
        <v>43</v>
      </c>
    </row>
    <row r="314" spans="1:29">
      <c r="A314" t="s">
        <v>48</v>
      </c>
      <c r="B314">
        <v>3853.375</v>
      </c>
      <c r="C314">
        <v>18.345</v>
      </c>
      <c r="D314">
        <v>55.366</v>
      </c>
      <c r="E314">
        <v>168.299</v>
      </c>
      <c r="F314">
        <v>0.143</v>
      </c>
      <c r="G314">
        <v>21.908</v>
      </c>
      <c r="H314">
        <v>1.861</v>
      </c>
      <c r="I314">
        <v>2.748</v>
      </c>
      <c r="J314">
        <v>0.409</v>
      </c>
      <c r="K314">
        <v>1.81</v>
      </c>
      <c r="L314">
        <v>0.037</v>
      </c>
      <c r="M314">
        <v>3.232</v>
      </c>
      <c r="N314">
        <v>47.778</v>
      </c>
      <c r="O314">
        <v>41.611</v>
      </c>
      <c r="P314">
        <f t="shared" si="16"/>
        <v>1.6792279661099</v>
      </c>
      <c r="Q314">
        <f t="shared" si="16"/>
        <v>1.61920815292977</v>
      </c>
      <c r="R314">
        <v>16.456</v>
      </c>
      <c r="S314">
        <v>17.673</v>
      </c>
      <c r="T314">
        <v>18.89</v>
      </c>
      <c r="U314">
        <v>5.354</v>
      </c>
      <c r="V314">
        <v>46.906</v>
      </c>
      <c r="W314">
        <v>0.547</v>
      </c>
      <c r="X314" t="s">
        <v>30</v>
      </c>
      <c r="Y314" t="s">
        <v>31</v>
      </c>
      <c r="Z314" s="3">
        <f t="shared" si="17"/>
        <v>0.0600198131801246</v>
      </c>
      <c r="AA314">
        <f t="shared" si="18"/>
        <v>-0.372</v>
      </c>
      <c r="AB314">
        <f t="shared" si="19"/>
        <v>0.18</v>
      </c>
      <c r="AC314" t="s">
        <v>43</v>
      </c>
    </row>
    <row r="315" spans="1:29">
      <c r="A315" t="s">
        <v>48</v>
      </c>
      <c r="B315">
        <v>3853.5</v>
      </c>
      <c r="C315">
        <v>18.451</v>
      </c>
      <c r="D315">
        <v>55.334</v>
      </c>
      <c r="E315">
        <v>169.923</v>
      </c>
      <c r="F315">
        <v>0.162</v>
      </c>
      <c r="G315">
        <v>21.991</v>
      </c>
      <c r="H315">
        <v>1.7</v>
      </c>
      <c r="I315">
        <v>2.748</v>
      </c>
      <c r="J315">
        <v>0.409</v>
      </c>
      <c r="K315">
        <v>1.868</v>
      </c>
      <c r="L315">
        <v>0.04</v>
      </c>
      <c r="M315">
        <v>3.215</v>
      </c>
      <c r="N315">
        <v>42.043</v>
      </c>
      <c r="O315">
        <v>36.737</v>
      </c>
      <c r="P315">
        <f t="shared" si="16"/>
        <v>1.62369369776916</v>
      </c>
      <c r="Q315">
        <f t="shared" si="16"/>
        <v>1.56510368826152</v>
      </c>
      <c r="R315">
        <v>17.823</v>
      </c>
      <c r="S315">
        <v>19.16</v>
      </c>
      <c r="T315">
        <v>20.497</v>
      </c>
      <c r="U315">
        <v>5.406</v>
      </c>
      <c r="V315">
        <v>49.45</v>
      </c>
      <c r="W315">
        <v>0.57</v>
      </c>
      <c r="X315" t="s">
        <v>30</v>
      </c>
      <c r="Y315" t="s">
        <v>31</v>
      </c>
      <c r="Z315" s="3">
        <f t="shared" si="17"/>
        <v>0.0585900095076448</v>
      </c>
      <c r="AA315">
        <f t="shared" si="18"/>
        <v>-0.369</v>
      </c>
      <c r="AB315">
        <f t="shared" si="19"/>
        <v>0.202</v>
      </c>
      <c r="AC315" t="s">
        <v>43</v>
      </c>
    </row>
    <row r="316" spans="1:29">
      <c r="A316" t="s">
        <v>48</v>
      </c>
      <c r="B316">
        <v>3853.625</v>
      </c>
      <c r="C316">
        <v>18.09</v>
      </c>
      <c r="D316">
        <v>55.325</v>
      </c>
      <c r="E316">
        <v>171.362</v>
      </c>
      <c r="F316">
        <v>0.179</v>
      </c>
      <c r="G316">
        <v>21.869</v>
      </c>
      <c r="H316">
        <v>1.566</v>
      </c>
      <c r="I316">
        <v>2.745</v>
      </c>
      <c r="J316">
        <v>0.397</v>
      </c>
      <c r="K316">
        <v>1.917</v>
      </c>
      <c r="L316">
        <v>0.042</v>
      </c>
      <c r="M316">
        <v>3.202</v>
      </c>
      <c r="N316">
        <v>40.234</v>
      </c>
      <c r="O316">
        <v>35.199</v>
      </c>
      <c r="P316">
        <f t="shared" si="16"/>
        <v>1.60459321158123</v>
      </c>
      <c r="Q316">
        <f t="shared" si="16"/>
        <v>1.54653032539146</v>
      </c>
      <c r="R316">
        <v>19.139</v>
      </c>
      <c r="S316">
        <v>20.592</v>
      </c>
      <c r="T316">
        <v>22.046</v>
      </c>
      <c r="U316">
        <v>5.475</v>
      </c>
      <c r="V316">
        <v>49.884</v>
      </c>
      <c r="W316">
        <v>0.603</v>
      </c>
      <c r="X316" t="s">
        <v>30</v>
      </c>
      <c r="Y316" t="s">
        <v>31</v>
      </c>
      <c r="Z316" s="3">
        <f t="shared" si="17"/>
        <v>0.0580628861897741</v>
      </c>
      <c r="AA316">
        <f t="shared" si="18"/>
        <v>-0.355</v>
      </c>
      <c r="AB316">
        <f t="shared" si="19"/>
        <v>0.221</v>
      </c>
      <c r="AC316" t="s">
        <v>43</v>
      </c>
    </row>
    <row r="317" spans="1:29">
      <c r="A317" t="s">
        <v>48</v>
      </c>
      <c r="B317">
        <v>3853.75</v>
      </c>
      <c r="C317">
        <v>17.352</v>
      </c>
      <c r="D317">
        <v>55.337</v>
      </c>
      <c r="E317">
        <v>172.386</v>
      </c>
      <c r="F317">
        <v>0.191</v>
      </c>
      <c r="G317">
        <v>21.588</v>
      </c>
      <c r="H317">
        <v>1.476</v>
      </c>
      <c r="I317">
        <v>2.74</v>
      </c>
      <c r="J317">
        <v>0.376</v>
      </c>
      <c r="K317">
        <v>1.965</v>
      </c>
      <c r="L317">
        <v>0.044</v>
      </c>
      <c r="M317">
        <v>3.197</v>
      </c>
      <c r="N317">
        <v>41.307</v>
      </c>
      <c r="O317">
        <v>36.111</v>
      </c>
      <c r="P317">
        <f t="shared" si="16"/>
        <v>1.61602365465326</v>
      </c>
      <c r="Q317">
        <f t="shared" si="16"/>
        <v>1.55763951524678</v>
      </c>
      <c r="R317">
        <v>19.585</v>
      </c>
      <c r="S317">
        <v>21.078</v>
      </c>
      <c r="T317">
        <v>22.571</v>
      </c>
      <c r="U317">
        <v>5.551</v>
      </c>
      <c r="V317">
        <v>48.573</v>
      </c>
      <c r="W317">
        <v>0.641</v>
      </c>
      <c r="X317" t="s">
        <v>30</v>
      </c>
      <c r="Y317" t="s">
        <v>31</v>
      </c>
      <c r="Z317" s="3">
        <f t="shared" si="17"/>
        <v>0.0583841394064759</v>
      </c>
      <c r="AA317">
        <f t="shared" si="18"/>
        <v>-0.332</v>
      </c>
      <c r="AB317">
        <f t="shared" si="19"/>
        <v>0.235</v>
      </c>
      <c r="AC317" t="s">
        <v>43</v>
      </c>
    </row>
    <row r="318" spans="1:29">
      <c r="A318" t="s">
        <v>48</v>
      </c>
      <c r="B318">
        <v>3853.875</v>
      </c>
      <c r="C318">
        <v>17.341</v>
      </c>
      <c r="D318">
        <v>55.361</v>
      </c>
      <c r="E318">
        <v>172.851</v>
      </c>
      <c r="F318">
        <v>0.196</v>
      </c>
      <c r="G318">
        <v>21.44</v>
      </c>
      <c r="H318">
        <v>1.418</v>
      </c>
      <c r="I318">
        <v>2.734</v>
      </c>
      <c r="J318">
        <v>0.351</v>
      </c>
      <c r="K318">
        <v>1.997</v>
      </c>
      <c r="L318">
        <v>0.046</v>
      </c>
      <c r="M318">
        <v>3.197</v>
      </c>
      <c r="N318">
        <v>43.722</v>
      </c>
      <c r="O318">
        <v>38.164</v>
      </c>
      <c r="P318">
        <f t="shared" si="16"/>
        <v>1.64070001990844</v>
      </c>
      <c r="Q318">
        <f t="shared" si="16"/>
        <v>1.58165388717689</v>
      </c>
      <c r="R318">
        <v>19.044</v>
      </c>
      <c r="S318">
        <v>20.488</v>
      </c>
      <c r="T318">
        <v>21.934</v>
      </c>
      <c r="U318">
        <v>5.591</v>
      </c>
      <c r="V318">
        <v>46.86</v>
      </c>
      <c r="W318">
        <v>0.662</v>
      </c>
      <c r="X318" t="s">
        <v>30</v>
      </c>
      <c r="Y318" t="s">
        <v>31</v>
      </c>
      <c r="Z318" s="3">
        <f t="shared" si="17"/>
        <v>0.0590461327315439</v>
      </c>
      <c r="AA318">
        <f t="shared" si="18"/>
        <v>-0.305</v>
      </c>
      <c r="AB318">
        <f t="shared" si="19"/>
        <v>0.242</v>
      </c>
      <c r="AC318" t="s">
        <v>43</v>
      </c>
    </row>
    <row r="319" spans="1:29">
      <c r="A319" t="s">
        <v>48</v>
      </c>
      <c r="B319">
        <v>3854</v>
      </c>
      <c r="C319">
        <v>18.04</v>
      </c>
      <c r="D319">
        <v>55.387</v>
      </c>
      <c r="E319">
        <v>172.797</v>
      </c>
      <c r="F319">
        <v>0.196</v>
      </c>
      <c r="G319">
        <v>21.597</v>
      </c>
      <c r="H319">
        <v>1.381</v>
      </c>
      <c r="I319">
        <v>2.728</v>
      </c>
      <c r="J319">
        <v>0.326</v>
      </c>
      <c r="K319">
        <v>1.999</v>
      </c>
      <c r="L319">
        <v>0.046</v>
      </c>
      <c r="M319">
        <v>3.2</v>
      </c>
      <c r="N319">
        <v>45.869</v>
      </c>
      <c r="O319">
        <v>39.989</v>
      </c>
      <c r="P319">
        <f t="shared" si="16"/>
        <v>1.66151927208716</v>
      </c>
      <c r="Q319">
        <f t="shared" si="16"/>
        <v>1.60194054392067</v>
      </c>
      <c r="R319">
        <v>18.039</v>
      </c>
      <c r="S319">
        <v>19.395</v>
      </c>
      <c r="T319">
        <v>20.752</v>
      </c>
      <c r="U319">
        <v>5.579</v>
      </c>
      <c r="V319">
        <v>45.844</v>
      </c>
      <c r="W319">
        <v>0.655</v>
      </c>
      <c r="X319" t="s">
        <v>30</v>
      </c>
      <c r="Y319" t="s">
        <v>31</v>
      </c>
      <c r="Z319" s="3">
        <f t="shared" si="17"/>
        <v>0.0595787281664939</v>
      </c>
      <c r="AA319">
        <f t="shared" si="18"/>
        <v>-0.28</v>
      </c>
      <c r="AB319">
        <f t="shared" si="19"/>
        <v>0.242</v>
      </c>
      <c r="AC319" t="s">
        <v>43</v>
      </c>
    </row>
    <row r="320" spans="1:29">
      <c r="A320" t="s">
        <v>48</v>
      </c>
      <c r="B320">
        <v>3854.125</v>
      </c>
      <c r="C320">
        <v>17.896</v>
      </c>
      <c r="D320">
        <v>55.409</v>
      </c>
      <c r="E320">
        <v>172.465</v>
      </c>
      <c r="F320">
        <v>0.192</v>
      </c>
      <c r="G320">
        <v>22.03</v>
      </c>
      <c r="H320">
        <v>1.355</v>
      </c>
      <c r="I320">
        <v>2.722</v>
      </c>
      <c r="J320">
        <v>0.302</v>
      </c>
      <c r="K320">
        <v>1.953</v>
      </c>
      <c r="L320">
        <v>0.044</v>
      </c>
      <c r="M320">
        <v>3.201</v>
      </c>
      <c r="N320">
        <v>47.234</v>
      </c>
      <c r="O320">
        <v>41.149</v>
      </c>
      <c r="P320">
        <f t="shared" si="16"/>
        <v>1.67425472525845</v>
      </c>
      <c r="Q320">
        <f t="shared" si="16"/>
        <v>1.61435928548367</v>
      </c>
      <c r="R320">
        <v>17.136</v>
      </c>
      <c r="S320">
        <v>18.412</v>
      </c>
      <c r="T320">
        <v>19.689</v>
      </c>
      <c r="U320">
        <v>5.557</v>
      </c>
      <c r="V320">
        <v>45.353</v>
      </c>
      <c r="W320">
        <v>0.644</v>
      </c>
      <c r="X320" t="s">
        <v>30</v>
      </c>
      <c r="Y320" t="s">
        <v>31</v>
      </c>
      <c r="Z320" s="3">
        <f t="shared" si="17"/>
        <v>0.0598954397747826</v>
      </c>
      <c r="AA320">
        <f t="shared" si="18"/>
        <v>-0.258</v>
      </c>
      <c r="AB320">
        <f t="shared" si="19"/>
        <v>0.236</v>
      </c>
      <c r="AC320" t="s">
        <v>43</v>
      </c>
    </row>
    <row r="321" spans="1:29">
      <c r="A321" t="s">
        <v>48</v>
      </c>
      <c r="B321">
        <v>3854.25</v>
      </c>
      <c r="C321">
        <v>16.973</v>
      </c>
      <c r="D321">
        <v>55.426</v>
      </c>
      <c r="E321">
        <v>172.047</v>
      </c>
      <c r="F321">
        <v>0.187</v>
      </c>
      <c r="G321">
        <v>22.868</v>
      </c>
      <c r="H321">
        <v>1.337</v>
      </c>
      <c r="I321">
        <v>2.718</v>
      </c>
      <c r="J321">
        <v>0.285</v>
      </c>
      <c r="K321">
        <v>1.861</v>
      </c>
      <c r="L321">
        <v>0.039</v>
      </c>
      <c r="M321">
        <v>3.197</v>
      </c>
      <c r="N321">
        <v>47.934</v>
      </c>
      <c r="O321">
        <v>41.744</v>
      </c>
      <c r="P321">
        <f t="shared" si="16"/>
        <v>1.68064367154225</v>
      </c>
      <c r="Q321">
        <f t="shared" si="16"/>
        <v>1.62059406175615</v>
      </c>
      <c r="R321">
        <v>16.804</v>
      </c>
      <c r="S321">
        <v>18.051</v>
      </c>
      <c r="T321">
        <v>19.298</v>
      </c>
      <c r="U321">
        <v>5.514</v>
      </c>
      <c r="V321">
        <v>45.37</v>
      </c>
      <c r="W321">
        <v>0.623</v>
      </c>
      <c r="X321" t="s">
        <v>30</v>
      </c>
      <c r="Y321" t="s">
        <v>31</v>
      </c>
      <c r="Z321" s="3">
        <f t="shared" si="17"/>
        <v>0.0600496097861016</v>
      </c>
      <c r="AA321">
        <f t="shared" si="18"/>
        <v>-0.246</v>
      </c>
      <c r="AB321">
        <f t="shared" si="19"/>
        <v>0.226</v>
      </c>
      <c r="AC321" t="s">
        <v>43</v>
      </c>
    </row>
    <row r="322" spans="1:29">
      <c r="A322" t="s">
        <v>48</v>
      </c>
      <c r="B322">
        <v>3854.375</v>
      </c>
      <c r="C322">
        <v>16.004</v>
      </c>
      <c r="D322">
        <v>55.439</v>
      </c>
      <c r="E322">
        <v>171.65</v>
      </c>
      <c r="F322">
        <v>0.182</v>
      </c>
      <c r="G322">
        <v>24.161</v>
      </c>
      <c r="H322">
        <v>1.315</v>
      </c>
      <c r="I322">
        <v>2.714</v>
      </c>
      <c r="J322">
        <v>0.269</v>
      </c>
      <c r="K322">
        <v>1.784</v>
      </c>
      <c r="L322">
        <v>0.036</v>
      </c>
      <c r="M322">
        <v>3.185</v>
      </c>
      <c r="N322">
        <v>47.514</v>
      </c>
      <c r="O322">
        <v>41.386</v>
      </c>
      <c r="P322">
        <f t="shared" ref="P322:Q368" si="20">LOG(N322)</f>
        <v>1.67682159334917</v>
      </c>
      <c r="Q322">
        <f t="shared" si="20"/>
        <v>1.61685345341514</v>
      </c>
      <c r="R322">
        <v>17.917</v>
      </c>
      <c r="S322">
        <v>19.263</v>
      </c>
      <c r="T322">
        <v>20.609</v>
      </c>
      <c r="U322">
        <v>5.46</v>
      </c>
      <c r="V322">
        <v>46.025</v>
      </c>
      <c r="W322">
        <v>0.596</v>
      </c>
      <c r="X322" t="s">
        <v>30</v>
      </c>
      <c r="Y322" t="s">
        <v>31</v>
      </c>
      <c r="Z322" s="3">
        <f t="shared" ref="Z322:Z368" si="21">P322-Q322</f>
        <v>0.0599681399340364</v>
      </c>
      <c r="AA322">
        <f t="shared" ref="AA322:AA368" si="22">L322-J322</f>
        <v>-0.233</v>
      </c>
      <c r="AB322">
        <f t="shared" ref="AB322:AB368" si="23">L322+F322</f>
        <v>0.218</v>
      </c>
      <c r="AC322" t="s">
        <v>43</v>
      </c>
    </row>
    <row r="323" spans="1:29">
      <c r="A323" t="s">
        <v>48</v>
      </c>
      <c r="B323">
        <v>3854.5</v>
      </c>
      <c r="C323">
        <v>15.729</v>
      </c>
      <c r="D323">
        <v>55.445</v>
      </c>
      <c r="E323">
        <v>171.232</v>
      </c>
      <c r="F323">
        <v>0.178</v>
      </c>
      <c r="G323">
        <v>25.49</v>
      </c>
      <c r="H323">
        <v>1.279</v>
      </c>
      <c r="I323">
        <v>2.712</v>
      </c>
      <c r="J323">
        <v>0.26</v>
      </c>
      <c r="K323">
        <v>1.76</v>
      </c>
      <c r="L323">
        <v>0.035</v>
      </c>
      <c r="M323">
        <v>3.167</v>
      </c>
      <c r="N323">
        <v>46.347</v>
      </c>
      <c r="O323">
        <v>40.394</v>
      </c>
      <c r="P323">
        <f t="shared" si="20"/>
        <v>1.66602162789557</v>
      </c>
      <c r="Q323">
        <f t="shared" si="20"/>
        <v>1.60631686114011</v>
      </c>
      <c r="R323">
        <v>21.323</v>
      </c>
      <c r="S323">
        <v>22.969</v>
      </c>
      <c r="T323">
        <v>24.615</v>
      </c>
      <c r="U323">
        <v>5.425</v>
      </c>
      <c r="V323">
        <v>46.905</v>
      </c>
      <c r="W323">
        <v>0.579</v>
      </c>
      <c r="X323" t="s">
        <v>30</v>
      </c>
      <c r="Y323" t="s">
        <v>31</v>
      </c>
      <c r="Z323" s="3">
        <f t="shared" si="21"/>
        <v>0.0597047667554675</v>
      </c>
      <c r="AA323">
        <f t="shared" si="22"/>
        <v>-0.225</v>
      </c>
      <c r="AB323">
        <f t="shared" si="23"/>
        <v>0.213</v>
      </c>
      <c r="AC323" t="s">
        <v>43</v>
      </c>
    </row>
    <row r="324" spans="1:29">
      <c r="A324" t="s">
        <v>48</v>
      </c>
      <c r="B324">
        <v>3854.625</v>
      </c>
      <c r="C324">
        <v>16.244</v>
      </c>
      <c r="D324">
        <v>55.44</v>
      </c>
      <c r="E324">
        <v>170.628</v>
      </c>
      <c r="F324">
        <v>0.171</v>
      </c>
      <c r="G324">
        <v>26.274</v>
      </c>
      <c r="H324">
        <v>1.219</v>
      </c>
      <c r="I324">
        <v>2.71</v>
      </c>
      <c r="J324">
        <v>0.252</v>
      </c>
      <c r="K324">
        <v>1.797</v>
      </c>
      <c r="L324">
        <v>0.036</v>
      </c>
      <c r="M324">
        <v>3.143</v>
      </c>
      <c r="N324">
        <v>45.783</v>
      </c>
      <c r="O324">
        <v>39.915</v>
      </c>
      <c r="P324">
        <f t="shared" si="20"/>
        <v>1.66070424707068</v>
      </c>
      <c r="Q324">
        <f t="shared" si="20"/>
        <v>1.60113613360707</v>
      </c>
      <c r="R324">
        <v>26.721</v>
      </c>
      <c r="S324">
        <v>28.843</v>
      </c>
      <c r="T324">
        <v>30.965</v>
      </c>
      <c r="U324">
        <v>5.426</v>
      </c>
      <c r="V324">
        <v>47.181</v>
      </c>
      <c r="W324">
        <v>0.579</v>
      </c>
      <c r="X324" t="s">
        <v>30</v>
      </c>
      <c r="Y324" t="s">
        <v>31</v>
      </c>
      <c r="Z324" s="3">
        <f t="shared" si="21"/>
        <v>0.0595681134636097</v>
      </c>
      <c r="AA324">
        <f t="shared" si="22"/>
        <v>-0.216</v>
      </c>
      <c r="AB324">
        <f t="shared" si="23"/>
        <v>0.207</v>
      </c>
      <c r="AC324" t="s">
        <v>43</v>
      </c>
    </row>
    <row r="325" spans="1:29">
      <c r="A325" t="s">
        <v>48</v>
      </c>
      <c r="B325">
        <v>3854.75</v>
      </c>
      <c r="C325">
        <v>16.862</v>
      </c>
      <c r="D325">
        <v>55.424</v>
      </c>
      <c r="E325">
        <v>169.657</v>
      </c>
      <c r="F325">
        <v>0.159</v>
      </c>
      <c r="G325">
        <v>26.475</v>
      </c>
      <c r="H325">
        <v>1.131</v>
      </c>
      <c r="I325">
        <v>2.706</v>
      </c>
      <c r="J325">
        <v>0.236</v>
      </c>
      <c r="K325">
        <v>1.837</v>
      </c>
      <c r="L325">
        <v>0.038</v>
      </c>
      <c r="M325">
        <v>3.118</v>
      </c>
      <c r="N325">
        <v>46.636</v>
      </c>
      <c r="O325">
        <v>40.641</v>
      </c>
      <c r="P325">
        <f t="shared" si="20"/>
        <v>1.66872129362864</v>
      </c>
      <c r="Q325">
        <f t="shared" si="20"/>
        <v>1.60896438552436</v>
      </c>
      <c r="R325">
        <v>31.992</v>
      </c>
      <c r="S325">
        <v>34.579</v>
      </c>
      <c r="T325">
        <v>37.167</v>
      </c>
      <c r="U325">
        <v>5.454</v>
      </c>
      <c r="V325">
        <v>46.518</v>
      </c>
      <c r="W325">
        <v>0.593</v>
      </c>
      <c r="X325" t="s">
        <v>30</v>
      </c>
      <c r="Y325" t="s">
        <v>31</v>
      </c>
      <c r="Z325" s="3">
        <f t="shared" si="21"/>
        <v>0.0597569081042826</v>
      </c>
      <c r="AA325">
        <f t="shared" si="22"/>
        <v>-0.198</v>
      </c>
      <c r="AB325">
        <f t="shared" si="23"/>
        <v>0.197</v>
      </c>
      <c r="AC325" t="s">
        <v>43</v>
      </c>
    </row>
    <row r="326" spans="1:29">
      <c r="A326" t="s">
        <v>48</v>
      </c>
      <c r="B326">
        <v>3854.875</v>
      </c>
      <c r="C326">
        <v>17.271</v>
      </c>
      <c r="D326">
        <v>55.401</v>
      </c>
      <c r="E326">
        <v>168.206</v>
      </c>
      <c r="F326">
        <v>0.142</v>
      </c>
      <c r="G326">
        <v>26.539</v>
      </c>
      <c r="H326">
        <v>1.037</v>
      </c>
      <c r="I326">
        <v>2.699</v>
      </c>
      <c r="J326">
        <v>0.207</v>
      </c>
      <c r="K326">
        <v>1.805</v>
      </c>
      <c r="L326">
        <v>0.037</v>
      </c>
      <c r="M326">
        <v>3.093</v>
      </c>
      <c r="N326">
        <v>49.448</v>
      </c>
      <c r="O326">
        <v>43.031</v>
      </c>
      <c r="P326">
        <f t="shared" si="20"/>
        <v>1.69414873058377</v>
      </c>
      <c r="Q326">
        <f t="shared" si="20"/>
        <v>1.63378143879544</v>
      </c>
      <c r="R326">
        <v>33.481</v>
      </c>
      <c r="S326">
        <v>36.2</v>
      </c>
      <c r="T326">
        <v>38.919</v>
      </c>
      <c r="U326">
        <v>5.436</v>
      </c>
      <c r="V326">
        <v>45.349</v>
      </c>
      <c r="W326">
        <v>0.585</v>
      </c>
      <c r="X326" t="s">
        <v>30</v>
      </c>
      <c r="Y326" t="s">
        <v>31</v>
      </c>
      <c r="Z326" s="3">
        <f t="shared" si="21"/>
        <v>0.0603672917883256</v>
      </c>
      <c r="AA326">
        <f t="shared" si="22"/>
        <v>-0.17</v>
      </c>
      <c r="AB326">
        <f t="shared" si="23"/>
        <v>0.179</v>
      </c>
      <c r="AC326" t="s">
        <v>43</v>
      </c>
    </row>
    <row r="327" spans="1:29">
      <c r="A327" t="s">
        <v>48</v>
      </c>
      <c r="B327">
        <v>3855</v>
      </c>
      <c r="C327">
        <v>17.599</v>
      </c>
      <c r="D327">
        <v>55.377</v>
      </c>
      <c r="E327">
        <v>166.37</v>
      </c>
      <c r="F327">
        <v>0.121</v>
      </c>
      <c r="G327">
        <v>26.865</v>
      </c>
      <c r="H327">
        <v>0.969</v>
      </c>
      <c r="I327">
        <v>2.694</v>
      </c>
      <c r="J327">
        <v>0.186</v>
      </c>
      <c r="K327">
        <v>1.697</v>
      </c>
      <c r="L327">
        <v>0.031</v>
      </c>
      <c r="M327">
        <v>3.072</v>
      </c>
      <c r="N327">
        <v>54.51</v>
      </c>
      <c r="O327">
        <v>47.333</v>
      </c>
      <c r="P327">
        <f t="shared" si="20"/>
        <v>1.7364761820277</v>
      </c>
      <c r="Q327">
        <f t="shared" si="20"/>
        <v>1.67516403124078</v>
      </c>
      <c r="R327">
        <v>30.514</v>
      </c>
      <c r="S327">
        <v>32.971</v>
      </c>
      <c r="T327">
        <v>35.429</v>
      </c>
      <c r="U327">
        <v>5.34</v>
      </c>
      <c r="V327">
        <v>43.993</v>
      </c>
      <c r="W327">
        <v>0.542</v>
      </c>
      <c r="X327" t="s">
        <v>30</v>
      </c>
      <c r="Y327" t="s">
        <v>31</v>
      </c>
      <c r="Z327" s="3">
        <f t="shared" si="21"/>
        <v>0.0613121507869163</v>
      </c>
      <c r="AA327">
        <f t="shared" si="22"/>
        <v>-0.155</v>
      </c>
      <c r="AB327">
        <f t="shared" si="23"/>
        <v>0.152</v>
      </c>
      <c r="AC327" t="s">
        <v>43</v>
      </c>
    </row>
    <row r="328" spans="1:29">
      <c r="A328" t="s">
        <v>49</v>
      </c>
      <c r="B328">
        <v>3941</v>
      </c>
      <c r="C328">
        <v>16.891</v>
      </c>
      <c r="D328">
        <v>69.708</v>
      </c>
      <c r="E328">
        <v>156.803</v>
      </c>
      <c r="F328">
        <v>0.053</v>
      </c>
      <c r="G328">
        <v>23.568</v>
      </c>
      <c r="H328">
        <v>1.627</v>
      </c>
      <c r="I328">
        <v>2.776</v>
      </c>
      <c r="J328">
        <v>0.592</v>
      </c>
      <c r="K328">
        <v>6.921</v>
      </c>
      <c r="L328">
        <v>0.527</v>
      </c>
      <c r="M328">
        <v>3.469</v>
      </c>
      <c r="N328">
        <v>279.597</v>
      </c>
      <c r="O328">
        <v>283.835</v>
      </c>
      <c r="P328">
        <f t="shared" si="20"/>
        <v>2.44653250723661</v>
      </c>
      <c r="Q328">
        <f t="shared" si="20"/>
        <v>2.45306594774459</v>
      </c>
      <c r="R328">
        <v>101.475</v>
      </c>
      <c r="S328">
        <v>110.614</v>
      </c>
      <c r="T328">
        <v>114.796</v>
      </c>
      <c r="U328">
        <v>1.63</v>
      </c>
      <c r="V328">
        <v>89.428</v>
      </c>
      <c r="W328">
        <v>0.01</v>
      </c>
      <c r="X328" t="s">
        <v>30</v>
      </c>
      <c r="Y328" t="s">
        <v>31</v>
      </c>
      <c r="Z328" s="3">
        <f t="shared" si="21"/>
        <v>-0.00653344050798088</v>
      </c>
      <c r="AA328">
        <f t="shared" si="22"/>
        <v>-0.0649999999999999</v>
      </c>
      <c r="AB328">
        <f t="shared" si="23"/>
        <v>0.58</v>
      </c>
      <c r="AC328" t="s">
        <v>43</v>
      </c>
    </row>
    <row r="329" spans="1:29">
      <c r="A329" t="s">
        <v>49</v>
      </c>
      <c r="B329">
        <v>3941.125</v>
      </c>
      <c r="C329">
        <v>16.869</v>
      </c>
      <c r="D329">
        <v>69.579</v>
      </c>
      <c r="E329">
        <v>157.944</v>
      </c>
      <c r="F329">
        <v>0.091</v>
      </c>
      <c r="G329">
        <v>23.55</v>
      </c>
      <c r="H329">
        <v>1.605</v>
      </c>
      <c r="I329">
        <v>2.76</v>
      </c>
      <c r="J329">
        <v>0.503</v>
      </c>
      <c r="K329">
        <v>7.66</v>
      </c>
      <c r="L329">
        <v>0.592</v>
      </c>
      <c r="M329">
        <v>3.51</v>
      </c>
      <c r="N329">
        <v>186.39</v>
      </c>
      <c r="O329">
        <v>190.46</v>
      </c>
      <c r="P329">
        <f t="shared" si="20"/>
        <v>2.27042260833278</v>
      </c>
      <c r="Q329">
        <f t="shared" si="20"/>
        <v>2.2798037799941</v>
      </c>
      <c r="R329">
        <v>88.699</v>
      </c>
      <c r="S329">
        <v>96.292</v>
      </c>
      <c r="T329">
        <v>99.219</v>
      </c>
      <c r="U329">
        <v>2.683</v>
      </c>
      <c r="V329">
        <v>66.175</v>
      </c>
      <c r="W329">
        <v>0.01</v>
      </c>
      <c r="X329" t="s">
        <v>30</v>
      </c>
      <c r="Y329" t="s">
        <v>31</v>
      </c>
      <c r="Z329" s="3">
        <f t="shared" si="21"/>
        <v>-0.00938117166132635</v>
      </c>
      <c r="AA329">
        <f t="shared" si="22"/>
        <v>0.089</v>
      </c>
      <c r="AB329">
        <f t="shared" si="23"/>
        <v>0.683</v>
      </c>
      <c r="AC329" t="s">
        <v>43</v>
      </c>
    </row>
    <row r="330" spans="1:29">
      <c r="A330" t="s">
        <v>49</v>
      </c>
      <c r="B330">
        <v>3941.25</v>
      </c>
      <c r="C330">
        <v>17.029</v>
      </c>
      <c r="D330">
        <v>69.453</v>
      </c>
      <c r="E330">
        <v>159.585</v>
      </c>
      <c r="F330">
        <v>0.145</v>
      </c>
      <c r="G330">
        <v>23.497</v>
      </c>
      <c r="H330">
        <v>1.579</v>
      </c>
      <c r="I330">
        <v>2.746</v>
      </c>
      <c r="J330">
        <v>0.425</v>
      </c>
      <c r="K330">
        <v>8.23</v>
      </c>
      <c r="L330">
        <v>0.642</v>
      </c>
      <c r="M330">
        <v>3.532</v>
      </c>
      <c r="N330">
        <v>126.797</v>
      </c>
      <c r="O330">
        <v>130.403</v>
      </c>
      <c r="P330">
        <f t="shared" si="20"/>
        <v>2.10310897831812</v>
      </c>
      <c r="Q330">
        <f t="shared" si="20"/>
        <v>2.11528758271844</v>
      </c>
      <c r="R330">
        <v>75.149</v>
      </c>
      <c r="S330">
        <v>81.236</v>
      </c>
      <c r="T330">
        <v>83.233</v>
      </c>
      <c r="U330">
        <v>3.303</v>
      </c>
      <c r="V330">
        <v>56.163</v>
      </c>
      <c r="W330">
        <v>0.01</v>
      </c>
      <c r="X330" t="s">
        <v>30</v>
      </c>
      <c r="Y330" t="s">
        <v>31</v>
      </c>
      <c r="Z330" s="3">
        <f t="shared" si="21"/>
        <v>-0.0121786044003156</v>
      </c>
      <c r="AA330">
        <f t="shared" si="22"/>
        <v>0.217</v>
      </c>
      <c r="AB330">
        <f t="shared" si="23"/>
        <v>0.787</v>
      </c>
      <c r="AC330" t="s">
        <v>43</v>
      </c>
    </row>
    <row r="331" spans="1:29">
      <c r="A331" t="s">
        <v>49</v>
      </c>
      <c r="B331">
        <v>3941.375</v>
      </c>
      <c r="C331">
        <v>17.193</v>
      </c>
      <c r="D331">
        <v>69.331</v>
      </c>
      <c r="E331">
        <v>161.246</v>
      </c>
      <c r="F331">
        <v>0.2</v>
      </c>
      <c r="G331">
        <v>23.396</v>
      </c>
      <c r="H331">
        <v>1.545</v>
      </c>
      <c r="I331">
        <v>2.736</v>
      </c>
      <c r="J331">
        <v>0.369</v>
      </c>
      <c r="K331">
        <v>8.587</v>
      </c>
      <c r="L331">
        <v>0.673</v>
      </c>
      <c r="M331">
        <v>3.53</v>
      </c>
      <c r="N331">
        <v>88.025</v>
      </c>
      <c r="O331">
        <v>91.125</v>
      </c>
      <c r="P331">
        <f t="shared" si="20"/>
        <v>1.94460603374222</v>
      </c>
      <c r="Q331">
        <f t="shared" si="20"/>
        <v>1.95963754132603</v>
      </c>
      <c r="R331">
        <v>62.734</v>
      </c>
      <c r="S331">
        <v>67.547</v>
      </c>
      <c r="T331">
        <v>68.937</v>
      </c>
      <c r="U331">
        <v>3.732</v>
      </c>
      <c r="V331">
        <v>54.112</v>
      </c>
      <c r="W331">
        <v>0.01</v>
      </c>
      <c r="X331" t="s">
        <v>30</v>
      </c>
      <c r="Y331" t="s">
        <v>31</v>
      </c>
      <c r="Z331" s="3">
        <f t="shared" si="21"/>
        <v>-0.015031507583809</v>
      </c>
      <c r="AA331">
        <f t="shared" si="22"/>
        <v>0.304</v>
      </c>
      <c r="AB331">
        <f t="shared" si="23"/>
        <v>0.873</v>
      </c>
      <c r="AC331" t="s">
        <v>43</v>
      </c>
    </row>
    <row r="332" spans="1:29">
      <c r="A332" t="s">
        <v>49</v>
      </c>
      <c r="B332">
        <v>3941.5</v>
      </c>
      <c r="C332">
        <v>17.527</v>
      </c>
      <c r="D332">
        <v>69.212</v>
      </c>
      <c r="E332">
        <v>162.552</v>
      </c>
      <c r="F332">
        <v>0.244</v>
      </c>
      <c r="G332">
        <v>23.268</v>
      </c>
      <c r="H332">
        <v>1.506</v>
      </c>
      <c r="I332">
        <v>2.729</v>
      </c>
      <c r="J332">
        <v>0.33</v>
      </c>
      <c r="K332">
        <v>8.688</v>
      </c>
      <c r="L332">
        <v>0.682</v>
      </c>
      <c r="M332">
        <v>3.507</v>
      </c>
      <c r="N332">
        <v>67.736</v>
      </c>
      <c r="O332">
        <v>70.567</v>
      </c>
      <c r="P332">
        <f t="shared" si="20"/>
        <v>1.8308195467636</v>
      </c>
      <c r="Q332">
        <f t="shared" si="20"/>
        <v>1.84860165475679</v>
      </c>
      <c r="R332">
        <v>52.284</v>
      </c>
      <c r="S332">
        <v>56.08</v>
      </c>
      <c r="T332">
        <v>57.067</v>
      </c>
      <c r="U332">
        <v>4.337</v>
      </c>
      <c r="V332">
        <v>51.267</v>
      </c>
      <c r="W332">
        <v>0.01</v>
      </c>
      <c r="X332" t="s">
        <v>30</v>
      </c>
      <c r="Y332" t="s">
        <v>31</v>
      </c>
      <c r="Z332" s="3">
        <f t="shared" si="21"/>
        <v>-0.0177821079931952</v>
      </c>
      <c r="AA332">
        <f t="shared" si="22"/>
        <v>0.352</v>
      </c>
      <c r="AB332">
        <f t="shared" si="23"/>
        <v>0.926</v>
      </c>
      <c r="AC332" t="s">
        <v>43</v>
      </c>
    </row>
    <row r="333" spans="1:29">
      <c r="A333" t="s">
        <v>49</v>
      </c>
      <c r="B333">
        <v>3941.625</v>
      </c>
      <c r="C333">
        <v>17.951</v>
      </c>
      <c r="D333">
        <v>69.098</v>
      </c>
      <c r="E333">
        <v>163.196</v>
      </c>
      <c r="F333">
        <v>0.265</v>
      </c>
      <c r="G333">
        <v>23.178</v>
      </c>
      <c r="H333">
        <v>1.467</v>
      </c>
      <c r="I333">
        <v>2.723</v>
      </c>
      <c r="J333">
        <v>0.296</v>
      </c>
      <c r="K333">
        <v>8.559</v>
      </c>
      <c r="L333">
        <v>0.671</v>
      </c>
      <c r="M333">
        <v>3.472</v>
      </c>
      <c r="N333">
        <v>60.559</v>
      </c>
      <c r="O333">
        <v>63.467</v>
      </c>
      <c r="P333">
        <f t="shared" si="20"/>
        <v>1.78217869512366</v>
      </c>
      <c r="Q333">
        <f t="shared" si="20"/>
        <v>1.80254797028122</v>
      </c>
      <c r="R333">
        <v>45.363</v>
      </c>
      <c r="S333">
        <v>48.483</v>
      </c>
      <c r="T333">
        <v>49.232</v>
      </c>
      <c r="U333">
        <v>4.376</v>
      </c>
      <c r="V333">
        <v>56.299</v>
      </c>
      <c r="W333">
        <v>0.011</v>
      </c>
      <c r="X333" t="s">
        <v>30</v>
      </c>
      <c r="Y333" t="s">
        <v>31</v>
      </c>
      <c r="Z333" s="3">
        <f t="shared" si="21"/>
        <v>-0.0203692751575555</v>
      </c>
      <c r="AA333">
        <f t="shared" si="22"/>
        <v>0.375</v>
      </c>
      <c r="AB333">
        <f t="shared" si="23"/>
        <v>0.936</v>
      </c>
      <c r="AC333" t="s">
        <v>43</v>
      </c>
    </row>
    <row r="334" spans="1:29">
      <c r="A334" t="s">
        <v>49</v>
      </c>
      <c r="B334">
        <v>3941.75</v>
      </c>
      <c r="C334">
        <v>18.378</v>
      </c>
      <c r="D334">
        <v>68.988</v>
      </c>
      <c r="E334">
        <v>162.964</v>
      </c>
      <c r="F334">
        <v>0.257</v>
      </c>
      <c r="G334">
        <v>23.174</v>
      </c>
      <c r="H334">
        <v>1.438</v>
      </c>
      <c r="I334">
        <v>2.72</v>
      </c>
      <c r="J334">
        <v>0.279</v>
      </c>
      <c r="K334">
        <v>8.312</v>
      </c>
      <c r="L334">
        <v>0.649</v>
      </c>
      <c r="M334">
        <v>3.435</v>
      </c>
      <c r="N334">
        <v>60.391</v>
      </c>
      <c r="O334">
        <v>63.653</v>
      </c>
      <c r="P334">
        <f t="shared" si="20"/>
        <v>1.78097222104541</v>
      </c>
      <c r="Q334">
        <f t="shared" si="20"/>
        <v>1.8038188770037</v>
      </c>
      <c r="R334">
        <v>41.645</v>
      </c>
      <c r="S334">
        <v>44.37</v>
      </c>
      <c r="T334">
        <v>44.988</v>
      </c>
      <c r="U334">
        <v>4.019</v>
      </c>
      <c r="V334">
        <v>64.798</v>
      </c>
      <c r="W334">
        <v>0.011</v>
      </c>
      <c r="X334" t="s">
        <v>30</v>
      </c>
      <c r="Y334" t="s">
        <v>31</v>
      </c>
      <c r="Z334" s="3">
        <f t="shared" si="21"/>
        <v>-0.0228466559582827</v>
      </c>
      <c r="AA334">
        <f t="shared" si="22"/>
        <v>0.37</v>
      </c>
      <c r="AB334">
        <f t="shared" si="23"/>
        <v>0.906</v>
      </c>
      <c r="AC334" t="s">
        <v>43</v>
      </c>
    </row>
    <row r="335" spans="1:29">
      <c r="A335" t="s">
        <v>49</v>
      </c>
      <c r="B335">
        <v>3941.875</v>
      </c>
      <c r="C335">
        <v>18.87</v>
      </c>
      <c r="D335">
        <v>68.883</v>
      </c>
      <c r="E335">
        <v>161.92</v>
      </c>
      <c r="F335">
        <v>0.223</v>
      </c>
      <c r="G335">
        <v>23.212</v>
      </c>
      <c r="H335">
        <v>1.42</v>
      </c>
      <c r="I335">
        <v>2.716</v>
      </c>
      <c r="J335">
        <v>0.257</v>
      </c>
      <c r="K335">
        <v>8.101</v>
      </c>
      <c r="L335">
        <v>0.63</v>
      </c>
      <c r="M335">
        <v>3.404</v>
      </c>
      <c r="N335">
        <v>63.749</v>
      </c>
      <c r="O335">
        <v>67.559</v>
      </c>
      <c r="P335">
        <f t="shared" si="20"/>
        <v>1.8044733765901</v>
      </c>
      <c r="Q335">
        <f t="shared" si="20"/>
        <v>1.8296832125731</v>
      </c>
      <c r="R335">
        <v>40.355</v>
      </c>
      <c r="S335">
        <v>42.877</v>
      </c>
      <c r="T335">
        <v>43.425</v>
      </c>
      <c r="U335">
        <v>3.475</v>
      </c>
      <c r="V335">
        <v>75.551</v>
      </c>
      <c r="W335">
        <v>0.01</v>
      </c>
      <c r="X335" t="s">
        <v>30</v>
      </c>
      <c r="Y335" t="s">
        <v>31</v>
      </c>
      <c r="Z335" s="3">
        <f t="shared" si="21"/>
        <v>-0.0252098359829966</v>
      </c>
      <c r="AA335">
        <f t="shared" si="22"/>
        <v>0.373</v>
      </c>
      <c r="AB335">
        <f t="shared" si="23"/>
        <v>0.853</v>
      </c>
      <c r="AC335" t="s">
        <v>43</v>
      </c>
    </row>
    <row r="336" spans="1:29">
      <c r="A336" t="s">
        <v>49</v>
      </c>
      <c r="B336">
        <v>3942</v>
      </c>
      <c r="C336">
        <v>19.326</v>
      </c>
      <c r="D336">
        <v>68.783</v>
      </c>
      <c r="E336">
        <v>160.409</v>
      </c>
      <c r="F336">
        <v>0.173</v>
      </c>
      <c r="G336">
        <v>23.229</v>
      </c>
      <c r="H336">
        <v>1.412</v>
      </c>
      <c r="I336">
        <v>2.712</v>
      </c>
      <c r="J336">
        <v>0.235</v>
      </c>
      <c r="K336">
        <v>7.988</v>
      </c>
      <c r="L336">
        <v>0.621</v>
      </c>
      <c r="M336">
        <v>3.381</v>
      </c>
      <c r="N336">
        <v>68.908</v>
      </c>
      <c r="O336">
        <v>73.41</v>
      </c>
      <c r="P336">
        <f t="shared" si="20"/>
        <v>1.83826964504502</v>
      </c>
      <c r="Q336">
        <f t="shared" si="20"/>
        <v>1.86575522407145</v>
      </c>
      <c r="R336">
        <v>41.239</v>
      </c>
      <c r="S336">
        <v>43.72</v>
      </c>
      <c r="T336">
        <v>44.244</v>
      </c>
      <c r="U336">
        <v>3.486</v>
      </c>
      <c r="V336">
        <v>74.935</v>
      </c>
      <c r="W336">
        <v>0.01</v>
      </c>
      <c r="X336" t="s">
        <v>30</v>
      </c>
      <c r="Y336" t="s">
        <v>31</v>
      </c>
      <c r="Z336" s="3">
        <f t="shared" si="21"/>
        <v>-0.0274855790264299</v>
      </c>
      <c r="AA336">
        <f t="shared" si="22"/>
        <v>0.386</v>
      </c>
      <c r="AB336">
        <f t="shared" si="23"/>
        <v>0.794</v>
      </c>
      <c r="AC336" t="s">
        <v>43</v>
      </c>
    </row>
    <row r="337" spans="1:29">
      <c r="A337" t="s">
        <v>49</v>
      </c>
      <c r="B337">
        <v>3942.125</v>
      </c>
      <c r="C337">
        <v>19.496</v>
      </c>
      <c r="D337">
        <v>68.688</v>
      </c>
      <c r="E337">
        <v>158.998</v>
      </c>
      <c r="F337">
        <v>0.126</v>
      </c>
      <c r="G337">
        <v>23.209</v>
      </c>
      <c r="H337">
        <v>1.416</v>
      </c>
      <c r="I337">
        <v>2.709</v>
      </c>
      <c r="J337">
        <v>0.218</v>
      </c>
      <c r="K337">
        <v>7.914</v>
      </c>
      <c r="L337">
        <v>0.614</v>
      </c>
      <c r="M337">
        <v>3.364</v>
      </c>
      <c r="N337">
        <v>72.835</v>
      </c>
      <c r="O337">
        <v>77.979</v>
      </c>
      <c r="P337">
        <f t="shared" si="20"/>
        <v>1.8623401245619</v>
      </c>
      <c r="Q337">
        <f t="shared" si="20"/>
        <v>1.89197766151026</v>
      </c>
      <c r="R337">
        <v>44.062</v>
      </c>
      <c r="S337">
        <v>46.643</v>
      </c>
      <c r="T337">
        <v>47.182</v>
      </c>
      <c r="U337">
        <v>3.503</v>
      </c>
      <c r="V337">
        <v>72.257</v>
      </c>
      <c r="W337">
        <v>0.01</v>
      </c>
      <c r="X337" t="s">
        <v>30</v>
      </c>
      <c r="Y337" t="s">
        <v>31</v>
      </c>
      <c r="Z337" s="3">
        <f t="shared" si="21"/>
        <v>-0.0296375369483541</v>
      </c>
      <c r="AA337">
        <f t="shared" si="22"/>
        <v>0.396</v>
      </c>
      <c r="AB337">
        <f t="shared" si="23"/>
        <v>0.74</v>
      </c>
      <c r="AC337" t="s">
        <v>43</v>
      </c>
    </row>
    <row r="338" spans="1:29">
      <c r="A338" t="s">
        <v>49</v>
      </c>
      <c r="B338">
        <v>3942.25</v>
      </c>
      <c r="C338">
        <v>19.234</v>
      </c>
      <c r="D338">
        <v>68.599</v>
      </c>
      <c r="E338">
        <v>158.261</v>
      </c>
      <c r="F338">
        <v>0.101</v>
      </c>
      <c r="G338">
        <v>23.193</v>
      </c>
      <c r="H338">
        <v>1.429</v>
      </c>
      <c r="I338">
        <v>2.708</v>
      </c>
      <c r="J338">
        <v>0.212</v>
      </c>
      <c r="K338">
        <v>7.832</v>
      </c>
      <c r="L338">
        <v>0.607</v>
      </c>
      <c r="M338">
        <v>3.351</v>
      </c>
      <c r="N338">
        <v>73.161</v>
      </c>
      <c r="O338">
        <v>78.645</v>
      </c>
      <c r="P338">
        <f t="shared" si="20"/>
        <v>1.86427963299238</v>
      </c>
      <c r="Q338">
        <f t="shared" si="20"/>
        <v>1.8956711167694</v>
      </c>
      <c r="R338">
        <v>47.775</v>
      </c>
      <c r="S338">
        <v>50.543</v>
      </c>
      <c r="T338">
        <v>51.13</v>
      </c>
      <c r="U338">
        <v>3.519</v>
      </c>
      <c r="V338">
        <v>69.487</v>
      </c>
      <c r="W338">
        <v>0.01</v>
      </c>
      <c r="X338" t="s">
        <v>30</v>
      </c>
      <c r="Y338" t="s">
        <v>31</v>
      </c>
      <c r="Z338" s="3">
        <f t="shared" si="21"/>
        <v>-0.0313914837770288</v>
      </c>
      <c r="AA338">
        <f t="shared" si="22"/>
        <v>0.395</v>
      </c>
      <c r="AB338">
        <f t="shared" si="23"/>
        <v>0.708</v>
      </c>
      <c r="AC338" t="s">
        <v>43</v>
      </c>
    </row>
    <row r="339" spans="1:29">
      <c r="A339" t="s">
        <v>49</v>
      </c>
      <c r="B339">
        <v>3942.375</v>
      </c>
      <c r="C339">
        <v>18.601</v>
      </c>
      <c r="D339">
        <v>68.515</v>
      </c>
      <c r="E339">
        <v>158.405</v>
      </c>
      <c r="F339">
        <v>0.106</v>
      </c>
      <c r="G339">
        <v>23.214</v>
      </c>
      <c r="H339">
        <v>1.443</v>
      </c>
      <c r="I339">
        <v>2.709</v>
      </c>
      <c r="J339">
        <v>0.218</v>
      </c>
      <c r="K339">
        <v>7.732</v>
      </c>
      <c r="L339">
        <v>0.598</v>
      </c>
      <c r="M339">
        <v>3.34</v>
      </c>
      <c r="N339">
        <v>70.766</v>
      </c>
      <c r="O339">
        <v>76.23</v>
      </c>
      <c r="P339">
        <f t="shared" si="20"/>
        <v>1.84982464809893</v>
      </c>
      <c r="Q339">
        <f t="shared" si="20"/>
        <v>1.88212591977003</v>
      </c>
      <c r="R339">
        <v>49.983</v>
      </c>
      <c r="S339">
        <v>52.888</v>
      </c>
      <c r="T339">
        <v>53.525</v>
      </c>
      <c r="U339">
        <v>3.535</v>
      </c>
      <c r="V339">
        <v>67.305</v>
      </c>
      <c r="W339">
        <v>0.01</v>
      </c>
      <c r="X339" t="s">
        <v>30</v>
      </c>
      <c r="Y339" t="s">
        <v>31</v>
      </c>
      <c r="Z339" s="3">
        <f t="shared" si="21"/>
        <v>-0.0323012716711055</v>
      </c>
      <c r="AA339">
        <f t="shared" si="22"/>
        <v>0.38</v>
      </c>
      <c r="AB339">
        <f t="shared" si="23"/>
        <v>0.704</v>
      </c>
      <c r="AC339" t="s">
        <v>43</v>
      </c>
    </row>
    <row r="340" spans="1:29">
      <c r="A340" t="s">
        <v>49</v>
      </c>
      <c r="B340">
        <v>3942.5</v>
      </c>
      <c r="C340">
        <v>17.756</v>
      </c>
      <c r="D340">
        <v>68.436</v>
      </c>
      <c r="E340">
        <v>159.216</v>
      </c>
      <c r="F340">
        <v>0.133</v>
      </c>
      <c r="G340">
        <v>23.254</v>
      </c>
      <c r="H340">
        <v>1.443</v>
      </c>
      <c r="I340">
        <v>2.711</v>
      </c>
      <c r="J340">
        <v>0.229</v>
      </c>
      <c r="K340">
        <v>7.613</v>
      </c>
      <c r="L340">
        <v>0.588</v>
      </c>
      <c r="M340">
        <v>3.329</v>
      </c>
      <c r="N340">
        <v>67.763</v>
      </c>
      <c r="O340">
        <v>72.955</v>
      </c>
      <c r="P340">
        <f t="shared" si="20"/>
        <v>1.83099262481091</v>
      </c>
      <c r="Q340">
        <f t="shared" si="20"/>
        <v>1.86305506179488</v>
      </c>
      <c r="R340">
        <v>48.764</v>
      </c>
      <c r="S340">
        <v>51.609</v>
      </c>
      <c r="T340">
        <v>52.245</v>
      </c>
      <c r="U340">
        <v>3.549</v>
      </c>
      <c r="V340">
        <v>67.413</v>
      </c>
      <c r="W340">
        <v>0.01</v>
      </c>
      <c r="X340" t="s">
        <v>30</v>
      </c>
      <c r="Y340" t="s">
        <v>31</v>
      </c>
      <c r="Z340" s="3">
        <f t="shared" si="21"/>
        <v>-0.0320624369839642</v>
      </c>
      <c r="AA340">
        <f t="shared" si="22"/>
        <v>0.359</v>
      </c>
      <c r="AB340">
        <f t="shared" si="23"/>
        <v>0.721</v>
      </c>
      <c r="AC340" t="s">
        <v>43</v>
      </c>
    </row>
    <row r="341" spans="1:29">
      <c r="A341" t="s">
        <v>49</v>
      </c>
      <c r="B341">
        <v>3942.625</v>
      </c>
      <c r="C341">
        <v>17.021</v>
      </c>
      <c r="D341">
        <v>68.365</v>
      </c>
      <c r="E341">
        <v>160.204</v>
      </c>
      <c r="F341">
        <v>0.166</v>
      </c>
      <c r="G341">
        <v>23.277</v>
      </c>
      <c r="H341">
        <v>1.421</v>
      </c>
      <c r="I341">
        <v>2.715</v>
      </c>
      <c r="J341">
        <v>0.251</v>
      </c>
      <c r="K341">
        <v>7.465</v>
      </c>
      <c r="L341">
        <v>0.574</v>
      </c>
      <c r="M341">
        <v>3.318</v>
      </c>
      <c r="N341">
        <v>65.577</v>
      </c>
      <c r="O341">
        <v>70.386</v>
      </c>
      <c r="P341">
        <f t="shared" si="20"/>
        <v>1.81675154479374</v>
      </c>
      <c r="Q341">
        <f t="shared" si="20"/>
        <v>1.84748628517358</v>
      </c>
      <c r="R341">
        <v>43.292</v>
      </c>
      <c r="S341">
        <v>45.789</v>
      </c>
      <c r="T341">
        <v>46.344</v>
      </c>
      <c r="U341">
        <v>3.555</v>
      </c>
      <c r="V341">
        <v>71.085</v>
      </c>
      <c r="W341">
        <v>0.01</v>
      </c>
      <c r="X341" t="s">
        <v>30</v>
      </c>
      <c r="Y341" t="s">
        <v>31</v>
      </c>
      <c r="Z341" s="3">
        <f t="shared" si="21"/>
        <v>-0.0307347403798408</v>
      </c>
      <c r="AA341">
        <f t="shared" si="22"/>
        <v>0.323</v>
      </c>
      <c r="AB341">
        <f t="shared" si="23"/>
        <v>0.74</v>
      </c>
      <c r="AC341" t="s">
        <v>43</v>
      </c>
    </row>
    <row r="342" spans="1:29">
      <c r="A342" t="s">
        <v>49</v>
      </c>
      <c r="B342">
        <v>3942.75</v>
      </c>
      <c r="C342">
        <v>16.624</v>
      </c>
      <c r="D342">
        <v>68.299</v>
      </c>
      <c r="E342">
        <v>160.862</v>
      </c>
      <c r="F342">
        <v>0.188</v>
      </c>
      <c r="G342">
        <v>23.273</v>
      </c>
      <c r="H342">
        <v>1.382</v>
      </c>
      <c r="I342">
        <v>2.719</v>
      </c>
      <c r="J342">
        <v>0.274</v>
      </c>
      <c r="K342">
        <v>7.289</v>
      </c>
      <c r="L342">
        <v>0.559</v>
      </c>
      <c r="M342">
        <v>3.307</v>
      </c>
      <c r="N342">
        <v>64.253</v>
      </c>
      <c r="O342">
        <v>68.629</v>
      </c>
      <c r="P342">
        <f t="shared" si="20"/>
        <v>1.80789340987149</v>
      </c>
      <c r="Q342">
        <f t="shared" si="20"/>
        <v>1.83650767078859</v>
      </c>
      <c r="R342">
        <v>35.641</v>
      </c>
      <c r="S342">
        <v>37.627</v>
      </c>
      <c r="T342">
        <v>38.052</v>
      </c>
      <c r="U342">
        <v>3.177</v>
      </c>
      <c r="V342">
        <v>84.461</v>
      </c>
      <c r="W342">
        <v>0.01</v>
      </c>
      <c r="X342" t="s">
        <v>30</v>
      </c>
      <c r="Y342" t="s">
        <v>31</v>
      </c>
      <c r="Z342" s="3">
        <f t="shared" si="21"/>
        <v>-0.0286142609170983</v>
      </c>
      <c r="AA342">
        <f t="shared" si="22"/>
        <v>0.285</v>
      </c>
      <c r="AB342">
        <f t="shared" si="23"/>
        <v>0.747</v>
      </c>
      <c r="AC342" t="s">
        <v>43</v>
      </c>
    </row>
    <row r="343" spans="1:29">
      <c r="A343" t="s">
        <v>49</v>
      </c>
      <c r="B343">
        <v>3942.875</v>
      </c>
      <c r="C343">
        <v>16.308</v>
      </c>
      <c r="D343">
        <v>68.24</v>
      </c>
      <c r="E343">
        <v>160.885</v>
      </c>
      <c r="F343">
        <v>0.188</v>
      </c>
      <c r="G343">
        <v>23.264</v>
      </c>
      <c r="H343">
        <v>1.336</v>
      </c>
      <c r="I343">
        <v>2.723</v>
      </c>
      <c r="J343">
        <v>0.296</v>
      </c>
      <c r="K343">
        <v>7.091</v>
      </c>
      <c r="L343">
        <v>0.542</v>
      </c>
      <c r="M343">
        <v>3.3</v>
      </c>
      <c r="N343">
        <v>63.746</v>
      </c>
      <c r="O343">
        <v>67.652</v>
      </c>
      <c r="P343">
        <f t="shared" si="20"/>
        <v>1.80445293840121</v>
      </c>
      <c r="Q343">
        <f t="shared" si="20"/>
        <v>1.83028064019639</v>
      </c>
      <c r="R343">
        <v>30.381</v>
      </c>
      <c r="S343">
        <v>32.041</v>
      </c>
      <c r="T343">
        <v>32.392</v>
      </c>
      <c r="U343">
        <v>2.61</v>
      </c>
      <c r="V343">
        <v>100</v>
      </c>
      <c r="W343">
        <v>0.01</v>
      </c>
      <c r="X343" t="s">
        <v>30</v>
      </c>
      <c r="Y343" t="s">
        <v>31</v>
      </c>
      <c r="Z343" s="3">
        <f t="shared" si="21"/>
        <v>-0.0258277017951705</v>
      </c>
      <c r="AA343">
        <f t="shared" si="22"/>
        <v>0.246</v>
      </c>
      <c r="AB343">
        <f t="shared" si="23"/>
        <v>0.73</v>
      </c>
      <c r="AC343" t="s">
        <v>43</v>
      </c>
    </row>
    <row r="344" spans="1:29">
      <c r="A344" t="s">
        <v>49</v>
      </c>
      <c r="B344">
        <v>3943</v>
      </c>
      <c r="C344">
        <v>15.688</v>
      </c>
      <c r="D344">
        <v>68.186</v>
      </c>
      <c r="E344">
        <v>160.224</v>
      </c>
      <c r="F344">
        <v>0.166</v>
      </c>
      <c r="G344">
        <v>23.27</v>
      </c>
      <c r="H344">
        <v>1.283</v>
      </c>
      <c r="I344">
        <v>2.728</v>
      </c>
      <c r="J344">
        <v>0.324</v>
      </c>
      <c r="K344">
        <v>6.859</v>
      </c>
      <c r="L344">
        <v>0.521</v>
      </c>
      <c r="M344">
        <v>3.294</v>
      </c>
      <c r="N344">
        <v>64.985</v>
      </c>
      <c r="O344">
        <v>68.421</v>
      </c>
      <c r="P344">
        <f t="shared" si="20"/>
        <v>1.81281312327351</v>
      </c>
      <c r="Q344">
        <f t="shared" si="20"/>
        <v>1.8351894172812</v>
      </c>
      <c r="R344">
        <v>31.182</v>
      </c>
      <c r="S344">
        <v>32.99</v>
      </c>
      <c r="T344">
        <v>33.415</v>
      </c>
      <c r="U344">
        <v>2.595</v>
      </c>
      <c r="V344">
        <v>100</v>
      </c>
      <c r="W344">
        <v>0.01</v>
      </c>
      <c r="X344" t="s">
        <v>30</v>
      </c>
      <c r="Y344" t="s">
        <v>31</v>
      </c>
      <c r="Z344" s="3">
        <f t="shared" si="21"/>
        <v>-0.022376294007695</v>
      </c>
      <c r="AA344">
        <f t="shared" si="22"/>
        <v>0.197</v>
      </c>
      <c r="AB344">
        <f t="shared" si="23"/>
        <v>0.687</v>
      </c>
      <c r="AC344" t="s">
        <v>43</v>
      </c>
    </row>
    <row r="345" spans="1:29">
      <c r="A345" t="s">
        <v>50</v>
      </c>
      <c r="B345">
        <v>4141.5</v>
      </c>
      <c r="C345">
        <v>32.06</v>
      </c>
      <c r="D345">
        <v>129.499</v>
      </c>
      <c r="E345">
        <v>166.308</v>
      </c>
      <c r="F345">
        <v>0.18</v>
      </c>
      <c r="G345">
        <v>22.08</v>
      </c>
      <c r="H345">
        <v>2.39</v>
      </c>
      <c r="I345">
        <v>2.72</v>
      </c>
      <c r="J345">
        <v>0.604</v>
      </c>
      <c r="K345">
        <v>10.664</v>
      </c>
      <c r="L345">
        <v>0.861</v>
      </c>
      <c r="M345">
        <v>3.453</v>
      </c>
      <c r="N345">
        <v>118.286</v>
      </c>
      <c r="O345">
        <v>112.68</v>
      </c>
      <c r="P345">
        <f t="shared" si="20"/>
        <v>2.07293334578984</v>
      </c>
      <c r="Q345">
        <f t="shared" si="20"/>
        <v>2.05184683831374</v>
      </c>
      <c r="R345">
        <v>112.68</v>
      </c>
      <c r="S345">
        <v>112.68</v>
      </c>
      <c r="T345">
        <v>118.286</v>
      </c>
      <c r="U345">
        <v>4.352</v>
      </c>
      <c r="V345">
        <v>54.847</v>
      </c>
      <c r="W345">
        <v>0.024</v>
      </c>
      <c r="X345" t="s">
        <v>30</v>
      </c>
      <c r="Y345" t="s">
        <v>31</v>
      </c>
      <c r="Z345" s="3">
        <f t="shared" si="21"/>
        <v>0.0210865074761086</v>
      </c>
      <c r="AA345">
        <f t="shared" si="22"/>
        <v>0.257</v>
      </c>
      <c r="AB345">
        <f t="shared" si="23"/>
        <v>1.041</v>
      </c>
      <c r="AC345" t="s">
        <v>43</v>
      </c>
    </row>
    <row r="346" spans="1:29">
      <c r="A346" t="s">
        <v>50</v>
      </c>
      <c r="B346">
        <v>4141.625</v>
      </c>
      <c r="C346">
        <v>26.735</v>
      </c>
      <c r="D346">
        <v>129.587</v>
      </c>
      <c r="E346">
        <v>168.07</v>
      </c>
      <c r="F346">
        <v>0.221</v>
      </c>
      <c r="G346">
        <v>22.075</v>
      </c>
      <c r="H346">
        <v>2.061</v>
      </c>
      <c r="I346">
        <v>2.712</v>
      </c>
      <c r="J346">
        <v>0.56</v>
      </c>
      <c r="K346">
        <v>11.233</v>
      </c>
      <c r="L346">
        <v>0.935</v>
      </c>
      <c r="M346">
        <v>3.433</v>
      </c>
      <c r="N346">
        <v>98</v>
      </c>
      <c r="O346">
        <v>94.034</v>
      </c>
      <c r="P346">
        <f t="shared" si="20"/>
        <v>1.99122607569249</v>
      </c>
      <c r="Q346">
        <f t="shared" si="20"/>
        <v>1.97328491043565</v>
      </c>
      <c r="R346">
        <v>94.034</v>
      </c>
      <c r="S346">
        <v>94.034</v>
      </c>
      <c r="T346">
        <v>98</v>
      </c>
      <c r="U346">
        <v>5.067</v>
      </c>
      <c r="V346">
        <v>52.139</v>
      </c>
      <c r="W346">
        <v>0.048</v>
      </c>
      <c r="X346" t="s">
        <v>30</v>
      </c>
      <c r="Y346" t="s">
        <v>31</v>
      </c>
      <c r="Z346" s="3">
        <f t="shared" si="21"/>
        <v>0.0179411652568449</v>
      </c>
      <c r="AA346">
        <f t="shared" si="22"/>
        <v>0.375</v>
      </c>
      <c r="AB346">
        <f t="shared" si="23"/>
        <v>1.156</v>
      </c>
      <c r="AC346" t="s">
        <v>43</v>
      </c>
    </row>
    <row r="347" spans="1:29">
      <c r="A347" t="s">
        <v>50</v>
      </c>
      <c r="B347">
        <v>4141.75</v>
      </c>
      <c r="C347">
        <v>23.836</v>
      </c>
      <c r="D347">
        <v>129.976</v>
      </c>
      <c r="E347">
        <v>170.065</v>
      </c>
      <c r="F347">
        <v>0.268</v>
      </c>
      <c r="G347">
        <v>22.059</v>
      </c>
      <c r="H347">
        <v>1.836</v>
      </c>
      <c r="I347">
        <v>2.7</v>
      </c>
      <c r="J347">
        <v>0.495</v>
      </c>
      <c r="K347">
        <v>11.458</v>
      </c>
      <c r="L347">
        <v>0.965</v>
      </c>
      <c r="M347">
        <v>3.414</v>
      </c>
      <c r="N347">
        <v>83.133</v>
      </c>
      <c r="O347">
        <v>80.143</v>
      </c>
      <c r="P347">
        <f t="shared" si="20"/>
        <v>1.91977345306219</v>
      </c>
      <c r="Q347">
        <f t="shared" si="20"/>
        <v>1.90386559538468</v>
      </c>
      <c r="R347">
        <v>80.143</v>
      </c>
      <c r="S347">
        <v>80.143</v>
      </c>
      <c r="T347">
        <v>83.133</v>
      </c>
      <c r="U347">
        <v>5.528</v>
      </c>
      <c r="V347">
        <v>52.052</v>
      </c>
      <c r="W347">
        <v>0.07</v>
      </c>
      <c r="X347" t="s">
        <v>30</v>
      </c>
      <c r="Y347" t="s">
        <v>31</v>
      </c>
      <c r="Z347" s="3">
        <f t="shared" si="21"/>
        <v>0.0159078576775094</v>
      </c>
      <c r="AA347">
        <f t="shared" si="22"/>
        <v>0.47</v>
      </c>
      <c r="AB347">
        <f t="shared" si="23"/>
        <v>1.233</v>
      </c>
      <c r="AC347" t="s">
        <v>43</v>
      </c>
    </row>
    <row r="348" spans="1:29">
      <c r="A348" t="s">
        <v>50</v>
      </c>
      <c r="B348">
        <v>4141.875</v>
      </c>
      <c r="C348">
        <v>22.431</v>
      </c>
      <c r="D348">
        <v>130.347</v>
      </c>
      <c r="E348">
        <v>171.932</v>
      </c>
      <c r="F348">
        <v>0.311</v>
      </c>
      <c r="G348">
        <v>22.021</v>
      </c>
      <c r="H348">
        <v>1.78</v>
      </c>
      <c r="I348">
        <v>2.688</v>
      </c>
      <c r="J348">
        <v>0.429</v>
      </c>
      <c r="K348">
        <v>11.727</v>
      </c>
      <c r="L348">
        <v>1</v>
      </c>
      <c r="M348">
        <v>3.392</v>
      </c>
      <c r="N348">
        <v>75.649</v>
      </c>
      <c r="O348">
        <v>72.979</v>
      </c>
      <c r="P348">
        <f t="shared" si="20"/>
        <v>1.87880319148211</v>
      </c>
      <c r="Q348">
        <f t="shared" si="20"/>
        <v>1.86319790811801</v>
      </c>
      <c r="R348">
        <v>72.979</v>
      </c>
      <c r="S348">
        <v>72.979</v>
      </c>
      <c r="T348">
        <v>75.649</v>
      </c>
      <c r="U348">
        <v>5.808</v>
      </c>
      <c r="V348">
        <v>52.027</v>
      </c>
      <c r="W348">
        <v>0.087</v>
      </c>
      <c r="X348" t="s">
        <v>30</v>
      </c>
      <c r="Y348" t="s">
        <v>31</v>
      </c>
      <c r="Z348" s="3">
        <f t="shared" si="21"/>
        <v>0.015605283364104</v>
      </c>
      <c r="AA348">
        <f t="shared" si="22"/>
        <v>0.571</v>
      </c>
      <c r="AB348">
        <f t="shared" si="23"/>
        <v>1.311</v>
      </c>
      <c r="AC348" t="s">
        <v>43</v>
      </c>
    </row>
    <row r="349" spans="1:29">
      <c r="A349" t="s">
        <v>50</v>
      </c>
      <c r="B349">
        <v>4142</v>
      </c>
      <c r="C349">
        <v>21.8</v>
      </c>
      <c r="D349">
        <v>130.744</v>
      </c>
      <c r="E349">
        <v>173.364</v>
      </c>
      <c r="F349">
        <v>0.344</v>
      </c>
      <c r="G349">
        <v>21.971</v>
      </c>
      <c r="H349">
        <v>1.746</v>
      </c>
      <c r="I349">
        <v>2.678</v>
      </c>
      <c r="J349">
        <v>0.374</v>
      </c>
      <c r="K349">
        <v>11.727</v>
      </c>
      <c r="L349">
        <v>1</v>
      </c>
      <c r="M349">
        <v>3.392</v>
      </c>
      <c r="N349">
        <v>75.468</v>
      </c>
      <c r="O349">
        <v>72.632</v>
      </c>
      <c r="P349">
        <f t="shared" si="20"/>
        <v>1.87776284077617</v>
      </c>
      <c r="Q349">
        <f t="shared" si="20"/>
        <v>1.86112800309028</v>
      </c>
      <c r="R349">
        <v>72.632</v>
      </c>
      <c r="S349">
        <v>72.632</v>
      </c>
      <c r="T349">
        <v>75.468</v>
      </c>
      <c r="U349">
        <v>5.98</v>
      </c>
      <c r="V349">
        <v>50.695</v>
      </c>
      <c r="W349">
        <v>0.099</v>
      </c>
      <c r="X349" t="s">
        <v>30</v>
      </c>
      <c r="Y349" t="s">
        <v>31</v>
      </c>
      <c r="Z349" s="3">
        <f t="shared" si="21"/>
        <v>0.016634837685892</v>
      </c>
      <c r="AA349">
        <f t="shared" si="22"/>
        <v>0.626</v>
      </c>
      <c r="AB349">
        <f t="shared" si="23"/>
        <v>1.344</v>
      </c>
      <c r="AC349" t="s">
        <v>43</v>
      </c>
    </row>
    <row r="350" spans="1:29">
      <c r="A350" t="s">
        <v>50</v>
      </c>
      <c r="B350">
        <v>4142.125</v>
      </c>
      <c r="C350">
        <v>21.607</v>
      </c>
      <c r="D350">
        <v>130.744</v>
      </c>
      <c r="E350">
        <v>174.153</v>
      </c>
      <c r="F350">
        <v>0.363</v>
      </c>
      <c r="G350">
        <v>21.93</v>
      </c>
      <c r="H350">
        <v>1.703</v>
      </c>
      <c r="I350">
        <v>2.67</v>
      </c>
      <c r="J350">
        <v>0.33</v>
      </c>
      <c r="K350">
        <v>11.727</v>
      </c>
      <c r="L350">
        <v>1</v>
      </c>
      <c r="M350">
        <v>3.392</v>
      </c>
      <c r="N350">
        <v>80.38</v>
      </c>
      <c r="O350">
        <v>77.001</v>
      </c>
      <c r="P350">
        <f t="shared" si="20"/>
        <v>1.90514800185602</v>
      </c>
      <c r="Q350">
        <f t="shared" si="20"/>
        <v>1.88649636532393</v>
      </c>
      <c r="R350">
        <v>77.001</v>
      </c>
      <c r="S350">
        <v>77.001</v>
      </c>
      <c r="T350">
        <v>80.38</v>
      </c>
      <c r="U350">
        <v>6.082</v>
      </c>
      <c r="V350">
        <v>48.414</v>
      </c>
      <c r="W350">
        <v>0.106</v>
      </c>
      <c r="X350" t="s">
        <v>30</v>
      </c>
      <c r="Y350" t="s">
        <v>31</v>
      </c>
      <c r="Z350" s="3">
        <f t="shared" si="21"/>
        <v>0.0186516365320817</v>
      </c>
      <c r="AA350">
        <f t="shared" si="22"/>
        <v>0.67</v>
      </c>
      <c r="AB350">
        <f t="shared" si="23"/>
        <v>1.363</v>
      </c>
      <c r="AC350" t="s">
        <v>43</v>
      </c>
    </row>
    <row r="351" spans="1:29">
      <c r="A351" t="s">
        <v>50</v>
      </c>
      <c r="B351">
        <v>4142.25</v>
      </c>
      <c r="C351">
        <v>22.087</v>
      </c>
      <c r="D351">
        <v>131.322</v>
      </c>
      <c r="E351">
        <v>174.24</v>
      </c>
      <c r="F351">
        <v>0.365</v>
      </c>
      <c r="G351">
        <v>21.903</v>
      </c>
      <c r="H351">
        <v>1.679</v>
      </c>
      <c r="I351">
        <v>2.662</v>
      </c>
      <c r="J351">
        <v>0.286</v>
      </c>
      <c r="K351">
        <v>11.727</v>
      </c>
      <c r="L351">
        <v>1</v>
      </c>
      <c r="M351">
        <v>3.392</v>
      </c>
      <c r="N351">
        <v>88.047</v>
      </c>
      <c r="O351">
        <v>83.884</v>
      </c>
      <c r="P351">
        <f t="shared" si="20"/>
        <v>1.94471456296494</v>
      </c>
      <c r="Q351">
        <f t="shared" si="20"/>
        <v>1.92367913157524</v>
      </c>
      <c r="R351">
        <v>83.884</v>
      </c>
      <c r="S351">
        <v>83.884</v>
      </c>
      <c r="T351">
        <v>88.047</v>
      </c>
      <c r="U351">
        <v>6.093</v>
      </c>
      <c r="V351">
        <v>46.264</v>
      </c>
      <c r="W351">
        <v>0.107</v>
      </c>
      <c r="X351" t="s">
        <v>30</v>
      </c>
      <c r="Y351" t="s">
        <v>31</v>
      </c>
      <c r="Z351" s="3">
        <f t="shared" si="21"/>
        <v>0.021035431389707</v>
      </c>
      <c r="AA351">
        <f t="shared" si="22"/>
        <v>0.714</v>
      </c>
      <c r="AB351">
        <f t="shared" si="23"/>
        <v>1.365</v>
      </c>
      <c r="AC351" t="s">
        <v>43</v>
      </c>
    </row>
    <row r="352" spans="1:29">
      <c r="A352" t="s">
        <v>50</v>
      </c>
      <c r="B352">
        <v>4142.375</v>
      </c>
      <c r="C352">
        <v>22.612</v>
      </c>
      <c r="D352">
        <v>131.45</v>
      </c>
      <c r="E352">
        <v>173.754</v>
      </c>
      <c r="F352">
        <v>0.353</v>
      </c>
      <c r="G352">
        <v>21.881</v>
      </c>
      <c r="H352">
        <v>1.677</v>
      </c>
      <c r="I352">
        <v>2.662</v>
      </c>
      <c r="J352">
        <v>0.286</v>
      </c>
      <c r="K352">
        <v>11.727</v>
      </c>
      <c r="L352">
        <v>1</v>
      </c>
      <c r="M352">
        <v>3.379</v>
      </c>
      <c r="N352">
        <v>94.58</v>
      </c>
      <c r="O352">
        <v>89.777</v>
      </c>
      <c r="P352">
        <f t="shared" si="20"/>
        <v>1.97579930967941</v>
      </c>
      <c r="Q352">
        <f t="shared" si="20"/>
        <v>1.95316508886677</v>
      </c>
      <c r="R352">
        <v>89.777</v>
      </c>
      <c r="S352">
        <v>89.777</v>
      </c>
      <c r="T352">
        <v>94.58</v>
      </c>
      <c r="U352">
        <v>6.027</v>
      </c>
      <c r="V352">
        <v>45.149</v>
      </c>
      <c r="W352">
        <v>0.102</v>
      </c>
      <c r="X352" t="s">
        <v>30</v>
      </c>
      <c r="Y352" t="s">
        <v>31</v>
      </c>
      <c r="Z352" s="3">
        <f t="shared" si="21"/>
        <v>0.0226342208126389</v>
      </c>
      <c r="AA352">
        <f t="shared" si="22"/>
        <v>0.714</v>
      </c>
      <c r="AB352">
        <f t="shared" si="23"/>
        <v>1.353</v>
      </c>
      <c r="AC352" t="s">
        <v>43</v>
      </c>
    </row>
    <row r="353" spans="1:29">
      <c r="A353" t="s">
        <v>50</v>
      </c>
      <c r="B353">
        <v>4142.5</v>
      </c>
      <c r="C353">
        <v>22.468</v>
      </c>
      <c r="D353">
        <v>132.277</v>
      </c>
      <c r="E353">
        <v>173.007</v>
      </c>
      <c r="F353">
        <v>0.336</v>
      </c>
      <c r="G353">
        <v>21.865</v>
      </c>
      <c r="H353">
        <v>1.681</v>
      </c>
      <c r="I353">
        <v>2.662</v>
      </c>
      <c r="J353">
        <v>0.286</v>
      </c>
      <c r="K353">
        <v>11.656</v>
      </c>
      <c r="L353">
        <v>0.991</v>
      </c>
      <c r="M353">
        <v>3.338</v>
      </c>
      <c r="N353">
        <v>97.347</v>
      </c>
      <c r="O353">
        <v>92.3</v>
      </c>
      <c r="P353">
        <f t="shared" si="20"/>
        <v>1.9883225721527</v>
      </c>
      <c r="Q353">
        <f t="shared" si="20"/>
        <v>1.96520170102591</v>
      </c>
      <c r="R353">
        <v>92.3</v>
      </c>
      <c r="S353">
        <v>92.3</v>
      </c>
      <c r="T353">
        <v>97.347</v>
      </c>
      <c r="U353">
        <v>6.045</v>
      </c>
      <c r="V353">
        <v>44.405</v>
      </c>
      <c r="W353">
        <v>0.104</v>
      </c>
      <c r="X353" t="s">
        <v>30</v>
      </c>
      <c r="Y353" t="s">
        <v>31</v>
      </c>
      <c r="Z353" s="3">
        <f t="shared" si="21"/>
        <v>0.0231208711267861</v>
      </c>
      <c r="AA353">
        <f t="shared" si="22"/>
        <v>0.705</v>
      </c>
      <c r="AB353">
        <f t="shared" si="23"/>
        <v>1.327</v>
      </c>
      <c r="AC353" t="s">
        <v>43</v>
      </c>
    </row>
    <row r="354" spans="1:29">
      <c r="A354" t="s">
        <v>51</v>
      </c>
      <c r="B354">
        <v>3830</v>
      </c>
      <c r="C354">
        <v>20.959</v>
      </c>
      <c r="D354">
        <v>73.496</v>
      </c>
      <c r="E354">
        <v>168.409</v>
      </c>
      <c r="F354">
        <v>0.239</v>
      </c>
      <c r="G354">
        <v>22.658</v>
      </c>
      <c r="H354">
        <v>2.432</v>
      </c>
      <c r="I354">
        <v>2.701</v>
      </c>
      <c r="J354">
        <v>0.653</v>
      </c>
      <c r="K354">
        <v>6.801</v>
      </c>
      <c r="L354">
        <v>0.322</v>
      </c>
      <c r="M354">
        <v>2.777</v>
      </c>
      <c r="N354">
        <v>101.624</v>
      </c>
      <c r="O354">
        <v>102.073</v>
      </c>
      <c r="P354">
        <f t="shared" si="20"/>
        <v>2.00699628508066</v>
      </c>
      <c r="Q354">
        <f t="shared" si="20"/>
        <v>2.00891087919045</v>
      </c>
      <c r="R354">
        <v>47.052</v>
      </c>
      <c r="S354">
        <v>-9999</v>
      </c>
      <c r="T354">
        <v>53.392</v>
      </c>
      <c r="U354">
        <v>3.548</v>
      </c>
      <c r="V354">
        <v>56.131</v>
      </c>
      <c r="W354">
        <v>0.01</v>
      </c>
      <c r="X354" t="s">
        <v>30</v>
      </c>
      <c r="Y354" t="s">
        <v>31</v>
      </c>
      <c r="Z354" s="3">
        <f t="shared" si="21"/>
        <v>-0.00191459410978556</v>
      </c>
      <c r="AA354">
        <f t="shared" si="22"/>
        <v>-0.331</v>
      </c>
      <c r="AB354">
        <f t="shared" si="23"/>
        <v>0.561</v>
      </c>
      <c r="AC354" t="s">
        <v>43</v>
      </c>
    </row>
    <row r="355" spans="1:29">
      <c r="A355" t="s">
        <v>51</v>
      </c>
      <c r="B355">
        <v>3830.125</v>
      </c>
      <c r="C355">
        <v>21.194</v>
      </c>
      <c r="D355">
        <v>73.355</v>
      </c>
      <c r="E355">
        <v>169.044</v>
      </c>
      <c r="F355">
        <v>0.249</v>
      </c>
      <c r="G355">
        <v>22.86</v>
      </c>
      <c r="H355">
        <v>2.207</v>
      </c>
      <c r="I355">
        <v>2.689</v>
      </c>
      <c r="J355">
        <v>0.623</v>
      </c>
      <c r="K355">
        <v>7.096</v>
      </c>
      <c r="L355">
        <v>0.351</v>
      </c>
      <c r="M355">
        <v>2.79</v>
      </c>
      <c r="N355">
        <v>103.988</v>
      </c>
      <c r="O355">
        <v>104.659</v>
      </c>
      <c r="P355">
        <f t="shared" si="20"/>
        <v>2.01698322550579</v>
      </c>
      <c r="Q355">
        <f t="shared" si="20"/>
        <v>2.01977658080918</v>
      </c>
      <c r="R355">
        <v>47.902</v>
      </c>
      <c r="S355">
        <v>-9999</v>
      </c>
      <c r="T355">
        <v>54.336</v>
      </c>
      <c r="U355">
        <v>4.454</v>
      </c>
      <c r="V355">
        <v>55.058</v>
      </c>
      <c r="W355">
        <v>0.01</v>
      </c>
      <c r="X355" t="s">
        <v>30</v>
      </c>
      <c r="Y355" t="s">
        <v>31</v>
      </c>
      <c r="Z355" s="3">
        <f t="shared" si="21"/>
        <v>-0.0027933553033952</v>
      </c>
      <c r="AA355">
        <f t="shared" si="22"/>
        <v>-0.272</v>
      </c>
      <c r="AB355">
        <f t="shared" si="23"/>
        <v>0.6</v>
      </c>
      <c r="AC355" t="s">
        <v>43</v>
      </c>
    </row>
    <row r="356" spans="1:29">
      <c r="A356" t="s">
        <v>51</v>
      </c>
      <c r="B356">
        <v>3830.25</v>
      </c>
      <c r="C356">
        <v>22.474</v>
      </c>
      <c r="D356">
        <v>73.239</v>
      </c>
      <c r="E356">
        <v>168.304</v>
      </c>
      <c r="F356">
        <v>0.237</v>
      </c>
      <c r="G356">
        <v>23.131</v>
      </c>
      <c r="H356">
        <v>1.939</v>
      </c>
      <c r="I356">
        <v>2.67</v>
      </c>
      <c r="J356">
        <v>0.576</v>
      </c>
      <c r="K356">
        <v>7.31</v>
      </c>
      <c r="L356">
        <v>0.373</v>
      </c>
      <c r="M356">
        <v>2.841</v>
      </c>
      <c r="N356">
        <v>110.08</v>
      </c>
      <c r="O356">
        <v>111.02</v>
      </c>
      <c r="P356">
        <f t="shared" si="20"/>
        <v>2.04170842089144</v>
      </c>
      <c r="Q356">
        <f t="shared" si="20"/>
        <v>2.04540122299584</v>
      </c>
      <c r="R356">
        <v>50.328</v>
      </c>
      <c r="S356">
        <v>-9999</v>
      </c>
      <c r="T356">
        <v>57.032</v>
      </c>
      <c r="U356">
        <v>4.821</v>
      </c>
      <c r="V356">
        <v>43.94</v>
      </c>
      <c r="W356">
        <v>0.017</v>
      </c>
      <c r="X356" t="s">
        <v>30</v>
      </c>
      <c r="Y356" t="s">
        <v>31</v>
      </c>
      <c r="Z356" s="3">
        <f t="shared" si="21"/>
        <v>-0.00369280210440559</v>
      </c>
      <c r="AA356">
        <f t="shared" si="22"/>
        <v>-0.203</v>
      </c>
      <c r="AB356">
        <f t="shared" si="23"/>
        <v>0.61</v>
      </c>
      <c r="AC356" t="s">
        <v>43</v>
      </c>
    </row>
    <row r="357" spans="1:29">
      <c r="A357" t="s">
        <v>51</v>
      </c>
      <c r="B357">
        <v>3830.375</v>
      </c>
      <c r="C357">
        <v>23.442</v>
      </c>
      <c r="D357">
        <v>73.147</v>
      </c>
      <c r="E357">
        <v>166.663</v>
      </c>
      <c r="F357">
        <v>0.209</v>
      </c>
      <c r="G357">
        <v>23.506</v>
      </c>
      <c r="H357">
        <v>1.879</v>
      </c>
      <c r="I357">
        <v>2.648</v>
      </c>
      <c r="J357">
        <v>0.521</v>
      </c>
      <c r="K357">
        <v>7.449</v>
      </c>
      <c r="L357">
        <v>0.386</v>
      </c>
      <c r="M357">
        <v>2.923</v>
      </c>
      <c r="N357">
        <v>118.029</v>
      </c>
      <c r="O357">
        <v>118.822</v>
      </c>
      <c r="P357">
        <f t="shared" si="20"/>
        <v>2.07198872758235</v>
      </c>
      <c r="Q357">
        <f t="shared" si="20"/>
        <v>2.0748968581034</v>
      </c>
      <c r="R357">
        <v>53.198</v>
      </c>
      <c r="S357">
        <v>-9999</v>
      </c>
      <c r="T357">
        <v>60.22</v>
      </c>
      <c r="U357">
        <v>4.988</v>
      </c>
      <c r="V357">
        <v>39.452</v>
      </c>
      <c r="W357">
        <v>0.022</v>
      </c>
      <c r="X357" t="s">
        <v>30</v>
      </c>
      <c r="Y357" t="s">
        <v>31</v>
      </c>
      <c r="Z357" s="3">
        <f t="shared" si="21"/>
        <v>-0.00290813052104921</v>
      </c>
      <c r="AA357">
        <f t="shared" si="22"/>
        <v>-0.135</v>
      </c>
      <c r="AB357">
        <f t="shared" si="23"/>
        <v>0.595</v>
      </c>
      <c r="AC357" t="s">
        <v>43</v>
      </c>
    </row>
    <row r="358" spans="1:29">
      <c r="A358" t="s">
        <v>51</v>
      </c>
      <c r="B358">
        <v>3830.5</v>
      </c>
      <c r="C358">
        <v>22.85</v>
      </c>
      <c r="D358">
        <v>73.082</v>
      </c>
      <c r="E358">
        <v>164.915</v>
      </c>
      <c r="F358">
        <v>0.179</v>
      </c>
      <c r="G358">
        <v>23.935</v>
      </c>
      <c r="H358">
        <v>2.061</v>
      </c>
      <c r="I358">
        <v>2.629</v>
      </c>
      <c r="J358">
        <v>0.474</v>
      </c>
      <c r="K358">
        <v>7.528</v>
      </c>
      <c r="L358">
        <v>0.394</v>
      </c>
      <c r="M358">
        <v>3.024</v>
      </c>
      <c r="N358">
        <v>131.198</v>
      </c>
      <c r="O358">
        <v>131.345</v>
      </c>
      <c r="P358">
        <f t="shared" si="20"/>
        <v>2.11792721464647</v>
      </c>
      <c r="Q358">
        <f t="shared" si="20"/>
        <v>2.11841354485151</v>
      </c>
      <c r="R358">
        <v>55.906</v>
      </c>
      <c r="S358">
        <v>-9999</v>
      </c>
      <c r="T358">
        <v>63.229</v>
      </c>
      <c r="U358">
        <v>5.1</v>
      </c>
      <c r="V358">
        <v>37.514</v>
      </c>
      <c r="W358">
        <v>0.025</v>
      </c>
      <c r="X358" t="s">
        <v>30</v>
      </c>
      <c r="Y358" t="s">
        <v>31</v>
      </c>
      <c r="Z358" s="3">
        <f t="shared" si="21"/>
        <v>-0.000486330205041963</v>
      </c>
      <c r="AA358">
        <f t="shared" si="22"/>
        <v>-0.08</v>
      </c>
      <c r="AB358">
        <f t="shared" si="23"/>
        <v>0.573</v>
      </c>
      <c r="AC358" t="s">
        <v>43</v>
      </c>
    </row>
    <row r="359" spans="1:29">
      <c r="A359" t="s">
        <v>51</v>
      </c>
      <c r="B359">
        <v>3830.625</v>
      </c>
      <c r="C359">
        <v>22.419</v>
      </c>
      <c r="D359">
        <v>73.047</v>
      </c>
      <c r="E359">
        <v>163.895</v>
      </c>
      <c r="F359">
        <v>0.162</v>
      </c>
      <c r="G359">
        <v>24.173</v>
      </c>
      <c r="H359">
        <v>2.279</v>
      </c>
      <c r="I359">
        <v>2.62</v>
      </c>
      <c r="J359">
        <v>0.451</v>
      </c>
      <c r="K359">
        <v>7.56</v>
      </c>
      <c r="L359">
        <v>0.398</v>
      </c>
      <c r="M359">
        <v>3.129</v>
      </c>
      <c r="N359">
        <v>145.564</v>
      </c>
      <c r="O359">
        <v>145.166</v>
      </c>
      <c r="P359">
        <f t="shared" si="20"/>
        <v>2.163053981196</v>
      </c>
      <c r="Q359">
        <f t="shared" si="20"/>
        <v>2.16186491015569</v>
      </c>
      <c r="R359">
        <v>58.991</v>
      </c>
      <c r="S359">
        <v>-9999</v>
      </c>
      <c r="T359">
        <v>66.657</v>
      </c>
      <c r="U359">
        <v>5.123</v>
      </c>
      <c r="V359">
        <v>36.045</v>
      </c>
      <c r="W359">
        <v>0.028</v>
      </c>
      <c r="X359" t="s">
        <v>30</v>
      </c>
      <c r="Y359" t="s">
        <v>31</v>
      </c>
      <c r="Z359" s="3">
        <f t="shared" si="21"/>
        <v>0.00118907104031196</v>
      </c>
      <c r="AA359">
        <f t="shared" si="22"/>
        <v>-0.053</v>
      </c>
      <c r="AB359">
        <f t="shared" si="23"/>
        <v>0.56</v>
      </c>
      <c r="AC359" t="s">
        <v>43</v>
      </c>
    </row>
    <row r="360" spans="1:29">
      <c r="A360" t="s">
        <v>51</v>
      </c>
      <c r="B360">
        <v>3830.75</v>
      </c>
      <c r="C360">
        <v>22.379</v>
      </c>
      <c r="D360">
        <v>73.039</v>
      </c>
      <c r="E360">
        <v>163.687</v>
      </c>
      <c r="F360">
        <v>0.159</v>
      </c>
      <c r="G360">
        <v>24.101</v>
      </c>
      <c r="H360">
        <v>2.373</v>
      </c>
      <c r="I360">
        <v>2.619</v>
      </c>
      <c r="J360">
        <v>0.449</v>
      </c>
      <c r="K360">
        <v>7.564</v>
      </c>
      <c r="L360">
        <v>0.398</v>
      </c>
      <c r="M360">
        <v>3.216</v>
      </c>
      <c r="N360">
        <v>158.966</v>
      </c>
      <c r="O360">
        <v>156.253</v>
      </c>
      <c r="P360">
        <f t="shared" si="20"/>
        <v>2.20130424638733</v>
      </c>
      <c r="Q360">
        <f t="shared" si="20"/>
        <v>2.19382836439012</v>
      </c>
      <c r="R360">
        <v>63.209</v>
      </c>
      <c r="S360">
        <v>-9999</v>
      </c>
      <c r="T360">
        <v>71.344</v>
      </c>
      <c r="U360">
        <v>5.075</v>
      </c>
      <c r="V360">
        <v>34.216</v>
      </c>
      <c r="W360">
        <v>0.028</v>
      </c>
      <c r="X360" t="s">
        <v>30</v>
      </c>
      <c r="Y360" t="s">
        <v>31</v>
      </c>
      <c r="Z360" s="3">
        <f t="shared" si="21"/>
        <v>0.00747588199721605</v>
      </c>
      <c r="AA360">
        <f t="shared" si="22"/>
        <v>-0.051</v>
      </c>
      <c r="AB360">
        <f t="shared" si="23"/>
        <v>0.557</v>
      </c>
      <c r="AC360" t="s">
        <v>43</v>
      </c>
    </row>
    <row r="361" spans="1:29">
      <c r="A361" t="s">
        <v>51</v>
      </c>
      <c r="B361">
        <v>3830.875</v>
      </c>
      <c r="C361">
        <v>22.428</v>
      </c>
      <c r="D361">
        <v>73.056</v>
      </c>
      <c r="E361">
        <v>164.018</v>
      </c>
      <c r="F361">
        <v>0.164</v>
      </c>
      <c r="G361">
        <v>23.884</v>
      </c>
      <c r="H361">
        <v>2.234</v>
      </c>
      <c r="I361">
        <v>2.624</v>
      </c>
      <c r="J361">
        <v>0.461</v>
      </c>
      <c r="K361">
        <v>7.547</v>
      </c>
      <c r="L361">
        <v>0.396</v>
      </c>
      <c r="M361">
        <v>3.275</v>
      </c>
      <c r="N361">
        <v>171.749</v>
      </c>
      <c r="O361">
        <v>165.958</v>
      </c>
      <c r="P361">
        <f t="shared" si="20"/>
        <v>2.23489421708096</v>
      </c>
      <c r="Q361">
        <f t="shared" si="20"/>
        <v>2.21999819240062</v>
      </c>
      <c r="R361">
        <v>68.414</v>
      </c>
      <c r="S361">
        <v>-9999</v>
      </c>
      <c r="T361">
        <v>77.127</v>
      </c>
      <c r="U361">
        <v>5.009</v>
      </c>
      <c r="V361">
        <v>33.261</v>
      </c>
      <c r="W361">
        <v>0.027</v>
      </c>
      <c r="X361" t="s">
        <v>30</v>
      </c>
      <c r="Y361" t="s">
        <v>31</v>
      </c>
      <c r="Z361" s="3">
        <f t="shared" si="21"/>
        <v>0.0148960246803318</v>
      </c>
      <c r="AA361">
        <f t="shared" si="22"/>
        <v>-0.065</v>
      </c>
      <c r="AB361">
        <f t="shared" si="23"/>
        <v>0.56</v>
      </c>
      <c r="AC361" t="s">
        <v>43</v>
      </c>
    </row>
    <row r="362" spans="1:29">
      <c r="A362" t="s">
        <v>51</v>
      </c>
      <c r="B362">
        <v>3831</v>
      </c>
      <c r="C362">
        <v>21.299</v>
      </c>
      <c r="D362">
        <v>73.098</v>
      </c>
      <c r="E362">
        <v>164.536</v>
      </c>
      <c r="F362">
        <v>0.173</v>
      </c>
      <c r="G362">
        <v>23.785</v>
      </c>
      <c r="H362">
        <v>2.11</v>
      </c>
      <c r="I362">
        <v>2.634</v>
      </c>
      <c r="J362">
        <v>0.486</v>
      </c>
      <c r="K362">
        <v>7.504</v>
      </c>
      <c r="L362">
        <v>0.392</v>
      </c>
      <c r="M362">
        <v>3.299</v>
      </c>
      <c r="N362">
        <v>181.714</v>
      </c>
      <c r="O362">
        <v>173.443</v>
      </c>
      <c r="P362">
        <f t="shared" si="20"/>
        <v>2.25938838844464</v>
      </c>
      <c r="Q362">
        <f t="shared" si="20"/>
        <v>2.23915677680581</v>
      </c>
      <c r="R362">
        <v>73.872</v>
      </c>
      <c r="S362">
        <v>-9999</v>
      </c>
      <c r="T362">
        <v>83.191</v>
      </c>
      <c r="U362">
        <v>4.924</v>
      </c>
      <c r="V362">
        <v>32.648</v>
      </c>
      <c r="W362">
        <v>0.025</v>
      </c>
      <c r="X362" t="s">
        <v>30</v>
      </c>
      <c r="Y362" t="s">
        <v>31</v>
      </c>
      <c r="Z362" s="3">
        <f t="shared" si="21"/>
        <v>0.0202316116388301</v>
      </c>
      <c r="AA362">
        <f t="shared" si="22"/>
        <v>-0.094</v>
      </c>
      <c r="AB362">
        <f t="shared" si="23"/>
        <v>0.565</v>
      </c>
      <c r="AC362" t="s">
        <v>43</v>
      </c>
    </row>
    <row r="363" spans="1:29">
      <c r="A363" t="s">
        <v>51</v>
      </c>
      <c r="B363">
        <v>3831.125</v>
      </c>
      <c r="C363">
        <v>21.298</v>
      </c>
      <c r="D363">
        <v>73.167</v>
      </c>
      <c r="E363">
        <v>164.905</v>
      </c>
      <c r="F363">
        <v>0.179</v>
      </c>
      <c r="G363">
        <v>23.931</v>
      </c>
      <c r="H363">
        <v>2.268</v>
      </c>
      <c r="I363">
        <v>2.644</v>
      </c>
      <c r="J363">
        <v>0.511</v>
      </c>
      <c r="K363">
        <v>7.406</v>
      </c>
      <c r="L363">
        <v>0.382</v>
      </c>
      <c r="M363">
        <v>3.287</v>
      </c>
      <c r="N363">
        <v>189.638</v>
      </c>
      <c r="O363">
        <v>178.548</v>
      </c>
      <c r="P363">
        <f t="shared" si="20"/>
        <v>2.27792536642363</v>
      </c>
      <c r="Q363">
        <f t="shared" si="20"/>
        <v>2.2517549898196</v>
      </c>
      <c r="R363">
        <v>79.115</v>
      </c>
      <c r="S363">
        <v>-9999</v>
      </c>
      <c r="T363">
        <v>89.016</v>
      </c>
      <c r="U363">
        <v>4.163</v>
      </c>
      <c r="V363">
        <v>32.247</v>
      </c>
      <c r="W363">
        <v>0.024</v>
      </c>
      <c r="X363" t="s">
        <v>30</v>
      </c>
      <c r="Y363" t="s">
        <v>31</v>
      </c>
      <c r="Z363" s="3">
        <f t="shared" si="21"/>
        <v>0.0261703766040364</v>
      </c>
      <c r="AA363">
        <f t="shared" si="22"/>
        <v>-0.129</v>
      </c>
      <c r="AB363">
        <f t="shared" si="23"/>
        <v>0.561</v>
      </c>
      <c r="AC363" t="s">
        <v>43</v>
      </c>
    </row>
    <row r="364" spans="1:29">
      <c r="A364" t="s">
        <v>51</v>
      </c>
      <c r="B364">
        <v>3831.25</v>
      </c>
      <c r="C364">
        <v>21.86</v>
      </c>
      <c r="D364">
        <v>73.253</v>
      </c>
      <c r="E364">
        <v>165.021</v>
      </c>
      <c r="F364">
        <v>0.181</v>
      </c>
      <c r="G364">
        <v>24.076</v>
      </c>
      <c r="H364">
        <v>2.49</v>
      </c>
      <c r="I364">
        <v>2.65</v>
      </c>
      <c r="J364">
        <v>0.526</v>
      </c>
      <c r="K364">
        <v>7.241</v>
      </c>
      <c r="L364">
        <v>0.366</v>
      </c>
      <c r="M364">
        <v>3.258</v>
      </c>
      <c r="N364">
        <v>203.819</v>
      </c>
      <c r="O364">
        <v>188.047</v>
      </c>
      <c r="P364">
        <f t="shared" si="20"/>
        <v>2.30924466647383</v>
      </c>
      <c r="Q364">
        <f t="shared" si="20"/>
        <v>2.27426640931471</v>
      </c>
      <c r="R364">
        <v>84.983</v>
      </c>
      <c r="S364">
        <v>-9999</v>
      </c>
      <c r="T364">
        <v>95.536</v>
      </c>
      <c r="U364">
        <v>4.011</v>
      </c>
      <c r="V364">
        <v>35.795</v>
      </c>
      <c r="W364">
        <v>0.013</v>
      </c>
      <c r="X364" t="s">
        <v>30</v>
      </c>
      <c r="Y364" t="s">
        <v>31</v>
      </c>
      <c r="Z364" s="3">
        <f t="shared" si="21"/>
        <v>0.0349782571591155</v>
      </c>
      <c r="AA364">
        <f t="shared" si="22"/>
        <v>-0.16</v>
      </c>
      <c r="AB364">
        <f t="shared" si="23"/>
        <v>0.547</v>
      </c>
      <c r="AC364" t="s">
        <v>43</v>
      </c>
    </row>
    <row r="365" spans="1:29">
      <c r="A365" t="s">
        <v>51</v>
      </c>
      <c r="B365">
        <v>3831.375</v>
      </c>
      <c r="C365">
        <v>22.306</v>
      </c>
      <c r="D365">
        <v>73.358</v>
      </c>
      <c r="E365">
        <v>164.834</v>
      </c>
      <c r="F365">
        <v>0.178</v>
      </c>
      <c r="G365">
        <v>23.977</v>
      </c>
      <c r="H365">
        <v>2.549</v>
      </c>
      <c r="I365">
        <v>2.648</v>
      </c>
      <c r="J365">
        <v>0.521</v>
      </c>
      <c r="K365">
        <v>7.012</v>
      </c>
      <c r="L365">
        <v>0.343</v>
      </c>
      <c r="M365">
        <v>3.225</v>
      </c>
      <c r="N365">
        <v>231.142</v>
      </c>
      <c r="O365">
        <v>208.115</v>
      </c>
      <c r="P365">
        <f t="shared" si="20"/>
        <v>2.36387886677267</v>
      </c>
      <c r="Q365">
        <f t="shared" si="20"/>
        <v>2.31830338334694</v>
      </c>
      <c r="R365">
        <v>93.377</v>
      </c>
      <c r="S365">
        <v>-9999</v>
      </c>
      <c r="T365">
        <v>104.863</v>
      </c>
      <c r="U365">
        <v>4.09</v>
      </c>
      <c r="V365">
        <v>35.242</v>
      </c>
      <c r="W365">
        <v>0.01</v>
      </c>
      <c r="X365" t="s">
        <v>30</v>
      </c>
      <c r="Y365" t="s">
        <v>31</v>
      </c>
      <c r="Z365" s="3">
        <f t="shared" si="21"/>
        <v>0.0455754834257385</v>
      </c>
      <c r="AA365">
        <f t="shared" si="22"/>
        <v>-0.178</v>
      </c>
      <c r="AB365">
        <f t="shared" si="23"/>
        <v>0.521</v>
      </c>
      <c r="AC365" t="s">
        <v>43</v>
      </c>
    </row>
    <row r="366" spans="1:29">
      <c r="A366" t="s">
        <v>51</v>
      </c>
      <c r="B366">
        <v>3831.5</v>
      </c>
      <c r="C366">
        <v>21.02</v>
      </c>
      <c r="D366">
        <v>73.477</v>
      </c>
      <c r="E366">
        <v>164.3</v>
      </c>
      <c r="F366">
        <v>0.169</v>
      </c>
      <c r="G366">
        <v>23.538</v>
      </c>
      <c r="H366">
        <v>2.254</v>
      </c>
      <c r="I366">
        <v>2.641</v>
      </c>
      <c r="J366">
        <v>0.504</v>
      </c>
      <c r="K366">
        <v>6.744</v>
      </c>
      <c r="L366">
        <v>0.316</v>
      </c>
      <c r="M366">
        <v>3.2</v>
      </c>
      <c r="N366">
        <v>280.948</v>
      </c>
      <c r="O366">
        <v>246.321</v>
      </c>
      <c r="P366">
        <f t="shared" si="20"/>
        <v>2.44862594480588</v>
      </c>
      <c r="Q366">
        <f t="shared" si="20"/>
        <v>2.39150143902278</v>
      </c>
      <c r="R366">
        <v>106.975</v>
      </c>
      <c r="S366">
        <v>-9999</v>
      </c>
      <c r="T366">
        <v>119.973</v>
      </c>
      <c r="U366">
        <v>4.164</v>
      </c>
      <c r="V366">
        <v>32.816</v>
      </c>
      <c r="W366">
        <v>0.011</v>
      </c>
      <c r="X366" t="s">
        <v>30</v>
      </c>
      <c r="Y366" t="s">
        <v>31</v>
      </c>
      <c r="Z366" s="3">
        <f t="shared" si="21"/>
        <v>0.0571245057830949</v>
      </c>
      <c r="AA366">
        <f t="shared" si="22"/>
        <v>-0.188</v>
      </c>
      <c r="AB366">
        <f t="shared" si="23"/>
        <v>0.485</v>
      </c>
      <c r="AC366" t="s">
        <v>43</v>
      </c>
    </row>
    <row r="367" spans="1:29">
      <c r="A367" t="s">
        <v>51</v>
      </c>
      <c r="B367">
        <v>3831.625</v>
      </c>
      <c r="C367">
        <v>19.85</v>
      </c>
      <c r="D367">
        <v>73.587</v>
      </c>
      <c r="E367">
        <v>163.449</v>
      </c>
      <c r="F367">
        <v>0.155</v>
      </c>
      <c r="G367">
        <v>22.924</v>
      </c>
      <c r="H367">
        <v>1.946</v>
      </c>
      <c r="I367">
        <v>2.637</v>
      </c>
      <c r="J367">
        <v>0.494</v>
      </c>
      <c r="K367">
        <v>6.463</v>
      </c>
      <c r="L367">
        <v>0.288</v>
      </c>
      <c r="M367">
        <v>3.185</v>
      </c>
      <c r="N367">
        <v>367.585</v>
      </c>
      <c r="O367">
        <v>310.325</v>
      </c>
      <c r="P367">
        <f t="shared" si="20"/>
        <v>2.56535778086929</v>
      </c>
      <c r="Q367">
        <f t="shared" si="20"/>
        <v>2.49181676406208</v>
      </c>
      <c r="R367">
        <v>130.194</v>
      </c>
      <c r="S367">
        <v>-9999</v>
      </c>
      <c r="T367">
        <v>145.771</v>
      </c>
      <c r="U367">
        <v>3.369</v>
      </c>
      <c r="V367">
        <v>30.093</v>
      </c>
      <c r="W367">
        <v>0.011</v>
      </c>
      <c r="X367" t="s">
        <v>30</v>
      </c>
      <c r="Y367" t="s">
        <v>31</v>
      </c>
      <c r="Z367" s="3">
        <f t="shared" si="21"/>
        <v>0.0735410168072055</v>
      </c>
      <c r="AA367">
        <f t="shared" si="22"/>
        <v>-0.206</v>
      </c>
      <c r="AB367">
        <f t="shared" si="23"/>
        <v>0.443</v>
      </c>
      <c r="AC367" t="s">
        <v>43</v>
      </c>
    </row>
    <row r="368" spans="1:29">
      <c r="A368" t="s">
        <v>51</v>
      </c>
      <c r="B368">
        <v>3831.75</v>
      </c>
      <c r="C368">
        <v>20.677</v>
      </c>
      <c r="D368">
        <v>73.782</v>
      </c>
      <c r="E368">
        <v>162.374</v>
      </c>
      <c r="F368">
        <v>0.136</v>
      </c>
      <c r="G368">
        <v>22.435</v>
      </c>
      <c r="H368">
        <v>1.806</v>
      </c>
      <c r="I368">
        <v>2.646</v>
      </c>
      <c r="J368">
        <v>0.516</v>
      </c>
      <c r="K368">
        <v>6.181</v>
      </c>
      <c r="L368">
        <v>0.259</v>
      </c>
      <c r="M368">
        <v>3.185</v>
      </c>
      <c r="N368">
        <v>460.553</v>
      </c>
      <c r="O368">
        <v>378.661</v>
      </c>
      <c r="P368">
        <f t="shared" si="20"/>
        <v>2.66327961560359</v>
      </c>
      <c r="Q368">
        <f t="shared" si="20"/>
        <v>2.57825057748154</v>
      </c>
      <c r="R368">
        <v>164.462</v>
      </c>
      <c r="S368">
        <v>-9999</v>
      </c>
      <c r="T368">
        <v>183.846</v>
      </c>
      <c r="U368">
        <v>2.99</v>
      </c>
      <c r="V368">
        <v>31.085</v>
      </c>
      <c r="W368">
        <v>0.01</v>
      </c>
      <c r="X368" t="s">
        <v>30</v>
      </c>
      <c r="Y368" t="s">
        <v>31</v>
      </c>
      <c r="Z368" s="3">
        <f t="shared" si="21"/>
        <v>0.0850290381220518</v>
      </c>
      <c r="AA368">
        <f t="shared" si="22"/>
        <v>-0.257</v>
      </c>
      <c r="AB368">
        <f t="shared" si="23"/>
        <v>0.395</v>
      </c>
      <c r="AC368" t="s">
        <v>43</v>
      </c>
    </row>
    <row r="369" spans="1:29">
      <c r="A369" t="s">
        <v>51</v>
      </c>
      <c r="B369">
        <v>3831.875</v>
      </c>
      <c r="C369">
        <v>20.48</v>
      </c>
      <c r="D369">
        <v>73.995</v>
      </c>
      <c r="E369">
        <v>161.222</v>
      </c>
      <c r="F369">
        <v>0.117</v>
      </c>
      <c r="G369">
        <v>22.199</v>
      </c>
      <c r="H369">
        <v>1.764</v>
      </c>
      <c r="I369">
        <v>2.669</v>
      </c>
      <c r="J369">
        <v>0.574</v>
      </c>
      <c r="K369">
        <v>5.898</v>
      </c>
      <c r="L369">
        <v>0.231</v>
      </c>
      <c r="M369">
        <v>3.212</v>
      </c>
      <c r="N369">
        <v>627.565</v>
      </c>
      <c r="O369">
        <v>507.659</v>
      </c>
      <c r="P369">
        <f t="shared" ref="P369:Q415" si="24">LOG(N369)</f>
        <v>2.79765871450265</v>
      </c>
      <c r="Q369">
        <f t="shared" si="24"/>
        <v>2.70557208995025</v>
      </c>
      <c r="R369">
        <v>211.827</v>
      </c>
      <c r="S369">
        <v>-9999</v>
      </c>
      <c r="T369">
        <v>236.474</v>
      </c>
      <c r="U369">
        <v>0.595</v>
      </c>
      <c r="V369">
        <v>30.531</v>
      </c>
      <c r="W369">
        <v>0.01</v>
      </c>
      <c r="X369" t="s">
        <v>30</v>
      </c>
      <c r="Y369" t="s">
        <v>31</v>
      </c>
      <c r="Z369" s="3">
        <f t="shared" ref="Z369:Z415" si="25">P369-Q369</f>
        <v>0.0920866245523948</v>
      </c>
      <c r="AA369">
        <f t="shared" ref="AA369:AA415" si="26">L369-J369</f>
        <v>-0.343</v>
      </c>
      <c r="AB369">
        <f t="shared" ref="AB369:AB415" si="27">L369+F369</f>
        <v>0.348</v>
      </c>
      <c r="AC369" t="s">
        <v>43</v>
      </c>
    </row>
    <row r="370" spans="1:29">
      <c r="A370" t="s">
        <v>51</v>
      </c>
      <c r="B370">
        <v>3832</v>
      </c>
      <c r="C370">
        <v>19.791</v>
      </c>
      <c r="D370">
        <v>74.222</v>
      </c>
      <c r="E370">
        <v>160.074</v>
      </c>
      <c r="F370">
        <v>0.098</v>
      </c>
      <c r="G370">
        <v>22.157</v>
      </c>
      <c r="H370">
        <v>1.858</v>
      </c>
      <c r="I370">
        <v>2.7</v>
      </c>
      <c r="J370">
        <v>0.651</v>
      </c>
      <c r="K370">
        <v>5.625</v>
      </c>
      <c r="L370">
        <v>0.204</v>
      </c>
      <c r="M370">
        <v>3.273</v>
      </c>
      <c r="N370">
        <v>813.072</v>
      </c>
      <c r="O370">
        <v>656.801</v>
      </c>
      <c r="P370">
        <f t="shared" si="24"/>
        <v>2.91012900539501</v>
      </c>
      <c r="Q370">
        <f t="shared" si="24"/>
        <v>2.81743380533878</v>
      </c>
      <c r="R370">
        <v>273.645</v>
      </c>
      <c r="S370">
        <v>-9999</v>
      </c>
      <c r="T370">
        <v>305.161</v>
      </c>
      <c r="U370">
        <v>0.01</v>
      </c>
      <c r="V370">
        <v>86.114</v>
      </c>
      <c r="W370">
        <v>0.003</v>
      </c>
      <c r="X370" t="s">
        <v>30</v>
      </c>
      <c r="Y370" t="s">
        <v>31</v>
      </c>
      <c r="Z370" s="3">
        <f t="shared" si="25"/>
        <v>0.092695200056232</v>
      </c>
      <c r="AA370">
        <f t="shared" si="26"/>
        <v>-0.447</v>
      </c>
      <c r="AB370">
        <f t="shared" si="27"/>
        <v>0.302</v>
      </c>
      <c r="AC370" t="s">
        <v>43</v>
      </c>
    </row>
    <row r="371" spans="1:29">
      <c r="A371" t="s">
        <v>52</v>
      </c>
      <c r="B371">
        <v>4290</v>
      </c>
      <c r="C371">
        <v>27.962</v>
      </c>
      <c r="D371">
        <v>49.999</v>
      </c>
      <c r="E371">
        <v>164.64</v>
      </c>
      <c r="F371">
        <v>0.267</v>
      </c>
      <c r="G371">
        <v>21.939</v>
      </c>
      <c r="H371">
        <v>1.305</v>
      </c>
      <c r="I371">
        <v>2.721</v>
      </c>
      <c r="J371">
        <v>0.311</v>
      </c>
      <c r="K371">
        <v>5.999</v>
      </c>
      <c r="L371">
        <v>0.246</v>
      </c>
      <c r="M371">
        <v>3.421</v>
      </c>
      <c r="N371">
        <v>295.002</v>
      </c>
      <c r="O371">
        <v>272.741</v>
      </c>
      <c r="P371">
        <f t="shared" si="24"/>
        <v>2.46982496033755</v>
      </c>
      <c r="Q371">
        <f t="shared" si="24"/>
        <v>2.43575042850025</v>
      </c>
      <c r="R371">
        <v>54.402</v>
      </c>
      <c r="S371">
        <v>57.265</v>
      </c>
      <c r="T371">
        <v>60.129</v>
      </c>
      <c r="U371">
        <v>1.642</v>
      </c>
      <c r="V371">
        <v>100</v>
      </c>
      <c r="W371">
        <v>0.01</v>
      </c>
      <c r="X371" t="s">
        <v>30</v>
      </c>
      <c r="Y371" t="s">
        <v>31</v>
      </c>
      <c r="Z371" s="3">
        <f t="shared" si="25"/>
        <v>0.034074531837303</v>
      </c>
      <c r="AA371">
        <f t="shared" si="26"/>
        <v>-0.065</v>
      </c>
      <c r="AB371">
        <f t="shared" si="27"/>
        <v>0.513</v>
      </c>
      <c r="AC371" t="s">
        <v>43</v>
      </c>
    </row>
    <row r="372" spans="1:29">
      <c r="A372" t="s">
        <v>52</v>
      </c>
      <c r="B372">
        <v>4290.125</v>
      </c>
      <c r="C372">
        <v>31.002</v>
      </c>
      <c r="D372">
        <v>49.801</v>
      </c>
      <c r="E372">
        <v>166.181</v>
      </c>
      <c r="F372">
        <v>0.308</v>
      </c>
      <c r="G372">
        <v>21.985</v>
      </c>
      <c r="H372">
        <v>1.274</v>
      </c>
      <c r="I372">
        <v>2.708</v>
      </c>
      <c r="J372">
        <v>0.237</v>
      </c>
      <c r="K372">
        <v>6.39</v>
      </c>
      <c r="L372">
        <v>0.298</v>
      </c>
      <c r="M372">
        <v>3.361</v>
      </c>
      <c r="N372">
        <v>249.984</v>
      </c>
      <c r="O372">
        <v>231.455</v>
      </c>
      <c r="P372">
        <f t="shared" si="24"/>
        <v>2.39791221293572</v>
      </c>
      <c r="Q372">
        <f t="shared" si="24"/>
        <v>2.36446656705426</v>
      </c>
      <c r="R372">
        <v>52.134</v>
      </c>
      <c r="S372">
        <v>54.878</v>
      </c>
      <c r="T372">
        <v>57.622</v>
      </c>
      <c r="U372">
        <v>2.087</v>
      </c>
      <c r="V372">
        <v>100</v>
      </c>
      <c r="W372">
        <v>0.01</v>
      </c>
      <c r="X372" t="s">
        <v>30</v>
      </c>
      <c r="Y372" t="s">
        <v>31</v>
      </c>
      <c r="Z372" s="3">
        <f t="shared" si="25"/>
        <v>0.0334456458814651</v>
      </c>
      <c r="AA372">
        <f t="shared" si="26"/>
        <v>0.061</v>
      </c>
      <c r="AB372">
        <f t="shared" si="27"/>
        <v>0.606</v>
      </c>
      <c r="AC372" t="s">
        <v>43</v>
      </c>
    </row>
    <row r="373" spans="1:29">
      <c r="A373" t="s">
        <v>52</v>
      </c>
      <c r="B373">
        <v>4290.25</v>
      </c>
      <c r="C373">
        <v>32.012</v>
      </c>
      <c r="D373">
        <v>49.631</v>
      </c>
      <c r="E373">
        <v>168.007</v>
      </c>
      <c r="F373">
        <v>0.356</v>
      </c>
      <c r="G373">
        <v>22.04</v>
      </c>
      <c r="H373">
        <v>1.313</v>
      </c>
      <c r="I373">
        <v>2.694</v>
      </c>
      <c r="J373">
        <v>0.158</v>
      </c>
      <c r="K373">
        <v>6.583</v>
      </c>
      <c r="L373">
        <v>0.324</v>
      </c>
      <c r="M373">
        <v>3.316</v>
      </c>
      <c r="N373">
        <v>229.713</v>
      </c>
      <c r="O373">
        <v>212.731</v>
      </c>
      <c r="P373">
        <f t="shared" si="24"/>
        <v>2.36118557363868</v>
      </c>
      <c r="Q373">
        <f t="shared" si="24"/>
        <v>2.32783078161848</v>
      </c>
      <c r="R373">
        <v>50.52</v>
      </c>
      <c r="S373">
        <v>53.179</v>
      </c>
      <c r="T373">
        <v>55.838</v>
      </c>
      <c r="U373">
        <v>2.201</v>
      </c>
      <c r="V373">
        <v>100</v>
      </c>
      <c r="W373">
        <v>0.01</v>
      </c>
      <c r="X373" t="s">
        <v>30</v>
      </c>
      <c r="Y373" t="s">
        <v>31</v>
      </c>
      <c r="Z373" s="3">
        <f t="shared" si="25"/>
        <v>0.0333547920201913</v>
      </c>
      <c r="AA373">
        <f t="shared" si="26"/>
        <v>0.166</v>
      </c>
      <c r="AB373">
        <f t="shared" si="27"/>
        <v>0.68</v>
      </c>
      <c r="AC373" t="s">
        <v>43</v>
      </c>
    </row>
    <row r="374" spans="1:29">
      <c r="A374" t="s">
        <v>52</v>
      </c>
      <c r="B374">
        <v>4290.375</v>
      </c>
      <c r="C374">
        <v>30.427</v>
      </c>
      <c r="D374">
        <v>49.489</v>
      </c>
      <c r="E374">
        <v>169.696</v>
      </c>
      <c r="F374">
        <v>0.401</v>
      </c>
      <c r="G374">
        <v>22.091</v>
      </c>
      <c r="H374">
        <v>1.371</v>
      </c>
      <c r="I374">
        <v>2.682</v>
      </c>
      <c r="J374">
        <v>0.09</v>
      </c>
      <c r="K374">
        <v>6.704</v>
      </c>
      <c r="L374">
        <v>0.341</v>
      </c>
      <c r="M374">
        <v>3.288</v>
      </c>
      <c r="N374">
        <v>219.442</v>
      </c>
      <c r="O374">
        <v>203.265</v>
      </c>
      <c r="P374">
        <f t="shared" si="24"/>
        <v>2.34131975278553</v>
      </c>
      <c r="Q374">
        <f t="shared" si="24"/>
        <v>2.30806260433674</v>
      </c>
      <c r="R374">
        <v>48.699</v>
      </c>
      <c r="S374">
        <v>51.261</v>
      </c>
      <c r="T374">
        <v>53.825</v>
      </c>
      <c r="U374">
        <v>2.87</v>
      </c>
      <c r="V374">
        <v>83.7</v>
      </c>
      <c r="W374">
        <v>0.01</v>
      </c>
      <c r="X374" t="s">
        <v>30</v>
      </c>
      <c r="Y374" t="s">
        <v>31</v>
      </c>
      <c r="Z374" s="3">
        <f t="shared" si="25"/>
        <v>0.0332571484487874</v>
      </c>
      <c r="AA374">
        <f t="shared" si="26"/>
        <v>0.251</v>
      </c>
      <c r="AB374">
        <f t="shared" si="27"/>
        <v>0.742</v>
      </c>
      <c r="AC374" t="s">
        <v>43</v>
      </c>
    </row>
    <row r="375" spans="1:29">
      <c r="A375" t="s">
        <v>52</v>
      </c>
      <c r="B375">
        <v>4290.5</v>
      </c>
      <c r="C375">
        <v>27.573</v>
      </c>
      <c r="D375">
        <v>49.372</v>
      </c>
      <c r="E375">
        <v>170.926</v>
      </c>
      <c r="F375">
        <v>0.433</v>
      </c>
      <c r="G375">
        <v>22.128</v>
      </c>
      <c r="H375">
        <v>1.397</v>
      </c>
      <c r="I375">
        <v>2.673</v>
      </c>
      <c r="J375">
        <v>0.04</v>
      </c>
      <c r="K375">
        <v>6.835</v>
      </c>
      <c r="L375">
        <v>0.358</v>
      </c>
      <c r="M375">
        <v>3.278</v>
      </c>
      <c r="N375">
        <v>211.261</v>
      </c>
      <c r="O375">
        <v>195.821</v>
      </c>
      <c r="P375">
        <f t="shared" si="24"/>
        <v>2.32481933118352</v>
      </c>
      <c r="Q375">
        <f t="shared" si="24"/>
        <v>2.29185926405075</v>
      </c>
      <c r="R375">
        <v>47.217</v>
      </c>
      <c r="S375">
        <v>49.701</v>
      </c>
      <c r="T375">
        <v>52.187</v>
      </c>
      <c r="U375">
        <v>3.337</v>
      </c>
      <c r="V375">
        <v>72.251</v>
      </c>
      <c r="W375">
        <v>0.01</v>
      </c>
      <c r="X375" t="s">
        <v>30</v>
      </c>
      <c r="Y375" t="s">
        <v>31</v>
      </c>
      <c r="Z375" s="3">
        <f t="shared" si="25"/>
        <v>0.0329600671327683</v>
      </c>
      <c r="AA375">
        <f t="shared" si="26"/>
        <v>0.318</v>
      </c>
      <c r="AB375">
        <f t="shared" si="27"/>
        <v>0.791</v>
      </c>
      <c r="AC375" t="s">
        <v>43</v>
      </c>
    </row>
    <row r="376" spans="1:29">
      <c r="A376" t="s">
        <v>52</v>
      </c>
      <c r="B376">
        <v>4290.625</v>
      </c>
      <c r="C376">
        <v>25.481</v>
      </c>
      <c r="D376">
        <v>49.285</v>
      </c>
      <c r="E376">
        <v>171.595</v>
      </c>
      <c r="F376">
        <v>0.451</v>
      </c>
      <c r="G376">
        <v>22.148</v>
      </c>
      <c r="H376">
        <v>1.378</v>
      </c>
      <c r="I376">
        <v>2.668</v>
      </c>
      <c r="J376">
        <v>0.011</v>
      </c>
      <c r="K376">
        <v>6.964</v>
      </c>
      <c r="L376">
        <v>0.376</v>
      </c>
      <c r="M376">
        <v>3.282</v>
      </c>
      <c r="N376">
        <v>203.724</v>
      </c>
      <c r="O376">
        <v>188.92</v>
      </c>
      <c r="P376">
        <f t="shared" si="24"/>
        <v>2.30904219470262</v>
      </c>
      <c r="Q376">
        <f t="shared" si="24"/>
        <v>2.27627793690466</v>
      </c>
      <c r="R376">
        <v>46.364</v>
      </c>
      <c r="S376">
        <v>48.803</v>
      </c>
      <c r="T376">
        <v>51.244</v>
      </c>
      <c r="U376">
        <v>3.365</v>
      </c>
      <c r="V376">
        <v>72.224</v>
      </c>
      <c r="W376">
        <v>0.01</v>
      </c>
      <c r="X376" t="s">
        <v>30</v>
      </c>
      <c r="Y376" t="s">
        <v>31</v>
      </c>
      <c r="Z376" s="3">
        <f t="shared" si="25"/>
        <v>0.032764257797953</v>
      </c>
      <c r="AA376">
        <f t="shared" si="26"/>
        <v>0.365</v>
      </c>
      <c r="AB376">
        <f t="shared" si="27"/>
        <v>0.827</v>
      </c>
      <c r="AC376" t="s">
        <v>43</v>
      </c>
    </row>
    <row r="377" spans="1:29">
      <c r="A377" t="s">
        <v>52</v>
      </c>
      <c r="B377">
        <v>4290.75</v>
      </c>
      <c r="C377">
        <v>24.933</v>
      </c>
      <c r="D377">
        <v>49.23</v>
      </c>
      <c r="E377">
        <v>171.827</v>
      </c>
      <c r="F377">
        <v>0.457</v>
      </c>
      <c r="G377">
        <v>22.155</v>
      </c>
      <c r="H377">
        <v>1.377</v>
      </c>
      <c r="I377">
        <v>2.666</v>
      </c>
      <c r="J377">
        <v>0</v>
      </c>
      <c r="K377">
        <v>7.082</v>
      </c>
      <c r="L377">
        <v>0.392</v>
      </c>
      <c r="M377">
        <v>3.3</v>
      </c>
      <c r="N377">
        <v>196.166</v>
      </c>
      <c r="O377">
        <v>181.951</v>
      </c>
      <c r="P377">
        <f t="shared" si="24"/>
        <v>2.29262373652022</v>
      </c>
      <c r="Q377">
        <f t="shared" si="24"/>
        <v>2.25995444680485</v>
      </c>
      <c r="R377">
        <v>45.907</v>
      </c>
      <c r="S377">
        <v>48.323</v>
      </c>
      <c r="T377">
        <v>50.739</v>
      </c>
      <c r="U377">
        <v>3.328</v>
      </c>
      <c r="V377">
        <v>73.183</v>
      </c>
      <c r="W377">
        <v>0.01</v>
      </c>
      <c r="X377" t="s">
        <v>30</v>
      </c>
      <c r="Y377" t="s">
        <v>31</v>
      </c>
      <c r="Z377" s="3">
        <f t="shared" si="25"/>
        <v>0.0326692897153653</v>
      </c>
      <c r="AA377">
        <f t="shared" si="26"/>
        <v>0.392</v>
      </c>
      <c r="AB377">
        <f t="shared" si="27"/>
        <v>0.849</v>
      </c>
      <c r="AC377" t="s">
        <v>43</v>
      </c>
    </row>
    <row r="378" spans="1:29">
      <c r="A378" t="s">
        <v>52</v>
      </c>
      <c r="B378">
        <v>4290.875</v>
      </c>
      <c r="C378">
        <v>25.459</v>
      </c>
      <c r="D378">
        <v>49.205</v>
      </c>
      <c r="E378">
        <v>171.795</v>
      </c>
      <c r="F378">
        <v>0.456</v>
      </c>
      <c r="G378">
        <v>22.154</v>
      </c>
      <c r="H378">
        <v>1.387</v>
      </c>
      <c r="I378">
        <v>2.67</v>
      </c>
      <c r="J378">
        <v>0.023</v>
      </c>
      <c r="K378">
        <v>7.188</v>
      </c>
      <c r="L378">
        <v>0.406</v>
      </c>
      <c r="M378">
        <v>3.332</v>
      </c>
      <c r="N378">
        <v>186.013</v>
      </c>
      <c r="O378">
        <v>172.531</v>
      </c>
      <c r="P378">
        <f t="shared" si="24"/>
        <v>2.26954329707261</v>
      </c>
      <c r="Q378">
        <f t="shared" si="24"/>
        <v>2.23686713952149</v>
      </c>
      <c r="R378">
        <v>45.839</v>
      </c>
      <c r="S378">
        <v>48.252</v>
      </c>
      <c r="T378">
        <v>50.664</v>
      </c>
      <c r="U378">
        <v>3.279</v>
      </c>
      <c r="V378">
        <v>74.19</v>
      </c>
      <c r="W378">
        <v>0.01</v>
      </c>
      <c r="X378" t="s">
        <v>30</v>
      </c>
      <c r="Y378" t="s">
        <v>31</v>
      </c>
      <c r="Z378" s="3">
        <f t="shared" si="25"/>
        <v>0.0326761575511254</v>
      </c>
      <c r="AA378">
        <f t="shared" si="26"/>
        <v>0.383</v>
      </c>
      <c r="AB378">
        <f t="shared" si="27"/>
        <v>0.862</v>
      </c>
      <c r="AC378" t="s">
        <v>43</v>
      </c>
    </row>
    <row r="379" spans="1:29">
      <c r="A379" t="s">
        <v>52</v>
      </c>
      <c r="B379">
        <v>4291</v>
      </c>
      <c r="C379">
        <v>26.07</v>
      </c>
      <c r="D379">
        <v>49.212</v>
      </c>
      <c r="E379">
        <v>171.647</v>
      </c>
      <c r="F379">
        <v>0.452</v>
      </c>
      <c r="G379">
        <v>22.149</v>
      </c>
      <c r="H379">
        <v>1.392</v>
      </c>
      <c r="I379">
        <v>2.677</v>
      </c>
      <c r="J379">
        <v>0.062</v>
      </c>
      <c r="K379">
        <v>7.316</v>
      </c>
      <c r="L379">
        <v>0.423</v>
      </c>
      <c r="M379">
        <v>3.372</v>
      </c>
      <c r="N379">
        <v>175.19</v>
      </c>
      <c r="O379">
        <v>162.459</v>
      </c>
      <c r="P379">
        <f t="shared" si="24"/>
        <v>2.24350931262677</v>
      </c>
      <c r="Q379">
        <f t="shared" si="24"/>
        <v>2.21074377565064</v>
      </c>
      <c r="R379">
        <v>46.138</v>
      </c>
      <c r="S379">
        <v>48.566</v>
      </c>
      <c r="T379">
        <v>50.995</v>
      </c>
      <c r="U379">
        <v>3.245</v>
      </c>
      <c r="V379">
        <v>74.557</v>
      </c>
      <c r="W379">
        <v>0.01</v>
      </c>
      <c r="X379" t="s">
        <v>30</v>
      </c>
      <c r="Y379" t="s">
        <v>31</v>
      </c>
      <c r="Z379" s="3">
        <f t="shared" si="25"/>
        <v>0.0327655369761319</v>
      </c>
      <c r="AA379">
        <f t="shared" si="26"/>
        <v>0.361</v>
      </c>
      <c r="AB379">
        <f t="shared" si="27"/>
        <v>0.875</v>
      </c>
      <c r="AC379" t="s">
        <v>43</v>
      </c>
    </row>
    <row r="380" spans="1:29">
      <c r="A380" t="s">
        <v>52</v>
      </c>
      <c r="B380">
        <v>4291.125</v>
      </c>
      <c r="C380">
        <v>26.001</v>
      </c>
      <c r="D380">
        <v>49.257</v>
      </c>
      <c r="E380">
        <v>171.484</v>
      </c>
      <c r="F380">
        <v>0.448</v>
      </c>
      <c r="G380">
        <v>22.145</v>
      </c>
      <c r="H380">
        <v>1.386</v>
      </c>
      <c r="I380">
        <v>2.684</v>
      </c>
      <c r="J380">
        <v>0.102</v>
      </c>
      <c r="K380">
        <v>7.497</v>
      </c>
      <c r="L380">
        <v>0.447</v>
      </c>
      <c r="M380">
        <v>3.414</v>
      </c>
      <c r="N380">
        <v>164.602</v>
      </c>
      <c r="O380">
        <v>152.614</v>
      </c>
      <c r="P380">
        <f t="shared" si="24"/>
        <v>2.21643510781238</v>
      </c>
      <c r="Q380">
        <f t="shared" si="24"/>
        <v>2.18359437532174</v>
      </c>
      <c r="R380">
        <v>46.61</v>
      </c>
      <c r="S380">
        <v>49.064</v>
      </c>
      <c r="T380">
        <v>51.517</v>
      </c>
      <c r="U380">
        <v>3.779</v>
      </c>
      <c r="V380">
        <v>64.545</v>
      </c>
      <c r="W380">
        <v>0.01</v>
      </c>
      <c r="X380" t="s">
        <v>30</v>
      </c>
      <c r="Y380" t="s">
        <v>31</v>
      </c>
      <c r="Z380" s="3">
        <f t="shared" si="25"/>
        <v>0.0328407324906421</v>
      </c>
      <c r="AA380">
        <f t="shared" si="26"/>
        <v>0.345</v>
      </c>
      <c r="AB380">
        <f t="shared" si="27"/>
        <v>0.895</v>
      </c>
      <c r="AC380" t="s">
        <v>43</v>
      </c>
    </row>
    <row r="381" spans="1:29">
      <c r="A381" t="s">
        <v>52</v>
      </c>
      <c r="B381">
        <v>4291.25</v>
      </c>
      <c r="C381">
        <v>25.147</v>
      </c>
      <c r="D381">
        <v>49.34</v>
      </c>
      <c r="E381">
        <v>171.341</v>
      </c>
      <c r="F381">
        <v>0.444</v>
      </c>
      <c r="G381">
        <v>22.141</v>
      </c>
      <c r="H381">
        <v>1.336</v>
      </c>
      <c r="I381">
        <v>2.689</v>
      </c>
      <c r="J381">
        <v>0.13</v>
      </c>
      <c r="K381">
        <v>7.7</v>
      </c>
      <c r="L381">
        <v>0.475</v>
      </c>
      <c r="M381">
        <v>3.452</v>
      </c>
      <c r="N381">
        <v>154.524</v>
      </c>
      <c r="O381">
        <v>143.307</v>
      </c>
      <c r="P381">
        <f t="shared" si="24"/>
        <v>2.18899594174202</v>
      </c>
      <c r="Q381">
        <f t="shared" si="24"/>
        <v>2.15626740454336</v>
      </c>
      <c r="R381">
        <v>47.415</v>
      </c>
      <c r="S381">
        <v>49.91</v>
      </c>
      <c r="T381">
        <v>52.406</v>
      </c>
      <c r="U381">
        <v>4.135</v>
      </c>
      <c r="V381">
        <v>57.548</v>
      </c>
      <c r="W381">
        <v>0.01</v>
      </c>
      <c r="X381" t="s">
        <v>30</v>
      </c>
      <c r="Y381" t="s">
        <v>31</v>
      </c>
      <c r="Z381" s="3">
        <f t="shared" si="25"/>
        <v>0.0327285371986616</v>
      </c>
      <c r="AA381">
        <f t="shared" si="26"/>
        <v>0.345</v>
      </c>
      <c r="AB381">
        <f t="shared" si="27"/>
        <v>0.919</v>
      </c>
      <c r="AC381" t="s">
        <v>43</v>
      </c>
    </row>
    <row r="382" spans="1:29">
      <c r="A382" t="s">
        <v>52</v>
      </c>
      <c r="B382">
        <v>4291.375</v>
      </c>
      <c r="C382">
        <v>24.64</v>
      </c>
      <c r="D382">
        <v>49.459</v>
      </c>
      <c r="E382">
        <v>171.211</v>
      </c>
      <c r="F382">
        <v>0.441</v>
      </c>
      <c r="G382">
        <v>22.137</v>
      </c>
      <c r="H382">
        <v>1.272</v>
      </c>
      <c r="I382">
        <v>2.692</v>
      </c>
      <c r="J382">
        <v>0.147</v>
      </c>
      <c r="K382">
        <v>7.862</v>
      </c>
      <c r="L382">
        <v>0.497</v>
      </c>
      <c r="M382">
        <v>3.476</v>
      </c>
      <c r="N382">
        <v>145.234</v>
      </c>
      <c r="O382">
        <v>134.811</v>
      </c>
      <c r="P382">
        <f t="shared" si="24"/>
        <v>2.16206829875975</v>
      </c>
      <c r="Q382">
        <f t="shared" si="24"/>
        <v>2.1297253302141</v>
      </c>
      <c r="R382">
        <v>48.465</v>
      </c>
      <c r="S382">
        <v>51.017</v>
      </c>
      <c r="T382">
        <v>53.567</v>
      </c>
      <c r="U382">
        <v>4.12</v>
      </c>
      <c r="V382">
        <v>57.253</v>
      </c>
      <c r="W382">
        <v>0.01</v>
      </c>
      <c r="X382" t="s">
        <v>30</v>
      </c>
      <c r="Y382" t="s">
        <v>31</v>
      </c>
      <c r="Z382" s="3">
        <f t="shared" si="25"/>
        <v>0.0323429685456489</v>
      </c>
      <c r="AA382">
        <f t="shared" si="26"/>
        <v>0.35</v>
      </c>
      <c r="AB382">
        <f t="shared" si="27"/>
        <v>0.938</v>
      </c>
      <c r="AC382" t="s">
        <v>43</v>
      </c>
    </row>
    <row r="383" spans="1:29">
      <c r="A383" t="s">
        <v>52</v>
      </c>
      <c r="B383">
        <v>4291.5</v>
      </c>
      <c r="C383">
        <v>25.269</v>
      </c>
      <c r="D383">
        <v>49.612</v>
      </c>
      <c r="E383">
        <v>171.057</v>
      </c>
      <c r="F383">
        <v>0.437</v>
      </c>
      <c r="G383">
        <v>22.132</v>
      </c>
      <c r="H383">
        <v>1.288</v>
      </c>
      <c r="I383">
        <v>2.69</v>
      </c>
      <c r="J383">
        <v>0.136</v>
      </c>
      <c r="K383">
        <v>7.938</v>
      </c>
      <c r="L383">
        <v>0.507</v>
      </c>
      <c r="M383">
        <v>3.482</v>
      </c>
      <c r="N383">
        <v>135.979</v>
      </c>
      <c r="O383">
        <v>126.422</v>
      </c>
      <c r="P383">
        <f t="shared" si="24"/>
        <v>2.13347184301489</v>
      </c>
      <c r="Q383">
        <f t="shared" si="24"/>
        <v>2.1018226565984</v>
      </c>
      <c r="R383">
        <v>49.415</v>
      </c>
      <c r="S383">
        <v>52.016</v>
      </c>
      <c r="T383">
        <v>54.616</v>
      </c>
      <c r="U383">
        <v>4.152</v>
      </c>
      <c r="V383">
        <v>56.135</v>
      </c>
      <c r="W383">
        <v>0.01</v>
      </c>
      <c r="X383" t="s">
        <v>30</v>
      </c>
      <c r="Y383" t="s">
        <v>31</v>
      </c>
      <c r="Z383" s="3">
        <f t="shared" si="25"/>
        <v>0.0316491864164936</v>
      </c>
      <c r="AA383">
        <f t="shared" si="26"/>
        <v>0.371</v>
      </c>
      <c r="AB383">
        <f t="shared" si="27"/>
        <v>0.944</v>
      </c>
      <c r="AC383" t="s">
        <v>43</v>
      </c>
    </row>
    <row r="384" spans="1:29">
      <c r="A384" t="s">
        <v>52</v>
      </c>
      <c r="B384">
        <v>4291.625</v>
      </c>
      <c r="C384">
        <v>26.232</v>
      </c>
      <c r="D384">
        <v>49.801</v>
      </c>
      <c r="E384">
        <v>170.705</v>
      </c>
      <c r="F384">
        <v>0.428</v>
      </c>
      <c r="G384">
        <v>22.122</v>
      </c>
      <c r="H384">
        <v>1.396</v>
      </c>
      <c r="I384">
        <v>2.683</v>
      </c>
      <c r="J384">
        <v>0.096</v>
      </c>
      <c r="K384">
        <v>7.922</v>
      </c>
      <c r="L384">
        <v>0.505</v>
      </c>
      <c r="M384">
        <v>3.468</v>
      </c>
      <c r="N384">
        <v>126.49</v>
      </c>
      <c r="O384">
        <v>117.8</v>
      </c>
      <c r="P384">
        <f t="shared" si="24"/>
        <v>2.10205619257519</v>
      </c>
      <c r="Q384">
        <f t="shared" si="24"/>
        <v>2.07114529045108</v>
      </c>
      <c r="R384">
        <v>50.314</v>
      </c>
      <c r="S384">
        <v>52.962</v>
      </c>
      <c r="T384">
        <v>55.61</v>
      </c>
      <c r="U384">
        <v>4.233</v>
      </c>
      <c r="V384">
        <v>54.624</v>
      </c>
      <c r="W384">
        <v>0.01</v>
      </c>
      <c r="X384" t="s">
        <v>30</v>
      </c>
      <c r="Y384" t="s">
        <v>31</v>
      </c>
      <c r="Z384" s="3">
        <f t="shared" si="25"/>
        <v>0.0309109021241061</v>
      </c>
      <c r="AA384">
        <f t="shared" si="26"/>
        <v>0.409</v>
      </c>
      <c r="AB384">
        <f t="shared" si="27"/>
        <v>0.933</v>
      </c>
      <c r="AC384" t="s">
        <v>43</v>
      </c>
    </row>
    <row r="385" spans="1:29">
      <c r="A385" t="s">
        <v>52</v>
      </c>
      <c r="B385">
        <v>4291.75</v>
      </c>
      <c r="C385">
        <v>26.038</v>
      </c>
      <c r="D385">
        <v>50.018</v>
      </c>
      <c r="E385">
        <v>169.956</v>
      </c>
      <c r="F385">
        <v>0.408</v>
      </c>
      <c r="G385">
        <v>22.099</v>
      </c>
      <c r="H385">
        <v>1.48</v>
      </c>
      <c r="I385">
        <v>2.672</v>
      </c>
      <c r="J385">
        <v>0.034</v>
      </c>
      <c r="K385">
        <v>7.838</v>
      </c>
      <c r="L385">
        <v>0.493</v>
      </c>
      <c r="M385">
        <v>3.438</v>
      </c>
      <c r="N385">
        <v>118.568</v>
      </c>
      <c r="O385">
        <v>110.577</v>
      </c>
      <c r="P385">
        <f t="shared" si="24"/>
        <v>2.07396749426752</v>
      </c>
      <c r="Q385">
        <f t="shared" si="24"/>
        <v>2.04366480317263</v>
      </c>
      <c r="R385">
        <v>50.923</v>
      </c>
      <c r="S385">
        <v>53.603</v>
      </c>
      <c r="T385">
        <v>56.283</v>
      </c>
      <c r="U385">
        <v>4.3</v>
      </c>
      <c r="V385">
        <v>53.592</v>
      </c>
      <c r="W385">
        <v>0.011</v>
      </c>
      <c r="X385" t="s">
        <v>30</v>
      </c>
      <c r="Y385" t="s">
        <v>31</v>
      </c>
      <c r="Z385" s="3">
        <f t="shared" si="25"/>
        <v>0.0303026910948967</v>
      </c>
      <c r="AA385">
        <f t="shared" si="26"/>
        <v>0.459</v>
      </c>
      <c r="AB385">
        <f t="shared" si="27"/>
        <v>0.901</v>
      </c>
      <c r="AC385" t="s">
        <v>43</v>
      </c>
    </row>
    <row r="386" spans="1:29">
      <c r="A386" t="s">
        <v>52</v>
      </c>
      <c r="B386">
        <v>4291.875</v>
      </c>
      <c r="C386">
        <v>24.39</v>
      </c>
      <c r="D386">
        <v>50.255</v>
      </c>
      <c r="E386">
        <v>168.776</v>
      </c>
      <c r="F386">
        <v>0.376</v>
      </c>
      <c r="G386">
        <v>22.063</v>
      </c>
      <c r="H386">
        <v>1.505</v>
      </c>
      <c r="I386">
        <v>2.669</v>
      </c>
      <c r="J386">
        <v>0.017</v>
      </c>
      <c r="K386">
        <v>7.712</v>
      </c>
      <c r="L386">
        <v>0.476</v>
      </c>
      <c r="M386">
        <v>3.398</v>
      </c>
      <c r="N386">
        <v>115.434</v>
      </c>
      <c r="O386">
        <v>107.776</v>
      </c>
      <c r="P386">
        <f t="shared" si="24"/>
        <v>2.06233374502054</v>
      </c>
      <c r="Q386">
        <f t="shared" si="24"/>
        <v>2.03252206114752</v>
      </c>
      <c r="R386">
        <v>51.472</v>
      </c>
      <c r="S386">
        <v>54.181</v>
      </c>
      <c r="T386">
        <v>56.89</v>
      </c>
      <c r="U386">
        <v>3.727</v>
      </c>
      <c r="V386">
        <v>62.502</v>
      </c>
      <c r="W386">
        <v>0.01</v>
      </c>
      <c r="X386" t="s">
        <v>30</v>
      </c>
      <c r="Y386" t="s">
        <v>31</v>
      </c>
      <c r="Z386" s="3">
        <f t="shared" si="25"/>
        <v>0.0298116838730271</v>
      </c>
      <c r="AA386">
        <f t="shared" si="26"/>
        <v>0.459</v>
      </c>
      <c r="AB386">
        <f t="shared" si="27"/>
        <v>0.852</v>
      </c>
      <c r="AC386" t="s">
        <v>43</v>
      </c>
    </row>
    <row r="387" spans="1:29">
      <c r="A387" t="s">
        <v>52</v>
      </c>
      <c r="B387">
        <v>4292</v>
      </c>
      <c r="C387">
        <v>23.565</v>
      </c>
      <c r="D387">
        <v>50.505</v>
      </c>
      <c r="E387">
        <v>167.269</v>
      </c>
      <c r="F387">
        <v>0.337</v>
      </c>
      <c r="G387">
        <v>22.018</v>
      </c>
      <c r="H387">
        <v>1.579</v>
      </c>
      <c r="I387">
        <v>2.68</v>
      </c>
      <c r="J387">
        <v>0.079</v>
      </c>
      <c r="K387">
        <v>7.57</v>
      </c>
      <c r="L387">
        <v>0.457</v>
      </c>
      <c r="M387">
        <v>3.354</v>
      </c>
      <c r="N387">
        <v>117.835</v>
      </c>
      <c r="O387">
        <v>110.113</v>
      </c>
      <c r="P387">
        <f t="shared" si="24"/>
        <v>2.07127430614891</v>
      </c>
      <c r="Q387">
        <f t="shared" si="24"/>
        <v>2.04183859503875</v>
      </c>
      <c r="R387">
        <v>53.019</v>
      </c>
      <c r="S387">
        <v>55.81</v>
      </c>
      <c r="T387">
        <v>58.6</v>
      </c>
      <c r="U387">
        <v>3.157</v>
      </c>
      <c r="V387">
        <v>71.163</v>
      </c>
      <c r="W387">
        <v>0.01</v>
      </c>
      <c r="X387" t="s">
        <v>30</v>
      </c>
      <c r="Y387" t="s">
        <v>31</v>
      </c>
      <c r="Z387" s="3">
        <f t="shared" si="25"/>
        <v>0.0294357111101538</v>
      </c>
      <c r="AA387">
        <f t="shared" si="26"/>
        <v>0.378</v>
      </c>
      <c r="AB387">
        <f t="shared" si="27"/>
        <v>0.794</v>
      </c>
      <c r="AC387" t="s">
        <v>43</v>
      </c>
    </row>
    <row r="388" spans="1:29">
      <c r="A388" t="s">
        <v>53</v>
      </c>
      <c r="B388">
        <v>3970</v>
      </c>
      <c r="C388">
        <v>16.449</v>
      </c>
      <c r="D388">
        <v>46.489</v>
      </c>
      <c r="E388">
        <v>159.588</v>
      </c>
      <c r="F388">
        <v>0.089</v>
      </c>
      <c r="G388">
        <v>22.085</v>
      </c>
      <c r="H388">
        <v>1.736</v>
      </c>
      <c r="I388">
        <v>2.74</v>
      </c>
      <c r="J388">
        <v>0.71</v>
      </c>
      <c r="K388">
        <v>11.005</v>
      </c>
      <c r="L388">
        <v>0.472</v>
      </c>
      <c r="M388">
        <v>3.344</v>
      </c>
      <c r="N388">
        <v>88.514</v>
      </c>
      <c r="O388">
        <v>84.409</v>
      </c>
      <c r="P388">
        <f t="shared" si="24"/>
        <v>1.94701196721629</v>
      </c>
      <c r="Q388">
        <f t="shared" si="24"/>
        <v>1.92638875517959</v>
      </c>
      <c r="R388">
        <v>58.552</v>
      </c>
      <c r="S388">
        <v>56.128</v>
      </c>
      <c r="T388">
        <v>54.512</v>
      </c>
      <c r="U388">
        <v>6.481</v>
      </c>
      <c r="V388">
        <v>29.716</v>
      </c>
      <c r="W388">
        <v>0.063</v>
      </c>
      <c r="X388" t="s">
        <v>30</v>
      </c>
      <c r="Y388" t="s">
        <v>31</v>
      </c>
      <c r="Z388" s="3">
        <f t="shared" si="25"/>
        <v>0.0206232120366925</v>
      </c>
      <c r="AA388">
        <f t="shared" si="26"/>
        <v>-0.238</v>
      </c>
      <c r="AB388">
        <f t="shared" si="27"/>
        <v>0.561</v>
      </c>
      <c r="AC388" t="s">
        <v>43</v>
      </c>
    </row>
    <row r="389" spans="1:29">
      <c r="A389" t="s">
        <v>53</v>
      </c>
      <c r="B389">
        <v>3970.125</v>
      </c>
      <c r="C389">
        <v>17.982</v>
      </c>
      <c r="D389">
        <v>46.442</v>
      </c>
      <c r="E389">
        <v>161.857</v>
      </c>
      <c r="F389">
        <v>0.11</v>
      </c>
      <c r="G389">
        <v>22.185</v>
      </c>
      <c r="H389">
        <v>1.813</v>
      </c>
      <c r="I389">
        <v>2.719</v>
      </c>
      <c r="J389">
        <v>0.663</v>
      </c>
      <c r="K389">
        <v>11.399</v>
      </c>
      <c r="L389">
        <v>0.506</v>
      </c>
      <c r="M389">
        <v>3.365</v>
      </c>
      <c r="N389">
        <v>73.352</v>
      </c>
      <c r="O389">
        <v>69.959</v>
      </c>
      <c r="P389">
        <f t="shared" si="24"/>
        <v>1.86541195972153</v>
      </c>
      <c r="Q389">
        <f t="shared" si="24"/>
        <v>1.8448435930081</v>
      </c>
      <c r="R389">
        <v>64.215</v>
      </c>
      <c r="S389">
        <v>60.375</v>
      </c>
      <c r="T389">
        <v>57.816</v>
      </c>
      <c r="U389">
        <v>7.283</v>
      </c>
      <c r="V389">
        <v>25.829</v>
      </c>
      <c r="W389">
        <v>0.105</v>
      </c>
      <c r="X389" t="s">
        <v>30</v>
      </c>
      <c r="Y389" t="s">
        <v>31</v>
      </c>
      <c r="Z389" s="3">
        <f t="shared" si="25"/>
        <v>0.0205683667134287</v>
      </c>
      <c r="AA389">
        <f t="shared" si="26"/>
        <v>-0.157</v>
      </c>
      <c r="AB389">
        <f t="shared" si="27"/>
        <v>0.616</v>
      </c>
      <c r="AC389" t="s">
        <v>43</v>
      </c>
    </row>
    <row r="390" spans="1:29">
      <c r="A390" t="s">
        <v>53</v>
      </c>
      <c r="B390">
        <v>3970.25</v>
      </c>
      <c r="C390">
        <v>19.373</v>
      </c>
      <c r="D390">
        <v>46.419</v>
      </c>
      <c r="E390">
        <v>164.4</v>
      </c>
      <c r="F390">
        <v>0.132</v>
      </c>
      <c r="G390">
        <v>22.403</v>
      </c>
      <c r="H390">
        <v>1.861</v>
      </c>
      <c r="I390">
        <v>2.698</v>
      </c>
      <c r="J390">
        <v>0.616</v>
      </c>
      <c r="K390">
        <v>11.765</v>
      </c>
      <c r="L390">
        <v>0.538</v>
      </c>
      <c r="M390">
        <v>3.36</v>
      </c>
      <c r="N390">
        <v>60.719</v>
      </c>
      <c r="O390">
        <v>57.708</v>
      </c>
      <c r="P390">
        <f t="shared" si="24"/>
        <v>1.78332461041611</v>
      </c>
      <c r="Q390">
        <f t="shared" si="24"/>
        <v>1.76123602312143</v>
      </c>
      <c r="R390">
        <v>69.774</v>
      </c>
      <c r="S390">
        <v>64.583</v>
      </c>
      <c r="T390">
        <v>61.123</v>
      </c>
      <c r="U390">
        <v>7.484</v>
      </c>
      <c r="V390">
        <v>24.237</v>
      </c>
      <c r="W390">
        <v>0.118</v>
      </c>
      <c r="X390" t="s">
        <v>30</v>
      </c>
      <c r="Y390" t="s">
        <v>31</v>
      </c>
      <c r="Z390" s="3">
        <f t="shared" si="25"/>
        <v>0.0220885872946783</v>
      </c>
      <c r="AA390">
        <f t="shared" si="26"/>
        <v>-0.078</v>
      </c>
      <c r="AB390">
        <f t="shared" si="27"/>
        <v>0.67</v>
      </c>
      <c r="AC390" t="s">
        <v>43</v>
      </c>
    </row>
    <row r="391" spans="1:29">
      <c r="A391" t="s">
        <v>53</v>
      </c>
      <c r="B391">
        <v>3970.375</v>
      </c>
      <c r="C391">
        <v>20.175</v>
      </c>
      <c r="D391">
        <v>46.412</v>
      </c>
      <c r="E391">
        <v>166.691</v>
      </c>
      <c r="F391">
        <v>0.153</v>
      </c>
      <c r="G391">
        <v>22.698</v>
      </c>
      <c r="H391">
        <v>1.883</v>
      </c>
      <c r="I391">
        <v>2.689</v>
      </c>
      <c r="J391">
        <v>0.596</v>
      </c>
      <c r="K391">
        <v>12.207</v>
      </c>
      <c r="L391">
        <v>0.576</v>
      </c>
      <c r="M391">
        <v>3.352</v>
      </c>
      <c r="N391">
        <v>53.055</v>
      </c>
      <c r="O391">
        <v>50.127</v>
      </c>
      <c r="P391">
        <f t="shared" si="24"/>
        <v>1.72472631887043</v>
      </c>
      <c r="Q391">
        <f t="shared" si="24"/>
        <v>1.70007171374067</v>
      </c>
      <c r="R391">
        <v>70.274</v>
      </c>
      <c r="S391">
        <v>64.533</v>
      </c>
      <c r="T391">
        <v>60.706</v>
      </c>
      <c r="U391">
        <v>8.245</v>
      </c>
      <c r="V391">
        <v>21.878</v>
      </c>
      <c r="W391">
        <v>0.181</v>
      </c>
      <c r="X391" t="s">
        <v>30</v>
      </c>
      <c r="Y391" t="s">
        <v>31</v>
      </c>
      <c r="Z391" s="3">
        <f t="shared" si="25"/>
        <v>0.0246546051297589</v>
      </c>
      <c r="AA391">
        <f t="shared" si="26"/>
        <v>-0.02</v>
      </c>
      <c r="AB391">
        <f t="shared" si="27"/>
        <v>0.729</v>
      </c>
      <c r="AC391" t="s">
        <v>43</v>
      </c>
    </row>
    <row r="392" spans="1:29">
      <c r="A392" t="s">
        <v>53</v>
      </c>
      <c r="B392">
        <v>3970.5</v>
      </c>
      <c r="C392">
        <v>19.747</v>
      </c>
      <c r="D392">
        <v>46.419</v>
      </c>
      <c r="E392">
        <v>168.208</v>
      </c>
      <c r="F392">
        <v>0.166</v>
      </c>
      <c r="G392">
        <v>22.967</v>
      </c>
      <c r="H392">
        <v>1.855</v>
      </c>
      <c r="I392">
        <v>2.694</v>
      </c>
      <c r="J392">
        <v>0.607</v>
      </c>
      <c r="K392">
        <v>12.427</v>
      </c>
      <c r="L392">
        <v>0.595</v>
      </c>
      <c r="M392">
        <v>3.344</v>
      </c>
      <c r="N392">
        <v>50.168</v>
      </c>
      <c r="O392">
        <v>47.136</v>
      </c>
      <c r="P392">
        <f t="shared" si="24"/>
        <v>1.70042678776729</v>
      </c>
      <c r="Q392">
        <f t="shared" si="24"/>
        <v>1.67335272516254</v>
      </c>
      <c r="R392">
        <v>64.078</v>
      </c>
      <c r="S392">
        <v>58.922</v>
      </c>
      <c r="T392">
        <v>55.485</v>
      </c>
      <c r="U392">
        <v>8.416</v>
      </c>
      <c r="V392">
        <v>22.199</v>
      </c>
      <c r="W392">
        <v>0.197</v>
      </c>
      <c r="X392" t="s">
        <v>30</v>
      </c>
      <c r="Y392" t="s">
        <v>31</v>
      </c>
      <c r="Z392" s="3">
        <f t="shared" si="25"/>
        <v>0.0270740626047565</v>
      </c>
      <c r="AA392">
        <f t="shared" si="26"/>
        <v>-0.012</v>
      </c>
      <c r="AB392">
        <f t="shared" si="27"/>
        <v>0.761</v>
      </c>
      <c r="AC392" t="s">
        <v>43</v>
      </c>
    </row>
    <row r="393" spans="1:29">
      <c r="A393" t="s">
        <v>53</v>
      </c>
      <c r="B393">
        <v>3970.625</v>
      </c>
      <c r="C393">
        <v>18.4</v>
      </c>
      <c r="D393">
        <v>46.434</v>
      </c>
      <c r="E393">
        <v>169.199</v>
      </c>
      <c r="F393">
        <v>0.175</v>
      </c>
      <c r="G393">
        <v>23.042</v>
      </c>
      <c r="H393">
        <v>1.751</v>
      </c>
      <c r="I393">
        <v>2.704</v>
      </c>
      <c r="J393">
        <v>0.629</v>
      </c>
      <c r="K393">
        <v>12.185</v>
      </c>
      <c r="L393">
        <v>0.574</v>
      </c>
      <c r="M393">
        <v>3.346</v>
      </c>
      <c r="N393">
        <v>50.955</v>
      </c>
      <c r="O393">
        <v>47.708</v>
      </c>
      <c r="P393">
        <f t="shared" si="24"/>
        <v>1.70718680592571</v>
      </c>
      <c r="Q393">
        <f t="shared" si="24"/>
        <v>1.67859121058177</v>
      </c>
      <c r="R393">
        <v>52.575</v>
      </c>
      <c r="S393">
        <v>48.948</v>
      </c>
      <c r="T393">
        <v>46.53</v>
      </c>
      <c r="U393">
        <v>7.834</v>
      </c>
      <c r="V393">
        <v>26.393</v>
      </c>
      <c r="W393">
        <v>0.145</v>
      </c>
      <c r="X393" t="s">
        <v>30</v>
      </c>
      <c r="Y393" t="s">
        <v>31</v>
      </c>
      <c r="Z393" s="3">
        <f t="shared" si="25"/>
        <v>0.0285955953439347</v>
      </c>
      <c r="AA393">
        <f t="shared" si="26"/>
        <v>-0.055</v>
      </c>
      <c r="AB393">
        <f t="shared" si="27"/>
        <v>0.749</v>
      </c>
      <c r="AC393" t="s">
        <v>43</v>
      </c>
    </row>
    <row r="394" spans="1:29">
      <c r="A394" t="s">
        <v>53</v>
      </c>
      <c r="B394">
        <v>3970.75</v>
      </c>
      <c r="C394">
        <v>17.119</v>
      </c>
      <c r="D394">
        <v>46.469</v>
      </c>
      <c r="E394">
        <v>169.593</v>
      </c>
      <c r="F394">
        <v>0.179</v>
      </c>
      <c r="G394">
        <v>22.884</v>
      </c>
      <c r="H394">
        <v>1.623</v>
      </c>
      <c r="I394">
        <v>2.708</v>
      </c>
      <c r="J394">
        <v>0.638</v>
      </c>
      <c r="K394">
        <v>11.762</v>
      </c>
      <c r="L394">
        <v>0.537</v>
      </c>
      <c r="M394">
        <v>3.35</v>
      </c>
      <c r="N394">
        <v>54.235</v>
      </c>
      <c r="O394">
        <v>50.724</v>
      </c>
      <c r="P394">
        <f t="shared" si="24"/>
        <v>1.73427964449282</v>
      </c>
      <c r="Q394">
        <f t="shared" si="24"/>
        <v>1.70521349387664</v>
      </c>
      <c r="R394">
        <v>38.899</v>
      </c>
      <c r="S394">
        <v>37.092</v>
      </c>
      <c r="T394">
        <v>35.888</v>
      </c>
      <c r="U394">
        <v>7.809</v>
      </c>
      <c r="V394">
        <v>28.371</v>
      </c>
      <c r="W394">
        <v>0.142</v>
      </c>
      <c r="X394" t="s">
        <v>30</v>
      </c>
      <c r="Y394" t="s">
        <v>31</v>
      </c>
      <c r="Z394" s="3">
        <f t="shared" si="25"/>
        <v>0.0290661506161765</v>
      </c>
      <c r="AA394">
        <f t="shared" si="26"/>
        <v>-0.101</v>
      </c>
      <c r="AB394">
        <f t="shared" si="27"/>
        <v>0.716</v>
      </c>
      <c r="AC394" t="s">
        <v>43</v>
      </c>
    </row>
    <row r="395" spans="1:29">
      <c r="A395" t="s">
        <v>53</v>
      </c>
      <c r="B395">
        <v>3970.875</v>
      </c>
      <c r="C395">
        <v>17.001</v>
      </c>
      <c r="D395">
        <v>46.495</v>
      </c>
      <c r="E395">
        <v>169.527</v>
      </c>
      <c r="F395">
        <v>0.178</v>
      </c>
      <c r="G395">
        <v>22.616</v>
      </c>
      <c r="H395">
        <v>1.591</v>
      </c>
      <c r="I395">
        <v>2.706</v>
      </c>
      <c r="J395">
        <v>0.634</v>
      </c>
      <c r="K395">
        <v>11.645</v>
      </c>
      <c r="L395">
        <v>0.527</v>
      </c>
      <c r="M395">
        <v>3.329</v>
      </c>
      <c r="N395">
        <v>58.377</v>
      </c>
      <c r="O395">
        <v>54.624</v>
      </c>
      <c r="P395">
        <f t="shared" si="24"/>
        <v>1.76624177278761</v>
      </c>
      <c r="Q395">
        <f t="shared" si="24"/>
        <v>1.73738349943464</v>
      </c>
      <c r="R395">
        <v>34.948</v>
      </c>
      <c r="S395">
        <v>33.406</v>
      </c>
      <c r="T395">
        <v>32.379</v>
      </c>
      <c r="U395">
        <v>7.809</v>
      </c>
      <c r="V395">
        <v>31.731</v>
      </c>
      <c r="W395">
        <v>0.142</v>
      </c>
      <c r="X395" t="s">
        <v>30</v>
      </c>
      <c r="Y395" t="s">
        <v>31</v>
      </c>
      <c r="Z395" s="3">
        <f t="shared" si="25"/>
        <v>0.028858273352971</v>
      </c>
      <c r="AA395">
        <f t="shared" si="26"/>
        <v>-0.107</v>
      </c>
      <c r="AB395">
        <f t="shared" si="27"/>
        <v>0.705</v>
      </c>
      <c r="AC395" t="s">
        <v>43</v>
      </c>
    </row>
    <row r="396" spans="1:29">
      <c r="A396" t="s">
        <v>53</v>
      </c>
      <c r="B396">
        <v>3971</v>
      </c>
      <c r="C396">
        <v>17.39</v>
      </c>
      <c r="D396">
        <v>46.521</v>
      </c>
      <c r="E396">
        <v>170.25</v>
      </c>
      <c r="F396">
        <v>0.185</v>
      </c>
      <c r="G396">
        <v>22.473</v>
      </c>
      <c r="H396">
        <v>1.567</v>
      </c>
      <c r="I396">
        <v>2.701</v>
      </c>
      <c r="J396">
        <v>0.622</v>
      </c>
      <c r="K396">
        <v>11.89</v>
      </c>
      <c r="L396">
        <v>0.549</v>
      </c>
      <c r="M396">
        <v>3.336</v>
      </c>
      <c r="N396">
        <v>62.572</v>
      </c>
      <c r="O396">
        <v>58.652</v>
      </c>
      <c r="P396">
        <f t="shared" si="24"/>
        <v>1.79638003663138</v>
      </c>
      <c r="Q396">
        <f t="shared" si="24"/>
        <v>1.76828282590005</v>
      </c>
      <c r="R396">
        <v>40.327</v>
      </c>
      <c r="S396">
        <v>37.616</v>
      </c>
      <c r="T396">
        <v>35.809</v>
      </c>
      <c r="U396">
        <v>7.871</v>
      </c>
      <c r="V396">
        <v>30.008</v>
      </c>
      <c r="W396">
        <v>0.147</v>
      </c>
      <c r="X396" t="s">
        <v>30</v>
      </c>
      <c r="Y396" t="s">
        <v>31</v>
      </c>
      <c r="Z396" s="3">
        <f t="shared" si="25"/>
        <v>0.028097210731338</v>
      </c>
      <c r="AA396">
        <f t="shared" si="26"/>
        <v>-0.073</v>
      </c>
      <c r="AB396">
        <f t="shared" si="27"/>
        <v>0.734</v>
      </c>
      <c r="AC396" t="s">
        <v>43</v>
      </c>
    </row>
    <row r="397" spans="1:29">
      <c r="A397" t="s">
        <v>53</v>
      </c>
      <c r="B397">
        <v>3971.125</v>
      </c>
      <c r="C397">
        <v>17.765</v>
      </c>
      <c r="D397">
        <v>46.547</v>
      </c>
      <c r="E397">
        <v>172.263</v>
      </c>
      <c r="F397">
        <v>0.203</v>
      </c>
      <c r="G397">
        <v>22.498</v>
      </c>
      <c r="H397">
        <v>1.557</v>
      </c>
      <c r="I397">
        <v>2.696</v>
      </c>
      <c r="J397">
        <v>0.611</v>
      </c>
      <c r="K397">
        <v>12.12</v>
      </c>
      <c r="L397">
        <v>0.569</v>
      </c>
      <c r="M397">
        <v>3.337</v>
      </c>
      <c r="N397">
        <v>65.92</v>
      </c>
      <c r="O397">
        <v>61.951</v>
      </c>
      <c r="P397">
        <f t="shared" si="24"/>
        <v>1.81901719868906</v>
      </c>
      <c r="Q397">
        <f t="shared" si="24"/>
        <v>1.79204832105876</v>
      </c>
      <c r="R397">
        <v>46.712</v>
      </c>
      <c r="S397">
        <v>42.82</v>
      </c>
      <c r="T397">
        <v>40.226</v>
      </c>
      <c r="U397">
        <v>7.951</v>
      </c>
      <c r="V397">
        <v>28.525</v>
      </c>
      <c r="W397">
        <v>0.154</v>
      </c>
      <c r="X397" t="s">
        <v>30</v>
      </c>
      <c r="Y397" t="s">
        <v>31</v>
      </c>
      <c r="Z397" s="3">
        <f t="shared" si="25"/>
        <v>0.0269688776302985</v>
      </c>
      <c r="AA397">
        <f t="shared" si="26"/>
        <v>-0.042</v>
      </c>
      <c r="AB397">
        <f t="shared" si="27"/>
        <v>0.772</v>
      </c>
      <c r="AC397" t="s">
        <v>43</v>
      </c>
    </row>
    <row r="398" spans="1:29">
      <c r="A398" t="s">
        <v>53</v>
      </c>
      <c r="B398">
        <v>3971.25</v>
      </c>
      <c r="C398">
        <v>18.013</v>
      </c>
      <c r="D398">
        <v>46.572</v>
      </c>
      <c r="E398">
        <v>175.318</v>
      </c>
      <c r="F398">
        <v>0.23</v>
      </c>
      <c r="G398">
        <v>22.581</v>
      </c>
      <c r="H398">
        <v>1.555</v>
      </c>
      <c r="I398">
        <v>2.69</v>
      </c>
      <c r="J398">
        <v>0.598</v>
      </c>
      <c r="K398">
        <v>11.92</v>
      </c>
      <c r="L398">
        <v>0.551</v>
      </c>
      <c r="M398">
        <v>3.31</v>
      </c>
      <c r="N398">
        <v>67.639</v>
      </c>
      <c r="O398">
        <v>63.721</v>
      </c>
      <c r="P398">
        <f t="shared" si="24"/>
        <v>1.83019717820287</v>
      </c>
      <c r="Q398">
        <f t="shared" si="24"/>
        <v>1.80428258274545</v>
      </c>
      <c r="R398">
        <v>49.142</v>
      </c>
      <c r="S398">
        <v>44.977</v>
      </c>
      <c r="T398">
        <v>42.2</v>
      </c>
      <c r="U398">
        <v>8.158</v>
      </c>
      <c r="V398">
        <v>26.751</v>
      </c>
      <c r="W398">
        <v>0.172</v>
      </c>
      <c r="X398" t="s">
        <v>30</v>
      </c>
      <c r="Y398" t="s">
        <v>31</v>
      </c>
      <c r="Z398" s="3">
        <f t="shared" si="25"/>
        <v>0.0259145954574251</v>
      </c>
      <c r="AA398">
        <f t="shared" si="26"/>
        <v>-0.0469999999999999</v>
      </c>
      <c r="AB398">
        <f t="shared" si="27"/>
        <v>0.781</v>
      </c>
      <c r="AC398" t="s">
        <v>43</v>
      </c>
    </row>
    <row r="399" spans="1:29">
      <c r="A399" t="s">
        <v>53</v>
      </c>
      <c r="B399">
        <v>3971.375</v>
      </c>
      <c r="C399">
        <v>18.078</v>
      </c>
      <c r="D399">
        <v>46.597</v>
      </c>
      <c r="E399">
        <v>177.917</v>
      </c>
      <c r="F399">
        <v>0.254</v>
      </c>
      <c r="G399">
        <v>22.627</v>
      </c>
      <c r="H399">
        <v>1.537</v>
      </c>
      <c r="I399">
        <v>2.681</v>
      </c>
      <c r="J399">
        <v>0.578</v>
      </c>
      <c r="K399">
        <v>11.643</v>
      </c>
      <c r="L399">
        <v>0.527</v>
      </c>
      <c r="M399">
        <v>3.336</v>
      </c>
      <c r="N399">
        <v>67.192</v>
      </c>
      <c r="O399">
        <v>63.384</v>
      </c>
      <c r="P399">
        <f t="shared" si="24"/>
        <v>1.82731756825206</v>
      </c>
      <c r="Q399">
        <f t="shared" si="24"/>
        <v>1.80197964291853</v>
      </c>
      <c r="R399">
        <v>46.872</v>
      </c>
      <c r="S399">
        <v>43.401</v>
      </c>
      <c r="T399">
        <v>41.086</v>
      </c>
      <c r="U399">
        <v>8.315</v>
      </c>
      <c r="V399">
        <v>26.576</v>
      </c>
      <c r="W399">
        <v>0.187</v>
      </c>
      <c r="X399" t="s">
        <v>30</v>
      </c>
      <c r="Y399" t="s">
        <v>31</v>
      </c>
      <c r="Z399" s="3">
        <f t="shared" si="25"/>
        <v>0.0253379253335313</v>
      </c>
      <c r="AA399">
        <f t="shared" si="26"/>
        <v>-0.0509999999999999</v>
      </c>
      <c r="AB399">
        <f t="shared" si="27"/>
        <v>0.781</v>
      </c>
      <c r="AC399" t="s">
        <v>43</v>
      </c>
    </row>
    <row r="400" spans="1:29">
      <c r="A400" t="s">
        <v>53</v>
      </c>
      <c r="B400">
        <v>3971.5</v>
      </c>
      <c r="C400">
        <v>17.969</v>
      </c>
      <c r="D400">
        <v>46.622</v>
      </c>
      <c r="E400">
        <v>178.775</v>
      </c>
      <c r="F400">
        <v>0.261</v>
      </c>
      <c r="G400">
        <v>22.658</v>
      </c>
      <c r="H400">
        <v>1.494</v>
      </c>
      <c r="I400">
        <v>2.664</v>
      </c>
      <c r="J400">
        <v>0.539</v>
      </c>
      <c r="K400">
        <v>11.781</v>
      </c>
      <c r="L400">
        <v>0.539</v>
      </c>
      <c r="M400">
        <v>3.381</v>
      </c>
      <c r="N400">
        <v>64.937</v>
      </c>
      <c r="O400">
        <v>61.228</v>
      </c>
      <c r="P400">
        <f t="shared" si="24"/>
        <v>1.81249222094627</v>
      </c>
      <c r="Q400">
        <f t="shared" si="24"/>
        <v>1.78695007352768</v>
      </c>
      <c r="R400">
        <v>43.992</v>
      </c>
      <c r="S400">
        <v>41.225</v>
      </c>
      <c r="T400">
        <v>39.38</v>
      </c>
      <c r="U400">
        <v>8.337</v>
      </c>
      <c r="V400">
        <v>26.893</v>
      </c>
      <c r="W400">
        <v>0.189</v>
      </c>
      <c r="X400" t="s">
        <v>30</v>
      </c>
      <c r="Y400" t="s">
        <v>31</v>
      </c>
      <c r="Z400" s="3">
        <f t="shared" si="25"/>
        <v>0.0255421474185813</v>
      </c>
      <c r="AA400">
        <f t="shared" si="26"/>
        <v>0</v>
      </c>
      <c r="AB400">
        <f t="shared" si="27"/>
        <v>0.8</v>
      </c>
      <c r="AC400" t="s">
        <v>43</v>
      </c>
    </row>
    <row r="401" spans="1:29">
      <c r="A401" t="s">
        <v>53</v>
      </c>
      <c r="B401">
        <v>3971.625</v>
      </c>
      <c r="C401">
        <v>17.713</v>
      </c>
      <c r="D401">
        <v>46.647</v>
      </c>
      <c r="E401">
        <v>177.73</v>
      </c>
      <c r="F401">
        <v>0.252</v>
      </c>
      <c r="G401">
        <v>22.726</v>
      </c>
      <c r="H401">
        <v>1.433</v>
      </c>
      <c r="I401">
        <v>2.639</v>
      </c>
      <c r="J401">
        <v>0.483</v>
      </c>
      <c r="K401">
        <v>12.24</v>
      </c>
      <c r="L401">
        <v>0.579</v>
      </c>
      <c r="M401">
        <v>3.389</v>
      </c>
      <c r="N401">
        <v>62.031</v>
      </c>
      <c r="O401">
        <v>58.339</v>
      </c>
      <c r="P401">
        <f t="shared" si="24"/>
        <v>1.79260878247048</v>
      </c>
      <c r="Q401">
        <f t="shared" si="24"/>
        <v>1.76595898052442</v>
      </c>
      <c r="R401">
        <v>42.997</v>
      </c>
      <c r="S401">
        <v>40.438</v>
      </c>
      <c r="T401">
        <v>38.731</v>
      </c>
      <c r="U401">
        <v>8.945</v>
      </c>
      <c r="V401">
        <v>25.393</v>
      </c>
      <c r="W401">
        <v>0.259</v>
      </c>
      <c r="X401" t="s">
        <v>30</v>
      </c>
      <c r="Y401" t="s">
        <v>31</v>
      </c>
      <c r="Z401" s="3">
        <f t="shared" si="25"/>
        <v>0.0266498019460668</v>
      </c>
      <c r="AA401">
        <f t="shared" si="26"/>
        <v>0.096</v>
      </c>
      <c r="AB401">
        <f t="shared" si="27"/>
        <v>0.831</v>
      </c>
      <c r="AC401" t="s">
        <v>43</v>
      </c>
    </row>
    <row r="402" spans="1:29">
      <c r="A402" t="s">
        <v>53</v>
      </c>
      <c r="B402">
        <v>3971.75</v>
      </c>
      <c r="C402">
        <v>17.238</v>
      </c>
      <c r="D402">
        <v>46.674</v>
      </c>
      <c r="E402">
        <v>175.382</v>
      </c>
      <c r="F402">
        <v>0.231</v>
      </c>
      <c r="G402">
        <v>22.798</v>
      </c>
      <c r="H402">
        <v>1.351</v>
      </c>
      <c r="I402">
        <v>2.616</v>
      </c>
      <c r="J402">
        <v>0.431</v>
      </c>
      <c r="K402">
        <v>12.413</v>
      </c>
      <c r="L402">
        <v>0.594</v>
      </c>
      <c r="M402">
        <v>3.384</v>
      </c>
      <c r="N402">
        <v>60.038</v>
      </c>
      <c r="O402">
        <v>56.185</v>
      </c>
      <c r="P402">
        <f t="shared" si="24"/>
        <v>1.7784262164921</v>
      </c>
      <c r="Q402">
        <f t="shared" si="24"/>
        <v>1.74962038519993</v>
      </c>
      <c r="R402">
        <v>43.369</v>
      </c>
      <c r="S402">
        <v>40.775</v>
      </c>
      <c r="T402">
        <v>39.046</v>
      </c>
      <c r="U402">
        <v>8.916</v>
      </c>
      <c r="V402">
        <v>25.45</v>
      </c>
      <c r="W402">
        <v>0.255</v>
      </c>
      <c r="X402" t="s">
        <v>30</v>
      </c>
      <c r="Y402" t="s">
        <v>31</v>
      </c>
      <c r="Z402" s="3">
        <f t="shared" si="25"/>
        <v>0.0288058312921697</v>
      </c>
      <c r="AA402">
        <f t="shared" si="26"/>
        <v>0.163</v>
      </c>
      <c r="AB402">
        <f t="shared" si="27"/>
        <v>0.825</v>
      </c>
      <c r="AC402" t="s">
        <v>43</v>
      </c>
    </row>
    <row r="403" spans="1:29">
      <c r="A403" t="s">
        <v>53</v>
      </c>
      <c r="B403">
        <v>3971.875</v>
      </c>
      <c r="C403">
        <v>16.684</v>
      </c>
      <c r="D403">
        <v>46.703</v>
      </c>
      <c r="E403">
        <v>171.355</v>
      </c>
      <c r="F403">
        <v>0.195</v>
      </c>
      <c r="G403">
        <v>22.812</v>
      </c>
      <c r="H403">
        <v>1.25</v>
      </c>
      <c r="I403">
        <v>2.609</v>
      </c>
      <c r="J403">
        <v>0.416</v>
      </c>
      <c r="K403">
        <v>11.983</v>
      </c>
      <c r="L403">
        <v>0.557</v>
      </c>
      <c r="M403">
        <v>3.377</v>
      </c>
      <c r="N403">
        <v>60.854</v>
      </c>
      <c r="O403">
        <v>56.598</v>
      </c>
      <c r="P403">
        <f t="shared" si="24"/>
        <v>1.78428913015578</v>
      </c>
      <c r="Q403">
        <f t="shared" si="24"/>
        <v>1.75280108482237</v>
      </c>
      <c r="R403">
        <v>43.669</v>
      </c>
      <c r="S403">
        <v>41.198</v>
      </c>
      <c r="T403">
        <v>39.551</v>
      </c>
      <c r="U403">
        <v>7.97</v>
      </c>
      <c r="V403">
        <v>28.305</v>
      </c>
      <c r="W403">
        <v>0.157</v>
      </c>
      <c r="X403" t="s">
        <v>30</v>
      </c>
      <c r="Y403" t="s">
        <v>31</v>
      </c>
      <c r="Z403" s="3">
        <f t="shared" si="25"/>
        <v>0.0314880453334152</v>
      </c>
      <c r="AA403">
        <f t="shared" si="26"/>
        <v>0.141</v>
      </c>
      <c r="AB403">
        <f t="shared" si="27"/>
        <v>0.752</v>
      </c>
      <c r="AC403" t="s">
        <v>43</v>
      </c>
    </row>
    <row r="404" spans="1:29">
      <c r="A404" t="s">
        <v>53</v>
      </c>
      <c r="B404">
        <v>3972</v>
      </c>
      <c r="C404">
        <v>16.15</v>
      </c>
      <c r="D404">
        <v>46.738</v>
      </c>
      <c r="E404">
        <v>166.004</v>
      </c>
      <c r="F404">
        <v>0.147</v>
      </c>
      <c r="G404">
        <v>22.763</v>
      </c>
      <c r="H404">
        <v>1.17</v>
      </c>
      <c r="I404">
        <v>2.627</v>
      </c>
      <c r="J404">
        <v>0.456</v>
      </c>
      <c r="K404">
        <v>11.349</v>
      </c>
      <c r="L404">
        <v>0.502</v>
      </c>
      <c r="M404">
        <v>3.375</v>
      </c>
      <c r="N404">
        <v>65.631</v>
      </c>
      <c r="O404">
        <v>60.748</v>
      </c>
      <c r="P404">
        <f t="shared" si="24"/>
        <v>1.81710902152301</v>
      </c>
      <c r="Q404">
        <f t="shared" si="24"/>
        <v>1.78353198427427</v>
      </c>
      <c r="R404">
        <v>44.252</v>
      </c>
      <c r="S404">
        <v>41.957</v>
      </c>
      <c r="T404">
        <v>40.427</v>
      </c>
      <c r="U404">
        <v>7.548</v>
      </c>
      <c r="V404">
        <v>29.497</v>
      </c>
      <c r="W404">
        <v>0.122</v>
      </c>
      <c r="X404" t="s">
        <v>30</v>
      </c>
      <c r="Y404" t="s">
        <v>31</v>
      </c>
      <c r="Z404" s="3">
        <f t="shared" si="25"/>
        <v>0.0335770372487405</v>
      </c>
      <c r="AA404">
        <f t="shared" si="26"/>
        <v>0.046</v>
      </c>
      <c r="AB404">
        <f t="shared" si="27"/>
        <v>0.649</v>
      </c>
      <c r="AC404" t="s">
        <v>43</v>
      </c>
    </row>
    <row r="405" spans="1:29">
      <c r="A405" t="s">
        <v>54</v>
      </c>
      <c r="B405">
        <v>4109.5</v>
      </c>
      <c r="C405">
        <v>31.92</v>
      </c>
      <c r="D405">
        <v>69.93</v>
      </c>
      <c r="E405">
        <v>163.52</v>
      </c>
      <c r="F405">
        <v>0.094</v>
      </c>
      <c r="G405">
        <v>23.882</v>
      </c>
      <c r="H405">
        <v>2.354</v>
      </c>
      <c r="I405">
        <v>2.74</v>
      </c>
      <c r="J405">
        <v>0.507</v>
      </c>
      <c r="K405">
        <v>8.677</v>
      </c>
      <c r="L405">
        <v>0.505</v>
      </c>
      <c r="M405">
        <v>3.455</v>
      </c>
      <c r="N405">
        <v>339.153</v>
      </c>
      <c r="O405">
        <v>263.157</v>
      </c>
      <c r="P405">
        <f t="shared" si="24"/>
        <v>2.53039566299822</v>
      </c>
      <c r="Q405">
        <f t="shared" si="24"/>
        <v>2.42021492677944</v>
      </c>
      <c r="R405">
        <v>86.106</v>
      </c>
      <c r="S405">
        <v>86.106</v>
      </c>
      <c r="T405">
        <v>86.021</v>
      </c>
      <c r="U405">
        <v>0.01</v>
      </c>
      <c r="V405">
        <v>100</v>
      </c>
      <c r="W405">
        <v>0.001</v>
      </c>
      <c r="X405" t="s">
        <v>55</v>
      </c>
      <c r="Y405" t="s">
        <v>31</v>
      </c>
      <c r="Z405" s="3">
        <f t="shared" si="25"/>
        <v>0.110180736218779</v>
      </c>
      <c r="AA405">
        <f t="shared" si="26"/>
        <v>-0.002</v>
      </c>
      <c r="AB405">
        <f t="shared" si="27"/>
        <v>0.599</v>
      </c>
      <c r="AC405" t="s">
        <v>32</v>
      </c>
    </row>
    <row r="406" spans="1:29">
      <c r="A406" t="s">
        <v>54</v>
      </c>
      <c r="B406">
        <v>4109.625</v>
      </c>
      <c r="C406">
        <v>28.717</v>
      </c>
      <c r="D406">
        <v>68.763</v>
      </c>
      <c r="E406">
        <v>159.699</v>
      </c>
      <c r="F406">
        <v>0.041</v>
      </c>
      <c r="G406">
        <v>23.867</v>
      </c>
      <c r="H406">
        <v>1.839</v>
      </c>
      <c r="I406">
        <v>2.756</v>
      </c>
      <c r="J406">
        <v>0.565</v>
      </c>
      <c r="K406">
        <v>7.972</v>
      </c>
      <c r="L406">
        <v>0.435</v>
      </c>
      <c r="M406">
        <v>3.344</v>
      </c>
      <c r="N406">
        <v>421.73</v>
      </c>
      <c r="O406">
        <v>339.019</v>
      </c>
      <c r="P406">
        <f t="shared" si="24"/>
        <v>2.6250344958952</v>
      </c>
      <c r="Q406">
        <f t="shared" si="24"/>
        <v>2.53022403850965</v>
      </c>
      <c r="R406">
        <v>79.353</v>
      </c>
      <c r="S406">
        <v>79.353</v>
      </c>
      <c r="T406">
        <v>79.54</v>
      </c>
      <c r="U406">
        <v>0.01</v>
      </c>
      <c r="V406">
        <v>100</v>
      </c>
      <c r="W406">
        <v>0.001</v>
      </c>
      <c r="X406" t="s">
        <v>55</v>
      </c>
      <c r="Y406" t="s">
        <v>31</v>
      </c>
      <c r="Z406" s="3">
        <f t="shared" si="25"/>
        <v>0.0948104573855568</v>
      </c>
      <c r="AA406">
        <f t="shared" si="26"/>
        <v>-0.13</v>
      </c>
      <c r="AB406">
        <f t="shared" si="27"/>
        <v>0.476</v>
      </c>
      <c r="AC406" t="s">
        <v>32</v>
      </c>
    </row>
    <row r="407" spans="1:29">
      <c r="A407" t="s">
        <v>54</v>
      </c>
      <c r="B407">
        <v>4109.75</v>
      </c>
      <c r="C407">
        <v>26.776</v>
      </c>
      <c r="D407">
        <v>67.543</v>
      </c>
      <c r="E407">
        <v>157.503</v>
      </c>
      <c r="F407">
        <v>0.01</v>
      </c>
      <c r="G407">
        <v>23.842</v>
      </c>
      <c r="H407">
        <v>1.681</v>
      </c>
      <c r="I407">
        <v>2.775</v>
      </c>
      <c r="J407">
        <v>0.634</v>
      </c>
      <c r="K407">
        <v>6.94</v>
      </c>
      <c r="L407">
        <v>0.333</v>
      </c>
      <c r="M407">
        <v>3.286</v>
      </c>
      <c r="N407">
        <v>449.284</v>
      </c>
      <c r="O407">
        <v>376.645</v>
      </c>
      <c r="P407">
        <f t="shared" si="24"/>
        <v>2.65252095267841</v>
      </c>
      <c r="Q407">
        <f t="shared" si="24"/>
        <v>2.57593220650424</v>
      </c>
      <c r="R407">
        <v>73.698</v>
      </c>
      <c r="S407">
        <v>73.698</v>
      </c>
      <c r="T407">
        <v>74.018</v>
      </c>
      <c r="U407">
        <v>0.01</v>
      </c>
      <c r="V407">
        <v>100</v>
      </c>
      <c r="W407">
        <v>0.001</v>
      </c>
      <c r="X407" t="s">
        <v>55</v>
      </c>
      <c r="Y407" t="s">
        <v>31</v>
      </c>
      <c r="Z407" s="3">
        <f t="shared" si="25"/>
        <v>0.0765887461741661</v>
      </c>
      <c r="AA407">
        <f t="shared" si="26"/>
        <v>-0.301</v>
      </c>
      <c r="AB407">
        <f t="shared" si="27"/>
        <v>0.343</v>
      </c>
      <c r="AC407" t="s">
        <v>32</v>
      </c>
    </row>
    <row r="408" spans="1:29">
      <c r="A408" t="s">
        <v>54</v>
      </c>
      <c r="B408">
        <v>4109.875</v>
      </c>
      <c r="C408">
        <v>25.798</v>
      </c>
      <c r="D408">
        <v>66.34</v>
      </c>
      <c r="E408">
        <v>156.775</v>
      </c>
      <c r="F408">
        <v>0</v>
      </c>
      <c r="G408">
        <v>23.748</v>
      </c>
      <c r="H408">
        <v>1.653</v>
      </c>
      <c r="I408">
        <v>2.79</v>
      </c>
      <c r="J408">
        <v>0.688</v>
      </c>
      <c r="K408">
        <v>5.727</v>
      </c>
      <c r="L408">
        <v>0.213</v>
      </c>
      <c r="M408">
        <v>3.383</v>
      </c>
      <c r="N408">
        <v>410.235</v>
      </c>
      <c r="O408">
        <v>360.09</v>
      </c>
      <c r="P408">
        <f t="shared" si="24"/>
        <v>2.61303271029472</v>
      </c>
      <c r="Q408">
        <f t="shared" si="24"/>
        <v>2.55641106081832</v>
      </c>
      <c r="R408">
        <v>73.489</v>
      </c>
      <c r="S408">
        <v>73.489</v>
      </c>
      <c r="T408">
        <v>73.909</v>
      </c>
      <c r="U408">
        <v>0.01</v>
      </c>
      <c r="V408">
        <v>100</v>
      </c>
      <c r="W408">
        <v>0.001</v>
      </c>
      <c r="X408" t="s">
        <v>55</v>
      </c>
      <c r="Y408" t="s">
        <v>31</v>
      </c>
      <c r="Z408" s="3">
        <f t="shared" si="25"/>
        <v>0.0566216494764005</v>
      </c>
      <c r="AA408">
        <f t="shared" si="26"/>
        <v>-0.475</v>
      </c>
      <c r="AB408">
        <f t="shared" si="27"/>
        <v>0.213</v>
      </c>
      <c r="AC408" t="s">
        <v>32</v>
      </c>
    </row>
    <row r="409" spans="1:29">
      <c r="A409" t="s">
        <v>54</v>
      </c>
      <c r="B409">
        <v>4110</v>
      </c>
      <c r="C409">
        <v>25.231</v>
      </c>
      <c r="D409">
        <v>65.24</v>
      </c>
      <c r="E409">
        <v>157.385</v>
      </c>
      <c r="F409">
        <v>0.009</v>
      </c>
      <c r="G409">
        <v>23.612</v>
      </c>
      <c r="H409">
        <v>1.639</v>
      </c>
      <c r="I409">
        <v>2.796</v>
      </c>
      <c r="J409">
        <v>0.71</v>
      </c>
      <c r="K409">
        <v>4.872</v>
      </c>
      <c r="L409">
        <v>0.128</v>
      </c>
      <c r="M409">
        <v>3.674</v>
      </c>
      <c r="N409">
        <v>322.68</v>
      </c>
      <c r="O409">
        <v>296.508</v>
      </c>
      <c r="P409">
        <f t="shared" si="24"/>
        <v>2.50877204827093</v>
      </c>
      <c r="Q409">
        <f t="shared" si="24"/>
        <v>2.47203641543716</v>
      </c>
      <c r="R409">
        <v>77.832</v>
      </c>
      <c r="S409">
        <v>77.832</v>
      </c>
      <c r="T409">
        <v>78.166</v>
      </c>
      <c r="U409">
        <v>0.01</v>
      </c>
      <c r="V409">
        <v>100</v>
      </c>
      <c r="W409">
        <v>0.001</v>
      </c>
      <c r="X409" t="s">
        <v>55</v>
      </c>
      <c r="Y409" t="s">
        <v>31</v>
      </c>
      <c r="Z409" s="3">
        <f t="shared" si="25"/>
        <v>0.0367356328337665</v>
      </c>
      <c r="AA409">
        <f t="shared" si="26"/>
        <v>-0.582</v>
      </c>
      <c r="AB409">
        <f t="shared" si="27"/>
        <v>0.137</v>
      </c>
      <c r="AC409" t="s">
        <v>32</v>
      </c>
    </row>
    <row r="410" spans="1:29">
      <c r="A410" t="s">
        <v>54</v>
      </c>
      <c r="B410">
        <v>4110.125</v>
      </c>
      <c r="C410">
        <v>25.047</v>
      </c>
      <c r="D410">
        <v>64.263</v>
      </c>
      <c r="E410">
        <v>159.584</v>
      </c>
      <c r="F410">
        <v>0.039</v>
      </c>
      <c r="G410">
        <v>23.508</v>
      </c>
      <c r="H410">
        <v>1.655</v>
      </c>
      <c r="I410">
        <v>2.795</v>
      </c>
      <c r="J410">
        <v>0.707</v>
      </c>
      <c r="K410">
        <v>4.754</v>
      </c>
      <c r="L410">
        <v>0.116</v>
      </c>
      <c r="M410">
        <v>3.969</v>
      </c>
      <c r="N410">
        <v>232.646</v>
      </c>
      <c r="O410">
        <v>223.187</v>
      </c>
      <c r="P410">
        <f t="shared" si="24"/>
        <v>2.36669558988944</v>
      </c>
      <c r="Q410">
        <f t="shared" si="24"/>
        <v>2.34866889459938</v>
      </c>
      <c r="R410">
        <v>75.974</v>
      </c>
      <c r="S410">
        <v>75.974</v>
      </c>
      <c r="T410">
        <v>75.914</v>
      </c>
      <c r="U410">
        <v>0.01</v>
      </c>
      <c r="V410">
        <v>100</v>
      </c>
      <c r="W410">
        <v>0.001</v>
      </c>
      <c r="X410" t="s">
        <v>55</v>
      </c>
      <c r="Y410" t="s">
        <v>31</v>
      </c>
      <c r="Z410" s="3">
        <f t="shared" si="25"/>
        <v>0.0180266952900627</v>
      </c>
      <c r="AA410">
        <f t="shared" si="26"/>
        <v>-0.591</v>
      </c>
      <c r="AB410">
        <f t="shared" si="27"/>
        <v>0.155</v>
      </c>
      <c r="AC410" t="s">
        <v>32</v>
      </c>
    </row>
    <row r="411" spans="1:29">
      <c r="A411" t="s">
        <v>54</v>
      </c>
      <c r="B411">
        <v>4110.25</v>
      </c>
      <c r="C411">
        <v>25.417</v>
      </c>
      <c r="D411">
        <v>63.422</v>
      </c>
      <c r="E411">
        <v>163.175</v>
      </c>
      <c r="F411">
        <v>0.09</v>
      </c>
      <c r="G411">
        <v>23.428</v>
      </c>
      <c r="H411">
        <v>1.705</v>
      </c>
      <c r="I411">
        <v>2.787</v>
      </c>
      <c r="J411">
        <v>0.678</v>
      </c>
      <c r="K411">
        <v>5.299</v>
      </c>
      <c r="L411">
        <v>0.17</v>
      </c>
      <c r="M411">
        <v>4.089</v>
      </c>
      <c r="N411">
        <v>162.978</v>
      </c>
      <c r="O411">
        <v>162.209</v>
      </c>
      <c r="P411">
        <f t="shared" si="24"/>
        <v>2.21212898401475</v>
      </c>
      <c r="Q411">
        <f t="shared" si="24"/>
        <v>2.21007494692755</v>
      </c>
      <c r="R411">
        <v>64.24</v>
      </c>
      <c r="S411">
        <v>64.24</v>
      </c>
      <c r="T411">
        <v>63.699</v>
      </c>
      <c r="U411">
        <v>0.01</v>
      </c>
      <c r="V411">
        <v>100</v>
      </c>
      <c r="W411">
        <v>0.001</v>
      </c>
      <c r="X411" t="s">
        <v>55</v>
      </c>
      <c r="Y411" t="s">
        <v>31</v>
      </c>
      <c r="Z411" s="3">
        <f t="shared" si="25"/>
        <v>0.00205403708720109</v>
      </c>
      <c r="AA411">
        <f t="shared" si="26"/>
        <v>-0.508</v>
      </c>
      <c r="AB411">
        <f t="shared" si="27"/>
        <v>0.26</v>
      </c>
      <c r="AC411" t="s">
        <v>32</v>
      </c>
    </row>
    <row r="412" spans="1:29">
      <c r="A412" t="s">
        <v>54</v>
      </c>
      <c r="B412">
        <v>4110.375</v>
      </c>
      <c r="C412">
        <v>25.914</v>
      </c>
      <c r="D412">
        <v>62.736</v>
      </c>
      <c r="E412">
        <v>167.118</v>
      </c>
      <c r="F412">
        <v>0.145</v>
      </c>
      <c r="G412">
        <v>23.476</v>
      </c>
      <c r="H412">
        <v>1.755</v>
      </c>
      <c r="I412">
        <v>2.781</v>
      </c>
      <c r="J412">
        <v>0.656</v>
      </c>
      <c r="K412">
        <v>5.898</v>
      </c>
      <c r="L412">
        <v>0.23</v>
      </c>
      <c r="M412">
        <v>3.988</v>
      </c>
      <c r="N412">
        <v>120.691</v>
      </c>
      <c r="O412">
        <v>123.122</v>
      </c>
      <c r="P412">
        <f t="shared" si="24"/>
        <v>2.08167488570573</v>
      </c>
      <c r="Q412">
        <f t="shared" si="24"/>
        <v>2.09033566158227</v>
      </c>
      <c r="R412">
        <v>51.788</v>
      </c>
      <c r="S412">
        <v>51.788</v>
      </c>
      <c r="T412">
        <v>50.874</v>
      </c>
      <c r="U412">
        <v>0.01</v>
      </c>
      <c r="V412">
        <v>100</v>
      </c>
      <c r="W412">
        <v>0.001</v>
      </c>
      <c r="X412" t="s">
        <v>55</v>
      </c>
      <c r="Y412" t="s">
        <v>31</v>
      </c>
      <c r="Z412" s="3">
        <f t="shared" si="25"/>
        <v>-0.00866077587653979</v>
      </c>
      <c r="AA412">
        <f t="shared" si="26"/>
        <v>-0.426</v>
      </c>
      <c r="AB412">
        <f t="shared" si="27"/>
        <v>0.375</v>
      </c>
      <c r="AC412" t="s">
        <v>32</v>
      </c>
    </row>
    <row r="413" spans="1:29">
      <c r="A413" t="s">
        <v>54</v>
      </c>
      <c r="B413">
        <v>4110.5</v>
      </c>
      <c r="C413">
        <v>25.964</v>
      </c>
      <c r="D413">
        <v>62.193</v>
      </c>
      <c r="E413">
        <v>170.963</v>
      </c>
      <c r="F413">
        <v>0.199</v>
      </c>
      <c r="G413">
        <v>23.575</v>
      </c>
      <c r="H413">
        <v>1.796</v>
      </c>
      <c r="I413">
        <v>2.774</v>
      </c>
      <c r="J413">
        <v>0.63</v>
      </c>
      <c r="K413">
        <v>5.918</v>
      </c>
      <c r="L413">
        <v>0.232</v>
      </c>
      <c r="M413">
        <v>3.826</v>
      </c>
      <c r="N413">
        <v>96.114</v>
      </c>
      <c r="O413">
        <v>99.615</v>
      </c>
      <c r="P413">
        <f t="shared" si="24"/>
        <v>1.98278665176749</v>
      </c>
      <c r="Q413">
        <f t="shared" si="24"/>
        <v>1.99832473929453</v>
      </c>
      <c r="R413">
        <v>45.063</v>
      </c>
      <c r="S413">
        <v>45.063</v>
      </c>
      <c r="T413">
        <v>43.843</v>
      </c>
      <c r="U413">
        <v>0.01</v>
      </c>
      <c r="V413">
        <v>100</v>
      </c>
      <c r="W413">
        <v>0.001</v>
      </c>
      <c r="X413" t="s">
        <v>55</v>
      </c>
      <c r="Y413" t="s">
        <v>31</v>
      </c>
      <c r="Z413" s="3">
        <f t="shared" si="25"/>
        <v>-0.0155380875270341</v>
      </c>
      <c r="AA413">
        <f t="shared" si="26"/>
        <v>-0.398</v>
      </c>
      <c r="AB413">
        <f t="shared" si="27"/>
        <v>0.431</v>
      </c>
      <c r="AC413" t="s">
        <v>32</v>
      </c>
    </row>
    <row r="414" spans="1:29">
      <c r="A414" t="s">
        <v>56</v>
      </c>
      <c r="B414">
        <v>4169</v>
      </c>
      <c r="C414">
        <v>22.023</v>
      </c>
      <c r="D414">
        <v>62.88</v>
      </c>
      <c r="E414">
        <v>161.057</v>
      </c>
      <c r="F414">
        <v>0.161</v>
      </c>
      <c r="G414">
        <v>22.36</v>
      </c>
      <c r="H414">
        <v>2.328</v>
      </c>
      <c r="I414">
        <v>2.82</v>
      </c>
      <c r="J414">
        <v>0.542</v>
      </c>
      <c r="K414">
        <v>-0.199</v>
      </c>
      <c r="L414">
        <v>0.008</v>
      </c>
      <c r="M414">
        <v>3.282</v>
      </c>
      <c r="N414">
        <v>1877.52</v>
      </c>
      <c r="O414">
        <v>1779.397</v>
      </c>
      <c r="P414">
        <f t="shared" si="24"/>
        <v>3.27358457195763</v>
      </c>
      <c r="Q414">
        <f t="shared" si="24"/>
        <v>3.25027285402783</v>
      </c>
      <c r="R414">
        <v>198.327</v>
      </c>
      <c r="S414">
        <v>198.327</v>
      </c>
      <c r="T414">
        <v>213.255</v>
      </c>
      <c r="U414">
        <v>2.939</v>
      </c>
      <c r="V414">
        <v>32.077</v>
      </c>
      <c r="W414">
        <v>0.1</v>
      </c>
      <c r="X414" t="s">
        <v>55</v>
      </c>
      <c r="Y414" t="s">
        <v>31</v>
      </c>
      <c r="Z414" s="3">
        <f t="shared" si="25"/>
        <v>0.0233117179298046</v>
      </c>
      <c r="AA414">
        <f t="shared" si="26"/>
        <v>-0.534</v>
      </c>
      <c r="AB414">
        <f t="shared" si="27"/>
        <v>0.169</v>
      </c>
      <c r="AC414" t="s">
        <v>32</v>
      </c>
    </row>
    <row r="415" spans="1:29">
      <c r="A415" t="s">
        <v>56</v>
      </c>
      <c r="B415">
        <v>4169.125</v>
      </c>
      <c r="C415">
        <v>21.776</v>
      </c>
      <c r="D415">
        <v>62.218</v>
      </c>
      <c r="E415">
        <v>162.088</v>
      </c>
      <c r="F415">
        <v>0.181</v>
      </c>
      <c r="G415">
        <v>22.441</v>
      </c>
      <c r="H415">
        <v>2.369</v>
      </c>
      <c r="I415">
        <v>2.817</v>
      </c>
      <c r="J415">
        <v>0.523</v>
      </c>
      <c r="K415">
        <v>-0.268</v>
      </c>
      <c r="L415">
        <v>0</v>
      </c>
      <c r="M415">
        <v>3.307</v>
      </c>
      <c r="N415">
        <v>1430.919</v>
      </c>
      <c r="O415">
        <v>1367.83</v>
      </c>
      <c r="P415">
        <f t="shared" si="24"/>
        <v>3.15561505035749</v>
      </c>
      <c r="Q415">
        <f t="shared" si="24"/>
        <v>3.13603212468695</v>
      </c>
      <c r="R415">
        <v>191.572</v>
      </c>
      <c r="S415">
        <v>191.572</v>
      </c>
      <c r="T415">
        <v>205.991</v>
      </c>
      <c r="U415">
        <v>2.993</v>
      </c>
      <c r="V415">
        <v>32.303</v>
      </c>
      <c r="W415">
        <v>0.1</v>
      </c>
      <c r="X415" t="s">
        <v>55</v>
      </c>
      <c r="Y415" t="s">
        <v>31</v>
      </c>
      <c r="Z415" s="3">
        <f t="shared" si="25"/>
        <v>0.0195829256705404</v>
      </c>
      <c r="AA415">
        <f t="shared" si="26"/>
        <v>-0.523</v>
      </c>
      <c r="AB415">
        <f t="shared" si="27"/>
        <v>0.181</v>
      </c>
      <c r="AC415" t="s">
        <v>32</v>
      </c>
    </row>
    <row r="416" spans="1:29">
      <c r="A416" t="s">
        <v>56</v>
      </c>
      <c r="B416">
        <v>4169.25</v>
      </c>
      <c r="C416">
        <v>22.2</v>
      </c>
      <c r="D416">
        <v>61.576</v>
      </c>
      <c r="E416">
        <v>163.498</v>
      </c>
      <c r="F416">
        <v>0.208</v>
      </c>
      <c r="G416">
        <v>22.543</v>
      </c>
      <c r="H416">
        <v>2.431</v>
      </c>
      <c r="I416">
        <v>2.818</v>
      </c>
      <c r="J416">
        <v>0.529</v>
      </c>
      <c r="K416">
        <v>-0.206</v>
      </c>
      <c r="L416">
        <v>0.007</v>
      </c>
      <c r="M416">
        <v>3.321</v>
      </c>
      <c r="N416">
        <v>1007.729</v>
      </c>
      <c r="O416">
        <v>970.487</v>
      </c>
      <c r="P416">
        <f t="shared" ref="P416:Q479" si="28">LOG(N416)</f>
        <v>3.00334375668453</v>
      </c>
      <c r="Q416">
        <f t="shared" si="28"/>
        <v>2.98698972224259</v>
      </c>
      <c r="R416">
        <v>197.568</v>
      </c>
      <c r="S416">
        <v>197.568</v>
      </c>
      <c r="T416">
        <v>212.438</v>
      </c>
      <c r="U416">
        <v>2.995</v>
      </c>
      <c r="V416">
        <v>31.79</v>
      </c>
      <c r="W416">
        <v>0.1</v>
      </c>
      <c r="X416" t="s">
        <v>55</v>
      </c>
      <c r="Y416" t="s">
        <v>31</v>
      </c>
      <c r="Z416" s="3">
        <f t="shared" ref="Z416:Z479" si="29">P416-Q416</f>
        <v>0.0163540344419406</v>
      </c>
      <c r="AA416">
        <f t="shared" ref="AA416:AA479" si="30">L416-J416</f>
        <v>-0.522</v>
      </c>
      <c r="AB416">
        <f t="shared" ref="AB416:AB479" si="31">L416+F416</f>
        <v>0.215</v>
      </c>
      <c r="AC416" t="s">
        <v>32</v>
      </c>
    </row>
    <row r="417" spans="1:29">
      <c r="A417" t="s">
        <v>56</v>
      </c>
      <c r="B417">
        <v>4169.375</v>
      </c>
      <c r="C417">
        <v>22.695</v>
      </c>
      <c r="D417">
        <v>60.959</v>
      </c>
      <c r="E417">
        <v>164.011</v>
      </c>
      <c r="F417">
        <v>0.218</v>
      </c>
      <c r="G417">
        <v>22.61</v>
      </c>
      <c r="H417">
        <v>2.509</v>
      </c>
      <c r="I417">
        <v>2.823</v>
      </c>
      <c r="J417">
        <v>0.562</v>
      </c>
      <c r="K417">
        <v>0.006</v>
      </c>
      <c r="L417">
        <v>0.03</v>
      </c>
      <c r="M417">
        <v>3.321</v>
      </c>
      <c r="N417">
        <v>672.805</v>
      </c>
      <c r="O417">
        <v>652.717</v>
      </c>
      <c r="P417">
        <f t="shared" si="28"/>
        <v>2.82788921029333</v>
      </c>
      <c r="Q417">
        <f t="shared" si="28"/>
        <v>2.81472492403357</v>
      </c>
      <c r="R417">
        <v>202.097</v>
      </c>
      <c r="S417">
        <v>202.097</v>
      </c>
      <c r="T417">
        <v>217.309</v>
      </c>
      <c r="U417">
        <v>2.898</v>
      </c>
      <c r="V417">
        <v>32.185</v>
      </c>
      <c r="W417">
        <v>0.1</v>
      </c>
      <c r="X417" t="s">
        <v>55</v>
      </c>
      <c r="Y417" t="s">
        <v>31</v>
      </c>
      <c r="Z417" s="3">
        <f t="shared" si="29"/>
        <v>0.0131642862597663</v>
      </c>
      <c r="AA417">
        <f t="shared" si="30"/>
        <v>-0.532</v>
      </c>
      <c r="AB417">
        <f t="shared" si="31"/>
        <v>0.248</v>
      </c>
      <c r="AC417" t="s">
        <v>32</v>
      </c>
    </row>
    <row r="418" spans="1:29">
      <c r="A418" t="s">
        <v>56</v>
      </c>
      <c r="B418">
        <v>4169.5</v>
      </c>
      <c r="C418">
        <v>22.884</v>
      </c>
      <c r="D418">
        <v>60.375</v>
      </c>
      <c r="E418">
        <v>163.558</v>
      </c>
      <c r="F418">
        <v>0.209</v>
      </c>
      <c r="G418">
        <v>22.553</v>
      </c>
      <c r="H418">
        <v>2.588</v>
      </c>
      <c r="I418">
        <v>2.824</v>
      </c>
      <c r="J418">
        <v>0.569</v>
      </c>
      <c r="K418">
        <v>0.366</v>
      </c>
      <c r="L418">
        <v>0.07</v>
      </c>
      <c r="M418">
        <v>3.321</v>
      </c>
      <c r="N418">
        <v>460.054</v>
      </c>
      <c r="O418">
        <v>446.997</v>
      </c>
      <c r="P418">
        <f t="shared" si="28"/>
        <v>2.66280881108506</v>
      </c>
      <c r="Q418">
        <f t="shared" si="28"/>
        <v>2.65030460839409</v>
      </c>
      <c r="R418">
        <v>199.316</v>
      </c>
      <c r="S418">
        <v>199.316</v>
      </c>
      <c r="T418">
        <v>214.318</v>
      </c>
      <c r="U418">
        <v>2.874</v>
      </c>
      <c r="V418">
        <v>32.534</v>
      </c>
      <c r="W418">
        <v>0.1</v>
      </c>
      <c r="X418" t="s">
        <v>55</v>
      </c>
      <c r="Y418" t="s">
        <v>31</v>
      </c>
      <c r="Z418" s="3">
        <f t="shared" si="29"/>
        <v>0.0125042026909759</v>
      </c>
      <c r="AA418">
        <f t="shared" si="30"/>
        <v>-0.499</v>
      </c>
      <c r="AB418">
        <f t="shared" si="31"/>
        <v>0.279</v>
      </c>
      <c r="AC418" t="s">
        <v>32</v>
      </c>
    </row>
    <row r="419" spans="1:29">
      <c r="A419" t="s">
        <v>56</v>
      </c>
      <c r="B419">
        <v>4169.625</v>
      </c>
      <c r="C419">
        <v>22.901</v>
      </c>
      <c r="D419">
        <v>59.821</v>
      </c>
      <c r="E419">
        <v>162.823</v>
      </c>
      <c r="F419">
        <v>0.195</v>
      </c>
      <c r="G419">
        <v>22.509</v>
      </c>
      <c r="H419">
        <v>2.662</v>
      </c>
      <c r="I419">
        <v>2.823</v>
      </c>
      <c r="J419">
        <v>0.562</v>
      </c>
      <c r="K419">
        <v>0.822</v>
      </c>
      <c r="L419">
        <v>0.121</v>
      </c>
      <c r="M419">
        <v>3.321</v>
      </c>
      <c r="N419">
        <v>345.066</v>
      </c>
      <c r="O419">
        <v>331.953</v>
      </c>
      <c r="P419">
        <f t="shared" si="28"/>
        <v>2.5379021695499</v>
      </c>
      <c r="Q419">
        <f t="shared" si="28"/>
        <v>2.52107659790404</v>
      </c>
      <c r="R419">
        <v>186.937</v>
      </c>
      <c r="S419">
        <v>186.937</v>
      </c>
      <c r="T419">
        <v>201.007</v>
      </c>
      <c r="U419">
        <v>2.898</v>
      </c>
      <c r="V419">
        <v>33.283</v>
      </c>
      <c r="W419">
        <v>0.1</v>
      </c>
      <c r="X419" t="s">
        <v>55</v>
      </c>
      <c r="Y419" t="s">
        <v>31</v>
      </c>
      <c r="Z419" s="3">
        <f t="shared" si="29"/>
        <v>0.0168255716458612</v>
      </c>
      <c r="AA419">
        <f t="shared" si="30"/>
        <v>-0.441</v>
      </c>
      <c r="AB419">
        <f t="shared" si="31"/>
        <v>0.316</v>
      </c>
      <c r="AC419" t="s">
        <v>32</v>
      </c>
    </row>
    <row r="420" spans="1:29">
      <c r="A420" t="s">
        <v>56</v>
      </c>
      <c r="B420">
        <v>4169.75</v>
      </c>
      <c r="C420">
        <v>23.164</v>
      </c>
      <c r="D420">
        <v>59.303</v>
      </c>
      <c r="E420">
        <v>163.083</v>
      </c>
      <c r="F420">
        <v>0.2</v>
      </c>
      <c r="G420">
        <v>22.64</v>
      </c>
      <c r="H420">
        <v>2.703</v>
      </c>
      <c r="I420">
        <v>2.817</v>
      </c>
      <c r="J420">
        <v>0.523</v>
      </c>
      <c r="K420">
        <v>1.208</v>
      </c>
      <c r="L420">
        <v>0.163</v>
      </c>
      <c r="M420">
        <v>3.321</v>
      </c>
      <c r="N420">
        <v>296.335</v>
      </c>
      <c r="O420">
        <v>281.173</v>
      </c>
      <c r="P420">
        <f t="shared" si="28"/>
        <v>2.47178294884482</v>
      </c>
      <c r="Q420">
        <f t="shared" si="28"/>
        <v>2.44897361466218</v>
      </c>
      <c r="R420">
        <v>165.961</v>
      </c>
      <c r="S420">
        <v>165.961</v>
      </c>
      <c r="T420">
        <v>178.453</v>
      </c>
      <c r="U420">
        <v>2.974</v>
      </c>
      <c r="V420">
        <v>34.545</v>
      </c>
      <c r="W420">
        <v>0.1</v>
      </c>
      <c r="X420" t="s">
        <v>55</v>
      </c>
      <c r="Y420" t="s">
        <v>31</v>
      </c>
      <c r="Z420" s="3">
        <f t="shared" si="29"/>
        <v>0.0228093341826403</v>
      </c>
      <c r="AA420">
        <f t="shared" si="30"/>
        <v>-0.36</v>
      </c>
      <c r="AB420">
        <f t="shared" si="31"/>
        <v>0.363</v>
      </c>
      <c r="AC420" t="s">
        <v>32</v>
      </c>
    </row>
    <row r="421" spans="1:29">
      <c r="A421" t="s">
        <v>56</v>
      </c>
      <c r="B421">
        <v>4169.875</v>
      </c>
      <c r="C421">
        <v>23.7</v>
      </c>
      <c r="D421">
        <v>58.821</v>
      </c>
      <c r="E421">
        <v>165.893</v>
      </c>
      <c r="F421">
        <v>0.254</v>
      </c>
      <c r="G421">
        <v>22.983</v>
      </c>
      <c r="H421">
        <v>2.706</v>
      </c>
      <c r="I421">
        <v>2.81</v>
      </c>
      <c r="J421">
        <v>0.477</v>
      </c>
      <c r="K421">
        <v>1.471</v>
      </c>
      <c r="L421">
        <v>0.192</v>
      </c>
      <c r="M421">
        <v>3.319</v>
      </c>
      <c r="N421">
        <v>277.434</v>
      </c>
      <c r="O421">
        <v>261.307</v>
      </c>
      <c r="P421">
        <f t="shared" si="28"/>
        <v>2.44315968351285</v>
      </c>
      <c r="Q421">
        <f t="shared" si="28"/>
        <v>2.41715104394338</v>
      </c>
      <c r="R421">
        <v>140.375</v>
      </c>
      <c r="S421">
        <v>140.375</v>
      </c>
      <c r="T421">
        <v>150.941</v>
      </c>
      <c r="U421">
        <v>3.059</v>
      </c>
      <c r="V421">
        <v>36.693</v>
      </c>
      <c r="W421">
        <v>0.1</v>
      </c>
      <c r="X421" t="s">
        <v>55</v>
      </c>
      <c r="Y421" t="s">
        <v>31</v>
      </c>
      <c r="Z421" s="3">
        <f t="shared" si="29"/>
        <v>0.0260086395694783</v>
      </c>
      <c r="AA421">
        <f t="shared" si="30"/>
        <v>-0.285</v>
      </c>
      <c r="AB421">
        <f t="shared" si="31"/>
        <v>0.446</v>
      </c>
      <c r="AC421" t="s">
        <v>32</v>
      </c>
    </row>
    <row r="422" spans="1:29">
      <c r="A422" t="s">
        <v>56</v>
      </c>
      <c r="B422">
        <v>4170</v>
      </c>
      <c r="C422">
        <v>24.442</v>
      </c>
      <c r="D422">
        <v>58.373</v>
      </c>
      <c r="E422">
        <v>172.305</v>
      </c>
      <c r="F422">
        <v>0.377</v>
      </c>
      <c r="G422">
        <v>23.417</v>
      </c>
      <c r="H422">
        <v>2.679</v>
      </c>
      <c r="I422">
        <v>2.804</v>
      </c>
      <c r="J422">
        <v>0.438</v>
      </c>
      <c r="K422">
        <v>1.693</v>
      </c>
      <c r="L422">
        <v>0.217</v>
      </c>
      <c r="M422">
        <v>3.272</v>
      </c>
      <c r="N422">
        <v>272.505</v>
      </c>
      <c r="O422">
        <v>255.802</v>
      </c>
      <c r="P422">
        <f t="shared" si="28"/>
        <v>2.43537447524564</v>
      </c>
      <c r="Q422">
        <f t="shared" si="28"/>
        <v>2.4079039357078</v>
      </c>
      <c r="R422">
        <v>115.496</v>
      </c>
      <c r="S422">
        <v>115.496</v>
      </c>
      <c r="T422">
        <v>124.189</v>
      </c>
      <c r="U422">
        <v>3.118</v>
      </c>
      <c r="V422">
        <v>39.892</v>
      </c>
      <c r="W422">
        <v>0.1</v>
      </c>
      <c r="X422" t="s">
        <v>55</v>
      </c>
      <c r="Y422" t="s">
        <v>31</v>
      </c>
      <c r="Z422" s="3">
        <f t="shared" si="29"/>
        <v>0.0274705395378483</v>
      </c>
      <c r="AA422">
        <f t="shared" si="30"/>
        <v>-0.221</v>
      </c>
      <c r="AB422">
        <f t="shared" si="31"/>
        <v>0.594</v>
      </c>
      <c r="AC422" t="s">
        <v>32</v>
      </c>
    </row>
    <row r="423" spans="1:29">
      <c r="A423" t="s">
        <v>56</v>
      </c>
      <c r="B423">
        <v>4170.125</v>
      </c>
      <c r="C423">
        <v>24.884</v>
      </c>
      <c r="D423">
        <v>57.965</v>
      </c>
      <c r="E423">
        <v>178.413</v>
      </c>
      <c r="F423">
        <v>0.495</v>
      </c>
      <c r="G423">
        <v>23.929</v>
      </c>
      <c r="H423">
        <v>2.639</v>
      </c>
      <c r="I423">
        <v>2.798</v>
      </c>
      <c r="J423">
        <v>0.399</v>
      </c>
      <c r="K423">
        <v>2.077</v>
      </c>
      <c r="L423">
        <v>0.26</v>
      </c>
      <c r="M423">
        <v>3.209</v>
      </c>
      <c r="N423">
        <v>275.574</v>
      </c>
      <c r="O423">
        <v>257.919</v>
      </c>
      <c r="P423">
        <f t="shared" si="28"/>
        <v>2.44023824012533</v>
      </c>
      <c r="Q423">
        <f t="shared" si="28"/>
        <v>2.41148333628767</v>
      </c>
      <c r="R423">
        <v>98.188</v>
      </c>
      <c r="S423">
        <v>98.188</v>
      </c>
      <c r="T423">
        <v>105.578</v>
      </c>
      <c r="U423">
        <v>3.19</v>
      </c>
      <c r="V423">
        <v>42.738</v>
      </c>
      <c r="W423">
        <v>0.1</v>
      </c>
      <c r="X423" t="s">
        <v>55</v>
      </c>
      <c r="Y423" t="s">
        <v>31</v>
      </c>
      <c r="Z423" s="3">
        <f t="shared" si="29"/>
        <v>0.0287549038376578</v>
      </c>
      <c r="AA423">
        <f t="shared" si="30"/>
        <v>-0.139</v>
      </c>
      <c r="AB423">
        <f t="shared" si="31"/>
        <v>0.755</v>
      </c>
      <c r="AC423" t="s">
        <v>32</v>
      </c>
    </row>
    <row r="424" spans="1:29">
      <c r="A424" t="s">
        <v>56</v>
      </c>
      <c r="B424">
        <v>4170.25</v>
      </c>
      <c r="C424">
        <v>24.182</v>
      </c>
      <c r="D424">
        <v>57.595</v>
      </c>
      <c r="E424">
        <v>180.857</v>
      </c>
      <c r="F424">
        <v>0.542</v>
      </c>
      <c r="G424">
        <v>24.276</v>
      </c>
      <c r="H424">
        <v>2.539</v>
      </c>
      <c r="I424">
        <v>2.793</v>
      </c>
      <c r="J424">
        <v>0.366</v>
      </c>
      <c r="K424">
        <v>2.796</v>
      </c>
      <c r="L424">
        <v>0.339</v>
      </c>
      <c r="M424">
        <v>3.147</v>
      </c>
      <c r="N424">
        <v>279.088</v>
      </c>
      <c r="O424">
        <v>260.606</v>
      </c>
      <c r="P424">
        <f t="shared" si="28"/>
        <v>2.44574116344735</v>
      </c>
      <c r="Q424">
        <f t="shared" si="28"/>
        <v>2.41598441036695</v>
      </c>
      <c r="R424">
        <v>93.446</v>
      </c>
      <c r="S424">
        <v>93.446</v>
      </c>
      <c r="T424">
        <v>100.48</v>
      </c>
      <c r="U424">
        <v>3.303</v>
      </c>
      <c r="V424">
        <v>42.824</v>
      </c>
      <c r="W424">
        <v>0.1</v>
      </c>
      <c r="X424" t="s">
        <v>55</v>
      </c>
      <c r="Y424" t="s">
        <v>31</v>
      </c>
      <c r="Z424" s="3">
        <f t="shared" si="29"/>
        <v>0.029756753080397</v>
      </c>
      <c r="AA424">
        <f t="shared" si="30"/>
        <v>-0.027</v>
      </c>
      <c r="AB424">
        <f t="shared" si="31"/>
        <v>0.881</v>
      </c>
      <c r="AC424" t="s">
        <v>32</v>
      </c>
    </row>
    <row r="425" spans="1:29">
      <c r="A425" t="s">
        <v>56</v>
      </c>
      <c r="B425">
        <v>4170.375</v>
      </c>
      <c r="C425">
        <v>22.27</v>
      </c>
      <c r="D425">
        <v>57.266</v>
      </c>
      <c r="E425">
        <v>180.198</v>
      </c>
      <c r="F425">
        <v>0.529</v>
      </c>
      <c r="G425">
        <v>24.382</v>
      </c>
      <c r="H425">
        <v>2.336</v>
      </c>
      <c r="I425">
        <v>2.787</v>
      </c>
      <c r="J425">
        <v>0.327</v>
      </c>
      <c r="K425">
        <v>3.942</v>
      </c>
      <c r="L425">
        <v>0.466</v>
      </c>
      <c r="M425">
        <v>3.098</v>
      </c>
      <c r="N425">
        <v>278.095</v>
      </c>
      <c r="O425">
        <v>259.561</v>
      </c>
      <c r="P425">
        <f t="shared" si="28"/>
        <v>2.44419318055085</v>
      </c>
      <c r="Q425">
        <f t="shared" si="28"/>
        <v>2.41423943867845</v>
      </c>
      <c r="R425">
        <v>95.641</v>
      </c>
      <c r="S425">
        <v>95.641</v>
      </c>
      <c r="T425">
        <v>102.84</v>
      </c>
      <c r="U425">
        <v>3.46</v>
      </c>
      <c r="V425">
        <v>40.842</v>
      </c>
      <c r="W425">
        <v>0.1</v>
      </c>
      <c r="X425" t="s">
        <v>55</v>
      </c>
      <c r="Y425" t="s">
        <v>31</v>
      </c>
      <c r="Z425" s="3">
        <f t="shared" si="29"/>
        <v>0.0299537418724078</v>
      </c>
      <c r="AA425">
        <f t="shared" si="30"/>
        <v>0.139</v>
      </c>
      <c r="AB425">
        <f t="shared" si="31"/>
        <v>0.995</v>
      </c>
      <c r="AC425" t="s">
        <v>32</v>
      </c>
    </row>
    <row r="426" spans="1:29">
      <c r="A426" t="s">
        <v>56</v>
      </c>
      <c r="B426">
        <v>4170.5</v>
      </c>
      <c r="C426">
        <v>19.993</v>
      </c>
      <c r="D426">
        <v>56.987</v>
      </c>
      <c r="E426">
        <v>177.898</v>
      </c>
      <c r="F426">
        <v>0.485</v>
      </c>
      <c r="G426">
        <v>24.212</v>
      </c>
      <c r="H426">
        <v>2.11</v>
      </c>
      <c r="I426">
        <v>2.783</v>
      </c>
      <c r="J426">
        <v>0.301</v>
      </c>
      <c r="K426">
        <v>5.217</v>
      </c>
      <c r="L426">
        <v>0.607</v>
      </c>
      <c r="M426">
        <v>3.085</v>
      </c>
      <c r="N426">
        <v>271.172</v>
      </c>
      <c r="O426">
        <v>253.41</v>
      </c>
      <c r="P426">
        <f t="shared" si="28"/>
        <v>2.43324484421686</v>
      </c>
      <c r="Q426">
        <f t="shared" si="28"/>
        <v>2.40382374890231</v>
      </c>
      <c r="R426">
        <v>98.532</v>
      </c>
      <c r="S426">
        <v>98.532</v>
      </c>
      <c r="T426">
        <v>105.948</v>
      </c>
      <c r="U426">
        <v>3.614</v>
      </c>
      <c r="V426">
        <v>38.913</v>
      </c>
      <c r="W426">
        <v>0.1</v>
      </c>
      <c r="X426" t="s">
        <v>55</v>
      </c>
      <c r="Y426" t="s">
        <v>31</v>
      </c>
      <c r="Z426" s="3">
        <f t="shared" si="29"/>
        <v>0.0294210953145555</v>
      </c>
      <c r="AA426">
        <f t="shared" si="30"/>
        <v>0.306</v>
      </c>
      <c r="AB426">
        <f t="shared" si="31"/>
        <v>1.092</v>
      </c>
      <c r="AC426" t="s">
        <v>32</v>
      </c>
    </row>
    <row r="427" spans="1:29">
      <c r="A427" t="s">
        <v>56</v>
      </c>
      <c r="B427">
        <v>4170.625</v>
      </c>
      <c r="C427">
        <v>18.128</v>
      </c>
      <c r="D427">
        <v>56.756</v>
      </c>
      <c r="E427">
        <v>173.769</v>
      </c>
      <c r="F427">
        <v>0.406</v>
      </c>
      <c r="G427">
        <v>23.886</v>
      </c>
      <c r="H427">
        <v>1.963</v>
      </c>
      <c r="I427">
        <v>2.781</v>
      </c>
      <c r="J427">
        <v>0.288</v>
      </c>
      <c r="K427">
        <v>6.256</v>
      </c>
      <c r="L427">
        <v>0.722</v>
      </c>
      <c r="M427">
        <v>3.054</v>
      </c>
      <c r="N427">
        <v>262.721</v>
      </c>
      <c r="O427">
        <v>245.818</v>
      </c>
      <c r="P427">
        <f t="shared" si="28"/>
        <v>2.41949478850594</v>
      </c>
      <c r="Q427">
        <f t="shared" si="28"/>
        <v>2.39061368088752</v>
      </c>
      <c r="R427">
        <v>101.839</v>
      </c>
      <c r="S427">
        <v>101.839</v>
      </c>
      <c r="T427">
        <v>109.504</v>
      </c>
      <c r="U427">
        <v>3.688</v>
      </c>
      <c r="V427">
        <v>37.625</v>
      </c>
      <c r="W427">
        <v>0.1</v>
      </c>
      <c r="X427" t="s">
        <v>55</v>
      </c>
      <c r="Y427" t="s">
        <v>31</v>
      </c>
      <c r="Z427" s="3">
        <f t="shared" si="29"/>
        <v>0.0288811076184148</v>
      </c>
      <c r="AA427">
        <f t="shared" si="30"/>
        <v>0.434</v>
      </c>
      <c r="AB427">
        <f t="shared" si="31"/>
        <v>1.128</v>
      </c>
      <c r="AC427" t="s">
        <v>32</v>
      </c>
    </row>
    <row r="428" spans="1:29">
      <c r="A428" t="s">
        <v>56</v>
      </c>
      <c r="B428">
        <v>4170.75</v>
      </c>
      <c r="C428">
        <v>16.846</v>
      </c>
      <c r="D428">
        <v>56.58</v>
      </c>
      <c r="E428">
        <v>170.728</v>
      </c>
      <c r="F428">
        <v>0.347</v>
      </c>
      <c r="G428">
        <v>23.584</v>
      </c>
      <c r="H428">
        <v>1.811</v>
      </c>
      <c r="I428">
        <v>2.781</v>
      </c>
      <c r="J428">
        <v>0.288</v>
      </c>
      <c r="K428">
        <v>6.82</v>
      </c>
      <c r="L428">
        <v>0.784</v>
      </c>
      <c r="M428">
        <v>3.053</v>
      </c>
      <c r="N428">
        <v>256.46</v>
      </c>
      <c r="O428">
        <v>240.147</v>
      </c>
      <c r="P428">
        <f t="shared" si="28"/>
        <v>2.40901963793149</v>
      </c>
      <c r="Q428">
        <f t="shared" si="28"/>
        <v>2.38047716565088</v>
      </c>
      <c r="R428">
        <v>102.383</v>
      </c>
      <c r="S428">
        <v>102.383</v>
      </c>
      <c r="T428">
        <v>110.089</v>
      </c>
      <c r="U428">
        <v>3.741</v>
      </c>
      <c r="V428">
        <v>37.01</v>
      </c>
      <c r="W428">
        <v>0.1</v>
      </c>
      <c r="X428" t="s">
        <v>55</v>
      </c>
      <c r="Y428" t="s">
        <v>31</v>
      </c>
      <c r="Z428" s="3">
        <f t="shared" si="29"/>
        <v>0.0285424722806167</v>
      </c>
      <c r="AA428">
        <f t="shared" si="30"/>
        <v>0.496</v>
      </c>
      <c r="AB428">
        <f t="shared" si="31"/>
        <v>1.131</v>
      </c>
      <c r="AC428" t="s">
        <v>32</v>
      </c>
    </row>
    <row r="429" spans="1:29">
      <c r="A429" t="s">
        <v>56</v>
      </c>
      <c r="B429">
        <v>4170.875</v>
      </c>
      <c r="C429">
        <v>15.922</v>
      </c>
      <c r="D429">
        <v>56.468</v>
      </c>
      <c r="E429">
        <v>170.916</v>
      </c>
      <c r="F429">
        <v>0.351</v>
      </c>
      <c r="G429">
        <v>23.521</v>
      </c>
      <c r="H429">
        <v>1.627</v>
      </c>
      <c r="I429">
        <v>2.78</v>
      </c>
      <c r="J429">
        <v>0.281</v>
      </c>
      <c r="K429">
        <v>7.044</v>
      </c>
      <c r="L429">
        <v>0.809</v>
      </c>
      <c r="M429">
        <v>3.053</v>
      </c>
      <c r="N429">
        <v>255.654</v>
      </c>
      <c r="O429">
        <v>239.46</v>
      </c>
      <c r="P429">
        <f t="shared" si="28"/>
        <v>2.40765259215091</v>
      </c>
      <c r="Q429">
        <f t="shared" si="28"/>
        <v>2.37923297816767</v>
      </c>
      <c r="R429">
        <v>97.603</v>
      </c>
      <c r="S429">
        <v>97.603</v>
      </c>
      <c r="T429">
        <v>104.949</v>
      </c>
      <c r="U429">
        <v>3.792</v>
      </c>
      <c r="V429">
        <v>37.434</v>
      </c>
      <c r="W429">
        <v>0.1</v>
      </c>
      <c r="X429" t="s">
        <v>55</v>
      </c>
      <c r="Y429" t="s">
        <v>31</v>
      </c>
      <c r="Z429" s="3">
        <f t="shared" si="29"/>
        <v>0.028419613983242</v>
      </c>
      <c r="AA429">
        <f t="shared" si="30"/>
        <v>0.528</v>
      </c>
      <c r="AB429">
        <f t="shared" si="31"/>
        <v>1.16</v>
      </c>
      <c r="AC429" t="s">
        <v>32</v>
      </c>
    </row>
    <row r="430" spans="1:29">
      <c r="A430" t="s">
        <v>56</v>
      </c>
      <c r="B430">
        <v>4171</v>
      </c>
      <c r="C430">
        <v>15.219</v>
      </c>
      <c r="D430">
        <v>56.414</v>
      </c>
      <c r="E430">
        <v>172.221</v>
      </c>
      <c r="F430">
        <v>0.376</v>
      </c>
      <c r="G430">
        <v>23.521</v>
      </c>
      <c r="H430">
        <v>1.474</v>
      </c>
      <c r="I430">
        <v>2.776</v>
      </c>
      <c r="J430">
        <v>0.255</v>
      </c>
      <c r="K430">
        <v>6.965</v>
      </c>
      <c r="L430">
        <v>0.8</v>
      </c>
      <c r="M430">
        <v>3.053</v>
      </c>
      <c r="N430">
        <v>260.389</v>
      </c>
      <c r="O430">
        <v>243.742</v>
      </c>
      <c r="P430">
        <f t="shared" si="28"/>
        <v>2.41562263373561</v>
      </c>
      <c r="Q430">
        <f t="shared" si="28"/>
        <v>2.38693037036905</v>
      </c>
      <c r="R430">
        <v>89.542</v>
      </c>
      <c r="S430">
        <v>89.542</v>
      </c>
      <c r="T430">
        <v>96.281</v>
      </c>
      <c r="U430">
        <v>3.877</v>
      </c>
      <c r="V430">
        <v>38.374</v>
      </c>
      <c r="W430">
        <v>0.1</v>
      </c>
      <c r="X430" t="s">
        <v>55</v>
      </c>
      <c r="Y430" t="s">
        <v>31</v>
      </c>
      <c r="Z430" s="3">
        <f t="shared" si="29"/>
        <v>0.0286922633665609</v>
      </c>
      <c r="AA430">
        <f t="shared" si="30"/>
        <v>0.545</v>
      </c>
      <c r="AB430">
        <f t="shared" si="31"/>
        <v>1.176</v>
      </c>
      <c r="AC430" t="s">
        <v>32</v>
      </c>
    </row>
    <row r="431" spans="1:29">
      <c r="A431" t="s">
        <v>56</v>
      </c>
      <c r="B431">
        <v>4171.125</v>
      </c>
      <c r="C431">
        <v>14.726</v>
      </c>
      <c r="D431">
        <v>56.425</v>
      </c>
      <c r="E431">
        <v>171.8</v>
      </c>
      <c r="F431">
        <v>0.368</v>
      </c>
      <c r="G431">
        <v>23.475</v>
      </c>
      <c r="H431">
        <v>1.381</v>
      </c>
      <c r="I431">
        <v>2.774</v>
      </c>
      <c r="J431">
        <v>0.242</v>
      </c>
      <c r="K431">
        <v>6.706</v>
      </c>
      <c r="L431">
        <v>0.772</v>
      </c>
      <c r="M431">
        <v>3.053</v>
      </c>
      <c r="N431">
        <v>268.949</v>
      </c>
      <c r="O431">
        <v>251.5</v>
      </c>
      <c r="P431">
        <f t="shared" si="28"/>
        <v>2.42966993383709</v>
      </c>
      <c r="Q431">
        <f t="shared" si="28"/>
        <v>2.40053798939195</v>
      </c>
      <c r="R431">
        <v>81.132</v>
      </c>
      <c r="S431">
        <v>81.132</v>
      </c>
      <c r="T431">
        <v>87.239</v>
      </c>
      <c r="U431">
        <v>3.944</v>
      </c>
      <c r="V431">
        <v>39.95</v>
      </c>
      <c r="W431">
        <v>0.1</v>
      </c>
      <c r="X431" t="s">
        <v>55</v>
      </c>
      <c r="Y431" t="s">
        <v>31</v>
      </c>
      <c r="Z431" s="3">
        <f t="shared" si="29"/>
        <v>0.0291319444451434</v>
      </c>
      <c r="AA431">
        <f t="shared" si="30"/>
        <v>0.53</v>
      </c>
      <c r="AB431">
        <f t="shared" si="31"/>
        <v>1.14</v>
      </c>
      <c r="AC431" t="s">
        <v>32</v>
      </c>
    </row>
    <row r="432" spans="1:29">
      <c r="A432" t="s">
        <v>56</v>
      </c>
      <c r="B432">
        <v>4171.25</v>
      </c>
      <c r="C432">
        <v>14.489</v>
      </c>
      <c r="D432">
        <v>56.501</v>
      </c>
      <c r="E432">
        <v>170.474</v>
      </c>
      <c r="F432">
        <v>0.342</v>
      </c>
      <c r="G432">
        <v>23.302</v>
      </c>
      <c r="H432">
        <v>1.326</v>
      </c>
      <c r="I432">
        <v>2.774</v>
      </c>
      <c r="J432">
        <v>0.242</v>
      </c>
      <c r="K432">
        <v>6.538</v>
      </c>
      <c r="L432">
        <v>0.753</v>
      </c>
      <c r="M432">
        <v>3.053</v>
      </c>
      <c r="N432">
        <v>277.743</v>
      </c>
      <c r="O432">
        <v>259.862</v>
      </c>
      <c r="P432">
        <f t="shared" si="28"/>
        <v>2.4436431221595</v>
      </c>
      <c r="Q432">
        <f t="shared" si="28"/>
        <v>2.41474277662723</v>
      </c>
      <c r="R432">
        <v>79.728</v>
      </c>
      <c r="S432">
        <v>79.728</v>
      </c>
      <c r="T432">
        <v>85.729</v>
      </c>
      <c r="U432">
        <v>3.951</v>
      </c>
      <c r="V432">
        <v>40.299</v>
      </c>
      <c r="W432">
        <v>0.1</v>
      </c>
      <c r="X432" t="s">
        <v>55</v>
      </c>
      <c r="Y432" t="s">
        <v>31</v>
      </c>
      <c r="Z432" s="3">
        <f t="shared" si="29"/>
        <v>0.0289003455322736</v>
      </c>
      <c r="AA432">
        <f t="shared" si="30"/>
        <v>0.511</v>
      </c>
      <c r="AB432">
        <f t="shared" si="31"/>
        <v>1.095</v>
      </c>
      <c r="AC432" t="s">
        <v>32</v>
      </c>
    </row>
    <row r="433" spans="1:29">
      <c r="A433" t="s">
        <v>56</v>
      </c>
      <c r="B433">
        <v>4171.375</v>
      </c>
      <c r="C433">
        <v>14.657</v>
      </c>
      <c r="D433">
        <v>56.635</v>
      </c>
      <c r="E433">
        <v>169.353</v>
      </c>
      <c r="F433">
        <v>0.321</v>
      </c>
      <c r="G433">
        <v>23.199</v>
      </c>
      <c r="H433">
        <v>1.334</v>
      </c>
      <c r="I433">
        <v>2.777</v>
      </c>
      <c r="J433">
        <v>0.261</v>
      </c>
      <c r="K433">
        <v>6.542</v>
      </c>
      <c r="L433">
        <v>0.754</v>
      </c>
      <c r="M433">
        <v>3.053</v>
      </c>
      <c r="N433">
        <v>286.218</v>
      </c>
      <c r="O433">
        <v>268.334</v>
      </c>
      <c r="P433">
        <f t="shared" si="28"/>
        <v>2.45669694268322</v>
      </c>
      <c r="Q433">
        <f t="shared" si="28"/>
        <v>2.42867570463937</v>
      </c>
      <c r="R433">
        <v>81.389</v>
      </c>
      <c r="S433">
        <v>81.389</v>
      </c>
      <c r="T433">
        <v>87.515</v>
      </c>
      <c r="U433">
        <v>3.905</v>
      </c>
      <c r="V433">
        <v>40.511</v>
      </c>
      <c r="W433">
        <v>0.1</v>
      </c>
      <c r="X433" t="s">
        <v>55</v>
      </c>
      <c r="Y433" t="s">
        <v>31</v>
      </c>
      <c r="Z433" s="3">
        <f t="shared" si="29"/>
        <v>0.0280212380438503</v>
      </c>
      <c r="AA433">
        <f t="shared" si="30"/>
        <v>0.493</v>
      </c>
      <c r="AB433">
        <f t="shared" si="31"/>
        <v>1.075</v>
      </c>
      <c r="AC433" t="s">
        <v>32</v>
      </c>
    </row>
    <row r="434" spans="1:29">
      <c r="A434" t="s">
        <v>56</v>
      </c>
      <c r="B434">
        <v>4171.5</v>
      </c>
      <c r="C434">
        <v>15.039</v>
      </c>
      <c r="D434">
        <v>56.825</v>
      </c>
      <c r="E434">
        <v>167.406</v>
      </c>
      <c r="F434">
        <v>0.283</v>
      </c>
      <c r="G434">
        <v>23.116</v>
      </c>
      <c r="H434">
        <v>1.387</v>
      </c>
      <c r="I434">
        <v>2.781</v>
      </c>
      <c r="J434">
        <v>0.288</v>
      </c>
      <c r="K434">
        <v>6.446</v>
      </c>
      <c r="L434">
        <v>0.743</v>
      </c>
      <c r="M434">
        <v>3.082</v>
      </c>
      <c r="N434">
        <v>297.136</v>
      </c>
      <c r="O434">
        <v>279.12</v>
      </c>
      <c r="P434">
        <f t="shared" si="28"/>
        <v>2.47295527265251</v>
      </c>
      <c r="Q434">
        <f t="shared" si="28"/>
        <v>2.44579095644005</v>
      </c>
      <c r="R434">
        <v>92.439</v>
      </c>
      <c r="S434">
        <v>92.439</v>
      </c>
      <c r="T434">
        <v>99.397</v>
      </c>
      <c r="U434">
        <v>3.819</v>
      </c>
      <c r="V434">
        <v>38.783</v>
      </c>
      <c r="W434">
        <v>0.1</v>
      </c>
      <c r="X434" t="s">
        <v>55</v>
      </c>
      <c r="Y434" t="s">
        <v>31</v>
      </c>
      <c r="Z434" s="3">
        <f t="shared" si="29"/>
        <v>0.0271643162124566</v>
      </c>
      <c r="AA434">
        <f t="shared" si="30"/>
        <v>0.455</v>
      </c>
      <c r="AB434">
        <f t="shared" si="31"/>
        <v>1.026</v>
      </c>
      <c r="AC434" t="s">
        <v>32</v>
      </c>
    </row>
    <row r="435" spans="1:29">
      <c r="A435" t="s">
        <v>56</v>
      </c>
      <c r="B435">
        <v>4171.625</v>
      </c>
      <c r="C435">
        <v>15.022</v>
      </c>
      <c r="D435">
        <v>57.065</v>
      </c>
      <c r="E435">
        <v>164.814</v>
      </c>
      <c r="F435">
        <v>0.233</v>
      </c>
      <c r="G435">
        <v>22.906</v>
      </c>
      <c r="H435">
        <v>1.451</v>
      </c>
      <c r="I435">
        <v>2.787</v>
      </c>
      <c r="J435">
        <v>0.327</v>
      </c>
      <c r="K435">
        <v>6.072</v>
      </c>
      <c r="L435">
        <v>0.702</v>
      </c>
      <c r="M435">
        <v>3.092</v>
      </c>
      <c r="N435">
        <v>313.221</v>
      </c>
      <c r="O435">
        <v>294.68</v>
      </c>
      <c r="P435">
        <f t="shared" si="28"/>
        <v>2.49585087177154</v>
      </c>
      <c r="Q435">
        <f t="shared" si="28"/>
        <v>2.46935066118285</v>
      </c>
      <c r="R435">
        <v>109.31</v>
      </c>
      <c r="S435">
        <v>109.31</v>
      </c>
      <c r="T435">
        <v>117.538</v>
      </c>
      <c r="U435">
        <v>3.71</v>
      </c>
      <c r="V435">
        <v>36.465</v>
      </c>
      <c r="W435">
        <v>0.1</v>
      </c>
      <c r="X435" t="s">
        <v>55</v>
      </c>
      <c r="Y435" t="s">
        <v>31</v>
      </c>
      <c r="Z435" s="3">
        <f t="shared" si="29"/>
        <v>0.0265002105886922</v>
      </c>
      <c r="AA435">
        <f t="shared" si="30"/>
        <v>0.375</v>
      </c>
      <c r="AB435">
        <f t="shared" si="31"/>
        <v>0.935</v>
      </c>
      <c r="AC435" t="s">
        <v>32</v>
      </c>
    </row>
    <row r="436" spans="1:29">
      <c r="A436" t="s">
        <v>56</v>
      </c>
      <c r="B436">
        <v>4171.75</v>
      </c>
      <c r="C436">
        <v>14.69</v>
      </c>
      <c r="D436">
        <v>57.345</v>
      </c>
      <c r="E436">
        <v>163.47</v>
      </c>
      <c r="F436">
        <v>0.207</v>
      </c>
      <c r="G436">
        <v>22.688</v>
      </c>
      <c r="H436">
        <v>1.505</v>
      </c>
      <c r="I436">
        <v>2.792</v>
      </c>
      <c r="J436">
        <v>0.359</v>
      </c>
      <c r="K436">
        <v>5.518</v>
      </c>
      <c r="L436">
        <v>0.64</v>
      </c>
      <c r="M436">
        <v>3.092</v>
      </c>
      <c r="N436">
        <v>335.424</v>
      </c>
      <c r="O436">
        <v>316.322</v>
      </c>
      <c r="P436">
        <f t="shared" si="28"/>
        <v>2.52559413368648</v>
      </c>
      <c r="Q436">
        <f t="shared" si="28"/>
        <v>2.50012939787949</v>
      </c>
      <c r="R436">
        <v>128.032</v>
      </c>
      <c r="S436">
        <v>128.032</v>
      </c>
      <c r="T436">
        <v>137.668</v>
      </c>
      <c r="U436">
        <v>3.638</v>
      </c>
      <c r="V436">
        <v>34.132</v>
      </c>
      <c r="W436">
        <v>0.1</v>
      </c>
      <c r="X436" t="s">
        <v>55</v>
      </c>
      <c r="Y436" t="s">
        <v>31</v>
      </c>
      <c r="Z436" s="3">
        <f t="shared" si="29"/>
        <v>0.0254647358069886</v>
      </c>
      <c r="AA436">
        <f t="shared" si="30"/>
        <v>0.281</v>
      </c>
      <c r="AB436">
        <f t="shared" si="31"/>
        <v>0.847</v>
      </c>
      <c r="AC436" t="s">
        <v>32</v>
      </c>
    </row>
    <row r="437" spans="1:29">
      <c r="A437" t="s">
        <v>56</v>
      </c>
      <c r="B437">
        <v>4171.875</v>
      </c>
      <c r="C437">
        <v>14.925</v>
      </c>
      <c r="D437">
        <v>57.662</v>
      </c>
      <c r="E437">
        <v>163.052</v>
      </c>
      <c r="F437">
        <v>0.199</v>
      </c>
      <c r="G437">
        <v>22.602</v>
      </c>
      <c r="H437">
        <v>1.573</v>
      </c>
      <c r="I437">
        <v>2.798</v>
      </c>
      <c r="J437">
        <v>0.399</v>
      </c>
      <c r="K437">
        <v>4.961</v>
      </c>
      <c r="L437">
        <v>0.579</v>
      </c>
      <c r="M437">
        <v>3.092</v>
      </c>
      <c r="N437">
        <v>367.956</v>
      </c>
      <c r="O437">
        <v>348.294</v>
      </c>
      <c r="P437">
        <f t="shared" si="28"/>
        <v>2.56579588905483</v>
      </c>
      <c r="Q437">
        <f t="shared" si="28"/>
        <v>2.54194599300737</v>
      </c>
      <c r="R437">
        <v>143.926</v>
      </c>
      <c r="S437">
        <v>143.926</v>
      </c>
      <c r="T437">
        <v>154.759</v>
      </c>
      <c r="U437">
        <v>3.54</v>
      </c>
      <c r="V437">
        <v>32.768</v>
      </c>
      <c r="W437">
        <v>0.1</v>
      </c>
      <c r="X437" t="s">
        <v>55</v>
      </c>
      <c r="Y437" t="s">
        <v>31</v>
      </c>
      <c r="Z437" s="3">
        <f t="shared" si="29"/>
        <v>0.0238498960474547</v>
      </c>
      <c r="AA437">
        <f t="shared" si="30"/>
        <v>0.18</v>
      </c>
      <c r="AB437">
        <f t="shared" si="31"/>
        <v>0.778</v>
      </c>
      <c r="AC437" t="s">
        <v>32</v>
      </c>
    </row>
    <row r="438" spans="1:29">
      <c r="A438" t="s">
        <v>56</v>
      </c>
      <c r="B438">
        <v>4172</v>
      </c>
      <c r="C438">
        <v>16.223</v>
      </c>
      <c r="D438">
        <v>58.006</v>
      </c>
      <c r="E438">
        <v>162.31</v>
      </c>
      <c r="F438">
        <v>0.185</v>
      </c>
      <c r="G438">
        <v>22.526</v>
      </c>
      <c r="H438">
        <v>1.697</v>
      </c>
      <c r="I438">
        <v>2.802</v>
      </c>
      <c r="J438">
        <v>0.425</v>
      </c>
      <c r="K438">
        <v>4.39</v>
      </c>
      <c r="L438">
        <v>0.515</v>
      </c>
      <c r="M438">
        <v>3.092</v>
      </c>
      <c r="N438">
        <v>416.387</v>
      </c>
      <c r="O438">
        <v>395.235</v>
      </c>
      <c r="P438">
        <f t="shared" si="28"/>
        <v>2.61949716196146</v>
      </c>
      <c r="Q438">
        <f t="shared" si="28"/>
        <v>2.59685539652747</v>
      </c>
      <c r="R438">
        <v>152.776</v>
      </c>
      <c r="S438">
        <v>152.776</v>
      </c>
      <c r="T438">
        <v>164.276</v>
      </c>
      <c r="U438">
        <v>3.444</v>
      </c>
      <c r="V438">
        <v>32.409</v>
      </c>
      <c r="W438">
        <v>0.1</v>
      </c>
      <c r="X438" t="s">
        <v>55</v>
      </c>
      <c r="Y438" t="s">
        <v>31</v>
      </c>
      <c r="Z438" s="3">
        <f t="shared" si="29"/>
        <v>0.0226417654339897</v>
      </c>
      <c r="AA438">
        <f t="shared" si="30"/>
        <v>0.09</v>
      </c>
      <c r="AB438">
        <f t="shared" si="31"/>
        <v>0.7</v>
      </c>
      <c r="AC438" t="s">
        <v>32</v>
      </c>
    </row>
    <row r="439" spans="1:29">
      <c r="A439" t="s">
        <v>57</v>
      </c>
      <c r="B439">
        <v>4133</v>
      </c>
      <c r="C439">
        <v>40.289</v>
      </c>
      <c r="D439">
        <v>43.873</v>
      </c>
      <c r="E439">
        <v>159.414</v>
      </c>
      <c r="F439">
        <v>0.138</v>
      </c>
      <c r="G439">
        <v>22.462</v>
      </c>
      <c r="H439">
        <v>1.864</v>
      </c>
      <c r="I439">
        <v>2.699</v>
      </c>
      <c r="J439">
        <v>0.17</v>
      </c>
      <c r="K439">
        <v>4.753</v>
      </c>
      <c r="L439">
        <v>0.015</v>
      </c>
      <c r="M439">
        <v>3.662</v>
      </c>
      <c r="N439">
        <v>215.815</v>
      </c>
      <c r="O439">
        <v>202.866</v>
      </c>
      <c r="P439">
        <f t="shared" si="28"/>
        <v>2.33408162658801</v>
      </c>
      <c r="Q439">
        <f t="shared" si="28"/>
        <v>2.30720926610828</v>
      </c>
      <c r="R439">
        <v>99.899</v>
      </c>
      <c r="S439">
        <v>99.899</v>
      </c>
      <c r="T439">
        <v>104.061</v>
      </c>
      <c r="U439">
        <v>0.163</v>
      </c>
      <c r="V439">
        <v>100</v>
      </c>
      <c r="W439">
        <v>0.002</v>
      </c>
      <c r="X439" t="s">
        <v>55</v>
      </c>
      <c r="Y439" t="s">
        <v>31</v>
      </c>
      <c r="Z439" s="3">
        <f t="shared" si="29"/>
        <v>0.0268723604797305</v>
      </c>
      <c r="AA439">
        <f t="shared" si="30"/>
        <v>-0.155</v>
      </c>
      <c r="AB439">
        <f t="shared" si="31"/>
        <v>0.153</v>
      </c>
      <c r="AC439" t="s">
        <v>32</v>
      </c>
    </row>
    <row r="440" spans="1:29">
      <c r="A440" t="s">
        <v>57</v>
      </c>
      <c r="B440">
        <v>4133.125</v>
      </c>
      <c r="C440">
        <v>38.539</v>
      </c>
      <c r="D440">
        <v>43.591</v>
      </c>
      <c r="E440">
        <v>161.315</v>
      </c>
      <c r="F440">
        <v>0.172</v>
      </c>
      <c r="G440">
        <v>22.45</v>
      </c>
      <c r="H440">
        <v>1.719</v>
      </c>
      <c r="I440">
        <v>2.708</v>
      </c>
      <c r="J440">
        <v>0.214</v>
      </c>
      <c r="K440">
        <v>4.506</v>
      </c>
      <c r="L440">
        <v>0.001</v>
      </c>
      <c r="M440">
        <v>3.422</v>
      </c>
      <c r="N440">
        <v>146.013</v>
      </c>
      <c r="O440">
        <v>137.253</v>
      </c>
      <c r="P440">
        <f t="shared" si="28"/>
        <v>2.16439152411953</v>
      </c>
      <c r="Q440">
        <f t="shared" si="28"/>
        <v>2.13752184579395</v>
      </c>
      <c r="R440">
        <v>86.988</v>
      </c>
      <c r="S440">
        <v>86.988</v>
      </c>
      <c r="T440">
        <v>90.612</v>
      </c>
      <c r="U440">
        <v>2.326</v>
      </c>
      <c r="V440">
        <v>100</v>
      </c>
      <c r="W440">
        <v>0.016</v>
      </c>
      <c r="X440" t="s">
        <v>55</v>
      </c>
      <c r="Y440" t="s">
        <v>31</v>
      </c>
      <c r="Z440" s="3">
        <f t="shared" si="29"/>
        <v>0.0268696783255895</v>
      </c>
      <c r="AA440">
        <f t="shared" si="30"/>
        <v>-0.213</v>
      </c>
      <c r="AB440">
        <f t="shared" si="31"/>
        <v>0.173</v>
      </c>
      <c r="AC440" t="s">
        <v>32</v>
      </c>
    </row>
    <row r="441" spans="1:29">
      <c r="A441" t="s">
        <v>57</v>
      </c>
      <c r="B441">
        <v>4133.25</v>
      </c>
      <c r="C441">
        <v>35.754</v>
      </c>
      <c r="D441">
        <v>43.139</v>
      </c>
      <c r="E441">
        <v>163.127</v>
      </c>
      <c r="F441">
        <v>0.205</v>
      </c>
      <c r="G441">
        <v>22.367</v>
      </c>
      <c r="H441">
        <v>1.663</v>
      </c>
      <c r="I441">
        <v>2.715</v>
      </c>
      <c r="J441">
        <v>0.248</v>
      </c>
      <c r="K441">
        <v>5.137</v>
      </c>
      <c r="L441">
        <v>0.036</v>
      </c>
      <c r="M441">
        <v>3.3</v>
      </c>
      <c r="N441">
        <v>114.049</v>
      </c>
      <c r="O441">
        <v>107.206</v>
      </c>
      <c r="P441">
        <f t="shared" si="28"/>
        <v>2.0570914816654</v>
      </c>
      <c r="Q441">
        <f t="shared" si="28"/>
        <v>2.0302190922035</v>
      </c>
      <c r="R441">
        <v>75.683</v>
      </c>
      <c r="S441">
        <v>75.683</v>
      </c>
      <c r="T441">
        <v>78.836</v>
      </c>
      <c r="U441">
        <v>4.247</v>
      </c>
      <c r="V441">
        <v>76.509</v>
      </c>
      <c r="W441">
        <v>0.037</v>
      </c>
      <c r="X441" t="s">
        <v>55</v>
      </c>
      <c r="Y441" t="s">
        <v>31</v>
      </c>
      <c r="Z441" s="3">
        <f t="shared" si="29"/>
        <v>0.0268723894618987</v>
      </c>
      <c r="AA441">
        <f t="shared" si="30"/>
        <v>-0.212</v>
      </c>
      <c r="AB441">
        <f t="shared" si="31"/>
        <v>0.241</v>
      </c>
      <c r="AC441" t="s">
        <v>32</v>
      </c>
    </row>
    <row r="442" spans="1:29">
      <c r="A442" t="s">
        <v>57</v>
      </c>
      <c r="B442">
        <v>4133.375</v>
      </c>
      <c r="C442">
        <v>33.278</v>
      </c>
      <c r="D442">
        <v>42.654</v>
      </c>
      <c r="E442">
        <v>164.231</v>
      </c>
      <c r="F442">
        <v>0.225</v>
      </c>
      <c r="G442">
        <v>22.288</v>
      </c>
      <c r="H442">
        <v>1.663</v>
      </c>
      <c r="I442">
        <v>2.719</v>
      </c>
      <c r="J442">
        <v>0.267</v>
      </c>
      <c r="K442">
        <v>6.636</v>
      </c>
      <c r="L442">
        <v>0.119</v>
      </c>
      <c r="M442">
        <v>3.282</v>
      </c>
      <c r="N442">
        <v>106.806</v>
      </c>
      <c r="O442">
        <v>100.398</v>
      </c>
      <c r="P442">
        <f t="shared" si="28"/>
        <v>2.02859565057361</v>
      </c>
      <c r="Q442">
        <f t="shared" si="28"/>
        <v>2.00172506143833</v>
      </c>
      <c r="R442">
        <v>68.859</v>
      </c>
      <c r="S442">
        <v>68.859</v>
      </c>
      <c r="T442">
        <v>71.729</v>
      </c>
      <c r="U442">
        <v>5.248</v>
      </c>
      <c r="V442">
        <v>67.342</v>
      </c>
      <c r="W442">
        <v>0.056</v>
      </c>
      <c r="X442" t="s">
        <v>55</v>
      </c>
      <c r="Y442" t="s">
        <v>31</v>
      </c>
      <c r="Z442" s="3">
        <f t="shared" si="29"/>
        <v>0.0268705891352781</v>
      </c>
      <c r="AA442">
        <f t="shared" si="30"/>
        <v>-0.148</v>
      </c>
      <c r="AB442">
        <f t="shared" si="31"/>
        <v>0.344</v>
      </c>
      <c r="AC442" t="s">
        <v>32</v>
      </c>
    </row>
    <row r="443" spans="1:29">
      <c r="A443" t="s">
        <v>57</v>
      </c>
      <c r="B443">
        <v>4133.5</v>
      </c>
      <c r="C443">
        <v>32.524</v>
      </c>
      <c r="D443">
        <v>42.378</v>
      </c>
      <c r="E443">
        <v>165.729</v>
      </c>
      <c r="F443">
        <v>0.252</v>
      </c>
      <c r="G443">
        <v>22.142</v>
      </c>
      <c r="H443">
        <v>1.69</v>
      </c>
      <c r="I443">
        <v>2.724</v>
      </c>
      <c r="J443">
        <v>0.291</v>
      </c>
      <c r="K443">
        <v>7.623</v>
      </c>
      <c r="L443">
        <v>0.174</v>
      </c>
      <c r="M443">
        <v>3.317</v>
      </c>
      <c r="N443">
        <v>106.086</v>
      </c>
      <c r="O443">
        <v>99.721</v>
      </c>
      <c r="P443">
        <f t="shared" si="28"/>
        <v>2.02565807453356</v>
      </c>
      <c r="Q443">
        <f t="shared" si="28"/>
        <v>1.99878662494911</v>
      </c>
      <c r="R443">
        <v>57.202</v>
      </c>
      <c r="S443">
        <v>57.202</v>
      </c>
      <c r="T443">
        <v>59.585</v>
      </c>
      <c r="U443">
        <v>6.124</v>
      </c>
      <c r="V443">
        <v>60.673</v>
      </c>
      <c r="W443">
        <v>0.081</v>
      </c>
      <c r="X443" t="s">
        <v>55</v>
      </c>
      <c r="Y443" t="s">
        <v>31</v>
      </c>
      <c r="Z443" s="3">
        <f t="shared" si="29"/>
        <v>0.0268714495844566</v>
      </c>
      <c r="AA443">
        <f t="shared" si="30"/>
        <v>-0.117</v>
      </c>
      <c r="AB443">
        <f t="shared" si="31"/>
        <v>0.426</v>
      </c>
      <c r="AC443" t="s">
        <v>32</v>
      </c>
    </row>
    <row r="444" spans="1:29">
      <c r="A444" t="s">
        <v>57</v>
      </c>
      <c r="B444">
        <v>4133.625</v>
      </c>
      <c r="C444">
        <v>32.247</v>
      </c>
      <c r="D444">
        <v>41.947</v>
      </c>
      <c r="E444">
        <v>166.045</v>
      </c>
      <c r="F444">
        <v>0.257</v>
      </c>
      <c r="G444">
        <v>22.086</v>
      </c>
      <c r="H444">
        <v>1.712</v>
      </c>
      <c r="I444">
        <v>2.728</v>
      </c>
      <c r="J444">
        <v>0.311</v>
      </c>
      <c r="K444">
        <v>8.995</v>
      </c>
      <c r="L444">
        <v>0.25</v>
      </c>
      <c r="M444">
        <v>3.353</v>
      </c>
      <c r="N444">
        <v>107.191</v>
      </c>
      <c r="O444">
        <v>100.76</v>
      </c>
      <c r="P444">
        <f t="shared" si="28"/>
        <v>2.03015832253565</v>
      </c>
      <c r="Q444">
        <f t="shared" si="28"/>
        <v>2.00328815882608</v>
      </c>
      <c r="R444">
        <v>50.436</v>
      </c>
      <c r="S444">
        <v>50.436</v>
      </c>
      <c r="T444">
        <v>52.537</v>
      </c>
      <c r="U444">
        <v>6.971</v>
      </c>
      <c r="V444">
        <v>58.033</v>
      </c>
      <c r="W444">
        <v>0.116</v>
      </c>
      <c r="X444" t="s">
        <v>55</v>
      </c>
      <c r="Y444" t="s">
        <v>31</v>
      </c>
      <c r="Z444" s="3">
        <f t="shared" si="29"/>
        <v>0.0268701637095741</v>
      </c>
      <c r="AA444">
        <f t="shared" si="30"/>
        <v>-0.061</v>
      </c>
      <c r="AB444">
        <f t="shared" si="31"/>
        <v>0.507</v>
      </c>
      <c r="AC444" t="s">
        <v>32</v>
      </c>
    </row>
    <row r="445" spans="1:29">
      <c r="A445" t="s">
        <v>57</v>
      </c>
      <c r="B445">
        <v>4133.75</v>
      </c>
      <c r="C445">
        <v>31.894</v>
      </c>
      <c r="D445">
        <v>41.683</v>
      </c>
      <c r="E445">
        <v>165.106</v>
      </c>
      <c r="F445">
        <v>0.24</v>
      </c>
      <c r="G445">
        <v>22.096</v>
      </c>
      <c r="H445">
        <v>1.737</v>
      </c>
      <c r="I445">
        <v>2.738</v>
      </c>
      <c r="J445">
        <v>0.359</v>
      </c>
      <c r="K445">
        <v>9.632</v>
      </c>
      <c r="L445">
        <v>0.285</v>
      </c>
      <c r="M445">
        <v>3.432</v>
      </c>
      <c r="N445">
        <v>106.346</v>
      </c>
      <c r="O445">
        <v>99.965</v>
      </c>
      <c r="P445">
        <f t="shared" si="28"/>
        <v>2.02672115939533</v>
      </c>
      <c r="Q445">
        <f t="shared" si="28"/>
        <v>1.99984797032459</v>
      </c>
      <c r="R445">
        <v>41.724</v>
      </c>
      <c r="S445">
        <v>41.724</v>
      </c>
      <c r="T445">
        <v>43.463</v>
      </c>
      <c r="U445">
        <v>7.067</v>
      </c>
      <c r="V445">
        <v>62.524</v>
      </c>
      <c r="W445">
        <v>0.12</v>
      </c>
      <c r="X445" t="s">
        <v>55</v>
      </c>
      <c r="Y445" t="s">
        <v>31</v>
      </c>
      <c r="Z445" s="3">
        <f t="shared" si="29"/>
        <v>0.0268731890707412</v>
      </c>
      <c r="AA445">
        <f t="shared" si="30"/>
        <v>-0.074</v>
      </c>
      <c r="AB445">
        <f t="shared" si="31"/>
        <v>0.525</v>
      </c>
      <c r="AC445" t="s">
        <v>32</v>
      </c>
    </row>
    <row r="446" spans="1:29">
      <c r="A446" t="s">
        <v>57</v>
      </c>
      <c r="B446">
        <v>4133.875</v>
      </c>
      <c r="C446">
        <v>30.285</v>
      </c>
      <c r="D446">
        <v>41.271</v>
      </c>
      <c r="E446">
        <v>164.188</v>
      </c>
      <c r="F446">
        <v>0.224</v>
      </c>
      <c r="G446">
        <v>22.079</v>
      </c>
      <c r="H446">
        <v>1.724</v>
      </c>
      <c r="I446">
        <v>2.743</v>
      </c>
      <c r="J446">
        <v>0.383</v>
      </c>
      <c r="K446">
        <v>9.989</v>
      </c>
      <c r="L446">
        <v>0.305</v>
      </c>
      <c r="M446">
        <v>3.487</v>
      </c>
      <c r="N446">
        <v>97.437</v>
      </c>
      <c r="O446">
        <v>91.591</v>
      </c>
      <c r="P446">
        <f t="shared" si="28"/>
        <v>1.98872390394743</v>
      </c>
      <c r="Q446">
        <f t="shared" si="28"/>
        <v>1.96185280071623</v>
      </c>
      <c r="R446">
        <v>34.835</v>
      </c>
      <c r="S446">
        <v>34.835</v>
      </c>
      <c r="T446">
        <v>36.286</v>
      </c>
      <c r="U446">
        <v>7.06</v>
      </c>
      <c r="V446">
        <v>65.56</v>
      </c>
      <c r="W446">
        <v>0.119</v>
      </c>
      <c r="X446" t="s">
        <v>55</v>
      </c>
      <c r="Y446" t="s">
        <v>31</v>
      </c>
      <c r="Z446" s="3">
        <f t="shared" si="29"/>
        <v>0.0268711032312043</v>
      </c>
      <c r="AA446">
        <f t="shared" si="30"/>
        <v>-0.078</v>
      </c>
      <c r="AB446">
        <f t="shared" si="31"/>
        <v>0.529</v>
      </c>
      <c r="AC446" t="s">
        <v>32</v>
      </c>
    </row>
    <row r="447" spans="1:29">
      <c r="A447" t="s">
        <v>57</v>
      </c>
      <c r="B447">
        <v>4134</v>
      </c>
      <c r="C447">
        <v>28.584</v>
      </c>
      <c r="D447">
        <v>40.839</v>
      </c>
      <c r="E447">
        <v>164.132</v>
      </c>
      <c r="F447">
        <v>0.223</v>
      </c>
      <c r="G447">
        <v>22.049</v>
      </c>
      <c r="H447">
        <v>1.697</v>
      </c>
      <c r="I447">
        <v>2.744</v>
      </c>
      <c r="J447">
        <v>0.388</v>
      </c>
      <c r="K447">
        <v>9.893</v>
      </c>
      <c r="L447">
        <v>0.3</v>
      </c>
      <c r="M447">
        <v>3.494</v>
      </c>
      <c r="N447">
        <v>89.729</v>
      </c>
      <c r="O447">
        <v>84.346</v>
      </c>
      <c r="P447">
        <f t="shared" si="28"/>
        <v>1.95293282770972</v>
      </c>
      <c r="Q447">
        <f t="shared" si="28"/>
        <v>1.92606449155918</v>
      </c>
      <c r="R447">
        <v>31.675</v>
      </c>
      <c r="S447">
        <v>31.675</v>
      </c>
      <c r="T447">
        <v>32.995</v>
      </c>
      <c r="U447">
        <v>7.101</v>
      </c>
      <c r="V447">
        <v>69.647</v>
      </c>
      <c r="W447">
        <v>0.122</v>
      </c>
      <c r="X447" t="s">
        <v>55</v>
      </c>
      <c r="Y447" t="s">
        <v>31</v>
      </c>
      <c r="Z447" s="3">
        <f t="shared" si="29"/>
        <v>0.0268683361505395</v>
      </c>
      <c r="AA447">
        <f t="shared" si="30"/>
        <v>-0.088</v>
      </c>
      <c r="AB447">
        <f t="shared" si="31"/>
        <v>0.523</v>
      </c>
      <c r="AC447" t="s">
        <v>32</v>
      </c>
    </row>
    <row r="448" spans="1:29">
      <c r="A448" t="s">
        <v>58</v>
      </c>
      <c r="B448">
        <v>4192</v>
      </c>
      <c r="C448">
        <v>18.31</v>
      </c>
      <c r="D448">
        <v>39.187</v>
      </c>
      <c r="E448">
        <v>178.076</v>
      </c>
      <c r="F448">
        <v>0.271</v>
      </c>
      <c r="G448">
        <v>22.372</v>
      </c>
      <c r="H448">
        <v>1.538</v>
      </c>
      <c r="I448">
        <v>2.691</v>
      </c>
      <c r="J448">
        <v>0.568</v>
      </c>
      <c r="K448">
        <v>10.094</v>
      </c>
      <c r="L448">
        <v>0.398</v>
      </c>
      <c r="M448">
        <v>3.17</v>
      </c>
      <c r="N448">
        <v>285.988</v>
      </c>
      <c r="O448">
        <v>269.493</v>
      </c>
      <c r="P448">
        <f t="shared" si="28"/>
        <v>2.45634781060066</v>
      </c>
      <c r="Q448">
        <f t="shared" si="28"/>
        <v>2.4305474890001</v>
      </c>
      <c r="R448">
        <v>43.618</v>
      </c>
      <c r="S448">
        <v>43.618</v>
      </c>
      <c r="T448">
        <v>42.384</v>
      </c>
      <c r="U448">
        <v>7.254</v>
      </c>
      <c r="V448">
        <v>46.031</v>
      </c>
      <c r="W448">
        <v>0.103</v>
      </c>
      <c r="X448" t="s">
        <v>55</v>
      </c>
      <c r="Y448" t="s">
        <v>31</v>
      </c>
      <c r="Z448" s="3">
        <f t="shared" si="29"/>
        <v>0.0258003216005522</v>
      </c>
      <c r="AA448">
        <f t="shared" si="30"/>
        <v>-0.17</v>
      </c>
      <c r="AB448">
        <f t="shared" si="31"/>
        <v>0.669</v>
      </c>
      <c r="AC448" t="s">
        <v>32</v>
      </c>
    </row>
    <row r="449" spans="1:29">
      <c r="A449" t="s">
        <v>58</v>
      </c>
      <c r="B449">
        <v>4192.125</v>
      </c>
      <c r="C449">
        <v>18.045</v>
      </c>
      <c r="D449">
        <v>38.691</v>
      </c>
      <c r="E449">
        <v>180.278</v>
      </c>
      <c r="F449">
        <v>0.298</v>
      </c>
      <c r="G449">
        <v>22.456</v>
      </c>
      <c r="H449">
        <v>1.498</v>
      </c>
      <c r="I449">
        <v>2.672</v>
      </c>
      <c r="J449">
        <v>0.531</v>
      </c>
      <c r="K449">
        <v>10.408</v>
      </c>
      <c r="L449">
        <v>0.421</v>
      </c>
      <c r="M449">
        <v>3.187</v>
      </c>
      <c r="N449">
        <v>292.088</v>
      </c>
      <c r="O449">
        <v>275.242</v>
      </c>
      <c r="P449">
        <f t="shared" si="28"/>
        <v>2.46551371499876</v>
      </c>
      <c r="Q449">
        <f t="shared" si="28"/>
        <v>2.4397147049141</v>
      </c>
      <c r="R449">
        <v>42.452</v>
      </c>
      <c r="S449">
        <v>42.452</v>
      </c>
      <c r="T449">
        <v>41.212</v>
      </c>
      <c r="U449">
        <v>7.55</v>
      </c>
      <c r="V449">
        <v>45.016</v>
      </c>
      <c r="W449">
        <v>0.122</v>
      </c>
      <c r="X449" t="s">
        <v>55</v>
      </c>
      <c r="Y449" t="s">
        <v>31</v>
      </c>
      <c r="Z449" s="3">
        <f t="shared" si="29"/>
        <v>0.0257990100846603</v>
      </c>
      <c r="AA449">
        <f t="shared" si="30"/>
        <v>-0.11</v>
      </c>
      <c r="AB449">
        <f t="shared" si="31"/>
        <v>0.719</v>
      </c>
      <c r="AC449" t="s">
        <v>32</v>
      </c>
    </row>
    <row r="450" spans="1:29">
      <c r="A450" t="s">
        <v>58</v>
      </c>
      <c r="B450">
        <v>4192.25</v>
      </c>
      <c r="C450">
        <v>17.822</v>
      </c>
      <c r="D450">
        <v>38.249</v>
      </c>
      <c r="E450">
        <v>181.466</v>
      </c>
      <c r="F450">
        <v>0.312</v>
      </c>
      <c r="G450">
        <v>22.549</v>
      </c>
      <c r="H450">
        <v>1.447</v>
      </c>
      <c r="I450">
        <v>2.651</v>
      </c>
      <c r="J450">
        <v>0.49</v>
      </c>
      <c r="K450">
        <v>10.746</v>
      </c>
      <c r="L450">
        <v>0.446</v>
      </c>
      <c r="M450">
        <v>3.198</v>
      </c>
      <c r="N450">
        <v>288.566</v>
      </c>
      <c r="O450">
        <v>271.922</v>
      </c>
      <c r="P450">
        <f t="shared" si="28"/>
        <v>2.46024515945933</v>
      </c>
      <c r="Q450">
        <f t="shared" si="28"/>
        <v>2.43444434584453</v>
      </c>
      <c r="R450">
        <v>40.794</v>
      </c>
      <c r="S450">
        <v>40.794</v>
      </c>
      <c r="T450">
        <v>39.54</v>
      </c>
      <c r="U450">
        <v>7.826</v>
      </c>
      <c r="V450">
        <v>44.395</v>
      </c>
      <c r="W450">
        <v>0.143</v>
      </c>
      <c r="X450" t="s">
        <v>55</v>
      </c>
      <c r="Y450" t="s">
        <v>31</v>
      </c>
      <c r="Z450" s="3">
        <f t="shared" si="29"/>
        <v>0.0258008136147967</v>
      </c>
      <c r="AA450">
        <f t="shared" si="30"/>
        <v>-0.044</v>
      </c>
      <c r="AB450">
        <f t="shared" si="31"/>
        <v>0.758</v>
      </c>
      <c r="AC450" t="s">
        <v>32</v>
      </c>
    </row>
    <row r="451" spans="1:29">
      <c r="A451" t="s">
        <v>58</v>
      </c>
      <c r="B451">
        <v>4192.375</v>
      </c>
      <c r="C451">
        <v>17.685</v>
      </c>
      <c r="D451">
        <v>37.846</v>
      </c>
      <c r="E451">
        <v>181.583</v>
      </c>
      <c r="F451">
        <v>0.313</v>
      </c>
      <c r="G451">
        <v>22.604</v>
      </c>
      <c r="H451">
        <v>1.395</v>
      </c>
      <c r="I451">
        <v>2.632</v>
      </c>
      <c r="J451">
        <v>0.453</v>
      </c>
      <c r="K451">
        <v>11</v>
      </c>
      <c r="L451">
        <v>0.465</v>
      </c>
      <c r="M451">
        <v>3.201</v>
      </c>
      <c r="N451">
        <v>282.146</v>
      </c>
      <c r="O451">
        <v>265.872</v>
      </c>
      <c r="P451">
        <f t="shared" si="28"/>
        <v>2.45047389763196</v>
      </c>
      <c r="Q451">
        <f t="shared" si="28"/>
        <v>2.42467260252227</v>
      </c>
      <c r="R451">
        <v>38.913</v>
      </c>
      <c r="S451">
        <v>38.913</v>
      </c>
      <c r="T451">
        <v>37.638</v>
      </c>
      <c r="U451">
        <v>8.187</v>
      </c>
      <c r="V451">
        <v>43.314</v>
      </c>
      <c r="W451">
        <v>0.175</v>
      </c>
      <c r="X451" t="s">
        <v>55</v>
      </c>
      <c r="Y451" t="s">
        <v>31</v>
      </c>
      <c r="Z451" s="3">
        <f t="shared" si="29"/>
        <v>0.0258012951096918</v>
      </c>
      <c r="AA451">
        <f t="shared" si="30"/>
        <v>0.012</v>
      </c>
      <c r="AB451">
        <f t="shared" si="31"/>
        <v>0.778</v>
      </c>
      <c r="AC451" t="s">
        <v>32</v>
      </c>
    </row>
    <row r="452" spans="1:29">
      <c r="A452" t="s">
        <v>58</v>
      </c>
      <c r="B452">
        <v>4192.5</v>
      </c>
      <c r="C452">
        <v>17.54</v>
      </c>
      <c r="D452">
        <v>37.466</v>
      </c>
      <c r="E452">
        <v>180.783</v>
      </c>
      <c r="F452">
        <v>0.304</v>
      </c>
      <c r="G452">
        <v>22.604</v>
      </c>
      <c r="H452">
        <v>1.353</v>
      </c>
      <c r="I452">
        <v>2.607</v>
      </c>
      <c r="J452">
        <v>0.404</v>
      </c>
      <c r="K452">
        <v>11.114</v>
      </c>
      <c r="L452">
        <v>0.473</v>
      </c>
      <c r="M452">
        <v>3.193</v>
      </c>
      <c r="N452">
        <v>279.408</v>
      </c>
      <c r="O452">
        <v>263.292</v>
      </c>
      <c r="P452">
        <f t="shared" si="28"/>
        <v>2.44623883666047</v>
      </c>
      <c r="Q452">
        <f t="shared" si="28"/>
        <v>2.42043766347888</v>
      </c>
      <c r="R452">
        <v>37.186</v>
      </c>
      <c r="S452">
        <v>37.186</v>
      </c>
      <c r="T452">
        <v>35.885</v>
      </c>
      <c r="U452">
        <v>8.41</v>
      </c>
      <c r="V452">
        <v>42.739</v>
      </c>
      <c r="W452">
        <v>0.197</v>
      </c>
      <c r="X452" t="s">
        <v>55</v>
      </c>
      <c r="Y452" t="s">
        <v>31</v>
      </c>
      <c r="Z452" s="3">
        <f t="shared" si="29"/>
        <v>0.0258011731815855</v>
      </c>
      <c r="AA452">
        <f t="shared" si="30"/>
        <v>0.0689999999999999</v>
      </c>
      <c r="AB452">
        <f t="shared" si="31"/>
        <v>0.777</v>
      </c>
      <c r="AC452" t="s">
        <v>32</v>
      </c>
    </row>
    <row r="453" spans="1:29">
      <c r="A453" t="s">
        <v>58</v>
      </c>
      <c r="B453">
        <v>4192.625</v>
      </c>
      <c r="C453">
        <v>17.131</v>
      </c>
      <c r="D453">
        <v>37.098</v>
      </c>
      <c r="E453">
        <v>179.341</v>
      </c>
      <c r="F453">
        <v>0.286</v>
      </c>
      <c r="G453">
        <v>22.561</v>
      </c>
      <c r="H453">
        <v>1.335</v>
      </c>
      <c r="I453">
        <v>2.592</v>
      </c>
      <c r="J453">
        <v>0.375</v>
      </c>
      <c r="K453">
        <v>11.095</v>
      </c>
      <c r="L453">
        <v>0.472</v>
      </c>
      <c r="M453">
        <v>3.198</v>
      </c>
      <c r="N453">
        <v>283.792</v>
      </c>
      <c r="O453">
        <v>267.423</v>
      </c>
      <c r="P453">
        <f t="shared" si="28"/>
        <v>2.45300014868021</v>
      </c>
      <c r="Q453">
        <f t="shared" si="28"/>
        <v>2.42719875649187</v>
      </c>
      <c r="R453">
        <v>36.125</v>
      </c>
      <c r="S453">
        <v>36.125</v>
      </c>
      <c r="T453">
        <v>34.787</v>
      </c>
      <c r="U453">
        <v>8.427</v>
      </c>
      <c r="V453">
        <v>42.782</v>
      </c>
      <c r="W453">
        <v>0.199</v>
      </c>
      <c r="X453" t="s">
        <v>55</v>
      </c>
      <c r="Y453" t="s">
        <v>31</v>
      </c>
      <c r="Z453" s="3">
        <f t="shared" si="29"/>
        <v>0.0258013921883364</v>
      </c>
      <c r="AA453">
        <f t="shared" si="30"/>
        <v>0.097</v>
      </c>
      <c r="AB453">
        <f t="shared" si="31"/>
        <v>0.758</v>
      </c>
      <c r="AC453" t="s">
        <v>32</v>
      </c>
    </row>
    <row r="454" spans="1:29">
      <c r="A454" t="s">
        <v>58</v>
      </c>
      <c r="B454">
        <v>4192.75</v>
      </c>
      <c r="C454">
        <v>16.549</v>
      </c>
      <c r="D454">
        <v>36.738</v>
      </c>
      <c r="E454">
        <v>177.755</v>
      </c>
      <c r="F454">
        <v>0.267</v>
      </c>
      <c r="G454">
        <v>22.521</v>
      </c>
      <c r="H454">
        <v>1.337</v>
      </c>
      <c r="I454">
        <v>2.591</v>
      </c>
      <c r="J454">
        <v>0.373</v>
      </c>
      <c r="K454">
        <v>11.044</v>
      </c>
      <c r="L454">
        <v>0.468</v>
      </c>
      <c r="M454">
        <v>3.267</v>
      </c>
      <c r="N454">
        <v>291.52</v>
      </c>
      <c r="O454">
        <v>274.706</v>
      </c>
      <c r="P454">
        <f t="shared" si="28"/>
        <v>2.4646683552929</v>
      </c>
      <c r="Q454">
        <f t="shared" si="28"/>
        <v>2.43886814518115</v>
      </c>
      <c r="R454">
        <v>35.96</v>
      </c>
      <c r="S454">
        <v>35.96</v>
      </c>
      <c r="T454">
        <v>34.568</v>
      </c>
      <c r="U454">
        <v>8.299</v>
      </c>
      <c r="V454">
        <v>42.806</v>
      </c>
      <c r="W454">
        <v>0.186</v>
      </c>
      <c r="X454" t="s">
        <v>55</v>
      </c>
      <c r="Y454" t="s">
        <v>31</v>
      </c>
      <c r="Z454" s="3">
        <f t="shared" si="29"/>
        <v>0.0258002101117514</v>
      </c>
      <c r="AA454">
        <f t="shared" si="30"/>
        <v>0.095</v>
      </c>
      <c r="AB454">
        <f t="shared" si="31"/>
        <v>0.735</v>
      </c>
      <c r="AC454" t="s">
        <v>32</v>
      </c>
    </row>
    <row r="455" spans="1:29">
      <c r="A455" t="s">
        <v>58</v>
      </c>
      <c r="B455">
        <v>4192.875</v>
      </c>
      <c r="C455">
        <v>16.234</v>
      </c>
      <c r="D455">
        <v>36.388</v>
      </c>
      <c r="E455">
        <v>176.301</v>
      </c>
      <c r="F455">
        <v>0.25</v>
      </c>
      <c r="G455">
        <v>22.557</v>
      </c>
      <c r="H455">
        <v>1.349</v>
      </c>
      <c r="I455">
        <v>2.599</v>
      </c>
      <c r="J455">
        <v>0.389</v>
      </c>
      <c r="K455">
        <v>11.017</v>
      </c>
      <c r="L455">
        <v>0.466</v>
      </c>
      <c r="M455">
        <v>3.385</v>
      </c>
      <c r="N455">
        <v>298.414</v>
      </c>
      <c r="O455">
        <v>281.202</v>
      </c>
      <c r="P455">
        <f t="shared" si="28"/>
        <v>2.47481919406913</v>
      </c>
      <c r="Q455">
        <f t="shared" si="28"/>
        <v>2.44901840520225</v>
      </c>
      <c r="R455">
        <v>37.157</v>
      </c>
      <c r="S455">
        <v>37.157</v>
      </c>
      <c r="T455">
        <v>35.683</v>
      </c>
      <c r="U455">
        <v>8.116</v>
      </c>
      <c r="V455">
        <v>42.291</v>
      </c>
      <c r="W455">
        <v>0.168</v>
      </c>
      <c r="X455" t="s">
        <v>55</v>
      </c>
      <c r="Y455" t="s">
        <v>31</v>
      </c>
      <c r="Z455" s="3">
        <f t="shared" si="29"/>
        <v>0.0258007888668836</v>
      </c>
      <c r="AA455">
        <f t="shared" si="30"/>
        <v>0.077</v>
      </c>
      <c r="AB455">
        <f t="shared" si="31"/>
        <v>0.716</v>
      </c>
      <c r="AC455" t="s">
        <v>32</v>
      </c>
    </row>
    <row r="456" spans="1:29">
      <c r="A456" t="s">
        <v>58</v>
      </c>
      <c r="B456">
        <v>4193</v>
      </c>
      <c r="C456">
        <v>16.735</v>
      </c>
      <c r="D456">
        <v>36.046</v>
      </c>
      <c r="E456">
        <v>175.135</v>
      </c>
      <c r="F456">
        <v>0.236</v>
      </c>
      <c r="G456">
        <v>22.688</v>
      </c>
      <c r="H456">
        <v>1.359</v>
      </c>
      <c r="I456">
        <v>2.612</v>
      </c>
      <c r="J456">
        <v>0.414</v>
      </c>
      <c r="K456">
        <v>11.033</v>
      </c>
      <c r="L456">
        <v>0.467</v>
      </c>
      <c r="M456">
        <v>3.463</v>
      </c>
      <c r="N456">
        <v>307.387</v>
      </c>
      <c r="O456">
        <v>289.657</v>
      </c>
      <c r="P456">
        <f t="shared" si="28"/>
        <v>2.48768549638543</v>
      </c>
      <c r="Q456">
        <f t="shared" si="28"/>
        <v>2.46188402834565</v>
      </c>
      <c r="R456">
        <v>39.936</v>
      </c>
      <c r="S456">
        <v>39.936</v>
      </c>
      <c r="T456">
        <v>38.354</v>
      </c>
      <c r="U456">
        <v>7.954</v>
      </c>
      <c r="V456">
        <v>41.397</v>
      </c>
      <c r="W456">
        <v>0.154</v>
      </c>
      <c r="X456" t="s">
        <v>55</v>
      </c>
      <c r="Y456" t="s">
        <v>31</v>
      </c>
      <c r="Z456" s="3">
        <f t="shared" si="29"/>
        <v>0.0258014680397709</v>
      </c>
      <c r="AA456">
        <f t="shared" si="30"/>
        <v>0.053</v>
      </c>
      <c r="AB456">
        <f t="shared" si="31"/>
        <v>0.703</v>
      </c>
      <c r="AC456" t="s">
        <v>32</v>
      </c>
    </row>
    <row r="457" spans="1:29">
      <c r="A457" t="s">
        <v>58</v>
      </c>
      <c r="B457">
        <v>4193.125</v>
      </c>
      <c r="C457">
        <v>17.613</v>
      </c>
      <c r="D457">
        <v>35.717</v>
      </c>
      <c r="E457">
        <v>174.342</v>
      </c>
      <c r="F457">
        <v>0.227</v>
      </c>
      <c r="G457">
        <v>22.832</v>
      </c>
      <c r="H457">
        <v>1.357</v>
      </c>
      <c r="I457">
        <v>2.623</v>
      </c>
      <c r="J457">
        <v>0.436</v>
      </c>
      <c r="K457">
        <v>11.083</v>
      </c>
      <c r="L457">
        <v>0.471</v>
      </c>
      <c r="M457">
        <v>3.455</v>
      </c>
      <c r="N457">
        <v>326.756</v>
      </c>
      <c r="O457">
        <v>307.91</v>
      </c>
      <c r="P457">
        <f t="shared" si="28"/>
        <v>2.5142235709824</v>
      </c>
      <c r="Q457">
        <f t="shared" si="28"/>
        <v>2.4884237937239</v>
      </c>
      <c r="R457">
        <v>43.456</v>
      </c>
      <c r="S457">
        <v>43.456</v>
      </c>
      <c r="T457">
        <v>41.795</v>
      </c>
      <c r="U457">
        <v>7.854</v>
      </c>
      <c r="V457">
        <v>40.208</v>
      </c>
      <c r="W457">
        <v>0.146</v>
      </c>
      <c r="X457" t="s">
        <v>55</v>
      </c>
      <c r="Y457" t="s">
        <v>31</v>
      </c>
      <c r="Z457" s="3">
        <f t="shared" si="29"/>
        <v>0.0257997772584937</v>
      </c>
      <c r="AA457">
        <f t="shared" si="30"/>
        <v>0.035</v>
      </c>
      <c r="AB457">
        <f t="shared" si="31"/>
        <v>0.698</v>
      </c>
      <c r="AC457" t="s">
        <v>32</v>
      </c>
    </row>
    <row r="458" spans="1:29">
      <c r="A458" t="s">
        <v>58</v>
      </c>
      <c r="B458">
        <v>4193.25</v>
      </c>
      <c r="C458">
        <v>17.951</v>
      </c>
      <c r="D458">
        <v>35.402</v>
      </c>
      <c r="E458">
        <v>173.767</v>
      </c>
      <c r="F458">
        <v>0.22</v>
      </c>
      <c r="G458">
        <v>22.926</v>
      </c>
      <c r="H458">
        <v>1.345</v>
      </c>
      <c r="I458">
        <v>2.63</v>
      </c>
      <c r="J458">
        <v>0.449</v>
      </c>
      <c r="K458">
        <v>11.119</v>
      </c>
      <c r="L458">
        <v>0.474</v>
      </c>
      <c r="M458">
        <v>3.422</v>
      </c>
      <c r="N458">
        <v>356.777</v>
      </c>
      <c r="O458">
        <v>336.199</v>
      </c>
      <c r="P458">
        <f t="shared" si="28"/>
        <v>2.55239684936147</v>
      </c>
      <c r="Q458">
        <f t="shared" si="28"/>
        <v>2.52659641732734</v>
      </c>
      <c r="R458">
        <v>47.215</v>
      </c>
      <c r="S458">
        <v>47.215</v>
      </c>
      <c r="T458">
        <v>45.525</v>
      </c>
      <c r="U458">
        <v>7.824</v>
      </c>
      <c r="V458">
        <v>38.648</v>
      </c>
      <c r="W458">
        <v>0.143</v>
      </c>
      <c r="X458" t="s">
        <v>55</v>
      </c>
      <c r="Y458" t="s">
        <v>31</v>
      </c>
      <c r="Z458" s="3">
        <f t="shared" si="29"/>
        <v>0.0258004320341265</v>
      </c>
      <c r="AA458">
        <f t="shared" si="30"/>
        <v>0.025</v>
      </c>
      <c r="AB458">
        <f t="shared" si="31"/>
        <v>0.694</v>
      </c>
      <c r="AC458" t="s">
        <v>32</v>
      </c>
    </row>
    <row r="459" spans="1:29">
      <c r="A459" t="s">
        <v>58</v>
      </c>
      <c r="B459">
        <v>4193.375</v>
      </c>
      <c r="C459">
        <v>17.732</v>
      </c>
      <c r="D459">
        <v>35.104</v>
      </c>
      <c r="E459">
        <v>173.205</v>
      </c>
      <c r="F459">
        <v>0.213</v>
      </c>
      <c r="G459">
        <v>22.951</v>
      </c>
      <c r="H459">
        <v>1.324</v>
      </c>
      <c r="I459">
        <v>2.632</v>
      </c>
      <c r="J459">
        <v>0.453</v>
      </c>
      <c r="K459">
        <v>11.11</v>
      </c>
      <c r="L459">
        <v>0.473</v>
      </c>
      <c r="M459">
        <v>3.385</v>
      </c>
      <c r="N459">
        <v>392.574</v>
      </c>
      <c r="O459">
        <v>369.932</v>
      </c>
      <c r="P459">
        <f t="shared" si="28"/>
        <v>2.59392153308762</v>
      </c>
      <c r="Q459">
        <f t="shared" si="28"/>
        <v>2.56812190044847</v>
      </c>
      <c r="R459">
        <v>51.343</v>
      </c>
      <c r="S459">
        <v>51.343</v>
      </c>
      <c r="T459">
        <v>49.681</v>
      </c>
      <c r="U459">
        <v>7.837</v>
      </c>
      <c r="V459">
        <v>36.82</v>
      </c>
      <c r="W459">
        <v>0.144</v>
      </c>
      <c r="X459" t="s">
        <v>55</v>
      </c>
      <c r="Y459" t="s">
        <v>31</v>
      </c>
      <c r="Z459" s="3">
        <f t="shared" si="29"/>
        <v>0.0257996326391532</v>
      </c>
      <c r="AA459">
        <f t="shared" si="30"/>
        <v>0.02</v>
      </c>
      <c r="AB459">
        <f t="shared" si="31"/>
        <v>0.686</v>
      </c>
      <c r="AC459" t="s">
        <v>32</v>
      </c>
    </row>
    <row r="460" spans="1:29">
      <c r="A460" t="s">
        <v>58</v>
      </c>
      <c r="B460">
        <v>4193.5</v>
      </c>
      <c r="C460">
        <v>17.459</v>
      </c>
      <c r="D460">
        <v>34.823</v>
      </c>
      <c r="E460">
        <v>172.365</v>
      </c>
      <c r="F460">
        <v>0.203</v>
      </c>
      <c r="G460">
        <v>22.909</v>
      </c>
      <c r="H460">
        <v>1.315</v>
      </c>
      <c r="I460">
        <v>2.631</v>
      </c>
      <c r="J460">
        <v>0.451</v>
      </c>
      <c r="K460">
        <v>11.05</v>
      </c>
      <c r="L460">
        <v>0.469</v>
      </c>
      <c r="M460">
        <v>3.374</v>
      </c>
      <c r="N460">
        <v>434.189</v>
      </c>
      <c r="O460">
        <v>409.146</v>
      </c>
      <c r="P460">
        <f t="shared" si="28"/>
        <v>2.63767881658543</v>
      </c>
      <c r="Q460">
        <f t="shared" si="28"/>
        <v>2.61187830966971</v>
      </c>
      <c r="R460">
        <v>56.108</v>
      </c>
      <c r="S460">
        <v>56.108</v>
      </c>
      <c r="T460">
        <v>54.545</v>
      </c>
      <c r="U460">
        <v>7.854</v>
      </c>
      <c r="V460">
        <v>34.674</v>
      </c>
      <c r="W460">
        <v>0.146</v>
      </c>
      <c r="X460" t="s">
        <v>55</v>
      </c>
      <c r="Y460" t="s">
        <v>31</v>
      </c>
      <c r="Z460" s="3">
        <f t="shared" si="29"/>
        <v>0.0258005069157199</v>
      </c>
      <c r="AA460">
        <f t="shared" si="30"/>
        <v>0.018</v>
      </c>
      <c r="AB460">
        <f t="shared" si="31"/>
        <v>0.672</v>
      </c>
      <c r="AC460" t="s">
        <v>32</v>
      </c>
    </row>
    <row r="461" spans="1:29">
      <c r="A461" t="s">
        <v>58</v>
      </c>
      <c r="B461">
        <v>4193.625</v>
      </c>
      <c r="C461">
        <v>18.043</v>
      </c>
      <c r="D461">
        <v>34.56</v>
      </c>
      <c r="E461">
        <v>170.792</v>
      </c>
      <c r="F461">
        <v>0.184</v>
      </c>
      <c r="G461">
        <v>22.809</v>
      </c>
      <c r="H461">
        <v>1.352</v>
      </c>
      <c r="I461">
        <v>2.63</v>
      </c>
      <c r="J461">
        <v>0.449</v>
      </c>
      <c r="K461">
        <v>10.98</v>
      </c>
      <c r="L461">
        <v>0.464</v>
      </c>
      <c r="M461">
        <v>3.466</v>
      </c>
      <c r="N461">
        <v>485.631</v>
      </c>
      <c r="O461">
        <v>457.621</v>
      </c>
      <c r="P461">
        <f t="shared" si="28"/>
        <v>2.68630640191239</v>
      </c>
      <c r="Q461">
        <f t="shared" si="28"/>
        <v>2.66050594579995</v>
      </c>
      <c r="R461">
        <v>62.585</v>
      </c>
      <c r="S461">
        <v>62.585</v>
      </c>
      <c r="T461">
        <v>61.231</v>
      </c>
      <c r="U461">
        <v>7.859</v>
      </c>
      <c r="V461">
        <v>32.181</v>
      </c>
      <c r="W461">
        <v>0.146</v>
      </c>
      <c r="X461" t="s">
        <v>55</v>
      </c>
      <c r="Y461" t="s">
        <v>31</v>
      </c>
      <c r="Z461" s="3">
        <f t="shared" si="29"/>
        <v>0.0258004561124392</v>
      </c>
      <c r="AA461">
        <f t="shared" si="30"/>
        <v>0.015</v>
      </c>
      <c r="AB461">
        <f t="shared" si="31"/>
        <v>0.648</v>
      </c>
      <c r="AC461" t="s">
        <v>32</v>
      </c>
    </row>
    <row r="462" spans="1:29">
      <c r="A462" t="s">
        <v>58</v>
      </c>
      <c r="B462">
        <v>4193.75</v>
      </c>
      <c r="C462">
        <v>19.33</v>
      </c>
      <c r="D462">
        <v>34.315</v>
      </c>
      <c r="E462">
        <v>168.411</v>
      </c>
      <c r="F462">
        <v>0.156</v>
      </c>
      <c r="G462">
        <v>22.726</v>
      </c>
      <c r="H462">
        <v>1.437</v>
      </c>
      <c r="I462">
        <v>2.63</v>
      </c>
      <c r="J462">
        <v>0.449</v>
      </c>
      <c r="K462">
        <v>10.925</v>
      </c>
      <c r="L462">
        <v>0.459</v>
      </c>
      <c r="M462">
        <v>3.639</v>
      </c>
      <c r="N462">
        <v>541.012</v>
      </c>
      <c r="O462">
        <v>509.808</v>
      </c>
      <c r="P462">
        <f t="shared" si="28"/>
        <v>2.73320689814905</v>
      </c>
      <c r="Q462">
        <f t="shared" si="28"/>
        <v>2.70740664621484</v>
      </c>
      <c r="R462">
        <v>71.976</v>
      </c>
      <c r="S462">
        <v>71.976</v>
      </c>
      <c r="T462">
        <v>70.976</v>
      </c>
      <c r="U462">
        <v>7.843</v>
      </c>
      <c r="V462">
        <v>29.347</v>
      </c>
      <c r="W462">
        <v>0.145</v>
      </c>
      <c r="X462" t="s">
        <v>55</v>
      </c>
      <c r="Y462" t="s">
        <v>31</v>
      </c>
      <c r="Z462" s="3">
        <f t="shared" si="29"/>
        <v>0.0258002519342155</v>
      </c>
      <c r="AA462">
        <f t="shared" si="30"/>
        <v>0.01</v>
      </c>
      <c r="AB462">
        <f t="shared" si="31"/>
        <v>0.615</v>
      </c>
      <c r="AC462" t="s">
        <v>32</v>
      </c>
    </row>
    <row r="463" spans="1:29">
      <c r="A463" t="s">
        <v>58</v>
      </c>
      <c r="B463">
        <v>4193.875</v>
      </c>
      <c r="C463">
        <v>20.61</v>
      </c>
      <c r="D463">
        <v>34.091</v>
      </c>
      <c r="E463">
        <v>165.376</v>
      </c>
      <c r="F463">
        <v>0.12</v>
      </c>
      <c r="G463">
        <v>22.711</v>
      </c>
      <c r="H463">
        <v>1.535</v>
      </c>
      <c r="I463">
        <v>2.631</v>
      </c>
      <c r="J463">
        <v>0.451</v>
      </c>
      <c r="K463">
        <v>10.822</v>
      </c>
      <c r="L463">
        <v>0.452</v>
      </c>
      <c r="M463">
        <v>3.753</v>
      </c>
      <c r="N463">
        <v>591.969</v>
      </c>
      <c r="O463">
        <v>557.826</v>
      </c>
      <c r="P463">
        <f t="shared" si="28"/>
        <v>2.77229896435561</v>
      </c>
      <c r="Q463">
        <f t="shared" si="28"/>
        <v>2.74649875265749</v>
      </c>
      <c r="R463">
        <v>86.181</v>
      </c>
      <c r="S463">
        <v>86.181</v>
      </c>
      <c r="T463">
        <v>85.732</v>
      </c>
      <c r="U463">
        <v>7.778</v>
      </c>
      <c r="V463">
        <v>26.479</v>
      </c>
      <c r="W463">
        <v>0.14</v>
      </c>
      <c r="X463" t="s">
        <v>55</v>
      </c>
      <c r="Y463" t="s">
        <v>31</v>
      </c>
      <c r="Z463" s="3">
        <f t="shared" si="29"/>
        <v>0.0258002116981184</v>
      </c>
      <c r="AA463">
        <f t="shared" si="30"/>
        <v>0.001</v>
      </c>
      <c r="AB463">
        <f t="shared" si="31"/>
        <v>0.572</v>
      </c>
      <c r="AC463" t="s">
        <v>32</v>
      </c>
    </row>
    <row r="464" spans="1:29">
      <c r="A464" t="s">
        <v>58</v>
      </c>
      <c r="B464">
        <v>4194</v>
      </c>
      <c r="C464">
        <v>21.349</v>
      </c>
      <c r="D464">
        <v>33.884</v>
      </c>
      <c r="E464">
        <v>162.154</v>
      </c>
      <c r="F464">
        <v>0.081</v>
      </c>
      <c r="G464">
        <v>22.724</v>
      </c>
      <c r="H464">
        <v>1.603</v>
      </c>
      <c r="I464">
        <v>2.636</v>
      </c>
      <c r="J464">
        <v>0.461</v>
      </c>
      <c r="K464">
        <v>10.562</v>
      </c>
      <c r="L464">
        <v>0.432</v>
      </c>
      <c r="M464">
        <v>3.661</v>
      </c>
      <c r="N464">
        <v>635.983</v>
      </c>
      <c r="O464">
        <v>599.301</v>
      </c>
      <c r="P464">
        <f t="shared" si="28"/>
        <v>2.80344550699296</v>
      </c>
      <c r="Q464">
        <f t="shared" si="28"/>
        <v>2.77764500236546</v>
      </c>
      <c r="R464">
        <v>107.103</v>
      </c>
      <c r="S464">
        <v>107.103</v>
      </c>
      <c r="T464">
        <v>107.193</v>
      </c>
      <c r="U464">
        <v>6.818</v>
      </c>
      <c r="V464">
        <v>26.915</v>
      </c>
      <c r="W464">
        <v>0.078</v>
      </c>
      <c r="X464" t="s">
        <v>55</v>
      </c>
      <c r="Y464" t="s">
        <v>31</v>
      </c>
      <c r="Z464" s="3">
        <f t="shared" si="29"/>
        <v>0.0258005046274987</v>
      </c>
      <c r="AA464">
        <f t="shared" si="30"/>
        <v>-0.029</v>
      </c>
      <c r="AB464">
        <f t="shared" si="31"/>
        <v>0.513</v>
      </c>
      <c r="AC464" t="s">
        <v>32</v>
      </c>
    </row>
    <row r="465" spans="1:29">
      <c r="A465" t="s">
        <v>59</v>
      </c>
      <c r="B465">
        <v>3714</v>
      </c>
      <c r="C465">
        <v>30.425</v>
      </c>
      <c r="D465">
        <v>61.47</v>
      </c>
      <c r="E465">
        <v>178.793</v>
      </c>
      <c r="F465">
        <v>0.281</v>
      </c>
      <c r="G465">
        <v>22.129</v>
      </c>
      <c r="H465">
        <v>2.187</v>
      </c>
      <c r="I465">
        <v>2.705</v>
      </c>
      <c r="J465">
        <v>0.488</v>
      </c>
      <c r="K465">
        <v>7.799</v>
      </c>
      <c r="L465">
        <v>0.202</v>
      </c>
      <c r="M465">
        <v>3.191</v>
      </c>
      <c r="N465">
        <v>948.217</v>
      </c>
      <c r="O465">
        <v>855.417</v>
      </c>
      <c r="P465">
        <f t="shared" si="28"/>
        <v>2.97690773725167</v>
      </c>
      <c r="Q465">
        <f t="shared" si="28"/>
        <v>2.93217787689207</v>
      </c>
      <c r="R465">
        <v>201.406</v>
      </c>
      <c r="S465">
        <v>201.406</v>
      </c>
      <c r="T465">
        <v>208.105</v>
      </c>
      <c r="U465">
        <v>2.206</v>
      </c>
      <c r="V465">
        <v>52.771</v>
      </c>
      <c r="W465">
        <v>0.007</v>
      </c>
      <c r="X465" t="s">
        <v>55</v>
      </c>
      <c r="Y465" t="s">
        <v>31</v>
      </c>
      <c r="Z465" s="3">
        <f t="shared" si="29"/>
        <v>0.0447298603595994</v>
      </c>
      <c r="AA465">
        <f t="shared" si="30"/>
        <v>-0.286</v>
      </c>
      <c r="AB465">
        <f t="shared" si="31"/>
        <v>0.483</v>
      </c>
      <c r="AC465" t="s">
        <v>32</v>
      </c>
    </row>
    <row r="466" spans="1:29">
      <c r="A466" t="s">
        <v>59</v>
      </c>
      <c r="B466">
        <v>3714.125</v>
      </c>
      <c r="C466">
        <v>24.494</v>
      </c>
      <c r="D466">
        <v>60.19</v>
      </c>
      <c r="E466">
        <v>178.193</v>
      </c>
      <c r="F466">
        <v>0.275</v>
      </c>
      <c r="G466">
        <v>22.112</v>
      </c>
      <c r="H466">
        <v>2.122</v>
      </c>
      <c r="I466">
        <v>2.665</v>
      </c>
      <c r="J466">
        <v>0.351</v>
      </c>
      <c r="K466">
        <v>7.285</v>
      </c>
      <c r="L466">
        <v>0.134</v>
      </c>
      <c r="M466">
        <v>2.95</v>
      </c>
      <c r="N466">
        <v>510.964</v>
      </c>
      <c r="O466">
        <v>460.954</v>
      </c>
      <c r="P466">
        <f t="shared" si="28"/>
        <v>2.70839030296817</v>
      </c>
      <c r="Q466">
        <f t="shared" si="28"/>
        <v>2.6636575879863</v>
      </c>
      <c r="R466">
        <v>188.628</v>
      </c>
      <c r="S466">
        <v>188.628</v>
      </c>
      <c r="T466">
        <v>184.498</v>
      </c>
      <c r="U466">
        <v>3.517</v>
      </c>
      <c r="V466">
        <v>35.917</v>
      </c>
      <c r="W466">
        <v>0.01</v>
      </c>
      <c r="X466" t="s">
        <v>55</v>
      </c>
      <c r="Y466" t="s">
        <v>31</v>
      </c>
      <c r="Z466" s="3">
        <f t="shared" si="29"/>
        <v>0.0447327149818708</v>
      </c>
      <c r="AA466">
        <f t="shared" si="30"/>
        <v>-0.217</v>
      </c>
      <c r="AB466">
        <f t="shared" si="31"/>
        <v>0.409</v>
      </c>
      <c r="AC466" t="s">
        <v>32</v>
      </c>
    </row>
    <row r="467" spans="1:29">
      <c r="A467" t="s">
        <v>59</v>
      </c>
      <c r="B467">
        <v>3714.25</v>
      </c>
      <c r="C467">
        <v>22.844</v>
      </c>
      <c r="D467">
        <v>58.9</v>
      </c>
      <c r="E467">
        <v>177.955</v>
      </c>
      <c r="F467">
        <v>0.273</v>
      </c>
      <c r="G467">
        <v>22.065</v>
      </c>
      <c r="H467">
        <v>2.113</v>
      </c>
      <c r="I467">
        <v>2.629</v>
      </c>
      <c r="J467">
        <v>0.227</v>
      </c>
      <c r="K467">
        <v>7.325</v>
      </c>
      <c r="L467">
        <v>0.139</v>
      </c>
      <c r="M467">
        <v>2.746</v>
      </c>
      <c r="N467">
        <v>316.21</v>
      </c>
      <c r="O467">
        <v>285.26</v>
      </c>
      <c r="P467">
        <f t="shared" si="28"/>
        <v>2.49997560018236</v>
      </c>
      <c r="Q467">
        <f t="shared" si="28"/>
        <v>2.45524087787096</v>
      </c>
      <c r="R467">
        <v>162.287</v>
      </c>
      <c r="S467">
        <v>162.287</v>
      </c>
      <c r="T467">
        <v>151.131</v>
      </c>
      <c r="U467">
        <v>4.292</v>
      </c>
      <c r="V467">
        <v>26.502</v>
      </c>
      <c r="W467">
        <v>0.016</v>
      </c>
      <c r="X467" t="s">
        <v>55</v>
      </c>
      <c r="Y467" t="s">
        <v>31</v>
      </c>
      <c r="Z467" s="3">
        <f t="shared" si="29"/>
        <v>0.0447347223114032</v>
      </c>
      <c r="AA467">
        <f t="shared" si="30"/>
        <v>-0.088</v>
      </c>
      <c r="AB467">
        <f t="shared" si="31"/>
        <v>0.412</v>
      </c>
      <c r="AC467" t="s">
        <v>32</v>
      </c>
    </row>
    <row r="468" spans="1:29">
      <c r="A468" t="s">
        <v>59</v>
      </c>
      <c r="B468">
        <v>3714.375</v>
      </c>
      <c r="C468">
        <v>22.958</v>
      </c>
      <c r="D468">
        <v>57.627</v>
      </c>
      <c r="E468">
        <v>178.308</v>
      </c>
      <c r="F468">
        <v>0.276</v>
      </c>
      <c r="G468">
        <v>22.005</v>
      </c>
      <c r="H468">
        <v>2.095</v>
      </c>
      <c r="I468">
        <v>2.599</v>
      </c>
      <c r="J468">
        <v>0.124</v>
      </c>
      <c r="K468">
        <v>7.925</v>
      </c>
      <c r="L468">
        <v>0.218</v>
      </c>
      <c r="M468">
        <v>2.69</v>
      </c>
      <c r="N468">
        <v>231.233</v>
      </c>
      <c r="O468">
        <v>208.598</v>
      </c>
      <c r="P468">
        <f t="shared" si="28"/>
        <v>2.36404981372423</v>
      </c>
      <c r="Q468">
        <f t="shared" si="28"/>
        <v>2.31931014017331</v>
      </c>
      <c r="R468">
        <v>129.156</v>
      </c>
      <c r="S468">
        <v>129.156</v>
      </c>
      <c r="T468">
        <v>116.029</v>
      </c>
      <c r="U468">
        <v>5.255</v>
      </c>
      <c r="V468">
        <v>24.999</v>
      </c>
      <c r="W468">
        <v>0.033</v>
      </c>
      <c r="X468" t="s">
        <v>55</v>
      </c>
      <c r="Y468" t="s">
        <v>31</v>
      </c>
      <c r="Z468" s="3">
        <f t="shared" si="29"/>
        <v>0.0447396735509202</v>
      </c>
      <c r="AA468">
        <f t="shared" si="30"/>
        <v>0.094</v>
      </c>
      <c r="AB468">
        <f t="shared" si="31"/>
        <v>0.494</v>
      </c>
      <c r="AC468" t="s">
        <v>32</v>
      </c>
    </row>
    <row r="469" spans="1:29">
      <c r="A469" t="s">
        <v>59</v>
      </c>
      <c r="B469">
        <v>3714.5</v>
      </c>
      <c r="C469">
        <v>23.594</v>
      </c>
      <c r="D469">
        <v>56.383</v>
      </c>
      <c r="E469">
        <v>178.95</v>
      </c>
      <c r="F469">
        <v>0.283</v>
      </c>
      <c r="G469">
        <v>21.975</v>
      </c>
      <c r="H469">
        <v>2.059</v>
      </c>
      <c r="I469">
        <v>2.578</v>
      </c>
      <c r="J469">
        <v>0.052</v>
      </c>
      <c r="K469">
        <v>8.846</v>
      </c>
      <c r="L469">
        <v>0.34</v>
      </c>
      <c r="M469">
        <v>2.728</v>
      </c>
      <c r="N469">
        <v>202.062</v>
      </c>
      <c r="O469">
        <v>182.283</v>
      </c>
      <c r="P469">
        <f t="shared" si="28"/>
        <v>2.30548464730046</v>
      </c>
      <c r="Q469">
        <f t="shared" si="28"/>
        <v>2.26074616755538</v>
      </c>
      <c r="R469">
        <v>96.938</v>
      </c>
      <c r="S469">
        <v>96.938</v>
      </c>
      <c r="T469">
        <v>85.952</v>
      </c>
      <c r="U469">
        <v>6.125</v>
      </c>
      <c r="V469">
        <v>24.207</v>
      </c>
      <c r="W469">
        <v>0.051</v>
      </c>
      <c r="X469" t="s">
        <v>55</v>
      </c>
      <c r="Y469" t="s">
        <v>31</v>
      </c>
      <c r="Z469" s="3">
        <f t="shared" si="29"/>
        <v>0.0447384797450883</v>
      </c>
      <c r="AA469">
        <f t="shared" si="30"/>
        <v>0.288</v>
      </c>
      <c r="AB469">
        <f t="shared" si="31"/>
        <v>0.623</v>
      </c>
      <c r="AC469" t="s">
        <v>32</v>
      </c>
    </row>
    <row r="470" spans="1:29">
      <c r="A470" t="s">
        <v>60</v>
      </c>
      <c r="B470">
        <v>3959</v>
      </c>
      <c r="C470">
        <v>29.148</v>
      </c>
      <c r="D470">
        <v>70.037</v>
      </c>
      <c r="E470">
        <v>164.086</v>
      </c>
      <c r="F470">
        <v>0.154</v>
      </c>
      <c r="G470">
        <v>22.22</v>
      </c>
      <c r="H470">
        <v>1.966</v>
      </c>
      <c r="I470">
        <v>2.723</v>
      </c>
      <c r="J470">
        <v>0.283</v>
      </c>
      <c r="K470">
        <v>2.043</v>
      </c>
      <c r="L470">
        <v>0.046</v>
      </c>
      <c r="M470">
        <v>4.111</v>
      </c>
      <c r="N470">
        <v>375.485</v>
      </c>
      <c r="O470">
        <v>380.672</v>
      </c>
      <c r="P470">
        <f t="shared" si="28"/>
        <v>2.57459259234592</v>
      </c>
      <c r="Q470">
        <f t="shared" si="28"/>
        <v>2.5805509338338</v>
      </c>
      <c r="R470">
        <v>87.279</v>
      </c>
      <c r="S470">
        <v>87.279</v>
      </c>
      <c r="T470">
        <v>82.648</v>
      </c>
      <c r="U470">
        <v>0</v>
      </c>
      <c r="V470">
        <v>100</v>
      </c>
      <c r="W470">
        <v>0</v>
      </c>
      <c r="X470" t="s">
        <v>55</v>
      </c>
      <c r="Y470" t="s">
        <v>31</v>
      </c>
      <c r="Z470" s="3">
        <f t="shared" si="29"/>
        <v>-0.00595834148788255</v>
      </c>
      <c r="AA470">
        <f t="shared" si="30"/>
        <v>-0.237</v>
      </c>
      <c r="AB470">
        <f t="shared" si="31"/>
        <v>0.2</v>
      </c>
      <c r="AC470" t="s">
        <v>32</v>
      </c>
    </row>
    <row r="471" spans="1:29">
      <c r="A471" t="s">
        <v>60</v>
      </c>
      <c r="B471">
        <v>3959.125</v>
      </c>
      <c r="C471">
        <v>24.986</v>
      </c>
      <c r="D471">
        <v>69.796</v>
      </c>
      <c r="E471">
        <v>164.132</v>
      </c>
      <c r="F471">
        <v>0.155</v>
      </c>
      <c r="G471">
        <v>22.322</v>
      </c>
      <c r="H471">
        <v>1.843</v>
      </c>
      <c r="I471">
        <v>2.727</v>
      </c>
      <c r="J471">
        <v>0.309</v>
      </c>
      <c r="K471">
        <v>2.311</v>
      </c>
      <c r="L471">
        <v>0.069</v>
      </c>
      <c r="M471">
        <v>4.071</v>
      </c>
      <c r="N471">
        <v>378.327</v>
      </c>
      <c r="O471">
        <v>387.218</v>
      </c>
      <c r="P471">
        <f t="shared" si="28"/>
        <v>2.57786733662074</v>
      </c>
      <c r="Q471">
        <f t="shared" si="28"/>
        <v>2.58795553747669</v>
      </c>
      <c r="R471">
        <v>80.712</v>
      </c>
      <c r="S471">
        <v>80.712</v>
      </c>
      <c r="T471">
        <v>73.767</v>
      </c>
      <c r="U471">
        <v>0</v>
      </c>
      <c r="V471">
        <v>100</v>
      </c>
      <c r="W471">
        <v>0</v>
      </c>
      <c r="X471" t="s">
        <v>55</v>
      </c>
      <c r="Y471" t="s">
        <v>31</v>
      </c>
      <c r="Z471" s="3">
        <f t="shared" si="29"/>
        <v>-0.0100882008559506</v>
      </c>
      <c r="AA471">
        <f t="shared" si="30"/>
        <v>-0.24</v>
      </c>
      <c r="AB471">
        <f t="shared" si="31"/>
        <v>0.224</v>
      </c>
      <c r="AC471" t="s">
        <v>32</v>
      </c>
    </row>
    <row r="472" spans="1:29">
      <c r="A472" t="s">
        <v>60</v>
      </c>
      <c r="B472">
        <v>3959.25</v>
      </c>
      <c r="C472">
        <v>22.068</v>
      </c>
      <c r="D472">
        <v>69.575</v>
      </c>
      <c r="E472">
        <v>164.483</v>
      </c>
      <c r="F472">
        <v>0.162</v>
      </c>
      <c r="G472">
        <v>22.43</v>
      </c>
      <c r="H472">
        <v>1.684</v>
      </c>
      <c r="I472">
        <v>2.73</v>
      </c>
      <c r="J472">
        <v>0.329</v>
      </c>
      <c r="K472">
        <v>2.76</v>
      </c>
      <c r="L472">
        <v>0.109</v>
      </c>
      <c r="M472">
        <v>4.037</v>
      </c>
      <c r="N472">
        <v>309.349</v>
      </c>
      <c r="O472">
        <v>318.907</v>
      </c>
      <c r="P472">
        <f t="shared" si="28"/>
        <v>2.49044871646016</v>
      </c>
      <c r="Q472">
        <f t="shared" si="28"/>
        <v>2.50366405209968</v>
      </c>
      <c r="R472">
        <v>75.154</v>
      </c>
      <c r="S472">
        <v>75.154</v>
      </c>
      <c r="T472">
        <v>67.331</v>
      </c>
      <c r="U472">
        <v>0</v>
      </c>
      <c r="V472">
        <v>100</v>
      </c>
      <c r="W472">
        <v>0</v>
      </c>
      <c r="X472" t="s">
        <v>55</v>
      </c>
      <c r="Y472" t="s">
        <v>31</v>
      </c>
      <c r="Z472" s="3">
        <f t="shared" si="29"/>
        <v>-0.0132153356395195</v>
      </c>
      <c r="AA472">
        <f t="shared" si="30"/>
        <v>-0.22</v>
      </c>
      <c r="AB472">
        <f t="shared" si="31"/>
        <v>0.271</v>
      </c>
      <c r="AC472" t="s">
        <v>32</v>
      </c>
    </row>
    <row r="473" spans="1:29">
      <c r="A473" t="s">
        <v>60</v>
      </c>
      <c r="B473">
        <v>3959.375</v>
      </c>
      <c r="C473">
        <v>20.328</v>
      </c>
      <c r="D473">
        <v>69.37</v>
      </c>
      <c r="E473">
        <v>165.09</v>
      </c>
      <c r="F473">
        <v>0.174</v>
      </c>
      <c r="G473">
        <v>22.507</v>
      </c>
      <c r="H473">
        <v>1.588</v>
      </c>
      <c r="I473">
        <v>2.732</v>
      </c>
      <c r="J473">
        <v>0.342</v>
      </c>
      <c r="K473">
        <v>3.48</v>
      </c>
      <c r="L473">
        <v>0.173</v>
      </c>
      <c r="M473">
        <v>4.015</v>
      </c>
      <c r="N473">
        <v>226.846</v>
      </c>
      <c r="O473">
        <v>234.529</v>
      </c>
      <c r="P473">
        <f t="shared" si="28"/>
        <v>2.35573112570808</v>
      </c>
      <c r="Q473">
        <f t="shared" si="28"/>
        <v>2.37019655179</v>
      </c>
      <c r="R473">
        <v>70.158</v>
      </c>
      <c r="S473">
        <v>70.158</v>
      </c>
      <c r="T473">
        <v>63.12</v>
      </c>
      <c r="U473">
        <v>0</v>
      </c>
      <c r="V473">
        <v>100</v>
      </c>
      <c r="W473">
        <v>0</v>
      </c>
      <c r="X473" t="s">
        <v>55</v>
      </c>
      <c r="Y473" t="s">
        <v>31</v>
      </c>
      <c r="Z473" s="3">
        <f t="shared" si="29"/>
        <v>-0.0144654260819226</v>
      </c>
      <c r="AA473">
        <f t="shared" si="30"/>
        <v>-0.169</v>
      </c>
      <c r="AB473">
        <f t="shared" si="31"/>
        <v>0.347</v>
      </c>
      <c r="AC473" t="s">
        <v>32</v>
      </c>
    </row>
    <row r="474" spans="1:29">
      <c r="A474" t="s">
        <v>60</v>
      </c>
      <c r="B474">
        <v>3959.5</v>
      </c>
      <c r="C474">
        <v>19.17</v>
      </c>
      <c r="D474">
        <v>69.18</v>
      </c>
      <c r="E474">
        <v>165.809</v>
      </c>
      <c r="F474">
        <v>0.189</v>
      </c>
      <c r="G474">
        <v>22.577</v>
      </c>
      <c r="H474">
        <v>1.522</v>
      </c>
      <c r="I474">
        <v>2.732</v>
      </c>
      <c r="J474">
        <v>0.342</v>
      </c>
      <c r="K474">
        <v>4.528</v>
      </c>
      <c r="L474">
        <v>0.266</v>
      </c>
      <c r="M474">
        <v>3.989</v>
      </c>
      <c r="N474">
        <v>167.579</v>
      </c>
      <c r="O474">
        <v>172.737</v>
      </c>
      <c r="P474">
        <f t="shared" si="28"/>
        <v>2.2242195945118</v>
      </c>
      <c r="Q474">
        <f t="shared" si="28"/>
        <v>2.23738537274257</v>
      </c>
      <c r="R474">
        <v>65.914</v>
      </c>
      <c r="S474">
        <v>65.914</v>
      </c>
      <c r="T474">
        <v>60.918</v>
      </c>
      <c r="U474">
        <v>2.959</v>
      </c>
      <c r="V474">
        <v>80.143</v>
      </c>
      <c r="W474">
        <v>0.116</v>
      </c>
      <c r="X474" t="s">
        <v>55</v>
      </c>
      <c r="Y474" t="s">
        <v>31</v>
      </c>
      <c r="Z474" s="3">
        <f t="shared" si="29"/>
        <v>-0.013165778230765</v>
      </c>
      <c r="AA474">
        <f t="shared" si="30"/>
        <v>-0.076</v>
      </c>
      <c r="AB474">
        <f t="shared" si="31"/>
        <v>0.455</v>
      </c>
      <c r="AC474" t="s">
        <v>32</v>
      </c>
    </row>
    <row r="475" spans="1:29">
      <c r="A475" t="s">
        <v>60</v>
      </c>
      <c r="B475">
        <v>3959.625</v>
      </c>
      <c r="C475">
        <v>18.259</v>
      </c>
      <c r="D475">
        <v>69.006</v>
      </c>
      <c r="E475">
        <v>166.431</v>
      </c>
      <c r="F475">
        <v>0.201</v>
      </c>
      <c r="G475">
        <v>22.608</v>
      </c>
      <c r="H475">
        <v>1.453</v>
      </c>
      <c r="I475">
        <v>2.732</v>
      </c>
      <c r="J475">
        <v>0.342</v>
      </c>
      <c r="K475">
        <v>5.803</v>
      </c>
      <c r="L475">
        <v>0.379</v>
      </c>
      <c r="M475">
        <v>3.95</v>
      </c>
      <c r="N475">
        <v>140.403</v>
      </c>
      <c r="O475">
        <v>143.964</v>
      </c>
      <c r="P475">
        <f t="shared" si="28"/>
        <v>2.14737638749127</v>
      </c>
      <c r="Q475">
        <f t="shared" si="28"/>
        <v>2.15825390490081</v>
      </c>
      <c r="R475">
        <v>62.427</v>
      </c>
      <c r="S475">
        <v>62.427</v>
      </c>
      <c r="T475">
        <v>60.169</v>
      </c>
      <c r="U475">
        <v>3.227</v>
      </c>
      <c r="V475">
        <v>74.037</v>
      </c>
      <c r="W475">
        <v>0.164</v>
      </c>
      <c r="X475" t="s">
        <v>55</v>
      </c>
      <c r="Y475" t="s">
        <v>31</v>
      </c>
      <c r="Z475" s="3">
        <f t="shared" si="29"/>
        <v>-0.0108775174095421</v>
      </c>
      <c r="AA475">
        <f t="shared" si="30"/>
        <v>0.037</v>
      </c>
      <c r="AB475">
        <f t="shared" si="31"/>
        <v>0.58</v>
      </c>
      <c r="AC475" t="s">
        <v>32</v>
      </c>
    </row>
    <row r="476" spans="1:29">
      <c r="A476" t="s">
        <v>60</v>
      </c>
      <c r="B476">
        <v>3959.75</v>
      </c>
      <c r="C476">
        <v>18.048</v>
      </c>
      <c r="D476">
        <v>68.844</v>
      </c>
      <c r="E476">
        <v>166.85</v>
      </c>
      <c r="F476">
        <v>0.21</v>
      </c>
      <c r="G476">
        <v>22.59</v>
      </c>
      <c r="H476">
        <v>1.393</v>
      </c>
      <c r="I476">
        <v>2.729</v>
      </c>
      <c r="J476">
        <v>0.322</v>
      </c>
      <c r="K476">
        <v>7.146</v>
      </c>
      <c r="L476">
        <v>0.498</v>
      </c>
      <c r="M476">
        <v>3.89</v>
      </c>
      <c r="N476">
        <v>131.509</v>
      </c>
      <c r="O476">
        <v>134.218</v>
      </c>
      <c r="P476">
        <f t="shared" si="28"/>
        <v>2.11895547538537</v>
      </c>
      <c r="Q476">
        <f t="shared" si="28"/>
        <v>2.12781076304952</v>
      </c>
      <c r="R476">
        <v>60.269</v>
      </c>
      <c r="S476">
        <v>60.269</v>
      </c>
      <c r="T476">
        <v>59.647</v>
      </c>
      <c r="U476">
        <v>3.295</v>
      </c>
      <c r="V476">
        <v>72.751</v>
      </c>
      <c r="W476">
        <v>0.179</v>
      </c>
      <c r="X476" t="s">
        <v>55</v>
      </c>
      <c r="Y476" t="s">
        <v>31</v>
      </c>
      <c r="Z476" s="3">
        <f t="shared" si="29"/>
        <v>-0.00885528766414856</v>
      </c>
      <c r="AA476">
        <f t="shared" si="30"/>
        <v>0.176</v>
      </c>
      <c r="AB476">
        <f t="shared" si="31"/>
        <v>0.708</v>
      </c>
      <c r="AC476" t="s">
        <v>32</v>
      </c>
    </row>
    <row r="477" spans="1:29">
      <c r="A477" t="s">
        <v>60</v>
      </c>
      <c r="B477">
        <v>3959.875</v>
      </c>
      <c r="C477">
        <v>19.13</v>
      </c>
      <c r="D477">
        <v>68.696</v>
      </c>
      <c r="E477">
        <v>167.055</v>
      </c>
      <c r="F477">
        <v>0.214</v>
      </c>
      <c r="G477">
        <v>22.556</v>
      </c>
      <c r="H477">
        <v>1.381</v>
      </c>
      <c r="I477">
        <v>2.728</v>
      </c>
      <c r="J477">
        <v>0.316</v>
      </c>
      <c r="K477">
        <v>8.289</v>
      </c>
      <c r="L477">
        <v>0.599</v>
      </c>
      <c r="M477">
        <v>3.809</v>
      </c>
      <c r="N477">
        <v>134.77</v>
      </c>
      <c r="O477">
        <v>137.086</v>
      </c>
      <c r="P477">
        <f t="shared" si="28"/>
        <v>2.12959322836793</v>
      </c>
      <c r="Q477">
        <f t="shared" si="28"/>
        <v>2.13699310443791</v>
      </c>
      <c r="R477">
        <v>59.259</v>
      </c>
      <c r="S477">
        <v>59.259</v>
      </c>
      <c r="T477">
        <v>59.039</v>
      </c>
      <c r="U477">
        <v>3.292</v>
      </c>
      <c r="V477">
        <v>73.082</v>
      </c>
      <c r="W477">
        <v>0.179</v>
      </c>
      <c r="X477" t="s">
        <v>55</v>
      </c>
      <c r="Y477" t="s">
        <v>31</v>
      </c>
      <c r="Z477" s="3">
        <f t="shared" si="29"/>
        <v>-0.00739987606997916</v>
      </c>
      <c r="AA477">
        <f t="shared" si="30"/>
        <v>0.283</v>
      </c>
      <c r="AB477">
        <f t="shared" si="31"/>
        <v>0.813</v>
      </c>
      <c r="AC477" t="s">
        <v>32</v>
      </c>
    </row>
    <row r="478" spans="1:29">
      <c r="A478" t="s">
        <v>60</v>
      </c>
      <c r="B478">
        <v>3960</v>
      </c>
      <c r="C478">
        <v>20.771</v>
      </c>
      <c r="D478">
        <v>68.563</v>
      </c>
      <c r="E478">
        <v>167.12</v>
      </c>
      <c r="F478">
        <v>0.215</v>
      </c>
      <c r="G478">
        <v>22.521</v>
      </c>
      <c r="H478">
        <v>1.396</v>
      </c>
      <c r="I478">
        <v>2.73</v>
      </c>
      <c r="J478">
        <v>0.329</v>
      </c>
      <c r="K478">
        <v>8.985</v>
      </c>
      <c r="L478">
        <v>0.661</v>
      </c>
      <c r="M478">
        <v>3.703</v>
      </c>
      <c r="N478">
        <v>144.315</v>
      </c>
      <c r="O478">
        <v>146.673</v>
      </c>
      <c r="P478">
        <f t="shared" si="28"/>
        <v>2.15931147370378</v>
      </c>
      <c r="Q478">
        <f t="shared" si="28"/>
        <v>2.16635017498698</v>
      </c>
      <c r="R478">
        <v>59.01</v>
      </c>
      <c r="S478">
        <v>59.01</v>
      </c>
      <c r="T478">
        <v>58.753</v>
      </c>
      <c r="U478">
        <v>3.214</v>
      </c>
      <c r="V478">
        <v>75.177</v>
      </c>
      <c r="W478">
        <v>0.161</v>
      </c>
      <c r="X478" t="s">
        <v>55</v>
      </c>
      <c r="Y478" t="s">
        <v>31</v>
      </c>
      <c r="Z478" s="3">
        <f t="shared" si="29"/>
        <v>-0.00703870128319961</v>
      </c>
      <c r="AA478">
        <f t="shared" si="30"/>
        <v>0.332</v>
      </c>
      <c r="AB478">
        <f t="shared" si="31"/>
        <v>0.876</v>
      </c>
      <c r="AC478" t="s">
        <v>32</v>
      </c>
    </row>
    <row r="479" spans="1:29">
      <c r="A479" t="s">
        <v>60</v>
      </c>
      <c r="B479">
        <v>3960.125</v>
      </c>
      <c r="C479">
        <v>21.298</v>
      </c>
      <c r="D479">
        <v>68.444</v>
      </c>
      <c r="E479">
        <v>167.133</v>
      </c>
      <c r="F479">
        <v>0.216</v>
      </c>
      <c r="G479">
        <v>22.512</v>
      </c>
      <c r="H479">
        <v>1.386</v>
      </c>
      <c r="I479">
        <v>2.733</v>
      </c>
      <c r="J479">
        <v>0.349</v>
      </c>
      <c r="K479">
        <v>9.108</v>
      </c>
      <c r="L479">
        <v>0.672</v>
      </c>
      <c r="M479">
        <v>3.516</v>
      </c>
      <c r="N479">
        <v>153.069</v>
      </c>
      <c r="O479">
        <v>155.781</v>
      </c>
      <c r="P479">
        <f t="shared" si="28"/>
        <v>2.18488724496251</v>
      </c>
      <c r="Q479">
        <f t="shared" si="28"/>
        <v>2.19251448736515</v>
      </c>
      <c r="R479">
        <v>59.794</v>
      </c>
      <c r="S479">
        <v>59.794</v>
      </c>
      <c r="T479">
        <v>59.18</v>
      </c>
      <c r="U479">
        <v>3.048</v>
      </c>
      <c r="V479">
        <v>79.55</v>
      </c>
      <c r="W479">
        <v>0.127</v>
      </c>
      <c r="X479" t="s">
        <v>55</v>
      </c>
      <c r="Y479" t="s">
        <v>31</v>
      </c>
      <c r="Z479" s="3">
        <f t="shared" si="29"/>
        <v>-0.00762724240264534</v>
      </c>
      <c r="AA479">
        <f t="shared" si="30"/>
        <v>0.323</v>
      </c>
      <c r="AB479">
        <f t="shared" si="31"/>
        <v>0.888</v>
      </c>
      <c r="AC479" t="s">
        <v>32</v>
      </c>
    </row>
    <row r="480" spans="1:29">
      <c r="A480" t="s">
        <v>60</v>
      </c>
      <c r="B480">
        <v>3960.25</v>
      </c>
      <c r="C480">
        <v>19.994</v>
      </c>
      <c r="D480">
        <v>68.34</v>
      </c>
      <c r="E480">
        <v>167.116</v>
      </c>
      <c r="F480">
        <v>0.215</v>
      </c>
      <c r="G480">
        <v>22.512</v>
      </c>
      <c r="H480">
        <v>1.31</v>
      </c>
      <c r="I480">
        <v>2.735</v>
      </c>
      <c r="J480">
        <v>0.362</v>
      </c>
      <c r="K480">
        <v>8.846</v>
      </c>
      <c r="L480">
        <v>0.649</v>
      </c>
      <c r="M480">
        <v>3.277</v>
      </c>
      <c r="N480">
        <v>154.969</v>
      </c>
      <c r="O480">
        <v>158.087</v>
      </c>
      <c r="P480">
        <f t="shared" ref="P480:Q543" si="32">LOG(N480)</f>
        <v>2.19024483058686</v>
      </c>
      <c r="Q480">
        <f t="shared" si="32"/>
        <v>2.19889615797525</v>
      </c>
      <c r="R480">
        <v>63.347</v>
      </c>
      <c r="S480">
        <v>63.347</v>
      </c>
      <c r="T480">
        <v>60.922</v>
      </c>
      <c r="U480">
        <v>3.032</v>
      </c>
      <c r="V480">
        <v>78.924</v>
      </c>
      <c r="W480">
        <v>0.124</v>
      </c>
      <c r="X480" t="s">
        <v>55</v>
      </c>
      <c r="Y480" t="s">
        <v>31</v>
      </c>
      <c r="Z480" s="3">
        <f t="shared" ref="Z480:Z543" si="33">P480-Q480</f>
        <v>-0.00865132738838481</v>
      </c>
      <c r="AA480">
        <f t="shared" ref="AA480:AA543" si="34">L480-J480</f>
        <v>0.287</v>
      </c>
      <c r="AB480">
        <f t="shared" ref="AB480:AB543" si="35">L480+F480</f>
        <v>0.864</v>
      </c>
      <c r="AC480" t="s">
        <v>32</v>
      </c>
    </row>
    <row r="481" spans="1:29">
      <c r="A481" t="s">
        <v>60</v>
      </c>
      <c r="B481">
        <v>3960.375</v>
      </c>
      <c r="C481">
        <v>17.837</v>
      </c>
      <c r="D481">
        <v>68.253</v>
      </c>
      <c r="E481">
        <v>167.049</v>
      </c>
      <c r="F481">
        <v>0.214</v>
      </c>
      <c r="G481">
        <v>22.512</v>
      </c>
      <c r="H481">
        <v>1.233</v>
      </c>
      <c r="I481">
        <v>2.734</v>
      </c>
      <c r="J481">
        <v>0.355</v>
      </c>
      <c r="K481">
        <v>8.523</v>
      </c>
      <c r="L481">
        <v>0.62</v>
      </c>
      <c r="M481">
        <v>3.11</v>
      </c>
      <c r="N481">
        <v>148.699</v>
      </c>
      <c r="O481">
        <v>151.954</v>
      </c>
      <c r="P481">
        <f t="shared" si="32"/>
        <v>2.17230804790365</v>
      </c>
      <c r="Q481">
        <f t="shared" si="32"/>
        <v>2.18171213682835</v>
      </c>
      <c r="R481">
        <v>68.128</v>
      </c>
      <c r="S481">
        <v>68.128</v>
      </c>
      <c r="T481">
        <v>64.526</v>
      </c>
      <c r="U481">
        <v>3.195</v>
      </c>
      <c r="V481">
        <v>72.98</v>
      </c>
      <c r="W481">
        <v>0.157</v>
      </c>
      <c r="X481" t="s">
        <v>55</v>
      </c>
      <c r="Y481" t="s">
        <v>31</v>
      </c>
      <c r="Z481" s="3">
        <f t="shared" si="33"/>
        <v>-0.00940408892470579</v>
      </c>
      <c r="AA481">
        <f t="shared" si="34"/>
        <v>0.265</v>
      </c>
      <c r="AB481">
        <f t="shared" si="35"/>
        <v>0.834</v>
      </c>
      <c r="AC481" t="s">
        <v>32</v>
      </c>
    </row>
    <row r="482" spans="1:29">
      <c r="A482" t="s">
        <v>60</v>
      </c>
      <c r="B482">
        <v>3960.5</v>
      </c>
      <c r="C482">
        <v>15.905</v>
      </c>
      <c r="D482">
        <v>68.184</v>
      </c>
      <c r="E482">
        <v>166.887</v>
      </c>
      <c r="F482">
        <v>0.211</v>
      </c>
      <c r="G482">
        <v>22.529</v>
      </c>
      <c r="H482">
        <v>1.199</v>
      </c>
      <c r="I482">
        <v>2.73</v>
      </c>
      <c r="J482">
        <v>0.329</v>
      </c>
      <c r="K482">
        <v>8.421</v>
      </c>
      <c r="L482">
        <v>0.611</v>
      </c>
      <c r="M482">
        <v>3.029</v>
      </c>
      <c r="N482">
        <v>137.75</v>
      </c>
      <c r="O482">
        <v>140.792</v>
      </c>
      <c r="P482">
        <f t="shared" si="32"/>
        <v>2.13909160752382</v>
      </c>
      <c r="Q482">
        <f t="shared" si="32"/>
        <v>2.14857797828221</v>
      </c>
      <c r="R482">
        <v>73.787</v>
      </c>
      <c r="S482">
        <v>73.787</v>
      </c>
      <c r="T482">
        <v>69.928</v>
      </c>
      <c r="U482">
        <v>3.402</v>
      </c>
      <c r="V482">
        <v>65.845</v>
      </c>
      <c r="W482">
        <v>0.207</v>
      </c>
      <c r="X482" t="s">
        <v>55</v>
      </c>
      <c r="Y482" t="s">
        <v>31</v>
      </c>
      <c r="Z482" s="3">
        <f t="shared" si="33"/>
        <v>-0.00948637075839098</v>
      </c>
      <c r="AA482">
        <f t="shared" si="34"/>
        <v>0.282</v>
      </c>
      <c r="AB482">
        <f t="shared" si="35"/>
        <v>0.822</v>
      </c>
      <c r="AC482" t="s">
        <v>32</v>
      </c>
    </row>
    <row r="483" spans="1:29">
      <c r="A483" t="s">
        <v>60</v>
      </c>
      <c r="B483">
        <v>3960.625</v>
      </c>
      <c r="C483">
        <v>14.7</v>
      </c>
      <c r="D483">
        <v>68.138</v>
      </c>
      <c r="E483">
        <v>166.562</v>
      </c>
      <c r="F483">
        <v>0.204</v>
      </c>
      <c r="G483">
        <v>22.578</v>
      </c>
      <c r="H483">
        <v>1.205</v>
      </c>
      <c r="I483">
        <v>2.724</v>
      </c>
      <c r="J483">
        <v>0.289</v>
      </c>
      <c r="K483">
        <v>8.566</v>
      </c>
      <c r="L483">
        <v>0.624</v>
      </c>
      <c r="M483">
        <v>2.993</v>
      </c>
      <c r="N483">
        <v>127.322</v>
      </c>
      <c r="O483">
        <v>129.915</v>
      </c>
      <c r="P483">
        <f t="shared" si="32"/>
        <v>2.10490345198904</v>
      </c>
      <c r="Q483">
        <f t="shared" si="32"/>
        <v>2.11365929765606</v>
      </c>
      <c r="R483">
        <v>76.68</v>
      </c>
      <c r="S483">
        <v>76.68</v>
      </c>
      <c r="T483">
        <v>75.587</v>
      </c>
      <c r="U483">
        <v>3.477</v>
      </c>
      <c r="V483">
        <v>63.315</v>
      </c>
      <c r="W483">
        <v>0.228</v>
      </c>
      <c r="X483" t="s">
        <v>55</v>
      </c>
      <c r="Y483" t="s">
        <v>31</v>
      </c>
      <c r="Z483" s="3">
        <f t="shared" si="33"/>
        <v>-0.00875584566702781</v>
      </c>
      <c r="AA483">
        <f t="shared" si="34"/>
        <v>0.335</v>
      </c>
      <c r="AB483">
        <f t="shared" si="35"/>
        <v>0.828</v>
      </c>
      <c r="AC483" t="s">
        <v>32</v>
      </c>
    </row>
    <row r="484" spans="1:29">
      <c r="A484" t="s">
        <v>60</v>
      </c>
      <c r="B484">
        <v>3960.75</v>
      </c>
      <c r="C484">
        <v>14.018</v>
      </c>
      <c r="D484">
        <v>68.118</v>
      </c>
      <c r="E484">
        <v>166.059</v>
      </c>
      <c r="F484">
        <v>0.194</v>
      </c>
      <c r="G484">
        <v>22.651</v>
      </c>
      <c r="H484">
        <v>1.218</v>
      </c>
      <c r="I484">
        <v>2.721</v>
      </c>
      <c r="J484">
        <v>0.27</v>
      </c>
      <c r="K484">
        <v>8.792</v>
      </c>
      <c r="L484">
        <v>0.644</v>
      </c>
      <c r="M484">
        <v>2.99</v>
      </c>
      <c r="N484">
        <v>121.31</v>
      </c>
      <c r="O484">
        <v>123.478</v>
      </c>
      <c r="P484">
        <f t="shared" si="32"/>
        <v>2.08389660272817</v>
      </c>
      <c r="Q484">
        <f t="shared" si="32"/>
        <v>2.09158958650492</v>
      </c>
      <c r="R484">
        <v>80.017</v>
      </c>
      <c r="S484">
        <v>80.017</v>
      </c>
      <c r="T484">
        <v>78.835</v>
      </c>
      <c r="U484">
        <v>3.637</v>
      </c>
      <c r="V484">
        <v>58.188</v>
      </c>
      <c r="W484">
        <v>0.277</v>
      </c>
      <c r="X484" t="s">
        <v>55</v>
      </c>
      <c r="Y484" t="s">
        <v>31</v>
      </c>
      <c r="Z484" s="3">
        <f t="shared" si="33"/>
        <v>-0.00769298377674854</v>
      </c>
      <c r="AA484">
        <f t="shared" si="34"/>
        <v>0.374</v>
      </c>
      <c r="AB484">
        <f t="shared" si="35"/>
        <v>0.838</v>
      </c>
      <c r="AC484" t="s">
        <v>32</v>
      </c>
    </row>
    <row r="485" spans="1:29">
      <c r="A485" t="s">
        <v>60</v>
      </c>
      <c r="B485">
        <v>3960.875</v>
      </c>
      <c r="C485">
        <v>13.75</v>
      </c>
      <c r="D485">
        <v>68.128</v>
      </c>
      <c r="E485">
        <v>165.386</v>
      </c>
      <c r="F485">
        <v>0.18</v>
      </c>
      <c r="G485">
        <v>22.716</v>
      </c>
      <c r="H485">
        <v>1.238</v>
      </c>
      <c r="I485">
        <v>2.724</v>
      </c>
      <c r="J485">
        <v>0.289</v>
      </c>
      <c r="K485">
        <v>8.899</v>
      </c>
      <c r="L485">
        <v>0.653</v>
      </c>
      <c r="M485">
        <v>2.999</v>
      </c>
      <c r="N485">
        <v>120.497</v>
      </c>
      <c r="O485">
        <v>122.397</v>
      </c>
      <c r="P485">
        <f t="shared" si="32"/>
        <v>2.08097623446554</v>
      </c>
      <c r="Q485">
        <f t="shared" si="32"/>
        <v>2.0877707732065</v>
      </c>
      <c r="R485">
        <v>80.993</v>
      </c>
      <c r="S485">
        <v>80.993</v>
      </c>
      <c r="T485">
        <v>79.292</v>
      </c>
      <c r="U485">
        <v>3.698</v>
      </c>
      <c r="V485">
        <v>56.092</v>
      </c>
      <c r="W485">
        <v>0.298</v>
      </c>
      <c r="X485" t="s">
        <v>55</v>
      </c>
      <c r="Y485" t="s">
        <v>31</v>
      </c>
      <c r="Z485" s="3">
        <f t="shared" si="33"/>
        <v>-0.0067945387409587</v>
      </c>
      <c r="AA485">
        <f t="shared" si="34"/>
        <v>0.364</v>
      </c>
      <c r="AB485">
        <f t="shared" si="35"/>
        <v>0.833</v>
      </c>
      <c r="AC485" t="s">
        <v>32</v>
      </c>
    </row>
    <row r="486" spans="1:29">
      <c r="A486" t="s">
        <v>60</v>
      </c>
      <c r="B486">
        <v>3961</v>
      </c>
      <c r="C486">
        <v>13.768</v>
      </c>
      <c r="D486">
        <v>68.177</v>
      </c>
      <c r="E486">
        <v>164.529</v>
      </c>
      <c r="F486">
        <v>0.163</v>
      </c>
      <c r="G486">
        <v>22.749</v>
      </c>
      <c r="H486">
        <v>1.256</v>
      </c>
      <c r="I486">
        <v>2.734</v>
      </c>
      <c r="J486">
        <v>0.355</v>
      </c>
      <c r="K486">
        <v>8.874</v>
      </c>
      <c r="L486">
        <v>0.651</v>
      </c>
      <c r="M486">
        <v>3.003</v>
      </c>
      <c r="N486">
        <v>124.364</v>
      </c>
      <c r="O486">
        <v>126.252</v>
      </c>
      <c r="P486">
        <f t="shared" si="32"/>
        <v>2.09469468209092</v>
      </c>
      <c r="Q486">
        <f t="shared" si="32"/>
        <v>2.10123826664879</v>
      </c>
      <c r="R486">
        <v>78.917</v>
      </c>
      <c r="S486">
        <v>78.917</v>
      </c>
      <c r="T486">
        <v>80.037</v>
      </c>
      <c r="U486">
        <v>3.586</v>
      </c>
      <c r="V486">
        <v>57.82</v>
      </c>
      <c r="W486">
        <v>0.261</v>
      </c>
      <c r="X486" t="s">
        <v>55</v>
      </c>
      <c r="Y486" t="s">
        <v>31</v>
      </c>
      <c r="Z486" s="3">
        <f t="shared" si="33"/>
        <v>-0.00654358455786763</v>
      </c>
      <c r="AA486">
        <f t="shared" si="34"/>
        <v>0.296</v>
      </c>
      <c r="AB486">
        <f t="shared" si="35"/>
        <v>0.814</v>
      </c>
      <c r="AC486" t="s">
        <v>32</v>
      </c>
    </row>
    <row r="487" spans="1:29">
      <c r="A487" t="s">
        <v>60</v>
      </c>
      <c r="B487">
        <v>3961.125</v>
      </c>
      <c r="C487">
        <v>13.84</v>
      </c>
      <c r="D487">
        <v>68.267</v>
      </c>
      <c r="E487">
        <v>163.53</v>
      </c>
      <c r="F487">
        <v>0.142</v>
      </c>
      <c r="G487">
        <v>22.782</v>
      </c>
      <c r="H487">
        <v>1.263</v>
      </c>
      <c r="I487">
        <v>2.747</v>
      </c>
      <c r="J487">
        <v>0.441</v>
      </c>
      <c r="K487">
        <v>8.707</v>
      </c>
      <c r="L487">
        <v>0.636</v>
      </c>
      <c r="M487">
        <v>3.008</v>
      </c>
      <c r="N487">
        <v>130.196</v>
      </c>
      <c r="O487">
        <v>132.25</v>
      </c>
      <c r="P487">
        <f t="shared" si="32"/>
        <v>2.11459764164682</v>
      </c>
      <c r="Q487">
        <f t="shared" si="32"/>
        <v>2.12139568070722</v>
      </c>
      <c r="R487">
        <v>81.368</v>
      </c>
      <c r="S487">
        <v>81.368</v>
      </c>
      <c r="T487">
        <v>85.134</v>
      </c>
      <c r="U487">
        <v>3.403</v>
      </c>
      <c r="V487">
        <v>59.688</v>
      </c>
      <c r="W487">
        <v>0.207</v>
      </c>
      <c r="X487" t="s">
        <v>55</v>
      </c>
      <c r="Y487" t="s">
        <v>31</v>
      </c>
      <c r="Z487" s="3">
        <f t="shared" si="33"/>
        <v>-0.00679803906040277</v>
      </c>
      <c r="AA487">
        <f t="shared" si="34"/>
        <v>0.195</v>
      </c>
      <c r="AB487">
        <f t="shared" si="35"/>
        <v>0.778</v>
      </c>
      <c r="AC487" t="s">
        <v>32</v>
      </c>
    </row>
    <row r="488" spans="1:29">
      <c r="A488" t="s">
        <v>60</v>
      </c>
      <c r="B488">
        <v>3961.25</v>
      </c>
      <c r="C488">
        <v>14.135</v>
      </c>
      <c r="D488">
        <v>68.405</v>
      </c>
      <c r="E488">
        <v>162.434</v>
      </c>
      <c r="F488">
        <v>0.12</v>
      </c>
      <c r="G488">
        <v>22.802</v>
      </c>
      <c r="H488">
        <v>1.25</v>
      </c>
      <c r="I488">
        <v>2.761</v>
      </c>
      <c r="J488">
        <v>0.533</v>
      </c>
      <c r="K488">
        <v>8.427</v>
      </c>
      <c r="L488">
        <v>0.612</v>
      </c>
      <c r="M488">
        <v>3.034</v>
      </c>
      <c r="N488">
        <v>136.221</v>
      </c>
      <c r="O488">
        <v>138.494</v>
      </c>
      <c r="P488">
        <f t="shared" si="32"/>
        <v>2.13424406411931</v>
      </c>
      <c r="Q488">
        <f t="shared" si="32"/>
        <v>2.14143095879155</v>
      </c>
      <c r="R488">
        <v>90.493</v>
      </c>
      <c r="S488">
        <v>90.493</v>
      </c>
      <c r="T488">
        <v>96.772</v>
      </c>
      <c r="U488">
        <v>3.258</v>
      </c>
      <c r="V488">
        <v>60.235</v>
      </c>
      <c r="W488">
        <v>0.171</v>
      </c>
      <c r="X488" t="s">
        <v>55</v>
      </c>
      <c r="Y488" t="s">
        <v>31</v>
      </c>
      <c r="Z488" s="3">
        <f t="shared" si="33"/>
        <v>-0.00718689467223665</v>
      </c>
      <c r="AA488">
        <f t="shared" si="34"/>
        <v>0.079</v>
      </c>
      <c r="AB488">
        <f t="shared" si="35"/>
        <v>0.732</v>
      </c>
      <c r="AC488" t="s">
        <v>32</v>
      </c>
    </row>
    <row r="489" spans="1:29">
      <c r="A489" t="s">
        <v>60</v>
      </c>
      <c r="B489">
        <v>3961.375</v>
      </c>
      <c r="C489">
        <v>14.895</v>
      </c>
      <c r="D489">
        <v>68.601</v>
      </c>
      <c r="E489">
        <v>161.366</v>
      </c>
      <c r="F489">
        <v>0.098</v>
      </c>
      <c r="G489">
        <v>22.816</v>
      </c>
      <c r="H489">
        <v>1.18</v>
      </c>
      <c r="I489">
        <v>2.772</v>
      </c>
      <c r="J489">
        <v>0.605</v>
      </c>
      <c r="K489">
        <v>8.182</v>
      </c>
      <c r="L489">
        <v>0.59</v>
      </c>
      <c r="M489">
        <v>3.081</v>
      </c>
      <c r="N489">
        <v>141.587</v>
      </c>
      <c r="O489">
        <v>143.995</v>
      </c>
      <c r="P489">
        <f t="shared" si="32"/>
        <v>2.15102337985483</v>
      </c>
      <c r="Q489">
        <f t="shared" si="32"/>
        <v>2.15834741216393</v>
      </c>
      <c r="R489">
        <v>104.168</v>
      </c>
      <c r="S489">
        <v>104.168</v>
      </c>
      <c r="T489">
        <v>112.889</v>
      </c>
      <c r="U489">
        <v>3.108</v>
      </c>
      <c r="V489">
        <v>60.117</v>
      </c>
      <c r="W489">
        <v>0.139</v>
      </c>
      <c r="X489" t="s">
        <v>55</v>
      </c>
      <c r="Y489" t="s">
        <v>31</v>
      </c>
      <c r="Z489" s="3">
        <f t="shared" si="33"/>
        <v>-0.00732403230909862</v>
      </c>
      <c r="AA489">
        <f t="shared" si="34"/>
        <v>-0.015</v>
      </c>
      <c r="AB489">
        <f t="shared" si="35"/>
        <v>0.688</v>
      </c>
      <c r="AC489" t="s">
        <v>32</v>
      </c>
    </row>
    <row r="490" spans="1:29">
      <c r="A490" t="s">
        <v>60</v>
      </c>
      <c r="B490">
        <v>3961.5</v>
      </c>
      <c r="C490">
        <v>15.877</v>
      </c>
      <c r="D490">
        <v>68.855</v>
      </c>
      <c r="E490">
        <v>160.519</v>
      </c>
      <c r="F490">
        <v>0.081</v>
      </c>
      <c r="G490">
        <v>22.777</v>
      </c>
      <c r="H490">
        <v>1.051</v>
      </c>
      <c r="I490">
        <v>2.782</v>
      </c>
      <c r="J490">
        <v>0.671</v>
      </c>
      <c r="K490">
        <v>8.006</v>
      </c>
      <c r="L490">
        <v>0.574</v>
      </c>
      <c r="M490">
        <v>3.072</v>
      </c>
      <c r="N490">
        <v>147.22</v>
      </c>
      <c r="O490">
        <v>149.653</v>
      </c>
      <c r="P490">
        <f t="shared" si="32"/>
        <v>2.16796681339562</v>
      </c>
      <c r="Q490">
        <f t="shared" si="32"/>
        <v>2.17508542729306</v>
      </c>
      <c r="R490">
        <v>115.639</v>
      </c>
      <c r="S490">
        <v>115.639</v>
      </c>
      <c r="T490">
        <v>126.899</v>
      </c>
      <c r="U490">
        <v>2.796</v>
      </c>
      <c r="V490">
        <v>60.542</v>
      </c>
      <c r="W490">
        <v>0.088</v>
      </c>
      <c r="X490" t="s">
        <v>55</v>
      </c>
      <c r="Y490" t="s">
        <v>31</v>
      </c>
      <c r="Z490" s="3">
        <f t="shared" si="33"/>
        <v>-0.00711861389743973</v>
      </c>
      <c r="AA490">
        <f t="shared" si="34"/>
        <v>-0.0970000000000001</v>
      </c>
      <c r="AB490">
        <f t="shared" si="35"/>
        <v>0.655</v>
      </c>
      <c r="AC490" t="s">
        <v>32</v>
      </c>
    </row>
    <row r="491" spans="1:29">
      <c r="A491" t="s">
        <v>60</v>
      </c>
      <c r="B491">
        <v>3961.625</v>
      </c>
      <c r="C491">
        <v>16.799</v>
      </c>
      <c r="D491">
        <v>69.172</v>
      </c>
      <c r="E491">
        <v>160.182</v>
      </c>
      <c r="F491">
        <v>0.074</v>
      </c>
      <c r="G491">
        <v>22.712</v>
      </c>
      <c r="H491">
        <v>0.935</v>
      </c>
      <c r="I491">
        <v>2.79</v>
      </c>
      <c r="J491">
        <v>0.724</v>
      </c>
      <c r="K491">
        <v>7.883</v>
      </c>
      <c r="L491">
        <v>0.563</v>
      </c>
      <c r="M491">
        <v>2.955</v>
      </c>
      <c r="N491">
        <v>155.154</v>
      </c>
      <c r="O491">
        <v>157.567</v>
      </c>
      <c r="P491">
        <f t="shared" si="32"/>
        <v>2.19076297653981</v>
      </c>
      <c r="Q491">
        <f t="shared" si="32"/>
        <v>2.19746526633515</v>
      </c>
      <c r="R491">
        <v>122.492</v>
      </c>
      <c r="S491">
        <v>122.492</v>
      </c>
      <c r="T491">
        <v>136.397</v>
      </c>
      <c r="U491">
        <v>2.58</v>
      </c>
      <c r="V491">
        <v>62.476</v>
      </c>
      <c r="W491">
        <v>0.061</v>
      </c>
      <c r="X491" t="s">
        <v>55</v>
      </c>
      <c r="Y491" t="s">
        <v>31</v>
      </c>
      <c r="Z491" s="3">
        <f t="shared" si="33"/>
        <v>-0.00670228979534304</v>
      </c>
      <c r="AA491">
        <f t="shared" si="34"/>
        <v>-0.161</v>
      </c>
      <c r="AB491">
        <f t="shared" si="35"/>
        <v>0.637</v>
      </c>
      <c r="AC491" t="s">
        <v>32</v>
      </c>
    </row>
    <row r="492" spans="1:29">
      <c r="A492" t="s">
        <v>60</v>
      </c>
      <c r="B492">
        <v>3961.75</v>
      </c>
      <c r="C492">
        <v>17.404</v>
      </c>
      <c r="D492">
        <v>69.554</v>
      </c>
      <c r="E492">
        <v>160.581</v>
      </c>
      <c r="F492">
        <v>0.082</v>
      </c>
      <c r="G492">
        <v>22.62</v>
      </c>
      <c r="H492">
        <v>0.896</v>
      </c>
      <c r="I492">
        <v>2.796</v>
      </c>
      <c r="J492">
        <v>0.763</v>
      </c>
      <c r="K492">
        <v>7.735</v>
      </c>
      <c r="L492">
        <v>0.55</v>
      </c>
      <c r="M492">
        <v>2.887</v>
      </c>
      <c r="N492">
        <v>167.771</v>
      </c>
      <c r="O492">
        <v>170.229</v>
      </c>
      <c r="P492">
        <f t="shared" si="32"/>
        <v>2.22471689315284</v>
      </c>
      <c r="Q492">
        <f t="shared" si="32"/>
        <v>2.23103354791731</v>
      </c>
      <c r="R492">
        <v>125.569</v>
      </c>
      <c r="S492">
        <v>125.569</v>
      </c>
      <c r="T492">
        <v>141.934</v>
      </c>
      <c r="U492">
        <v>2.438</v>
      </c>
      <c r="V492">
        <v>64.572</v>
      </c>
      <c r="W492">
        <v>0.048</v>
      </c>
      <c r="X492" t="s">
        <v>55</v>
      </c>
      <c r="Y492" t="s">
        <v>31</v>
      </c>
      <c r="Z492" s="3">
        <f t="shared" si="33"/>
        <v>-0.00631665476446486</v>
      </c>
      <c r="AA492">
        <f t="shared" si="34"/>
        <v>-0.213</v>
      </c>
      <c r="AB492">
        <f t="shared" si="35"/>
        <v>0.632</v>
      </c>
      <c r="AC492" t="s">
        <v>32</v>
      </c>
    </row>
    <row r="493" spans="1:29">
      <c r="A493" t="s">
        <v>60</v>
      </c>
      <c r="B493">
        <v>3961.875</v>
      </c>
      <c r="C493">
        <v>17.854</v>
      </c>
      <c r="D493">
        <v>69.994</v>
      </c>
      <c r="E493">
        <v>161.661</v>
      </c>
      <c r="F493">
        <v>0.104</v>
      </c>
      <c r="G493">
        <v>22.554</v>
      </c>
      <c r="H493">
        <v>0.897</v>
      </c>
      <c r="I493">
        <v>2.801</v>
      </c>
      <c r="J493">
        <v>0.796</v>
      </c>
      <c r="K493">
        <v>7.559</v>
      </c>
      <c r="L493">
        <v>0.535</v>
      </c>
      <c r="M493">
        <v>2.843</v>
      </c>
      <c r="N493">
        <v>185.781</v>
      </c>
      <c r="O493">
        <v>188.397</v>
      </c>
      <c r="P493">
        <f t="shared" si="32"/>
        <v>2.26900129621795</v>
      </c>
      <c r="Q493">
        <f t="shared" si="32"/>
        <v>2.27507398288457</v>
      </c>
      <c r="R493">
        <v>121.841</v>
      </c>
      <c r="S493">
        <v>121.841</v>
      </c>
      <c r="T493">
        <v>140.43</v>
      </c>
      <c r="U493">
        <v>2.369</v>
      </c>
      <c r="V493">
        <v>66.114</v>
      </c>
      <c r="W493">
        <v>0.042</v>
      </c>
      <c r="X493" t="s">
        <v>55</v>
      </c>
      <c r="Y493" t="s">
        <v>31</v>
      </c>
      <c r="Z493" s="3">
        <f t="shared" si="33"/>
        <v>-0.0060726866666192</v>
      </c>
      <c r="AA493">
        <f t="shared" si="34"/>
        <v>-0.261</v>
      </c>
      <c r="AB493">
        <f t="shared" si="35"/>
        <v>0.639</v>
      </c>
      <c r="AC493" t="s">
        <v>32</v>
      </c>
    </row>
    <row r="494" spans="1:29">
      <c r="A494" t="s">
        <v>60</v>
      </c>
      <c r="B494">
        <v>3962</v>
      </c>
      <c r="C494">
        <v>18.574</v>
      </c>
      <c r="D494">
        <v>70.491</v>
      </c>
      <c r="E494">
        <v>163.269</v>
      </c>
      <c r="F494">
        <v>0.137</v>
      </c>
      <c r="G494">
        <v>22.516</v>
      </c>
      <c r="H494">
        <v>0.932</v>
      </c>
      <c r="I494">
        <v>2.803</v>
      </c>
      <c r="J494">
        <v>0.809</v>
      </c>
      <c r="K494">
        <v>7.341</v>
      </c>
      <c r="L494">
        <v>0.515</v>
      </c>
      <c r="M494">
        <v>2.803</v>
      </c>
      <c r="N494">
        <v>209.949</v>
      </c>
      <c r="O494">
        <v>212.874</v>
      </c>
      <c r="P494">
        <f t="shared" si="32"/>
        <v>2.32211381040756</v>
      </c>
      <c r="Q494">
        <f t="shared" si="32"/>
        <v>2.32812262082737</v>
      </c>
      <c r="R494">
        <v>110.062</v>
      </c>
      <c r="S494">
        <v>110.062</v>
      </c>
      <c r="T494">
        <v>129.924</v>
      </c>
      <c r="U494">
        <v>2.294</v>
      </c>
      <c r="V494">
        <v>69.262</v>
      </c>
      <c r="W494">
        <v>0.036</v>
      </c>
      <c r="X494" t="s">
        <v>55</v>
      </c>
      <c r="Y494" t="s">
        <v>31</v>
      </c>
      <c r="Z494" s="3">
        <f t="shared" si="33"/>
        <v>-0.00600881041981571</v>
      </c>
      <c r="AA494">
        <f t="shared" si="34"/>
        <v>-0.294</v>
      </c>
      <c r="AB494">
        <f t="shared" si="35"/>
        <v>0.652</v>
      </c>
      <c r="AC494" t="s">
        <v>32</v>
      </c>
    </row>
    <row r="495" spans="1:29">
      <c r="A495" t="s">
        <v>61</v>
      </c>
      <c r="B495">
        <v>4176.5</v>
      </c>
      <c r="C495">
        <v>26.39</v>
      </c>
      <c r="D495">
        <v>87.386</v>
      </c>
      <c r="E495">
        <v>171.917</v>
      </c>
      <c r="F495">
        <v>0.266</v>
      </c>
      <c r="G495">
        <v>22.3</v>
      </c>
      <c r="H495">
        <v>1.557</v>
      </c>
      <c r="I495">
        <v>2.753</v>
      </c>
      <c r="J495">
        <v>0.408</v>
      </c>
      <c r="K495">
        <v>1.582</v>
      </c>
      <c r="L495">
        <v>0.037</v>
      </c>
      <c r="M495">
        <v>3.338</v>
      </c>
      <c r="N495">
        <v>290.875</v>
      </c>
      <c r="O495">
        <v>247.644</v>
      </c>
      <c r="P495">
        <f t="shared" si="32"/>
        <v>2.46370639629479</v>
      </c>
      <c r="Q495">
        <f t="shared" si="32"/>
        <v>2.39382781021689</v>
      </c>
      <c r="R495">
        <v>25.383</v>
      </c>
      <c r="S495">
        <v>27.623</v>
      </c>
      <c r="T495">
        <v>29.863</v>
      </c>
      <c r="U495">
        <v>3.208</v>
      </c>
      <c r="V495">
        <v>47.461</v>
      </c>
      <c r="W495">
        <v>0.025</v>
      </c>
      <c r="X495" t="s">
        <v>55</v>
      </c>
      <c r="Y495" t="s">
        <v>31</v>
      </c>
      <c r="Z495" s="3">
        <f t="shared" si="33"/>
        <v>0.0698785860778979</v>
      </c>
      <c r="AA495">
        <f t="shared" si="34"/>
        <v>-0.371</v>
      </c>
      <c r="AB495">
        <f t="shared" si="35"/>
        <v>0.303</v>
      </c>
      <c r="AC495" t="s">
        <v>32</v>
      </c>
    </row>
    <row r="496" spans="1:29">
      <c r="A496" t="s">
        <v>61</v>
      </c>
      <c r="B496">
        <v>4176.625</v>
      </c>
      <c r="C496">
        <v>25.356</v>
      </c>
      <c r="D496">
        <v>87.234</v>
      </c>
      <c r="E496">
        <v>173.91</v>
      </c>
      <c r="F496">
        <v>0.304</v>
      </c>
      <c r="G496">
        <v>22.353</v>
      </c>
      <c r="H496">
        <v>1.663</v>
      </c>
      <c r="I496">
        <v>2.746</v>
      </c>
      <c r="J496">
        <v>0.35</v>
      </c>
      <c r="K496">
        <v>1.587</v>
      </c>
      <c r="L496">
        <v>0.023</v>
      </c>
      <c r="M496">
        <v>3.338</v>
      </c>
      <c r="N496">
        <v>99.417</v>
      </c>
      <c r="O496">
        <v>84.904</v>
      </c>
      <c r="P496">
        <f t="shared" si="32"/>
        <v>1.99746065376271</v>
      </c>
      <c r="Q496">
        <f t="shared" si="32"/>
        <v>1.92892815122164</v>
      </c>
      <c r="R496">
        <v>21.128</v>
      </c>
      <c r="S496">
        <v>22.993</v>
      </c>
      <c r="T496">
        <v>24.857</v>
      </c>
      <c r="U496">
        <v>3.257</v>
      </c>
      <c r="V496">
        <v>71.326</v>
      </c>
      <c r="W496">
        <v>0.028</v>
      </c>
      <c r="X496" t="s">
        <v>55</v>
      </c>
      <c r="Y496" t="s">
        <v>31</v>
      </c>
      <c r="Z496" s="3">
        <f t="shared" si="33"/>
        <v>0.0685325025410692</v>
      </c>
      <c r="AA496">
        <f t="shared" si="34"/>
        <v>-0.327</v>
      </c>
      <c r="AB496">
        <f t="shared" si="35"/>
        <v>0.327</v>
      </c>
      <c r="AC496" t="s">
        <v>32</v>
      </c>
    </row>
    <row r="497" spans="1:29">
      <c r="A497" t="s">
        <v>61</v>
      </c>
      <c r="B497">
        <v>4176.75</v>
      </c>
      <c r="C497">
        <v>23.583</v>
      </c>
      <c r="D497">
        <v>87.098</v>
      </c>
      <c r="E497">
        <v>175.219</v>
      </c>
      <c r="F497">
        <v>0.328</v>
      </c>
      <c r="G497">
        <v>22.386</v>
      </c>
      <c r="H497">
        <v>1.766</v>
      </c>
      <c r="I497">
        <v>2.742</v>
      </c>
      <c r="J497">
        <v>0.317</v>
      </c>
      <c r="K497">
        <v>1.597</v>
      </c>
      <c r="L497">
        <v>0.011</v>
      </c>
      <c r="M497">
        <v>3.339</v>
      </c>
      <c r="N497">
        <v>56.913</v>
      </c>
      <c r="O497">
        <v>48.776</v>
      </c>
      <c r="P497">
        <f t="shared" si="32"/>
        <v>1.75521147875727</v>
      </c>
      <c r="Q497">
        <f t="shared" si="32"/>
        <v>1.68820618201386</v>
      </c>
      <c r="R497">
        <v>17.557</v>
      </c>
      <c r="S497">
        <v>19.106</v>
      </c>
      <c r="T497">
        <v>20.655</v>
      </c>
      <c r="U497">
        <v>3.335</v>
      </c>
      <c r="V497">
        <v>89.022</v>
      </c>
      <c r="W497">
        <v>0.031</v>
      </c>
      <c r="X497" t="s">
        <v>55</v>
      </c>
      <c r="Y497" t="s">
        <v>31</v>
      </c>
      <c r="Z497" s="3">
        <f t="shared" si="33"/>
        <v>0.0670052967434034</v>
      </c>
      <c r="AA497">
        <f t="shared" si="34"/>
        <v>-0.306</v>
      </c>
      <c r="AB497">
        <f t="shared" si="35"/>
        <v>0.339</v>
      </c>
      <c r="AC497" t="s">
        <v>32</v>
      </c>
    </row>
    <row r="498" spans="1:29">
      <c r="A498" t="s">
        <v>61</v>
      </c>
      <c r="B498">
        <v>4176.875</v>
      </c>
      <c r="C498">
        <v>22.058</v>
      </c>
      <c r="D498">
        <v>86.98</v>
      </c>
      <c r="E498">
        <v>175.548</v>
      </c>
      <c r="F498">
        <v>0.334</v>
      </c>
      <c r="G498">
        <v>22.395</v>
      </c>
      <c r="H498">
        <v>1.816</v>
      </c>
      <c r="I498">
        <v>2.737</v>
      </c>
      <c r="J498">
        <v>0.275</v>
      </c>
      <c r="K498">
        <v>1.62</v>
      </c>
      <c r="L498">
        <v>0.004</v>
      </c>
      <c r="M498">
        <v>3.342</v>
      </c>
      <c r="N498">
        <v>39.618</v>
      </c>
      <c r="O498">
        <v>34.075</v>
      </c>
      <c r="P498">
        <f t="shared" si="32"/>
        <v>1.59789254765665</v>
      </c>
      <c r="Q498">
        <f t="shared" si="32"/>
        <v>1.53243586450671</v>
      </c>
      <c r="R498">
        <v>15.535</v>
      </c>
      <c r="S498">
        <v>16.906</v>
      </c>
      <c r="T498">
        <v>18.277</v>
      </c>
      <c r="U498">
        <v>3.404</v>
      </c>
      <c r="V498">
        <v>100</v>
      </c>
      <c r="W498">
        <v>0.033</v>
      </c>
      <c r="X498" t="s">
        <v>55</v>
      </c>
      <c r="Y498" t="s">
        <v>31</v>
      </c>
      <c r="Z498" s="3">
        <f t="shared" si="33"/>
        <v>0.065456683149943</v>
      </c>
      <c r="AA498">
        <f t="shared" si="34"/>
        <v>-0.271</v>
      </c>
      <c r="AB498">
        <f t="shared" si="35"/>
        <v>0.338</v>
      </c>
      <c r="AC498" t="s">
        <v>32</v>
      </c>
    </row>
    <row r="499" spans="1:29">
      <c r="A499" t="s">
        <v>61</v>
      </c>
      <c r="B499">
        <v>4177</v>
      </c>
      <c r="C499">
        <v>21.271</v>
      </c>
      <c r="D499">
        <v>86.877</v>
      </c>
      <c r="E499">
        <v>175.01</v>
      </c>
      <c r="F499">
        <v>0.324</v>
      </c>
      <c r="G499">
        <v>22.379</v>
      </c>
      <c r="H499">
        <v>1.805</v>
      </c>
      <c r="I499">
        <v>2.732</v>
      </c>
      <c r="J499">
        <v>0.233</v>
      </c>
      <c r="K499">
        <v>1.656</v>
      </c>
      <c r="L499">
        <v>0.001</v>
      </c>
      <c r="M499">
        <v>3.344</v>
      </c>
      <c r="N499">
        <v>32.169</v>
      </c>
      <c r="O499">
        <v>27.743</v>
      </c>
      <c r="P499">
        <f t="shared" si="32"/>
        <v>1.50743756070825</v>
      </c>
      <c r="Q499">
        <f t="shared" si="32"/>
        <v>1.44315342187783</v>
      </c>
      <c r="R499">
        <v>14.59</v>
      </c>
      <c r="S499">
        <v>15.877</v>
      </c>
      <c r="T499">
        <v>17.164</v>
      </c>
      <c r="U499">
        <v>3.445</v>
      </c>
      <c r="V499">
        <v>100</v>
      </c>
      <c r="W499">
        <v>0.035</v>
      </c>
      <c r="X499" t="s">
        <v>55</v>
      </c>
      <c r="Y499" t="s">
        <v>31</v>
      </c>
      <c r="Z499" s="3">
        <f t="shared" si="33"/>
        <v>0.0642841388304169</v>
      </c>
      <c r="AA499">
        <f t="shared" si="34"/>
        <v>-0.232</v>
      </c>
      <c r="AB499">
        <f t="shared" si="35"/>
        <v>0.325</v>
      </c>
      <c r="AC499" t="s">
        <v>32</v>
      </c>
    </row>
    <row r="500" spans="1:29">
      <c r="A500" t="s">
        <v>61</v>
      </c>
      <c r="B500">
        <v>4177.125</v>
      </c>
      <c r="C500">
        <v>20.779</v>
      </c>
      <c r="D500">
        <v>86.789</v>
      </c>
      <c r="E500">
        <v>173.927</v>
      </c>
      <c r="F500">
        <v>0.304</v>
      </c>
      <c r="G500">
        <v>22.348</v>
      </c>
      <c r="H500">
        <v>1.744</v>
      </c>
      <c r="I500">
        <v>2.73</v>
      </c>
      <c r="J500">
        <v>0.217</v>
      </c>
      <c r="K500">
        <v>1.711</v>
      </c>
      <c r="L500">
        <v>0</v>
      </c>
      <c r="M500">
        <v>3.347</v>
      </c>
      <c r="N500">
        <v>29.609</v>
      </c>
      <c r="O500">
        <v>25.568</v>
      </c>
      <c r="P500">
        <f t="shared" si="32"/>
        <v>1.47142373998587</v>
      </c>
      <c r="Q500">
        <f t="shared" si="32"/>
        <v>1.4076967576339</v>
      </c>
      <c r="R500">
        <v>14.401</v>
      </c>
      <c r="S500">
        <v>15.671</v>
      </c>
      <c r="T500">
        <v>16.942</v>
      </c>
      <c r="U500">
        <v>3.478</v>
      </c>
      <c r="V500">
        <v>100</v>
      </c>
      <c r="W500">
        <v>0.036</v>
      </c>
      <c r="X500" t="s">
        <v>55</v>
      </c>
      <c r="Y500" t="s">
        <v>31</v>
      </c>
      <c r="Z500" s="3">
        <f t="shared" si="33"/>
        <v>0.0637269823519688</v>
      </c>
      <c r="AA500">
        <f t="shared" si="34"/>
        <v>-0.217</v>
      </c>
      <c r="AB500">
        <f t="shared" si="35"/>
        <v>0.304</v>
      </c>
      <c r="AC500" t="s">
        <v>32</v>
      </c>
    </row>
    <row r="501" spans="1:29">
      <c r="A501" t="s">
        <v>61</v>
      </c>
      <c r="B501">
        <v>4177.25</v>
      </c>
      <c r="C501">
        <v>20.064</v>
      </c>
      <c r="D501">
        <v>86.716</v>
      </c>
      <c r="E501">
        <v>172.807</v>
      </c>
      <c r="F501">
        <v>0.283</v>
      </c>
      <c r="G501">
        <v>22.316</v>
      </c>
      <c r="H501">
        <v>1.639</v>
      </c>
      <c r="I501">
        <v>2.728</v>
      </c>
      <c r="J501">
        <v>0.2</v>
      </c>
      <c r="K501">
        <v>1.803</v>
      </c>
      <c r="L501">
        <v>0.001</v>
      </c>
      <c r="M501">
        <v>3.35</v>
      </c>
      <c r="N501">
        <v>29.747</v>
      </c>
      <c r="O501">
        <v>25.684</v>
      </c>
      <c r="P501">
        <f t="shared" si="32"/>
        <v>1.47344317345476</v>
      </c>
      <c r="Q501">
        <f t="shared" si="32"/>
        <v>1.40966266124446</v>
      </c>
      <c r="R501">
        <v>14.828</v>
      </c>
      <c r="S501">
        <v>16.137</v>
      </c>
      <c r="T501">
        <v>17.445</v>
      </c>
      <c r="U501">
        <v>3.528</v>
      </c>
      <c r="V501">
        <v>100</v>
      </c>
      <c r="W501">
        <v>0.039</v>
      </c>
      <c r="X501" t="s">
        <v>55</v>
      </c>
      <c r="Y501" t="s">
        <v>31</v>
      </c>
      <c r="Z501" s="3">
        <f t="shared" si="33"/>
        <v>0.0637805122103055</v>
      </c>
      <c r="AA501">
        <f t="shared" si="34"/>
        <v>-0.199</v>
      </c>
      <c r="AB501">
        <f t="shared" si="35"/>
        <v>0.284</v>
      </c>
      <c r="AC501" t="s">
        <v>32</v>
      </c>
    </row>
    <row r="502" spans="1:29">
      <c r="A502" t="s">
        <v>61</v>
      </c>
      <c r="B502">
        <v>4177.375</v>
      </c>
      <c r="C502">
        <v>19.251</v>
      </c>
      <c r="D502">
        <v>86.659</v>
      </c>
      <c r="E502">
        <v>172.241</v>
      </c>
      <c r="F502">
        <v>0.272</v>
      </c>
      <c r="G502">
        <v>22.301</v>
      </c>
      <c r="H502">
        <v>1.523</v>
      </c>
      <c r="I502">
        <v>2.728</v>
      </c>
      <c r="J502">
        <v>0.2</v>
      </c>
      <c r="K502">
        <v>1.937</v>
      </c>
      <c r="L502">
        <v>0.005</v>
      </c>
      <c r="M502">
        <v>3.353</v>
      </c>
      <c r="N502">
        <v>31.356</v>
      </c>
      <c r="O502">
        <v>27.052</v>
      </c>
      <c r="P502">
        <f t="shared" si="32"/>
        <v>1.49632065577495</v>
      </c>
      <c r="Q502">
        <f t="shared" si="32"/>
        <v>1.43219937875331</v>
      </c>
      <c r="R502">
        <v>15.795</v>
      </c>
      <c r="S502">
        <v>17.189</v>
      </c>
      <c r="T502">
        <v>18.582</v>
      </c>
      <c r="U502">
        <v>3.596</v>
      </c>
      <c r="V502">
        <v>100</v>
      </c>
      <c r="W502">
        <v>0.043</v>
      </c>
      <c r="X502" t="s">
        <v>55</v>
      </c>
      <c r="Y502" t="s">
        <v>31</v>
      </c>
      <c r="Z502" s="3">
        <f t="shared" si="33"/>
        <v>0.0641212770216453</v>
      </c>
      <c r="AA502">
        <f t="shared" si="34"/>
        <v>-0.195</v>
      </c>
      <c r="AB502">
        <f t="shared" si="35"/>
        <v>0.277</v>
      </c>
      <c r="AC502" t="s">
        <v>32</v>
      </c>
    </row>
    <row r="503" spans="1:29">
      <c r="A503" t="s">
        <v>61</v>
      </c>
      <c r="B503">
        <v>4177.5</v>
      </c>
      <c r="C503">
        <v>18.763</v>
      </c>
      <c r="D503">
        <v>86.617</v>
      </c>
      <c r="E503">
        <v>172.285</v>
      </c>
      <c r="F503">
        <v>0.273</v>
      </c>
      <c r="G503">
        <v>22.305</v>
      </c>
      <c r="H503">
        <v>1.458</v>
      </c>
      <c r="I503">
        <v>2.73</v>
      </c>
      <c r="J503">
        <v>0.217</v>
      </c>
      <c r="K503">
        <v>2.103</v>
      </c>
      <c r="L503">
        <v>0.009</v>
      </c>
      <c r="M503">
        <v>3.359</v>
      </c>
      <c r="N503">
        <v>33.088</v>
      </c>
      <c r="O503">
        <v>28.524</v>
      </c>
      <c r="P503">
        <f t="shared" si="32"/>
        <v>1.51967051707783</v>
      </c>
      <c r="Q503">
        <f t="shared" si="32"/>
        <v>1.45521042777581</v>
      </c>
      <c r="R503">
        <v>17.145</v>
      </c>
      <c r="S503">
        <v>18.658</v>
      </c>
      <c r="T503">
        <v>20.171</v>
      </c>
      <c r="U503">
        <v>3.662</v>
      </c>
      <c r="V503">
        <v>100</v>
      </c>
      <c r="W503">
        <v>0.046</v>
      </c>
      <c r="X503" t="s">
        <v>55</v>
      </c>
      <c r="Y503" t="s">
        <v>31</v>
      </c>
      <c r="Z503" s="3">
        <f t="shared" si="33"/>
        <v>0.0644600893020246</v>
      </c>
      <c r="AA503">
        <f t="shared" si="34"/>
        <v>-0.208</v>
      </c>
      <c r="AB503">
        <f t="shared" si="35"/>
        <v>0.282</v>
      </c>
      <c r="AC503" t="s">
        <v>32</v>
      </c>
    </row>
    <row r="504" spans="1:29">
      <c r="A504" t="s">
        <v>61</v>
      </c>
      <c r="B504">
        <v>4177.625</v>
      </c>
      <c r="C504">
        <v>18.752</v>
      </c>
      <c r="D504">
        <v>86.588</v>
      </c>
      <c r="E504">
        <v>172.672</v>
      </c>
      <c r="F504">
        <v>0.28</v>
      </c>
      <c r="G504">
        <v>22.318</v>
      </c>
      <c r="H504">
        <v>1.47</v>
      </c>
      <c r="I504">
        <v>2.732</v>
      </c>
      <c r="J504">
        <v>0.233</v>
      </c>
      <c r="K504">
        <v>2.271</v>
      </c>
      <c r="L504">
        <v>0.014</v>
      </c>
      <c r="M504">
        <v>3.366</v>
      </c>
      <c r="N504">
        <v>34.482</v>
      </c>
      <c r="O504">
        <v>29.71</v>
      </c>
      <c r="P504">
        <f t="shared" si="32"/>
        <v>1.53759244751734</v>
      </c>
      <c r="Q504">
        <f t="shared" si="32"/>
        <v>1.47290265180366</v>
      </c>
      <c r="R504">
        <v>18.648</v>
      </c>
      <c r="S504">
        <v>20.293</v>
      </c>
      <c r="T504">
        <v>21.938</v>
      </c>
      <c r="U504">
        <v>3.715</v>
      </c>
      <c r="V504">
        <v>100</v>
      </c>
      <c r="W504">
        <v>0.048</v>
      </c>
      <c r="X504" t="s">
        <v>55</v>
      </c>
      <c r="Y504" t="s">
        <v>31</v>
      </c>
      <c r="Z504" s="3">
        <f t="shared" si="33"/>
        <v>0.0646897957136772</v>
      </c>
      <c r="AA504">
        <f t="shared" si="34"/>
        <v>-0.219</v>
      </c>
      <c r="AB504">
        <f t="shared" si="35"/>
        <v>0.294</v>
      </c>
      <c r="AC504" t="s">
        <v>32</v>
      </c>
    </row>
    <row r="505" spans="1:29">
      <c r="A505" t="s">
        <v>61</v>
      </c>
      <c r="B505">
        <v>4177.75</v>
      </c>
      <c r="C505">
        <v>19.291</v>
      </c>
      <c r="D505">
        <v>86.574</v>
      </c>
      <c r="E505">
        <v>172.985</v>
      </c>
      <c r="F505">
        <v>0.286</v>
      </c>
      <c r="G505">
        <v>22.327</v>
      </c>
      <c r="H505">
        <v>1.572</v>
      </c>
      <c r="I505">
        <v>2.734</v>
      </c>
      <c r="J505">
        <v>0.25</v>
      </c>
      <c r="K505">
        <v>2.38</v>
      </c>
      <c r="L505">
        <v>0.017</v>
      </c>
      <c r="M505">
        <v>3.373</v>
      </c>
      <c r="N505">
        <v>35.797</v>
      </c>
      <c r="O505">
        <v>30.828</v>
      </c>
      <c r="P505">
        <f t="shared" si="32"/>
        <v>1.55384663172659</v>
      </c>
      <c r="Q505">
        <f t="shared" si="32"/>
        <v>1.48894535031397</v>
      </c>
      <c r="R505">
        <v>19.548</v>
      </c>
      <c r="S505">
        <v>21.273</v>
      </c>
      <c r="T505">
        <v>22.999</v>
      </c>
      <c r="U505">
        <v>3.737</v>
      </c>
      <c r="V505">
        <v>99.769</v>
      </c>
      <c r="W505">
        <v>0.05</v>
      </c>
      <c r="X505" t="s">
        <v>55</v>
      </c>
      <c r="Y505" t="s">
        <v>31</v>
      </c>
      <c r="Z505" s="3">
        <f t="shared" si="33"/>
        <v>0.0649012814126171</v>
      </c>
      <c r="AA505">
        <f t="shared" si="34"/>
        <v>-0.233</v>
      </c>
      <c r="AB505">
        <f t="shared" si="35"/>
        <v>0.303</v>
      </c>
      <c r="AC505" t="s">
        <v>32</v>
      </c>
    </row>
    <row r="506" spans="1:29">
      <c r="A506" t="s">
        <v>61</v>
      </c>
      <c r="B506">
        <v>4177.875</v>
      </c>
      <c r="C506">
        <v>20.463</v>
      </c>
      <c r="D506">
        <v>86.576</v>
      </c>
      <c r="E506">
        <v>172.933</v>
      </c>
      <c r="F506">
        <v>0.285</v>
      </c>
      <c r="G506">
        <v>22.325</v>
      </c>
      <c r="H506">
        <v>1.817</v>
      </c>
      <c r="I506">
        <v>2.735</v>
      </c>
      <c r="J506">
        <v>0.258</v>
      </c>
      <c r="K506">
        <v>2.394</v>
      </c>
      <c r="L506">
        <v>0.017</v>
      </c>
      <c r="M506">
        <v>3.376</v>
      </c>
      <c r="N506">
        <v>37.566</v>
      </c>
      <c r="O506">
        <v>32.331</v>
      </c>
      <c r="P506">
        <f t="shared" si="32"/>
        <v>1.57479495416876</v>
      </c>
      <c r="Q506">
        <f t="shared" si="32"/>
        <v>1.50961913757677</v>
      </c>
      <c r="R506">
        <v>19.428</v>
      </c>
      <c r="S506">
        <v>21.142</v>
      </c>
      <c r="T506">
        <v>22.856</v>
      </c>
      <c r="U506">
        <v>3.705</v>
      </c>
      <c r="V506">
        <v>98.491</v>
      </c>
      <c r="W506">
        <v>0.048</v>
      </c>
      <c r="X506" t="s">
        <v>55</v>
      </c>
      <c r="Y506" t="s">
        <v>31</v>
      </c>
      <c r="Z506" s="3">
        <f t="shared" si="33"/>
        <v>0.0651758165919871</v>
      </c>
      <c r="AA506">
        <f t="shared" si="34"/>
        <v>-0.241</v>
      </c>
      <c r="AB506">
        <f t="shared" si="35"/>
        <v>0.302</v>
      </c>
      <c r="AC506" t="s">
        <v>32</v>
      </c>
    </row>
    <row r="507" spans="1:29">
      <c r="A507" t="s">
        <v>61</v>
      </c>
      <c r="B507">
        <v>4178</v>
      </c>
      <c r="C507">
        <v>21.84</v>
      </c>
      <c r="D507">
        <v>86.594</v>
      </c>
      <c r="E507">
        <v>172.531</v>
      </c>
      <c r="F507">
        <v>0.278</v>
      </c>
      <c r="G507">
        <v>22.314</v>
      </c>
      <c r="H507">
        <v>2.154</v>
      </c>
      <c r="I507">
        <v>2.738</v>
      </c>
      <c r="J507">
        <v>0.283</v>
      </c>
      <c r="K507">
        <v>2.313</v>
      </c>
      <c r="L507">
        <v>0.017</v>
      </c>
      <c r="M507">
        <v>3.375</v>
      </c>
      <c r="N507">
        <v>39.803</v>
      </c>
      <c r="O507">
        <v>34.233</v>
      </c>
      <c r="P507">
        <f t="shared" si="32"/>
        <v>1.59991580660496</v>
      </c>
      <c r="Q507">
        <f t="shared" si="32"/>
        <v>1.53444496008895</v>
      </c>
      <c r="R507">
        <v>19.573</v>
      </c>
      <c r="S507">
        <v>21.3</v>
      </c>
      <c r="T507">
        <v>23.027</v>
      </c>
      <c r="U507">
        <v>3.635</v>
      </c>
      <c r="V507">
        <v>97.533</v>
      </c>
      <c r="W507">
        <v>0.044</v>
      </c>
      <c r="X507" t="s">
        <v>55</v>
      </c>
      <c r="Y507" t="s">
        <v>31</v>
      </c>
      <c r="Z507" s="3">
        <f t="shared" si="33"/>
        <v>0.0654708465160108</v>
      </c>
      <c r="AA507">
        <f t="shared" si="34"/>
        <v>-0.266</v>
      </c>
      <c r="AB507">
        <f t="shared" si="35"/>
        <v>0.295</v>
      </c>
      <c r="AC507" t="s">
        <v>32</v>
      </c>
    </row>
    <row r="508" spans="1:29">
      <c r="A508" t="s">
        <v>61</v>
      </c>
      <c r="B508">
        <v>4178.125</v>
      </c>
      <c r="C508">
        <v>22.76</v>
      </c>
      <c r="D508">
        <v>86.627</v>
      </c>
      <c r="E508">
        <v>171.931</v>
      </c>
      <c r="F508">
        <v>0.267</v>
      </c>
      <c r="G508">
        <v>22.299</v>
      </c>
      <c r="H508">
        <v>2.452</v>
      </c>
      <c r="I508">
        <v>2.741</v>
      </c>
      <c r="J508">
        <v>0.308</v>
      </c>
      <c r="K508">
        <v>2.167</v>
      </c>
      <c r="L508">
        <v>0.023</v>
      </c>
      <c r="M508">
        <v>3.372</v>
      </c>
      <c r="N508">
        <v>42.377</v>
      </c>
      <c r="O508">
        <v>36.421</v>
      </c>
      <c r="P508">
        <f t="shared" si="32"/>
        <v>1.62713020840209</v>
      </c>
      <c r="Q508">
        <f t="shared" si="32"/>
        <v>1.56135186591029</v>
      </c>
      <c r="R508">
        <v>21.115</v>
      </c>
      <c r="S508">
        <v>22.978</v>
      </c>
      <c r="T508">
        <v>24.842</v>
      </c>
      <c r="U508">
        <v>3.56</v>
      </c>
      <c r="V508">
        <v>96.52</v>
      </c>
      <c r="W508">
        <v>0.04</v>
      </c>
      <c r="X508" t="s">
        <v>55</v>
      </c>
      <c r="Y508" t="s">
        <v>31</v>
      </c>
      <c r="Z508" s="3">
        <f t="shared" si="33"/>
        <v>0.0657783424918015</v>
      </c>
      <c r="AA508">
        <f t="shared" si="34"/>
        <v>-0.285</v>
      </c>
      <c r="AB508">
        <f t="shared" si="35"/>
        <v>0.29</v>
      </c>
      <c r="AC508" t="s">
        <v>32</v>
      </c>
    </row>
    <row r="509" spans="1:29">
      <c r="A509" t="s">
        <v>61</v>
      </c>
      <c r="B509">
        <v>4178.25</v>
      </c>
      <c r="C509">
        <v>22.801</v>
      </c>
      <c r="D509">
        <v>86.678</v>
      </c>
      <c r="E509">
        <v>171.279</v>
      </c>
      <c r="F509">
        <v>0.254</v>
      </c>
      <c r="G509">
        <v>22.281</v>
      </c>
      <c r="H509">
        <v>2.641</v>
      </c>
      <c r="I509">
        <v>2.745</v>
      </c>
      <c r="J509">
        <v>0.342</v>
      </c>
      <c r="K509">
        <v>2.03</v>
      </c>
      <c r="L509">
        <v>0.035</v>
      </c>
      <c r="M509">
        <v>3.368</v>
      </c>
      <c r="N509">
        <v>45.163</v>
      </c>
      <c r="O509">
        <v>38.788</v>
      </c>
      <c r="P509">
        <f t="shared" si="32"/>
        <v>1.65478278268101</v>
      </c>
      <c r="Q509">
        <f t="shared" si="32"/>
        <v>1.58869738693812</v>
      </c>
      <c r="R509">
        <v>24.85</v>
      </c>
      <c r="S509">
        <v>27.043</v>
      </c>
      <c r="T509">
        <v>29.235</v>
      </c>
      <c r="U509">
        <v>3.513</v>
      </c>
      <c r="V509">
        <v>94.717</v>
      </c>
      <c r="W509">
        <v>0.038</v>
      </c>
      <c r="X509" t="s">
        <v>55</v>
      </c>
      <c r="Y509" t="s">
        <v>31</v>
      </c>
      <c r="Z509" s="3">
        <f t="shared" si="33"/>
        <v>0.0660853957428928</v>
      </c>
      <c r="AA509">
        <f t="shared" si="34"/>
        <v>-0.307</v>
      </c>
      <c r="AB509">
        <f t="shared" si="35"/>
        <v>0.289</v>
      </c>
      <c r="AC509" t="s">
        <v>32</v>
      </c>
    </row>
    <row r="510" spans="1:29">
      <c r="A510" t="s">
        <v>61</v>
      </c>
      <c r="B510">
        <v>4178.375</v>
      </c>
      <c r="C510">
        <v>22.146</v>
      </c>
      <c r="D510">
        <v>86.748</v>
      </c>
      <c r="E510">
        <v>170.709</v>
      </c>
      <c r="F510">
        <v>0.244</v>
      </c>
      <c r="G510">
        <v>22.267</v>
      </c>
      <c r="H510">
        <v>2.732</v>
      </c>
      <c r="I510">
        <v>2.75</v>
      </c>
      <c r="J510">
        <v>0.383</v>
      </c>
      <c r="K510">
        <v>1.948</v>
      </c>
      <c r="L510">
        <v>0.056</v>
      </c>
      <c r="M510">
        <v>3.366</v>
      </c>
      <c r="N510">
        <v>47.789</v>
      </c>
      <c r="O510">
        <v>41.021</v>
      </c>
      <c r="P510">
        <f t="shared" si="32"/>
        <v>1.67932794286593</v>
      </c>
      <c r="Q510">
        <f t="shared" si="32"/>
        <v>1.61300624328706</v>
      </c>
      <c r="R510">
        <v>31.045</v>
      </c>
      <c r="S510">
        <v>33.783</v>
      </c>
      <c r="T510">
        <v>36.522</v>
      </c>
      <c r="U510">
        <v>3.509</v>
      </c>
      <c r="V510">
        <v>92.199</v>
      </c>
      <c r="W510">
        <v>0.038</v>
      </c>
      <c r="X510" t="s">
        <v>55</v>
      </c>
      <c r="Y510" t="s">
        <v>31</v>
      </c>
      <c r="Z510" s="3">
        <f t="shared" si="33"/>
        <v>0.0663216995788745</v>
      </c>
      <c r="AA510">
        <f t="shared" si="34"/>
        <v>-0.327</v>
      </c>
      <c r="AB510">
        <f t="shared" si="35"/>
        <v>0.3</v>
      </c>
      <c r="AC510" t="s">
        <v>32</v>
      </c>
    </row>
    <row r="511" spans="1:29">
      <c r="A511" t="s">
        <v>61</v>
      </c>
      <c r="B511">
        <v>4178.5</v>
      </c>
      <c r="C511">
        <v>21.465</v>
      </c>
      <c r="D511">
        <v>86.837</v>
      </c>
      <c r="E511">
        <v>170.237</v>
      </c>
      <c r="F511">
        <v>0.235</v>
      </c>
      <c r="G511">
        <v>22.255</v>
      </c>
      <c r="H511">
        <v>2.771</v>
      </c>
      <c r="I511">
        <v>2.756</v>
      </c>
      <c r="J511">
        <v>0.433</v>
      </c>
      <c r="K511">
        <v>1.939</v>
      </c>
      <c r="L511">
        <v>0.074</v>
      </c>
      <c r="M511">
        <v>3.366</v>
      </c>
      <c r="N511">
        <v>49.808</v>
      </c>
      <c r="O511">
        <v>42.737</v>
      </c>
      <c r="P511">
        <f t="shared" si="32"/>
        <v>1.69729910333844</v>
      </c>
      <c r="Q511">
        <f t="shared" si="32"/>
        <v>1.63080403282165</v>
      </c>
      <c r="R511">
        <v>36.59</v>
      </c>
      <c r="S511">
        <v>39.818</v>
      </c>
      <c r="T511">
        <v>43.047</v>
      </c>
      <c r="U511">
        <v>3.527</v>
      </c>
      <c r="V511">
        <v>89.857</v>
      </c>
      <c r="W511">
        <v>0.039</v>
      </c>
      <c r="X511" t="s">
        <v>55</v>
      </c>
      <c r="Y511" t="s">
        <v>31</v>
      </c>
      <c r="Z511" s="3">
        <f t="shared" si="33"/>
        <v>0.0664950705167946</v>
      </c>
      <c r="AA511">
        <f t="shared" si="34"/>
        <v>-0.359</v>
      </c>
      <c r="AB511">
        <f t="shared" si="35"/>
        <v>0.309</v>
      </c>
      <c r="AC511" t="s">
        <v>32</v>
      </c>
    </row>
    <row r="512" spans="1:29">
      <c r="A512" t="s">
        <v>62</v>
      </c>
      <c r="B512">
        <v>3496</v>
      </c>
      <c r="C512">
        <v>38.696</v>
      </c>
      <c r="D512">
        <v>72.105</v>
      </c>
      <c r="E512">
        <v>155.012</v>
      </c>
      <c r="F512">
        <v>0.078</v>
      </c>
      <c r="G512">
        <v>23.574</v>
      </c>
      <c r="H512">
        <v>3.332</v>
      </c>
      <c r="I512">
        <v>2.762</v>
      </c>
      <c r="J512">
        <v>0.685</v>
      </c>
      <c r="K512">
        <v>8.244</v>
      </c>
      <c r="L512">
        <v>0.399</v>
      </c>
      <c r="M512">
        <v>2.937</v>
      </c>
      <c r="N512">
        <v>192.499</v>
      </c>
      <c r="O512">
        <v>169.914</v>
      </c>
      <c r="P512">
        <f t="shared" si="32"/>
        <v>2.28442847776343</v>
      </c>
      <c r="Q512">
        <f t="shared" si="32"/>
        <v>2.23022916387349</v>
      </c>
      <c r="R512">
        <v>43.916</v>
      </c>
      <c r="S512">
        <v>65.205</v>
      </c>
      <c r="T512">
        <v>82.453</v>
      </c>
      <c r="U512">
        <v>0.752</v>
      </c>
      <c r="V512">
        <v>100</v>
      </c>
      <c r="W512">
        <v>0.001</v>
      </c>
      <c r="X512" t="s">
        <v>55</v>
      </c>
      <c r="Y512" t="s">
        <v>31</v>
      </c>
      <c r="Z512" s="3">
        <f t="shared" si="33"/>
        <v>0.054199313889939</v>
      </c>
      <c r="AA512">
        <f t="shared" si="34"/>
        <v>-0.286</v>
      </c>
      <c r="AB512">
        <f t="shared" si="35"/>
        <v>0.477</v>
      </c>
      <c r="AC512" t="s">
        <v>32</v>
      </c>
    </row>
    <row r="513" spans="1:29">
      <c r="A513" t="s">
        <v>62</v>
      </c>
      <c r="B513">
        <v>3496.125</v>
      </c>
      <c r="C513">
        <v>28.178</v>
      </c>
      <c r="D513">
        <v>71.917</v>
      </c>
      <c r="E513">
        <v>152.804</v>
      </c>
      <c r="F513">
        <v>0.051</v>
      </c>
      <c r="G513">
        <v>23.676</v>
      </c>
      <c r="H513">
        <v>2.46</v>
      </c>
      <c r="I513">
        <v>2.739</v>
      </c>
      <c r="J513">
        <v>0.58</v>
      </c>
      <c r="K513">
        <v>7.316</v>
      </c>
      <c r="L513">
        <v>0.323</v>
      </c>
      <c r="M513">
        <v>3.307</v>
      </c>
      <c r="N513">
        <v>268.564</v>
      </c>
      <c r="O513">
        <v>234.889</v>
      </c>
      <c r="P513">
        <f t="shared" si="32"/>
        <v>2.42904779668273</v>
      </c>
      <c r="Q513">
        <f t="shared" si="32"/>
        <v>2.37086267896935</v>
      </c>
      <c r="R513">
        <v>61.526</v>
      </c>
      <c r="S513">
        <v>96.906</v>
      </c>
      <c r="T513">
        <v>125.215</v>
      </c>
      <c r="U513">
        <v>1.863</v>
      </c>
      <c r="V513">
        <v>83.464</v>
      </c>
      <c r="W513">
        <v>0.003</v>
      </c>
      <c r="X513" t="s">
        <v>55</v>
      </c>
      <c r="Y513" t="s">
        <v>31</v>
      </c>
      <c r="Z513" s="3">
        <f t="shared" si="33"/>
        <v>0.0581851177133799</v>
      </c>
      <c r="AA513">
        <f t="shared" si="34"/>
        <v>-0.257</v>
      </c>
      <c r="AB513">
        <f t="shared" si="35"/>
        <v>0.374</v>
      </c>
      <c r="AC513" t="s">
        <v>32</v>
      </c>
    </row>
    <row r="514" spans="1:29">
      <c r="A514" t="s">
        <v>62</v>
      </c>
      <c r="B514">
        <v>3496.25</v>
      </c>
      <c r="C514">
        <v>22.326</v>
      </c>
      <c r="D514">
        <v>71.732</v>
      </c>
      <c r="E514">
        <v>154.63</v>
      </c>
      <c r="F514">
        <v>0.073</v>
      </c>
      <c r="G514">
        <v>23.795</v>
      </c>
      <c r="H514">
        <v>1.921</v>
      </c>
      <c r="I514">
        <v>2.716</v>
      </c>
      <c r="J514">
        <v>0.475</v>
      </c>
      <c r="K514">
        <v>7.14</v>
      </c>
      <c r="L514">
        <v>0.308</v>
      </c>
      <c r="M514">
        <v>3.695</v>
      </c>
      <c r="N514">
        <v>310.099</v>
      </c>
      <c r="O514">
        <v>269.927</v>
      </c>
      <c r="P514">
        <f t="shared" si="32"/>
        <v>2.4915003657369</v>
      </c>
      <c r="Q514">
        <f t="shared" si="32"/>
        <v>2.43124632792271</v>
      </c>
      <c r="R514">
        <v>85.507</v>
      </c>
      <c r="S514">
        <v>143.01</v>
      </c>
      <c r="T514">
        <v>189.473</v>
      </c>
      <c r="U514">
        <v>3.084</v>
      </c>
      <c r="V514">
        <v>58.608</v>
      </c>
      <c r="W514">
        <v>0.006</v>
      </c>
      <c r="X514" t="s">
        <v>55</v>
      </c>
      <c r="Y514" t="s">
        <v>31</v>
      </c>
      <c r="Z514" s="3">
        <f t="shared" si="33"/>
        <v>0.0602540378141896</v>
      </c>
      <c r="AA514">
        <f t="shared" si="34"/>
        <v>-0.167</v>
      </c>
      <c r="AB514">
        <f t="shared" si="35"/>
        <v>0.381</v>
      </c>
      <c r="AC514" t="s">
        <v>32</v>
      </c>
    </row>
    <row r="515" spans="1:29">
      <c r="A515" t="s">
        <v>62</v>
      </c>
      <c r="B515">
        <v>3496.375</v>
      </c>
      <c r="C515">
        <v>18.848</v>
      </c>
      <c r="D515">
        <v>71.549</v>
      </c>
      <c r="E515">
        <v>157.132</v>
      </c>
      <c r="F515">
        <v>0.103</v>
      </c>
      <c r="G515">
        <v>23.928</v>
      </c>
      <c r="H515">
        <v>1.705</v>
      </c>
      <c r="I515">
        <v>2.698</v>
      </c>
      <c r="J515">
        <v>0.393</v>
      </c>
      <c r="K515">
        <v>7.271</v>
      </c>
      <c r="L515">
        <v>0.319</v>
      </c>
      <c r="M515">
        <v>3.848</v>
      </c>
      <c r="N515">
        <v>312.345</v>
      </c>
      <c r="O515">
        <v>271.139</v>
      </c>
      <c r="P515">
        <f t="shared" si="32"/>
        <v>2.4946345581777</v>
      </c>
      <c r="Q515">
        <f t="shared" si="32"/>
        <v>2.43319198997669</v>
      </c>
      <c r="R515">
        <v>115.729</v>
      </c>
      <c r="S515">
        <v>207.988</v>
      </c>
      <c r="T515">
        <v>285.523</v>
      </c>
      <c r="U515">
        <v>3.636</v>
      </c>
      <c r="V515">
        <v>32.597</v>
      </c>
      <c r="W515">
        <v>0.009</v>
      </c>
      <c r="X515" t="s">
        <v>55</v>
      </c>
      <c r="Y515" t="s">
        <v>31</v>
      </c>
      <c r="Z515" s="3">
        <f t="shared" si="33"/>
        <v>0.0614425682010107</v>
      </c>
      <c r="AA515">
        <f t="shared" si="34"/>
        <v>-0.074</v>
      </c>
      <c r="AB515">
        <f t="shared" si="35"/>
        <v>0.422</v>
      </c>
      <c r="AC515" t="s">
        <v>32</v>
      </c>
    </row>
    <row r="516" spans="1:29">
      <c r="A516" t="s">
        <v>62</v>
      </c>
      <c r="B516">
        <v>3496.5</v>
      </c>
      <c r="C516">
        <v>17.524</v>
      </c>
      <c r="D516">
        <v>71.367</v>
      </c>
      <c r="E516">
        <v>158.782</v>
      </c>
      <c r="F516">
        <v>0.123</v>
      </c>
      <c r="G516">
        <v>24.074</v>
      </c>
      <c r="H516">
        <v>1.701</v>
      </c>
      <c r="I516">
        <v>2.682</v>
      </c>
      <c r="J516">
        <v>0.32</v>
      </c>
      <c r="K516">
        <v>7.427</v>
      </c>
      <c r="L516">
        <v>0.332</v>
      </c>
      <c r="M516">
        <v>3.767</v>
      </c>
      <c r="N516">
        <v>288.77</v>
      </c>
      <c r="O516">
        <v>250.108</v>
      </c>
      <c r="P516">
        <f t="shared" si="32"/>
        <v>2.46055207286156</v>
      </c>
      <c r="Q516">
        <f t="shared" si="32"/>
        <v>2.398127583375</v>
      </c>
      <c r="R516">
        <v>111.555</v>
      </c>
      <c r="S516">
        <v>206.191</v>
      </c>
      <c r="T516">
        <v>287.185</v>
      </c>
      <c r="U516">
        <v>3.838</v>
      </c>
      <c r="V516">
        <v>22.977</v>
      </c>
      <c r="W516">
        <v>0.01</v>
      </c>
      <c r="X516" t="s">
        <v>55</v>
      </c>
      <c r="Y516" t="s">
        <v>31</v>
      </c>
      <c r="Z516" s="3">
        <f t="shared" si="33"/>
        <v>0.0624244894865575</v>
      </c>
      <c r="AA516">
        <f t="shared" si="34"/>
        <v>0.012</v>
      </c>
      <c r="AB516">
        <f t="shared" si="35"/>
        <v>0.455</v>
      </c>
      <c r="AC516" t="s">
        <v>32</v>
      </c>
    </row>
    <row r="517" spans="1:29">
      <c r="A517" t="s">
        <v>62</v>
      </c>
      <c r="B517">
        <v>3496.625</v>
      </c>
      <c r="C517">
        <v>17.702</v>
      </c>
      <c r="D517">
        <v>71.186</v>
      </c>
      <c r="E517">
        <v>159.003</v>
      </c>
      <c r="F517">
        <v>0.125</v>
      </c>
      <c r="G517">
        <v>24.212</v>
      </c>
      <c r="H517">
        <v>1.707</v>
      </c>
      <c r="I517">
        <v>2.671</v>
      </c>
      <c r="J517">
        <v>0.269</v>
      </c>
      <c r="K517">
        <v>7.549</v>
      </c>
      <c r="L517">
        <v>0.342</v>
      </c>
      <c r="M517">
        <v>3.648</v>
      </c>
      <c r="N517">
        <v>257.868</v>
      </c>
      <c r="O517">
        <v>222.773</v>
      </c>
      <c r="P517">
        <f t="shared" si="32"/>
        <v>2.41139745192591</v>
      </c>
      <c r="Q517">
        <f t="shared" si="32"/>
        <v>2.34786255337075</v>
      </c>
      <c r="R517">
        <v>93.935</v>
      </c>
      <c r="S517">
        <v>183.786</v>
      </c>
      <c r="T517">
        <v>264.899</v>
      </c>
      <c r="U517">
        <v>3.913</v>
      </c>
      <c r="V517">
        <v>21.912</v>
      </c>
      <c r="W517">
        <v>0.01</v>
      </c>
      <c r="X517" t="s">
        <v>55</v>
      </c>
      <c r="Y517" t="s">
        <v>31</v>
      </c>
      <c r="Z517" s="3">
        <f t="shared" si="33"/>
        <v>0.0635348985551558</v>
      </c>
      <c r="AA517">
        <f t="shared" si="34"/>
        <v>0.073</v>
      </c>
      <c r="AB517">
        <f t="shared" si="35"/>
        <v>0.467</v>
      </c>
      <c r="AC517" t="s">
        <v>32</v>
      </c>
    </row>
    <row r="518" spans="1:29">
      <c r="A518" t="s">
        <v>62</v>
      </c>
      <c r="B518">
        <v>3496.75</v>
      </c>
      <c r="C518">
        <v>18.292</v>
      </c>
      <c r="D518">
        <v>71.007</v>
      </c>
      <c r="E518">
        <v>157.898</v>
      </c>
      <c r="F518">
        <v>0.112</v>
      </c>
      <c r="G518">
        <v>24.327</v>
      </c>
      <c r="H518">
        <v>1.698</v>
      </c>
      <c r="I518">
        <v>2.667</v>
      </c>
      <c r="J518">
        <v>0.251</v>
      </c>
      <c r="K518">
        <v>7.707</v>
      </c>
      <c r="L518">
        <v>0.355</v>
      </c>
      <c r="M518">
        <v>3.577</v>
      </c>
      <c r="N518">
        <v>225.105</v>
      </c>
      <c r="O518">
        <v>194.019</v>
      </c>
      <c r="P518">
        <f t="shared" si="32"/>
        <v>2.35238514159445</v>
      </c>
      <c r="Q518">
        <f t="shared" si="32"/>
        <v>2.28784426184316</v>
      </c>
      <c r="R518">
        <v>76.123</v>
      </c>
      <c r="S518">
        <v>155.506</v>
      </c>
      <c r="T518">
        <v>232.802</v>
      </c>
      <c r="U518">
        <v>3.887</v>
      </c>
      <c r="V518">
        <v>22.841</v>
      </c>
      <c r="W518">
        <v>0.01</v>
      </c>
      <c r="X518" t="s">
        <v>55</v>
      </c>
      <c r="Y518" t="s">
        <v>31</v>
      </c>
      <c r="Z518" s="3">
        <f t="shared" si="33"/>
        <v>0.0645408797512856</v>
      </c>
      <c r="AA518">
        <f t="shared" si="34"/>
        <v>0.104</v>
      </c>
      <c r="AB518">
        <f t="shared" si="35"/>
        <v>0.467</v>
      </c>
      <c r="AC518" t="s">
        <v>32</v>
      </c>
    </row>
    <row r="519" spans="1:29">
      <c r="A519" t="s">
        <v>62</v>
      </c>
      <c r="B519">
        <v>3496.875</v>
      </c>
      <c r="C519">
        <v>18.672</v>
      </c>
      <c r="D519">
        <v>70.834</v>
      </c>
      <c r="E519">
        <v>156.018</v>
      </c>
      <c r="F519">
        <v>0.09</v>
      </c>
      <c r="G519">
        <v>24.406</v>
      </c>
      <c r="H519">
        <v>1.681</v>
      </c>
      <c r="I519">
        <v>2.67</v>
      </c>
      <c r="J519">
        <v>0.265</v>
      </c>
      <c r="K519">
        <v>7.862</v>
      </c>
      <c r="L519">
        <v>0.367</v>
      </c>
      <c r="M519">
        <v>3.509</v>
      </c>
      <c r="N519">
        <v>194.039</v>
      </c>
      <c r="O519">
        <v>167.062</v>
      </c>
      <c r="P519">
        <f t="shared" si="32"/>
        <v>2.28788902777839</v>
      </c>
      <c r="Q519">
        <f t="shared" si="32"/>
        <v>2.22287767630224</v>
      </c>
      <c r="R519">
        <v>61.696</v>
      </c>
      <c r="S519">
        <v>126.474</v>
      </c>
      <c r="T519">
        <v>193.82</v>
      </c>
      <c r="U519">
        <v>3.776</v>
      </c>
      <c r="V519">
        <v>24.724</v>
      </c>
      <c r="W519">
        <v>0.01</v>
      </c>
      <c r="X519" t="s">
        <v>55</v>
      </c>
      <c r="Y519" t="s">
        <v>31</v>
      </c>
      <c r="Z519" s="3">
        <f t="shared" si="33"/>
        <v>0.0650113514761488</v>
      </c>
      <c r="AA519">
        <f t="shared" si="34"/>
        <v>0.102</v>
      </c>
      <c r="AB519">
        <f t="shared" si="35"/>
        <v>0.457</v>
      </c>
      <c r="AC519" t="s">
        <v>32</v>
      </c>
    </row>
    <row r="520" spans="1:29">
      <c r="A520" t="s">
        <v>62</v>
      </c>
      <c r="B520">
        <v>3497</v>
      </c>
      <c r="C520">
        <v>18.75</v>
      </c>
      <c r="D520">
        <v>70.664</v>
      </c>
      <c r="E520">
        <v>155.588</v>
      </c>
      <c r="F520">
        <v>0.085</v>
      </c>
      <c r="G520">
        <v>24.463</v>
      </c>
      <c r="H520">
        <v>1.648</v>
      </c>
      <c r="I520">
        <v>2.679</v>
      </c>
      <c r="J520">
        <v>0.306</v>
      </c>
      <c r="K520">
        <v>7.936</v>
      </c>
      <c r="L520">
        <v>0.373</v>
      </c>
      <c r="M520">
        <v>3.359</v>
      </c>
      <c r="N520">
        <v>169.804</v>
      </c>
      <c r="O520">
        <v>146.239</v>
      </c>
      <c r="P520">
        <f t="shared" si="32"/>
        <v>2.22994791651728</v>
      </c>
      <c r="Q520">
        <f t="shared" si="32"/>
        <v>2.16506320864162</v>
      </c>
      <c r="R520">
        <v>50.956</v>
      </c>
      <c r="S520">
        <v>102.224</v>
      </c>
      <c r="T520">
        <v>158.992</v>
      </c>
      <c r="U520">
        <v>3.78</v>
      </c>
      <c r="V520">
        <v>27.881</v>
      </c>
      <c r="W520">
        <v>0.01</v>
      </c>
      <c r="X520" t="s">
        <v>55</v>
      </c>
      <c r="Y520" t="s">
        <v>31</v>
      </c>
      <c r="Z520" s="3">
        <f t="shared" si="33"/>
        <v>0.0648847078756525</v>
      </c>
      <c r="AA520">
        <f t="shared" si="34"/>
        <v>0.067</v>
      </c>
      <c r="AB520">
        <f t="shared" si="35"/>
        <v>0.458</v>
      </c>
      <c r="AC520" t="s">
        <v>32</v>
      </c>
    </row>
    <row r="521" spans="1:29">
      <c r="A521" t="s">
        <v>62</v>
      </c>
      <c r="B521">
        <v>3497.125</v>
      </c>
      <c r="C521">
        <v>18.605</v>
      </c>
      <c r="D521">
        <v>70.508</v>
      </c>
      <c r="E521">
        <v>157.286</v>
      </c>
      <c r="F521">
        <v>0.105</v>
      </c>
      <c r="G521">
        <v>24.518</v>
      </c>
      <c r="H521">
        <v>1.602</v>
      </c>
      <c r="I521">
        <v>2.693</v>
      </c>
      <c r="J521">
        <v>0.37</v>
      </c>
      <c r="K521">
        <v>7.985</v>
      </c>
      <c r="L521">
        <v>0.378</v>
      </c>
      <c r="M521">
        <v>3.154</v>
      </c>
      <c r="N521">
        <v>153.513</v>
      </c>
      <c r="O521">
        <v>132.36</v>
      </c>
      <c r="P521">
        <f t="shared" si="32"/>
        <v>2.18614515889597</v>
      </c>
      <c r="Q521">
        <f t="shared" si="32"/>
        <v>2.12175675848782</v>
      </c>
      <c r="R521">
        <v>46.319</v>
      </c>
      <c r="S521">
        <v>87.804</v>
      </c>
      <c r="T521">
        <v>133.073</v>
      </c>
      <c r="U521">
        <v>3.845</v>
      </c>
      <c r="V521">
        <v>29.716</v>
      </c>
      <c r="W521">
        <v>0.01</v>
      </c>
      <c r="X521" t="s">
        <v>55</v>
      </c>
      <c r="Y521" t="s">
        <v>31</v>
      </c>
      <c r="Z521" s="3">
        <f t="shared" si="33"/>
        <v>0.0643884004081525</v>
      </c>
      <c r="AA521">
        <f t="shared" si="34"/>
        <v>0.00800000000000001</v>
      </c>
      <c r="AB521">
        <f t="shared" si="35"/>
        <v>0.483</v>
      </c>
      <c r="AC521" t="s">
        <v>32</v>
      </c>
    </row>
    <row r="522" spans="1:29">
      <c r="A522" t="s">
        <v>62</v>
      </c>
      <c r="B522">
        <v>3497.25</v>
      </c>
      <c r="C522">
        <v>18.418</v>
      </c>
      <c r="D522">
        <v>70.382</v>
      </c>
      <c r="E522">
        <v>159.788</v>
      </c>
      <c r="F522">
        <v>0.135</v>
      </c>
      <c r="G522">
        <v>24.613</v>
      </c>
      <c r="H522">
        <v>1.554</v>
      </c>
      <c r="I522">
        <v>2.708</v>
      </c>
      <c r="J522">
        <v>0.438</v>
      </c>
      <c r="K522">
        <v>8.155</v>
      </c>
      <c r="L522">
        <v>0.391</v>
      </c>
      <c r="M522">
        <v>3.03</v>
      </c>
      <c r="N522">
        <v>142.851</v>
      </c>
      <c r="O522">
        <v>123.315</v>
      </c>
      <c r="P522">
        <f t="shared" si="32"/>
        <v>2.1548832849215</v>
      </c>
      <c r="Q522">
        <f t="shared" si="32"/>
        <v>2.09101590726083</v>
      </c>
      <c r="R522">
        <v>47.721</v>
      </c>
      <c r="S522">
        <v>87.498</v>
      </c>
      <c r="T522">
        <v>132.982</v>
      </c>
      <c r="U522">
        <v>3.963</v>
      </c>
      <c r="V522">
        <v>30.124</v>
      </c>
      <c r="W522">
        <v>0.01</v>
      </c>
      <c r="X522" t="s">
        <v>55</v>
      </c>
      <c r="Y522" t="s">
        <v>31</v>
      </c>
      <c r="Z522" s="3">
        <f t="shared" si="33"/>
        <v>0.0638673776606749</v>
      </c>
      <c r="AA522">
        <f t="shared" si="34"/>
        <v>-0.047</v>
      </c>
      <c r="AB522">
        <f t="shared" si="35"/>
        <v>0.526</v>
      </c>
      <c r="AC522" t="s">
        <v>32</v>
      </c>
    </row>
    <row r="523" spans="1:29">
      <c r="A523" t="s">
        <v>62</v>
      </c>
      <c r="B523">
        <v>3497.375</v>
      </c>
      <c r="C523">
        <v>18.4</v>
      </c>
      <c r="D523">
        <v>70.277</v>
      </c>
      <c r="E523">
        <v>161.93</v>
      </c>
      <c r="F523">
        <v>0.16</v>
      </c>
      <c r="G523">
        <v>24.776</v>
      </c>
      <c r="H523">
        <v>1.527</v>
      </c>
      <c r="I523">
        <v>2.716</v>
      </c>
      <c r="J523">
        <v>0.475</v>
      </c>
      <c r="K523">
        <v>8.442</v>
      </c>
      <c r="L523">
        <v>0.415</v>
      </c>
      <c r="M523">
        <v>3.004</v>
      </c>
      <c r="N523">
        <v>133.386</v>
      </c>
      <c r="O523">
        <v>115.271</v>
      </c>
      <c r="P523">
        <f t="shared" si="32"/>
        <v>2.12511024905717</v>
      </c>
      <c r="Q523">
        <f t="shared" si="32"/>
        <v>2.06172006077157</v>
      </c>
      <c r="R523">
        <v>53.526</v>
      </c>
      <c r="S523">
        <v>96.678</v>
      </c>
      <c r="T523">
        <v>149.77</v>
      </c>
      <c r="U523">
        <v>4.017</v>
      </c>
      <c r="V523">
        <v>28.696</v>
      </c>
      <c r="W523">
        <v>0.01</v>
      </c>
      <c r="X523" t="s">
        <v>55</v>
      </c>
      <c r="Y523" t="s">
        <v>31</v>
      </c>
      <c r="Z523" s="3">
        <f t="shared" si="33"/>
        <v>0.0633901882855974</v>
      </c>
      <c r="AA523">
        <f t="shared" si="34"/>
        <v>-0.06</v>
      </c>
      <c r="AB523">
        <f t="shared" si="35"/>
        <v>0.575</v>
      </c>
      <c r="AC523" t="s">
        <v>32</v>
      </c>
    </row>
    <row r="524" spans="1:29">
      <c r="A524" t="s">
        <v>62</v>
      </c>
      <c r="B524">
        <v>3497.5</v>
      </c>
      <c r="C524">
        <v>18.872</v>
      </c>
      <c r="D524">
        <v>70.194</v>
      </c>
      <c r="E524">
        <v>162.97</v>
      </c>
      <c r="F524">
        <v>0.173</v>
      </c>
      <c r="G524">
        <v>25.015</v>
      </c>
      <c r="H524">
        <v>1.541</v>
      </c>
      <c r="I524">
        <v>2.715</v>
      </c>
      <c r="J524">
        <v>0.47</v>
      </c>
      <c r="K524">
        <v>8.717</v>
      </c>
      <c r="L524">
        <v>0.438</v>
      </c>
      <c r="M524">
        <v>3.009</v>
      </c>
      <c r="N524">
        <v>124.25</v>
      </c>
      <c r="O524">
        <v>107.502</v>
      </c>
      <c r="P524">
        <f t="shared" si="32"/>
        <v>2.09429639740537</v>
      </c>
      <c r="Q524">
        <f t="shared" si="32"/>
        <v>2.0314165440738</v>
      </c>
      <c r="R524">
        <v>59.102</v>
      </c>
      <c r="S524">
        <v>104.04</v>
      </c>
      <c r="T524">
        <v>160.309</v>
      </c>
      <c r="U524">
        <v>4.082</v>
      </c>
      <c r="V524">
        <v>27.361</v>
      </c>
      <c r="W524">
        <v>0.01</v>
      </c>
      <c r="X524" t="s">
        <v>55</v>
      </c>
      <c r="Y524" t="s">
        <v>31</v>
      </c>
      <c r="Z524" s="3">
        <f t="shared" si="33"/>
        <v>0.0628798533315691</v>
      </c>
      <c r="AA524">
        <f t="shared" si="34"/>
        <v>-0.032</v>
      </c>
      <c r="AB524">
        <f t="shared" si="35"/>
        <v>0.611</v>
      </c>
      <c r="AC524" t="s">
        <v>32</v>
      </c>
    </row>
    <row r="525" spans="1:29">
      <c r="A525" t="s">
        <v>62</v>
      </c>
      <c r="B525">
        <v>3497.625</v>
      </c>
      <c r="C525">
        <v>19.767</v>
      </c>
      <c r="D525">
        <v>70.129</v>
      </c>
      <c r="E525">
        <v>162.162</v>
      </c>
      <c r="F525">
        <v>0.163</v>
      </c>
      <c r="G525">
        <v>25.302</v>
      </c>
      <c r="H525">
        <v>1.6</v>
      </c>
      <c r="I525">
        <v>2.705</v>
      </c>
      <c r="J525">
        <v>0.425</v>
      </c>
      <c r="K525">
        <v>8.899</v>
      </c>
      <c r="L525">
        <v>0.453</v>
      </c>
      <c r="M525">
        <v>3.061</v>
      </c>
      <c r="N525">
        <v>116.693</v>
      </c>
      <c r="O525">
        <v>101.121</v>
      </c>
      <c r="P525">
        <f t="shared" si="32"/>
        <v>2.06704480503806</v>
      </c>
      <c r="Q525">
        <f t="shared" si="32"/>
        <v>2.00484135575966</v>
      </c>
      <c r="R525">
        <v>62.35</v>
      </c>
      <c r="S525">
        <v>107.178</v>
      </c>
      <c r="T525">
        <v>164.085</v>
      </c>
      <c r="U525">
        <v>4.239</v>
      </c>
      <c r="V525">
        <v>26.427</v>
      </c>
      <c r="W525">
        <v>0.01</v>
      </c>
      <c r="X525" t="s">
        <v>55</v>
      </c>
      <c r="Y525" t="s">
        <v>31</v>
      </c>
      <c r="Z525" s="3">
        <f t="shared" si="33"/>
        <v>0.0622034492784072</v>
      </c>
      <c r="AA525">
        <f t="shared" si="34"/>
        <v>0.028</v>
      </c>
      <c r="AB525">
        <f t="shared" si="35"/>
        <v>0.616</v>
      </c>
      <c r="AC525" t="s">
        <v>32</v>
      </c>
    </row>
    <row r="526" spans="1:29">
      <c r="A526" t="s">
        <v>62</v>
      </c>
      <c r="B526">
        <v>3497.75</v>
      </c>
      <c r="C526">
        <v>20.433</v>
      </c>
      <c r="D526">
        <v>70.072</v>
      </c>
      <c r="E526">
        <v>161.267</v>
      </c>
      <c r="F526">
        <v>0.152</v>
      </c>
      <c r="G526">
        <v>25.548</v>
      </c>
      <c r="H526">
        <v>1.668</v>
      </c>
      <c r="I526">
        <v>2.69</v>
      </c>
      <c r="J526">
        <v>0.356</v>
      </c>
      <c r="K526">
        <v>8.997</v>
      </c>
      <c r="L526">
        <v>0.461</v>
      </c>
      <c r="M526">
        <v>3.189</v>
      </c>
      <c r="N526">
        <v>110.991</v>
      </c>
      <c r="O526">
        <v>96.374</v>
      </c>
      <c r="P526">
        <f t="shared" si="32"/>
        <v>2.04528776429292</v>
      </c>
      <c r="Q526">
        <f t="shared" si="32"/>
        <v>1.98395988473751</v>
      </c>
      <c r="R526">
        <v>61.698</v>
      </c>
      <c r="S526">
        <v>103.865</v>
      </c>
      <c r="T526">
        <v>157.631</v>
      </c>
      <c r="U526">
        <v>4.442</v>
      </c>
      <c r="V526">
        <v>25.734</v>
      </c>
      <c r="W526">
        <v>0.011</v>
      </c>
      <c r="X526" t="s">
        <v>55</v>
      </c>
      <c r="Y526" t="s">
        <v>31</v>
      </c>
      <c r="Z526" s="3">
        <f t="shared" si="33"/>
        <v>0.0613278795554151</v>
      </c>
      <c r="AA526">
        <f t="shared" si="34"/>
        <v>0.105</v>
      </c>
      <c r="AB526">
        <f t="shared" si="35"/>
        <v>0.613</v>
      </c>
      <c r="AC526" t="s">
        <v>32</v>
      </c>
    </row>
    <row r="527" spans="1:29">
      <c r="A527" t="s">
        <v>62</v>
      </c>
      <c r="B527">
        <v>3497.875</v>
      </c>
      <c r="C527">
        <v>20.639</v>
      </c>
      <c r="D527">
        <v>70.015</v>
      </c>
      <c r="E527">
        <v>161.556</v>
      </c>
      <c r="F527">
        <v>0.156</v>
      </c>
      <c r="G527">
        <v>25.677</v>
      </c>
      <c r="H527">
        <v>1.725</v>
      </c>
      <c r="I527">
        <v>2.673</v>
      </c>
      <c r="J527">
        <v>0.279</v>
      </c>
      <c r="K527">
        <v>9.008</v>
      </c>
      <c r="L527">
        <v>0.462</v>
      </c>
      <c r="M527">
        <v>3.402</v>
      </c>
      <c r="N527">
        <v>106.775</v>
      </c>
      <c r="O527">
        <v>92.926</v>
      </c>
      <c r="P527">
        <f t="shared" si="32"/>
        <v>2.02846958009886</v>
      </c>
      <c r="Q527">
        <f t="shared" si="32"/>
        <v>1.96813724334479</v>
      </c>
      <c r="R527">
        <v>57.353</v>
      </c>
      <c r="S527">
        <v>94.979</v>
      </c>
      <c r="T527">
        <v>143.256</v>
      </c>
      <c r="U527">
        <v>4.812</v>
      </c>
      <c r="V527">
        <v>25.608</v>
      </c>
      <c r="W527">
        <v>0.012</v>
      </c>
      <c r="X527" t="s">
        <v>55</v>
      </c>
      <c r="Y527" t="s">
        <v>31</v>
      </c>
      <c r="Z527" s="3">
        <f t="shared" si="33"/>
        <v>0.0603323367540725</v>
      </c>
      <c r="AA527">
        <f t="shared" si="34"/>
        <v>0.183</v>
      </c>
      <c r="AB527">
        <f t="shared" si="35"/>
        <v>0.618</v>
      </c>
      <c r="AC527" t="s">
        <v>32</v>
      </c>
    </row>
    <row r="528" spans="1:29">
      <c r="A528" t="s">
        <v>62</v>
      </c>
      <c r="B528">
        <v>3498</v>
      </c>
      <c r="C528">
        <v>20.65</v>
      </c>
      <c r="D528">
        <v>69.954</v>
      </c>
      <c r="E528">
        <v>162.228</v>
      </c>
      <c r="F528">
        <v>0.164</v>
      </c>
      <c r="G528">
        <v>25.693</v>
      </c>
      <c r="H528">
        <v>1.76</v>
      </c>
      <c r="I528">
        <v>2.66</v>
      </c>
      <c r="J528">
        <v>0.219</v>
      </c>
      <c r="K528">
        <v>9.013</v>
      </c>
      <c r="L528">
        <v>0.462</v>
      </c>
      <c r="M528">
        <v>3.631</v>
      </c>
      <c r="N528">
        <v>103.637</v>
      </c>
      <c r="O528">
        <v>90.418</v>
      </c>
      <c r="P528">
        <f t="shared" si="32"/>
        <v>2.01551483289056</v>
      </c>
      <c r="Q528">
        <f t="shared" si="32"/>
        <v>1.95625489643229</v>
      </c>
      <c r="R528">
        <v>51.373</v>
      </c>
      <c r="S528">
        <v>83.897</v>
      </c>
      <c r="T528">
        <v>126.145</v>
      </c>
      <c r="U528">
        <v>5.151</v>
      </c>
      <c r="V528">
        <v>25.11</v>
      </c>
      <c r="W528">
        <v>0.018</v>
      </c>
      <c r="X528" t="s">
        <v>55</v>
      </c>
      <c r="Y528" t="s">
        <v>31</v>
      </c>
      <c r="Z528" s="3">
        <f t="shared" si="33"/>
        <v>0.05925993645827</v>
      </c>
      <c r="AA528">
        <f t="shared" si="34"/>
        <v>0.243</v>
      </c>
      <c r="AB528">
        <f t="shared" si="35"/>
        <v>0.626</v>
      </c>
      <c r="AC528" t="s">
        <v>32</v>
      </c>
    </row>
    <row r="529" spans="1:29">
      <c r="A529" t="s">
        <v>63</v>
      </c>
      <c r="B529">
        <v>3620</v>
      </c>
      <c r="C529">
        <v>17.591</v>
      </c>
      <c r="D529">
        <v>75.305</v>
      </c>
      <c r="E529">
        <v>173.393</v>
      </c>
      <c r="F529">
        <v>0.226</v>
      </c>
      <c r="G529">
        <v>20.979</v>
      </c>
      <c r="H529">
        <v>0.602</v>
      </c>
      <c r="I529">
        <v>2.772</v>
      </c>
      <c r="J529">
        <v>0.618</v>
      </c>
      <c r="K529">
        <v>7.186</v>
      </c>
      <c r="L529">
        <v>0.468</v>
      </c>
      <c r="M529">
        <v>3.332</v>
      </c>
      <c r="N529">
        <v>217.521</v>
      </c>
      <c r="O529">
        <v>185.393</v>
      </c>
      <c r="P529">
        <f t="shared" si="32"/>
        <v>2.3375011911475</v>
      </c>
      <c r="Q529">
        <f t="shared" si="32"/>
        <v>2.26809333218838</v>
      </c>
      <c r="R529">
        <v>118.563</v>
      </c>
      <c r="S529">
        <v>129.537</v>
      </c>
      <c r="T529">
        <v>135.552</v>
      </c>
      <c r="U529">
        <v>4.082</v>
      </c>
      <c r="V529">
        <v>34.772</v>
      </c>
      <c r="W529">
        <v>0.01</v>
      </c>
      <c r="X529" t="s">
        <v>55</v>
      </c>
      <c r="Y529" t="s">
        <v>31</v>
      </c>
      <c r="Z529" s="3">
        <f t="shared" si="33"/>
        <v>0.0694078589591154</v>
      </c>
      <c r="AA529">
        <f t="shared" si="34"/>
        <v>-0.15</v>
      </c>
      <c r="AB529">
        <f t="shared" si="35"/>
        <v>0.694</v>
      </c>
      <c r="AC529" t="s">
        <v>32</v>
      </c>
    </row>
    <row r="530" spans="1:29">
      <c r="A530" t="s">
        <v>63</v>
      </c>
      <c r="B530">
        <v>3620.125</v>
      </c>
      <c r="C530">
        <v>16.682</v>
      </c>
      <c r="D530">
        <v>75.071</v>
      </c>
      <c r="E530">
        <v>175.899</v>
      </c>
      <c r="F530">
        <v>0.256</v>
      </c>
      <c r="G530">
        <v>20.872</v>
      </c>
      <c r="H530">
        <v>0.638</v>
      </c>
      <c r="I530">
        <v>2.761</v>
      </c>
      <c r="J530">
        <v>0.59</v>
      </c>
      <c r="K530">
        <v>7.365</v>
      </c>
      <c r="L530">
        <v>0.481</v>
      </c>
      <c r="M530">
        <v>3.282</v>
      </c>
      <c r="N530">
        <v>186.613</v>
      </c>
      <c r="O530">
        <v>159.121</v>
      </c>
      <c r="P530">
        <f t="shared" si="32"/>
        <v>2.27094189467097</v>
      </c>
      <c r="Q530">
        <f t="shared" si="32"/>
        <v>2.20172749945975</v>
      </c>
      <c r="R530">
        <v>105.442</v>
      </c>
      <c r="S530">
        <v>114.721</v>
      </c>
      <c r="T530">
        <v>119.217</v>
      </c>
      <c r="U530">
        <v>5.102</v>
      </c>
      <c r="V530">
        <v>29.651</v>
      </c>
      <c r="W530">
        <v>0.022</v>
      </c>
      <c r="X530" t="s">
        <v>55</v>
      </c>
      <c r="Y530" t="s">
        <v>31</v>
      </c>
      <c r="Z530" s="3">
        <f t="shared" si="33"/>
        <v>0.069214395211223</v>
      </c>
      <c r="AA530">
        <f t="shared" si="34"/>
        <v>-0.109</v>
      </c>
      <c r="AB530">
        <f t="shared" si="35"/>
        <v>0.737</v>
      </c>
      <c r="AC530" t="s">
        <v>32</v>
      </c>
    </row>
    <row r="531" spans="1:29">
      <c r="A531" t="s">
        <v>63</v>
      </c>
      <c r="B531">
        <v>3620.25</v>
      </c>
      <c r="C531">
        <v>16.867</v>
      </c>
      <c r="D531">
        <v>74.845</v>
      </c>
      <c r="E531">
        <v>176.296</v>
      </c>
      <c r="F531">
        <v>0.261</v>
      </c>
      <c r="G531">
        <v>20.809</v>
      </c>
      <c r="H531">
        <v>0.688</v>
      </c>
      <c r="I531">
        <v>2.751</v>
      </c>
      <c r="J531">
        <v>0.565</v>
      </c>
      <c r="K531">
        <v>7.578</v>
      </c>
      <c r="L531">
        <v>0.498</v>
      </c>
      <c r="M531">
        <v>3.238</v>
      </c>
      <c r="N531">
        <v>159.353</v>
      </c>
      <c r="O531">
        <v>135.95</v>
      </c>
      <c r="P531">
        <f t="shared" si="32"/>
        <v>2.20236024397029</v>
      </c>
      <c r="Q531">
        <f t="shared" si="32"/>
        <v>2.13337921192352</v>
      </c>
      <c r="R531">
        <v>99.475</v>
      </c>
      <c r="S531">
        <v>107.96</v>
      </c>
      <c r="T531">
        <v>111.824</v>
      </c>
      <c r="U531">
        <v>5.102</v>
      </c>
      <c r="V531">
        <v>31.092</v>
      </c>
      <c r="W531">
        <v>0.022</v>
      </c>
      <c r="X531" t="s">
        <v>55</v>
      </c>
      <c r="Y531" t="s">
        <v>31</v>
      </c>
      <c r="Z531" s="3">
        <f t="shared" si="33"/>
        <v>0.0689810320467692</v>
      </c>
      <c r="AA531">
        <f t="shared" si="34"/>
        <v>-0.0669999999999999</v>
      </c>
      <c r="AB531">
        <f t="shared" si="35"/>
        <v>0.759</v>
      </c>
      <c r="AC531" t="s">
        <v>32</v>
      </c>
    </row>
    <row r="532" spans="1:29">
      <c r="A532" t="s">
        <v>63</v>
      </c>
      <c r="B532">
        <v>3620.375</v>
      </c>
      <c r="C532">
        <v>17.69</v>
      </c>
      <c r="D532">
        <v>74.627</v>
      </c>
      <c r="E532">
        <v>175.151</v>
      </c>
      <c r="F532">
        <v>0.247</v>
      </c>
      <c r="G532">
        <v>20.786</v>
      </c>
      <c r="H532">
        <v>0.759</v>
      </c>
      <c r="I532">
        <v>2.746</v>
      </c>
      <c r="J532">
        <v>0.553</v>
      </c>
      <c r="K532">
        <v>7.767</v>
      </c>
      <c r="L532">
        <v>0.512</v>
      </c>
      <c r="M532">
        <v>3.21</v>
      </c>
      <c r="N532">
        <v>138.927</v>
      </c>
      <c r="O532">
        <v>118.588</v>
      </c>
      <c r="P532">
        <f t="shared" si="32"/>
        <v>2.14278665762738</v>
      </c>
      <c r="Q532">
        <f t="shared" si="32"/>
        <v>2.07404074469896</v>
      </c>
      <c r="R532">
        <v>98.864</v>
      </c>
      <c r="S532">
        <v>107.181</v>
      </c>
      <c r="T532">
        <v>110.902</v>
      </c>
      <c r="U532">
        <v>5.102</v>
      </c>
      <c r="V532">
        <v>32.02</v>
      </c>
      <c r="W532">
        <v>0.022</v>
      </c>
      <c r="X532" t="s">
        <v>55</v>
      </c>
      <c r="Y532" t="s">
        <v>31</v>
      </c>
      <c r="Z532" s="3">
        <f t="shared" si="33"/>
        <v>0.0687459129284185</v>
      </c>
      <c r="AA532">
        <f t="shared" si="34"/>
        <v>-0.041</v>
      </c>
      <c r="AB532">
        <f t="shared" si="35"/>
        <v>0.759</v>
      </c>
      <c r="AC532" t="s">
        <v>32</v>
      </c>
    </row>
    <row r="533" spans="1:29">
      <c r="A533" t="s">
        <v>63</v>
      </c>
      <c r="B533">
        <v>3620.5</v>
      </c>
      <c r="C533">
        <v>18.644</v>
      </c>
      <c r="D533">
        <v>74.42</v>
      </c>
      <c r="E533">
        <v>172.995</v>
      </c>
      <c r="F533">
        <v>0.221</v>
      </c>
      <c r="G533">
        <v>20.843</v>
      </c>
      <c r="H533">
        <v>0.831</v>
      </c>
      <c r="I533">
        <v>2.746</v>
      </c>
      <c r="J533">
        <v>0.553</v>
      </c>
      <c r="K533">
        <v>7.909</v>
      </c>
      <c r="L533">
        <v>0.523</v>
      </c>
      <c r="M533">
        <v>3.193</v>
      </c>
      <c r="N533">
        <v>126.348</v>
      </c>
      <c r="O533">
        <v>107.896</v>
      </c>
      <c r="P533">
        <f t="shared" si="32"/>
        <v>2.10156837173406</v>
      </c>
      <c r="Q533">
        <f t="shared" si="32"/>
        <v>2.03300534449637</v>
      </c>
      <c r="R533">
        <v>102.797</v>
      </c>
      <c r="S533">
        <v>111.465</v>
      </c>
      <c r="T533">
        <v>115.415</v>
      </c>
      <c r="U533">
        <v>5.102</v>
      </c>
      <c r="V533">
        <v>32.117</v>
      </c>
      <c r="W533">
        <v>0.022</v>
      </c>
      <c r="X533" t="s">
        <v>55</v>
      </c>
      <c r="Y533" t="s">
        <v>31</v>
      </c>
      <c r="Z533" s="3">
        <f t="shared" si="33"/>
        <v>0.0685630272376971</v>
      </c>
      <c r="AA533">
        <f t="shared" si="34"/>
        <v>-0.03</v>
      </c>
      <c r="AB533">
        <f t="shared" si="35"/>
        <v>0.744</v>
      </c>
      <c r="AC533" t="s">
        <v>32</v>
      </c>
    </row>
    <row r="534" spans="1:29">
      <c r="A534" t="s">
        <v>63</v>
      </c>
      <c r="B534">
        <v>3620.625</v>
      </c>
      <c r="C534">
        <v>19.308</v>
      </c>
      <c r="D534">
        <v>74.225</v>
      </c>
      <c r="E534">
        <v>170.434</v>
      </c>
      <c r="F534">
        <v>0.19</v>
      </c>
      <c r="G534">
        <v>20.946</v>
      </c>
      <c r="H534">
        <v>0.879</v>
      </c>
      <c r="I534">
        <v>2.751</v>
      </c>
      <c r="J534">
        <v>0.565</v>
      </c>
      <c r="K534">
        <v>7.953</v>
      </c>
      <c r="L534">
        <v>0.527</v>
      </c>
      <c r="M534">
        <v>3.183</v>
      </c>
      <c r="N534">
        <v>123.189</v>
      </c>
      <c r="O534">
        <v>105.211</v>
      </c>
      <c r="P534">
        <f t="shared" si="32"/>
        <v>2.09057192980419</v>
      </c>
      <c r="Q534">
        <f t="shared" si="32"/>
        <v>2.02206114846371</v>
      </c>
      <c r="R534">
        <v>109.719</v>
      </c>
      <c r="S534">
        <v>119.084</v>
      </c>
      <c r="T534">
        <v>123.507</v>
      </c>
      <c r="U534">
        <v>5.102</v>
      </c>
      <c r="V534">
        <v>31.433</v>
      </c>
      <c r="W534">
        <v>0.022</v>
      </c>
      <c r="X534" t="s">
        <v>55</v>
      </c>
      <c r="Y534" t="s">
        <v>31</v>
      </c>
      <c r="Z534" s="3">
        <f t="shared" si="33"/>
        <v>0.0685107813404855</v>
      </c>
      <c r="AA534">
        <f t="shared" si="34"/>
        <v>-0.0379999999999999</v>
      </c>
      <c r="AB534">
        <f t="shared" si="35"/>
        <v>0.717</v>
      </c>
      <c r="AC534" t="s">
        <v>32</v>
      </c>
    </row>
    <row r="535" spans="1:29">
      <c r="A535" t="s">
        <v>63</v>
      </c>
      <c r="B535">
        <v>3620.75</v>
      </c>
      <c r="C535">
        <v>18.765</v>
      </c>
      <c r="D535">
        <v>74.046</v>
      </c>
      <c r="E535">
        <v>168.158</v>
      </c>
      <c r="F535">
        <v>0.162</v>
      </c>
      <c r="G535">
        <v>21.097</v>
      </c>
      <c r="H535">
        <v>0.908</v>
      </c>
      <c r="I535">
        <v>2.756</v>
      </c>
      <c r="J535">
        <v>0.578</v>
      </c>
      <c r="K535">
        <v>7.853</v>
      </c>
      <c r="L535">
        <v>0.519</v>
      </c>
      <c r="M535">
        <v>3.172</v>
      </c>
      <c r="N535">
        <v>129.717</v>
      </c>
      <c r="O535">
        <v>110.759</v>
      </c>
      <c r="P535">
        <f t="shared" si="32"/>
        <v>2.11299689607161</v>
      </c>
      <c r="Q535">
        <f t="shared" si="32"/>
        <v>2.04437902601501</v>
      </c>
      <c r="R535">
        <v>116.956</v>
      </c>
      <c r="S535">
        <v>127.068</v>
      </c>
      <c r="T535">
        <v>131.995</v>
      </c>
      <c r="U535">
        <v>5.102</v>
      </c>
      <c r="V535">
        <v>30.547</v>
      </c>
      <c r="W535">
        <v>0.022</v>
      </c>
      <c r="X535" t="s">
        <v>55</v>
      </c>
      <c r="Y535" t="s">
        <v>31</v>
      </c>
      <c r="Z535" s="3">
        <f t="shared" si="33"/>
        <v>0.0686178700566034</v>
      </c>
      <c r="AA535">
        <f t="shared" si="34"/>
        <v>-0.0589999999999999</v>
      </c>
      <c r="AB535">
        <f t="shared" si="35"/>
        <v>0.681</v>
      </c>
      <c r="AC535" t="s">
        <v>32</v>
      </c>
    </row>
    <row r="536" spans="1:29">
      <c r="A536" t="s">
        <v>63</v>
      </c>
      <c r="B536">
        <v>3620.875</v>
      </c>
      <c r="C536">
        <v>18.487</v>
      </c>
      <c r="D536">
        <v>73.883</v>
      </c>
      <c r="E536">
        <v>166.574</v>
      </c>
      <c r="F536">
        <v>0.143</v>
      </c>
      <c r="G536">
        <v>21.275</v>
      </c>
      <c r="H536">
        <v>0.979</v>
      </c>
      <c r="I536">
        <v>2.761</v>
      </c>
      <c r="J536">
        <v>0.59</v>
      </c>
      <c r="K536">
        <v>7.614</v>
      </c>
      <c r="L536">
        <v>0.501</v>
      </c>
      <c r="M536">
        <v>3.16</v>
      </c>
      <c r="N536">
        <v>142.03</v>
      </c>
      <c r="O536">
        <v>121.225</v>
      </c>
      <c r="P536">
        <f t="shared" si="32"/>
        <v>2.1523800870476</v>
      </c>
      <c r="Q536">
        <f t="shared" si="32"/>
        <v>2.08359219278756</v>
      </c>
      <c r="R536">
        <v>122.156</v>
      </c>
      <c r="S536">
        <v>132.791</v>
      </c>
      <c r="T536">
        <v>138.049</v>
      </c>
      <c r="U536">
        <v>5.102</v>
      </c>
      <c r="V536">
        <v>29.709</v>
      </c>
      <c r="W536">
        <v>0.022</v>
      </c>
      <c r="X536" t="s">
        <v>55</v>
      </c>
      <c r="Y536" t="s">
        <v>31</v>
      </c>
      <c r="Z536" s="3">
        <f t="shared" si="33"/>
        <v>0.0687878942600411</v>
      </c>
      <c r="AA536">
        <f t="shared" si="34"/>
        <v>-0.089</v>
      </c>
      <c r="AB536">
        <f t="shared" si="35"/>
        <v>0.644</v>
      </c>
      <c r="AC536" t="s">
        <v>32</v>
      </c>
    </row>
    <row r="537" spans="1:29">
      <c r="A537" t="s">
        <v>63</v>
      </c>
      <c r="B537">
        <v>3621</v>
      </c>
      <c r="C537">
        <v>18.887</v>
      </c>
      <c r="D537">
        <v>73.737</v>
      </c>
      <c r="E537">
        <v>165.902</v>
      </c>
      <c r="F537">
        <v>0.135</v>
      </c>
      <c r="G537">
        <v>21.459</v>
      </c>
      <c r="H537">
        <v>1.107</v>
      </c>
      <c r="I537">
        <v>2.767</v>
      </c>
      <c r="J537">
        <v>0.606</v>
      </c>
      <c r="K537">
        <v>7.353</v>
      </c>
      <c r="L537">
        <v>0.481</v>
      </c>
      <c r="M537">
        <v>3.145</v>
      </c>
      <c r="N537">
        <v>158.8</v>
      </c>
      <c r="O537">
        <v>135.48</v>
      </c>
      <c r="P537">
        <f t="shared" si="32"/>
        <v>2.20085049809108</v>
      </c>
      <c r="Q537">
        <f t="shared" si="32"/>
        <v>2.13187518797259</v>
      </c>
      <c r="R537">
        <v>124.856</v>
      </c>
      <c r="S537">
        <v>135.735</v>
      </c>
      <c r="T537">
        <v>141.114</v>
      </c>
      <c r="U537">
        <v>5.102</v>
      </c>
      <c r="V537">
        <v>28.708</v>
      </c>
      <c r="W537">
        <v>0.022</v>
      </c>
      <c r="X537" t="s">
        <v>55</v>
      </c>
      <c r="Y537" t="s">
        <v>31</v>
      </c>
      <c r="Z537" s="3">
        <f t="shared" si="33"/>
        <v>0.0689753101184851</v>
      </c>
      <c r="AA537">
        <f t="shared" si="34"/>
        <v>-0.125</v>
      </c>
      <c r="AB537">
        <f t="shared" si="35"/>
        <v>0.616</v>
      </c>
      <c r="AC537" t="s">
        <v>32</v>
      </c>
    </row>
    <row r="538" spans="1:29">
      <c r="A538" t="s">
        <v>63</v>
      </c>
      <c r="B538">
        <v>3621.125</v>
      </c>
      <c r="C538">
        <v>19.964</v>
      </c>
      <c r="D538">
        <v>73.608</v>
      </c>
      <c r="E538">
        <v>166.142</v>
      </c>
      <c r="F538">
        <v>0.138</v>
      </c>
      <c r="G538">
        <v>21.544</v>
      </c>
      <c r="H538">
        <v>1.236</v>
      </c>
      <c r="I538">
        <v>2.775</v>
      </c>
      <c r="J538">
        <v>0.626</v>
      </c>
      <c r="K538">
        <v>7.17</v>
      </c>
      <c r="L538">
        <v>0.466</v>
      </c>
      <c r="M538">
        <v>3.128</v>
      </c>
      <c r="N538">
        <v>177.902</v>
      </c>
      <c r="O538">
        <v>151.717</v>
      </c>
      <c r="P538">
        <f t="shared" si="32"/>
        <v>2.25018083051271</v>
      </c>
      <c r="Q538">
        <f t="shared" si="32"/>
        <v>2.1810342465253</v>
      </c>
      <c r="R538">
        <v>125.929</v>
      </c>
      <c r="S538">
        <v>136.876</v>
      </c>
      <c r="T538">
        <v>142.258</v>
      </c>
      <c r="U538">
        <v>5.102</v>
      </c>
      <c r="V538">
        <v>28.535</v>
      </c>
      <c r="W538">
        <v>0.022</v>
      </c>
      <c r="X538" t="s">
        <v>55</v>
      </c>
      <c r="Y538" t="s">
        <v>31</v>
      </c>
      <c r="Z538" s="3">
        <f t="shared" si="33"/>
        <v>0.0691465839874112</v>
      </c>
      <c r="AA538">
        <f t="shared" si="34"/>
        <v>-0.16</v>
      </c>
      <c r="AB538">
        <f t="shared" si="35"/>
        <v>0.604</v>
      </c>
      <c r="AC538" t="s">
        <v>32</v>
      </c>
    </row>
    <row r="539" spans="1:29">
      <c r="A539" t="s">
        <v>63</v>
      </c>
      <c r="B539">
        <v>3621.25</v>
      </c>
      <c r="C539">
        <v>21.668</v>
      </c>
      <c r="D539">
        <v>73.501</v>
      </c>
      <c r="E539">
        <v>167.505</v>
      </c>
      <c r="F539">
        <v>0.154</v>
      </c>
      <c r="G539">
        <v>21.534</v>
      </c>
      <c r="H539">
        <v>1.286</v>
      </c>
      <c r="I539">
        <v>2.785</v>
      </c>
      <c r="J539">
        <v>0.651</v>
      </c>
      <c r="K539">
        <v>7.127</v>
      </c>
      <c r="L539">
        <v>0.463</v>
      </c>
      <c r="M539">
        <v>3.111</v>
      </c>
      <c r="N539">
        <v>191.428</v>
      </c>
      <c r="O539">
        <v>163.214</v>
      </c>
      <c r="P539">
        <f t="shared" si="32"/>
        <v>2.28200546194718</v>
      </c>
      <c r="Q539">
        <f t="shared" si="32"/>
        <v>2.21275740847404</v>
      </c>
      <c r="R539">
        <v>126.814</v>
      </c>
      <c r="S539">
        <v>137.826</v>
      </c>
      <c r="T539">
        <v>143.235</v>
      </c>
      <c r="U539">
        <v>4.082</v>
      </c>
      <c r="V539">
        <v>35.579</v>
      </c>
      <c r="W539">
        <v>0.01</v>
      </c>
      <c r="X539" t="s">
        <v>55</v>
      </c>
      <c r="Y539" t="s">
        <v>31</v>
      </c>
      <c r="Z539" s="3">
        <f t="shared" si="33"/>
        <v>0.0692480534731339</v>
      </c>
      <c r="AA539">
        <f t="shared" si="34"/>
        <v>-0.188</v>
      </c>
      <c r="AB539">
        <f t="shared" si="35"/>
        <v>0.617</v>
      </c>
      <c r="AC539" t="s">
        <v>32</v>
      </c>
    </row>
    <row r="540" spans="1:29">
      <c r="A540" t="s">
        <v>63</v>
      </c>
      <c r="B540">
        <v>3621.375</v>
      </c>
      <c r="C540">
        <v>22.652</v>
      </c>
      <c r="D540">
        <v>73.413</v>
      </c>
      <c r="E540">
        <v>169.649</v>
      </c>
      <c r="F540">
        <v>0.18</v>
      </c>
      <c r="G540">
        <v>21.507</v>
      </c>
      <c r="H540">
        <v>1.277</v>
      </c>
      <c r="I540">
        <v>2.794</v>
      </c>
      <c r="J540">
        <v>0.673</v>
      </c>
      <c r="K540">
        <v>7.206</v>
      </c>
      <c r="L540">
        <v>0.469</v>
      </c>
      <c r="M540">
        <v>3.09</v>
      </c>
      <c r="N540">
        <v>194.406</v>
      </c>
      <c r="O540">
        <v>165.745</v>
      </c>
      <c r="P540">
        <f t="shared" si="32"/>
        <v>2.28870966453408</v>
      </c>
      <c r="Q540">
        <f t="shared" si="32"/>
        <v>2.21944043598986</v>
      </c>
      <c r="R540">
        <v>127.963</v>
      </c>
      <c r="S540">
        <v>139.1</v>
      </c>
      <c r="T540">
        <v>144.604</v>
      </c>
      <c r="U540">
        <v>4.082</v>
      </c>
      <c r="V540">
        <v>35.491</v>
      </c>
      <c r="W540">
        <v>0.01</v>
      </c>
      <c r="X540" t="s">
        <v>55</v>
      </c>
      <c r="Y540" t="s">
        <v>31</v>
      </c>
      <c r="Z540" s="3">
        <f t="shared" si="33"/>
        <v>0.0692692285442238</v>
      </c>
      <c r="AA540">
        <f t="shared" si="34"/>
        <v>-0.204</v>
      </c>
      <c r="AB540">
        <f t="shared" si="35"/>
        <v>0.649</v>
      </c>
      <c r="AC540" t="s">
        <v>32</v>
      </c>
    </row>
    <row r="541" spans="1:29">
      <c r="A541" t="s">
        <v>63</v>
      </c>
      <c r="B541">
        <v>3621.5</v>
      </c>
      <c r="C541">
        <v>22.076</v>
      </c>
      <c r="D541">
        <v>73.344</v>
      </c>
      <c r="E541">
        <v>171.791</v>
      </c>
      <c r="F541">
        <v>0.206</v>
      </c>
      <c r="G541">
        <v>21.518</v>
      </c>
      <c r="H541">
        <v>1.256</v>
      </c>
      <c r="I541">
        <v>2.8</v>
      </c>
      <c r="J541">
        <v>0.688</v>
      </c>
      <c r="K541">
        <v>7.29</v>
      </c>
      <c r="L541">
        <v>0.476</v>
      </c>
      <c r="M541">
        <v>3.069</v>
      </c>
      <c r="N541">
        <v>189.43</v>
      </c>
      <c r="O541">
        <v>161.516</v>
      </c>
      <c r="P541">
        <f t="shared" si="32"/>
        <v>2.27744875926448</v>
      </c>
      <c r="Q541">
        <f t="shared" si="32"/>
        <v>2.20821555061464</v>
      </c>
      <c r="R541">
        <v>128.669</v>
      </c>
      <c r="S541">
        <v>139.933</v>
      </c>
      <c r="T541">
        <v>145.568</v>
      </c>
      <c r="U541">
        <v>5.102</v>
      </c>
      <c r="V541">
        <v>28.179</v>
      </c>
      <c r="W541">
        <v>0.022</v>
      </c>
      <c r="X541" t="s">
        <v>55</v>
      </c>
      <c r="Y541" t="s">
        <v>31</v>
      </c>
      <c r="Z541" s="3">
        <f t="shared" si="33"/>
        <v>0.0692332086498428</v>
      </c>
      <c r="AA541">
        <f t="shared" si="34"/>
        <v>-0.212</v>
      </c>
      <c r="AB541">
        <f t="shared" si="35"/>
        <v>0.682</v>
      </c>
      <c r="AC541" t="s">
        <v>32</v>
      </c>
    </row>
    <row r="542" spans="1:29">
      <c r="A542" t="s">
        <v>63</v>
      </c>
      <c r="B542">
        <v>3621.625</v>
      </c>
      <c r="C542">
        <v>20.439</v>
      </c>
      <c r="D542">
        <v>73.293</v>
      </c>
      <c r="E542">
        <v>172.824</v>
      </c>
      <c r="F542">
        <v>0.219</v>
      </c>
      <c r="G542">
        <v>21.595</v>
      </c>
      <c r="H542">
        <v>1.263</v>
      </c>
      <c r="I542">
        <v>2.8</v>
      </c>
      <c r="J542">
        <v>0.688</v>
      </c>
      <c r="K542">
        <v>7.294</v>
      </c>
      <c r="L542">
        <v>0.476</v>
      </c>
      <c r="M542">
        <v>3.048</v>
      </c>
      <c r="N542">
        <v>182.537</v>
      </c>
      <c r="O542">
        <v>155.657</v>
      </c>
      <c r="P542">
        <f t="shared" si="32"/>
        <v>2.26135090861249</v>
      </c>
      <c r="Q542">
        <f t="shared" si="32"/>
        <v>2.1921686559727</v>
      </c>
      <c r="R542">
        <v>128.896</v>
      </c>
      <c r="S542">
        <v>140.302</v>
      </c>
      <c r="T542">
        <v>146.135</v>
      </c>
      <c r="U542">
        <v>5.102</v>
      </c>
      <c r="V542">
        <v>28.124</v>
      </c>
      <c r="W542">
        <v>0.022</v>
      </c>
      <c r="X542" t="s">
        <v>55</v>
      </c>
      <c r="Y542" t="s">
        <v>31</v>
      </c>
      <c r="Z542" s="3">
        <f t="shared" si="33"/>
        <v>0.0691822526397896</v>
      </c>
      <c r="AA542">
        <f t="shared" si="34"/>
        <v>-0.212</v>
      </c>
      <c r="AB542">
        <f t="shared" si="35"/>
        <v>0.695</v>
      </c>
      <c r="AC542" t="s">
        <v>32</v>
      </c>
    </row>
    <row r="543" spans="1:29">
      <c r="A543" t="s">
        <v>63</v>
      </c>
      <c r="B543">
        <v>3621.75</v>
      </c>
      <c r="C543">
        <v>19.293</v>
      </c>
      <c r="D543">
        <v>73.264</v>
      </c>
      <c r="E543">
        <v>171.443</v>
      </c>
      <c r="F543">
        <v>0.202</v>
      </c>
      <c r="G543">
        <v>21.749</v>
      </c>
      <c r="H543">
        <v>1.337</v>
      </c>
      <c r="I543">
        <v>2.795</v>
      </c>
      <c r="J543">
        <v>0.676</v>
      </c>
      <c r="K543">
        <v>7.178</v>
      </c>
      <c r="L543">
        <v>0.467</v>
      </c>
      <c r="M543">
        <v>3.03</v>
      </c>
      <c r="N543">
        <v>179.872</v>
      </c>
      <c r="O543">
        <v>153.391</v>
      </c>
      <c r="P543">
        <f t="shared" si="32"/>
        <v>2.25496356361284</v>
      </c>
      <c r="Q543">
        <f t="shared" si="32"/>
        <v>2.18579987874593</v>
      </c>
      <c r="R543">
        <v>129.74</v>
      </c>
      <c r="S543">
        <v>141.453</v>
      </c>
      <c r="T543">
        <v>147.713</v>
      </c>
      <c r="U543">
        <v>5.102</v>
      </c>
      <c r="V543">
        <v>28.083</v>
      </c>
      <c r="W543">
        <v>0.022</v>
      </c>
      <c r="X543" t="s">
        <v>55</v>
      </c>
      <c r="Y543" t="s">
        <v>31</v>
      </c>
      <c r="Z543" s="3">
        <f t="shared" si="33"/>
        <v>0.0691636848669104</v>
      </c>
      <c r="AA543">
        <f t="shared" si="34"/>
        <v>-0.209</v>
      </c>
      <c r="AB543">
        <f t="shared" si="35"/>
        <v>0.669</v>
      </c>
      <c r="AC543" t="s">
        <v>32</v>
      </c>
    </row>
    <row r="544" spans="1:29">
      <c r="A544" t="s">
        <v>63</v>
      </c>
      <c r="B544">
        <v>3621.875</v>
      </c>
      <c r="C544">
        <v>18.984</v>
      </c>
      <c r="D544">
        <v>73.252</v>
      </c>
      <c r="E544">
        <v>168.099</v>
      </c>
      <c r="F544">
        <v>0.161</v>
      </c>
      <c r="G544">
        <v>21.935</v>
      </c>
      <c r="H544">
        <v>1.493</v>
      </c>
      <c r="I544">
        <v>2.787</v>
      </c>
      <c r="J544">
        <v>0.656</v>
      </c>
      <c r="K544">
        <v>6.967</v>
      </c>
      <c r="L544">
        <v>0.451</v>
      </c>
      <c r="M544">
        <v>3.025</v>
      </c>
      <c r="N544">
        <v>184.805</v>
      </c>
      <c r="O544">
        <v>157.585</v>
      </c>
      <c r="P544">
        <f t="shared" ref="P544:Q607" si="36">LOG(N544)</f>
        <v>2.26671371711696</v>
      </c>
      <c r="Q544">
        <f t="shared" si="36"/>
        <v>2.19751487605162</v>
      </c>
      <c r="R544">
        <v>132.81</v>
      </c>
      <c r="S544">
        <v>145.178</v>
      </c>
      <c r="T544">
        <v>152.298</v>
      </c>
      <c r="U544">
        <v>5.102</v>
      </c>
      <c r="V544">
        <v>27.99</v>
      </c>
      <c r="W544">
        <v>0.022</v>
      </c>
      <c r="X544" t="s">
        <v>55</v>
      </c>
      <c r="Y544" t="s">
        <v>31</v>
      </c>
      <c r="Z544" s="3">
        <f t="shared" ref="Z544:Z607" si="37">P544-Q544</f>
        <v>0.0691988410653344</v>
      </c>
      <c r="AA544">
        <f t="shared" ref="AA544:AA607" si="38">L544-J544</f>
        <v>-0.205</v>
      </c>
      <c r="AB544">
        <f t="shared" ref="AB544:AB607" si="39">L544+F544</f>
        <v>0.612</v>
      </c>
      <c r="AC544" t="s">
        <v>32</v>
      </c>
    </row>
    <row r="545" spans="1:29">
      <c r="A545" t="s">
        <v>63</v>
      </c>
      <c r="B545">
        <v>3622</v>
      </c>
      <c r="C545">
        <v>19.3</v>
      </c>
      <c r="D545">
        <v>73.256</v>
      </c>
      <c r="E545">
        <v>163.893</v>
      </c>
      <c r="F545">
        <v>0.11</v>
      </c>
      <c r="G545">
        <v>22.099</v>
      </c>
      <c r="H545">
        <v>1.717</v>
      </c>
      <c r="I545">
        <v>2.781</v>
      </c>
      <c r="J545">
        <v>0.641</v>
      </c>
      <c r="K545">
        <v>6.763</v>
      </c>
      <c r="L545">
        <v>0.435</v>
      </c>
      <c r="M545">
        <v>3.037</v>
      </c>
      <c r="N545">
        <v>197.843</v>
      </c>
      <c r="O545">
        <v>168.667</v>
      </c>
      <c r="P545">
        <f t="shared" si="36"/>
        <v>2.29632068884438</v>
      </c>
      <c r="Q545">
        <f t="shared" si="36"/>
        <v>2.22703012040878</v>
      </c>
      <c r="R545">
        <v>141.098</v>
      </c>
      <c r="S545">
        <v>154.842</v>
      </c>
      <c r="T545">
        <v>163.719</v>
      </c>
      <c r="U545">
        <v>4.082</v>
      </c>
      <c r="V545">
        <v>34.077</v>
      </c>
      <c r="W545">
        <v>0.01</v>
      </c>
      <c r="X545" t="s">
        <v>55</v>
      </c>
      <c r="Y545" t="s">
        <v>31</v>
      </c>
      <c r="Z545" s="3">
        <f t="shared" si="37"/>
        <v>0.069290568435604</v>
      </c>
      <c r="AA545">
        <f t="shared" si="38"/>
        <v>-0.206</v>
      </c>
      <c r="AB545">
        <f t="shared" si="39"/>
        <v>0.545</v>
      </c>
      <c r="AC545" t="s">
        <v>32</v>
      </c>
    </row>
    <row r="546" spans="1:29">
      <c r="A546" t="s">
        <v>64</v>
      </c>
      <c r="B546">
        <v>3817</v>
      </c>
      <c r="C546">
        <v>16.229</v>
      </c>
      <c r="D546">
        <v>24.523</v>
      </c>
      <c r="E546">
        <v>165.674</v>
      </c>
      <c r="F546">
        <v>0.299</v>
      </c>
      <c r="G546">
        <v>21.368</v>
      </c>
      <c r="H546">
        <v>1.656</v>
      </c>
      <c r="I546">
        <v>2.682</v>
      </c>
      <c r="J546">
        <v>0.543</v>
      </c>
      <c r="K546">
        <v>7.614</v>
      </c>
      <c r="L546">
        <v>0.265</v>
      </c>
      <c r="M546">
        <v>3.081</v>
      </c>
      <c r="N546">
        <v>90.998</v>
      </c>
      <c r="O546">
        <v>94.468</v>
      </c>
      <c r="P546">
        <f t="shared" si="36"/>
        <v>1.95903184728253</v>
      </c>
      <c r="Q546">
        <f t="shared" si="36"/>
        <v>1.97528472092244</v>
      </c>
      <c r="R546">
        <v>32.371</v>
      </c>
      <c r="S546">
        <v>-9999</v>
      </c>
      <c r="T546">
        <v>27.599</v>
      </c>
      <c r="U546">
        <v>4.606</v>
      </c>
      <c r="V546">
        <v>100</v>
      </c>
      <c r="W546">
        <v>0.1</v>
      </c>
      <c r="X546" t="s">
        <v>55</v>
      </c>
      <c r="Y546" t="s">
        <v>31</v>
      </c>
      <c r="Z546" s="3">
        <f t="shared" si="37"/>
        <v>-0.0162528736399017</v>
      </c>
      <c r="AA546">
        <f t="shared" si="38"/>
        <v>-0.278</v>
      </c>
      <c r="AB546">
        <f t="shared" si="39"/>
        <v>0.564</v>
      </c>
      <c r="AC546" t="s">
        <v>32</v>
      </c>
    </row>
    <row r="547" spans="1:29">
      <c r="A547" t="s">
        <v>64</v>
      </c>
      <c r="B547">
        <v>3817.125</v>
      </c>
      <c r="C547">
        <v>16.281</v>
      </c>
      <c r="D547">
        <v>23.506</v>
      </c>
      <c r="E547">
        <v>164.975</v>
      </c>
      <c r="F547">
        <v>0.286</v>
      </c>
      <c r="G547">
        <v>21.367</v>
      </c>
      <c r="H547">
        <v>1.654</v>
      </c>
      <c r="I547">
        <v>2.66</v>
      </c>
      <c r="J547">
        <v>0.457</v>
      </c>
      <c r="K547">
        <v>7.687</v>
      </c>
      <c r="L547">
        <v>0.276</v>
      </c>
      <c r="M547">
        <v>3.058</v>
      </c>
      <c r="N547">
        <v>85.678</v>
      </c>
      <c r="O547">
        <v>89.377</v>
      </c>
      <c r="P547">
        <f t="shared" si="36"/>
        <v>1.93286932011253</v>
      </c>
      <c r="Q547">
        <f t="shared" si="36"/>
        <v>1.95122577317832</v>
      </c>
      <c r="R547">
        <v>30.367</v>
      </c>
      <c r="S547">
        <v>-9999</v>
      </c>
      <c r="T547">
        <v>25.913</v>
      </c>
      <c r="U547">
        <v>5.156</v>
      </c>
      <c r="V547">
        <v>100</v>
      </c>
      <c r="W547">
        <v>0.116</v>
      </c>
      <c r="X547" t="s">
        <v>55</v>
      </c>
      <c r="Y547" t="s">
        <v>31</v>
      </c>
      <c r="Z547" s="3">
        <f t="shared" si="37"/>
        <v>-0.0183564530657874</v>
      </c>
      <c r="AA547">
        <f t="shared" si="38"/>
        <v>-0.181</v>
      </c>
      <c r="AB547">
        <f t="shared" si="39"/>
        <v>0.562</v>
      </c>
      <c r="AC547" t="s">
        <v>32</v>
      </c>
    </row>
    <row r="548" spans="1:29">
      <c r="A548" t="s">
        <v>64</v>
      </c>
      <c r="B548">
        <v>3817.25</v>
      </c>
      <c r="C548">
        <v>18.647</v>
      </c>
      <c r="D548">
        <v>22.579</v>
      </c>
      <c r="E548">
        <v>164.521</v>
      </c>
      <c r="F548">
        <v>0.277</v>
      </c>
      <c r="G548">
        <v>21.364</v>
      </c>
      <c r="H548">
        <v>1.752</v>
      </c>
      <c r="I548">
        <v>2.648</v>
      </c>
      <c r="J548">
        <v>0.411</v>
      </c>
      <c r="K548">
        <v>7.723</v>
      </c>
      <c r="L548">
        <v>0.281</v>
      </c>
      <c r="M548">
        <v>3.053</v>
      </c>
      <c r="N548">
        <v>78.795</v>
      </c>
      <c r="O548">
        <v>82.709</v>
      </c>
      <c r="P548">
        <f t="shared" si="36"/>
        <v>1.89649865985879</v>
      </c>
      <c r="Q548">
        <f t="shared" si="36"/>
        <v>1.91755276998385</v>
      </c>
      <c r="R548">
        <v>29.217</v>
      </c>
      <c r="S548">
        <v>-9999</v>
      </c>
      <c r="T548">
        <v>24.974</v>
      </c>
      <c r="U548">
        <v>5.343</v>
      </c>
      <c r="V548">
        <v>100</v>
      </c>
      <c r="W548">
        <v>0.136</v>
      </c>
      <c r="X548" t="s">
        <v>55</v>
      </c>
      <c r="Y548" t="s">
        <v>31</v>
      </c>
      <c r="Z548" s="3">
        <f t="shared" si="37"/>
        <v>-0.0210541101250634</v>
      </c>
      <c r="AA548">
        <f t="shared" si="38"/>
        <v>-0.13</v>
      </c>
      <c r="AB548">
        <f t="shared" si="39"/>
        <v>0.558</v>
      </c>
      <c r="AC548" t="s">
        <v>32</v>
      </c>
    </row>
    <row r="549" spans="1:29">
      <c r="A549" t="s">
        <v>64</v>
      </c>
      <c r="B549">
        <v>3817.375</v>
      </c>
      <c r="C549">
        <v>20.997</v>
      </c>
      <c r="D549">
        <v>21.775</v>
      </c>
      <c r="E549">
        <v>164.326</v>
      </c>
      <c r="F549">
        <v>0.274</v>
      </c>
      <c r="G549">
        <v>21.361</v>
      </c>
      <c r="H549">
        <v>1.731</v>
      </c>
      <c r="I549">
        <v>2.647</v>
      </c>
      <c r="J549">
        <v>0.407</v>
      </c>
      <c r="K549">
        <v>7.736</v>
      </c>
      <c r="L549">
        <v>0.283</v>
      </c>
      <c r="M549">
        <v>3.05</v>
      </c>
      <c r="N549">
        <v>74.994</v>
      </c>
      <c r="O549">
        <v>78.592</v>
      </c>
      <c r="P549">
        <f t="shared" si="36"/>
        <v>1.87502651844333</v>
      </c>
      <c r="Q549">
        <f t="shared" si="36"/>
        <v>1.89537834078904</v>
      </c>
      <c r="R549">
        <v>28.737</v>
      </c>
      <c r="S549">
        <v>-9999</v>
      </c>
      <c r="T549">
        <v>24.632</v>
      </c>
      <c r="U549">
        <v>5.267</v>
      </c>
      <c r="V549">
        <v>100</v>
      </c>
      <c r="W549">
        <v>0.127</v>
      </c>
      <c r="X549" t="s">
        <v>55</v>
      </c>
      <c r="Y549" t="s">
        <v>31</v>
      </c>
      <c r="Z549" s="3">
        <f t="shared" si="37"/>
        <v>-0.0203518223457049</v>
      </c>
      <c r="AA549">
        <f t="shared" si="38"/>
        <v>-0.124</v>
      </c>
      <c r="AB549">
        <f t="shared" si="39"/>
        <v>0.557</v>
      </c>
      <c r="AC549" t="s">
        <v>32</v>
      </c>
    </row>
    <row r="550" spans="1:29">
      <c r="A550" t="s">
        <v>64</v>
      </c>
      <c r="B550">
        <v>3817.5</v>
      </c>
      <c r="C550">
        <v>20.949</v>
      </c>
      <c r="D550">
        <v>21.121</v>
      </c>
      <c r="E550">
        <v>164.351</v>
      </c>
      <c r="F550">
        <v>0.274</v>
      </c>
      <c r="G550">
        <v>21.369</v>
      </c>
      <c r="H550">
        <v>1.416</v>
      </c>
      <c r="I550">
        <v>2.656</v>
      </c>
      <c r="J550">
        <v>0.442</v>
      </c>
      <c r="K550">
        <v>7.658</v>
      </c>
      <c r="L550">
        <v>0.272</v>
      </c>
      <c r="M550">
        <v>3.042</v>
      </c>
      <c r="N550">
        <v>76.567</v>
      </c>
      <c r="O550">
        <v>80.453</v>
      </c>
      <c r="P550">
        <f t="shared" si="36"/>
        <v>1.88404163117426</v>
      </c>
      <c r="Q550">
        <f t="shared" si="36"/>
        <v>1.9055422430796</v>
      </c>
      <c r="R550">
        <v>28.773</v>
      </c>
      <c r="S550">
        <v>-9999</v>
      </c>
      <c r="T550">
        <v>24.781</v>
      </c>
      <c r="U550">
        <v>5.01</v>
      </c>
      <c r="V550">
        <v>100</v>
      </c>
      <c r="W550">
        <v>0.102</v>
      </c>
      <c r="X550" t="s">
        <v>55</v>
      </c>
      <c r="Y550" t="s">
        <v>31</v>
      </c>
      <c r="Z550" s="3">
        <f t="shared" si="37"/>
        <v>-0.0215006119053363</v>
      </c>
      <c r="AA550">
        <f t="shared" si="38"/>
        <v>-0.17</v>
      </c>
      <c r="AB550">
        <f t="shared" si="39"/>
        <v>0.546</v>
      </c>
      <c r="AC550" t="s">
        <v>32</v>
      </c>
    </row>
    <row r="551" spans="1:29">
      <c r="A551" t="s">
        <v>64</v>
      </c>
      <c r="B551">
        <v>3817.625</v>
      </c>
      <c r="C551">
        <v>21.054</v>
      </c>
      <c r="D551">
        <v>20.648</v>
      </c>
      <c r="E551">
        <v>164.461</v>
      </c>
      <c r="F551">
        <v>0.276</v>
      </c>
      <c r="G551">
        <v>21.373</v>
      </c>
      <c r="H551">
        <v>1.281</v>
      </c>
      <c r="I551">
        <v>2.673</v>
      </c>
      <c r="J551">
        <v>0.508</v>
      </c>
      <c r="K551">
        <v>7.496</v>
      </c>
      <c r="L551">
        <v>0.249</v>
      </c>
      <c r="M551">
        <v>3.027</v>
      </c>
      <c r="N551">
        <v>76.433</v>
      </c>
      <c r="O551">
        <v>80.396</v>
      </c>
      <c r="P551">
        <f t="shared" si="36"/>
        <v>1.88328090600492</v>
      </c>
      <c r="Q551">
        <f t="shared" si="36"/>
        <v>1.90523444152031</v>
      </c>
      <c r="R551">
        <v>29.169</v>
      </c>
      <c r="S551">
        <v>-9999</v>
      </c>
      <c r="T551">
        <v>25.317</v>
      </c>
      <c r="U551">
        <v>4.509</v>
      </c>
      <c r="V551">
        <v>100</v>
      </c>
      <c r="W551">
        <v>0.1</v>
      </c>
      <c r="X551" t="s">
        <v>55</v>
      </c>
      <c r="Y551" t="s">
        <v>31</v>
      </c>
      <c r="Z551" s="3">
        <f t="shared" si="37"/>
        <v>-0.0219535355153944</v>
      </c>
      <c r="AA551">
        <f t="shared" si="38"/>
        <v>-0.259</v>
      </c>
      <c r="AB551">
        <f t="shared" si="39"/>
        <v>0.525</v>
      </c>
      <c r="AC551" t="s">
        <v>32</v>
      </c>
    </row>
    <row r="552" spans="1:29">
      <c r="A552" t="s">
        <v>64</v>
      </c>
      <c r="B552">
        <v>3817.75</v>
      </c>
      <c r="C552">
        <v>20.428</v>
      </c>
      <c r="D552">
        <v>20.327</v>
      </c>
      <c r="E552">
        <v>164.447</v>
      </c>
      <c r="F552">
        <v>0.276</v>
      </c>
      <c r="G552">
        <v>21.382</v>
      </c>
      <c r="H552">
        <v>1.323</v>
      </c>
      <c r="I552">
        <v>2.691</v>
      </c>
      <c r="J552">
        <v>0.578</v>
      </c>
      <c r="K552">
        <v>7.286</v>
      </c>
      <c r="L552">
        <v>0.219</v>
      </c>
      <c r="M552">
        <v>3.011</v>
      </c>
      <c r="N552">
        <v>77.387</v>
      </c>
      <c r="O552">
        <v>81.119</v>
      </c>
      <c r="P552">
        <f t="shared" si="36"/>
        <v>1.88866801103883</v>
      </c>
      <c r="Q552">
        <f t="shared" si="36"/>
        <v>1.90912258822744</v>
      </c>
      <c r="R552">
        <v>29.887</v>
      </c>
      <c r="S552">
        <v>-9999</v>
      </c>
      <c r="T552">
        <v>26.214</v>
      </c>
      <c r="U552">
        <v>3.988</v>
      </c>
      <c r="V552">
        <v>100</v>
      </c>
      <c r="W552">
        <v>0.1</v>
      </c>
      <c r="X552" t="s">
        <v>55</v>
      </c>
      <c r="Y552" t="s">
        <v>31</v>
      </c>
      <c r="Z552" s="3">
        <f t="shared" si="37"/>
        <v>-0.0204545771886147</v>
      </c>
      <c r="AA552">
        <f t="shared" si="38"/>
        <v>-0.359</v>
      </c>
      <c r="AB552">
        <f t="shared" si="39"/>
        <v>0.495</v>
      </c>
      <c r="AC552" t="s">
        <v>32</v>
      </c>
    </row>
    <row r="553" spans="1:29">
      <c r="A553" t="s">
        <v>64</v>
      </c>
      <c r="B553">
        <v>3817.875</v>
      </c>
      <c r="C553">
        <v>18.853</v>
      </c>
      <c r="D553">
        <v>20.15</v>
      </c>
      <c r="E553">
        <v>164.175</v>
      </c>
      <c r="F553">
        <v>0.271</v>
      </c>
      <c r="G553">
        <v>21.39</v>
      </c>
      <c r="H553">
        <v>1.321</v>
      </c>
      <c r="I553">
        <v>2.708</v>
      </c>
      <c r="J553">
        <v>0.643</v>
      </c>
      <c r="K553">
        <v>7.064</v>
      </c>
      <c r="L553">
        <v>0.187</v>
      </c>
      <c r="M553">
        <v>3.005</v>
      </c>
      <c r="N553">
        <v>80.034</v>
      </c>
      <c r="O553">
        <v>83.688</v>
      </c>
      <c r="P553">
        <f t="shared" si="36"/>
        <v>1.90327452293564</v>
      </c>
      <c r="Q553">
        <f t="shared" si="36"/>
        <v>1.92266318908758</v>
      </c>
      <c r="R553">
        <v>31.009</v>
      </c>
      <c r="S553">
        <v>-9999</v>
      </c>
      <c r="T553">
        <v>27.553</v>
      </c>
      <c r="U553">
        <v>3.553</v>
      </c>
      <c r="V553">
        <v>100</v>
      </c>
      <c r="W553">
        <v>0.1</v>
      </c>
      <c r="X553" t="s">
        <v>55</v>
      </c>
      <c r="Y553" t="s">
        <v>31</v>
      </c>
      <c r="Z553" s="3">
        <f t="shared" si="37"/>
        <v>-0.0193886661519409</v>
      </c>
      <c r="AA553">
        <f t="shared" si="38"/>
        <v>-0.456</v>
      </c>
      <c r="AB553">
        <f t="shared" si="39"/>
        <v>0.458</v>
      </c>
      <c r="AC553" t="s">
        <v>32</v>
      </c>
    </row>
    <row r="554" spans="1:29">
      <c r="A554" t="s">
        <v>64</v>
      </c>
      <c r="B554">
        <v>3818</v>
      </c>
      <c r="C554">
        <v>17.291</v>
      </c>
      <c r="D554">
        <v>20.109</v>
      </c>
      <c r="E554">
        <v>163.611</v>
      </c>
      <c r="F554">
        <v>0.261</v>
      </c>
      <c r="G554">
        <v>21.397</v>
      </c>
      <c r="H554">
        <v>1.393</v>
      </c>
      <c r="I554">
        <v>2.724</v>
      </c>
      <c r="J554">
        <v>0.705</v>
      </c>
      <c r="K554">
        <v>6.893</v>
      </c>
      <c r="L554">
        <v>0.163</v>
      </c>
      <c r="M554">
        <v>3.014</v>
      </c>
      <c r="N554">
        <v>83.365</v>
      </c>
      <c r="O554">
        <v>86.85</v>
      </c>
      <c r="P554">
        <f t="shared" si="36"/>
        <v>1.92098375450738</v>
      </c>
      <c r="Q554">
        <f t="shared" si="36"/>
        <v>1.93876982278312</v>
      </c>
      <c r="R554">
        <v>32.495</v>
      </c>
      <c r="S554">
        <v>-9999</v>
      </c>
      <c r="T554">
        <v>29.327</v>
      </c>
      <c r="U554">
        <v>3.192</v>
      </c>
      <c r="V554">
        <v>100</v>
      </c>
      <c r="W554">
        <v>0.1</v>
      </c>
      <c r="X554" t="s">
        <v>55</v>
      </c>
      <c r="Y554" t="s">
        <v>31</v>
      </c>
      <c r="Z554" s="3">
        <f t="shared" si="37"/>
        <v>-0.0177860682757394</v>
      </c>
      <c r="AA554">
        <f t="shared" si="38"/>
        <v>-0.542</v>
      </c>
      <c r="AB554">
        <f t="shared" si="39"/>
        <v>0.424</v>
      </c>
      <c r="AC554" t="s">
        <v>32</v>
      </c>
    </row>
    <row r="555" spans="1:29">
      <c r="A555" t="s">
        <v>64</v>
      </c>
      <c r="B555">
        <v>3818.125</v>
      </c>
      <c r="C555">
        <v>18.513</v>
      </c>
      <c r="D555">
        <v>20.203</v>
      </c>
      <c r="E555">
        <v>162.797</v>
      </c>
      <c r="F555">
        <v>0.246</v>
      </c>
      <c r="G555">
        <v>21.396</v>
      </c>
      <c r="H555">
        <v>1.527</v>
      </c>
      <c r="I555">
        <v>2.736</v>
      </c>
      <c r="J555">
        <v>0.752</v>
      </c>
      <c r="K555">
        <v>6.729</v>
      </c>
      <c r="L555">
        <v>0.14</v>
      </c>
      <c r="M555">
        <v>3.046</v>
      </c>
      <c r="N555">
        <v>86.679</v>
      </c>
      <c r="O555">
        <v>89.701</v>
      </c>
      <c r="P555">
        <f t="shared" si="36"/>
        <v>1.93791389229952</v>
      </c>
      <c r="Q555">
        <f t="shared" si="36"/>
        <v>1.95279728465012</v>
      </c>
      <c r="R555">
        <v>34.114</v>
      </c>
      <c r="S555">
        <v>-9999</v>
      </c>
      <c r="T555">
        <v>31.406</v>
      </c>
      <c r="U555">
        <v>2.792</v>
      </c>
      <c r="V555">
        <v>100</v>
      </c>
      <c r="W555">
        <v>0.1</v>
      </c>
      <c r="X555" t="s">
        <v>55</v>
      </c>
      <c r="Y555" t="s">
        <v>31</v>
      </c>
      <c r="Z555" s="3">
        <f t="shared" si="37"/>
        <v>-0.0148833923506031</v>
      </c>
      <c r="AA555">
        <f t="shared" si="38"/>
        <v>-0.612</v>
      </c>
      <c r="AB555">
        <f t="shared" si="39"/>
        <v>0.386</v>
      </c>
      <c r="AC555" t="s">
        <v>32</v>
      </c>
    </row>
    <row r="556" spans="1:29">
      <c r="A556" t="s">
        <v>64</v>
      </c>
      <c r="B556">
        <v>3818.25</v>
      </c>
      <c r="C556">
        <v>20.199</v>
      </c>
      <c r="D556">
        <v>20.398</v>
      </c>
      <c r="E556">
        <v>161.907</v>
      </c>
      <c r="F556">
        <v>0.229</v>
      </c>
      <c r="G556">
        <v>21.394</v>
      </c>
      <c r="H556">
        <v>1.496</v>
      </c>
      <c r="I556">
        <v>2.74</v>
      </c>
      <c r="J556">
        <v>0.767</v>
      </c>
      <c r="K556">
        <v>6.548</v>
      </c>
      <c r="L556">
        <v>0.114</v>
      </c>
      <c r="M556">
        <v>3.093</v>
      </c>
      <c r="N556">
        <v>90.591</v>
      </c>
      <c r="O556">
        <v>93.028</v>
      </c>
      <c r="P556">
        <f t="shared" si="36"/>
        <v>1.95708505369791</v>
      </c>
      <c r="Q556">
        <f t="shared" si="36"/>
        <v>1.96861368420217</v>
      </c>
      <c r="R556">
        <v>35.853</v>
      </c>
      <c r="S556">
        <v>-9999</v>
      </c>
      <c r="T556">
        <v>33.749</v>
      </c>
      <c r="U556">
        <v>2.534</v>
      </c>
      <c r="V556">
        <v>100</v>
      </c>
      <c r="W556">
        <v>0.1</v>
      </c>
      <c r="X556" t="s">
        <v>55</v>
      </c>
      <c r="Y556" t="s">
        <v>31</v>
      </c>
      <c r="Z556" s="3">
        <f t="shared" si="37"/>
        <v>-0.0115286305042581</v>
      </c>
      <c r="AA556">
        <f t="shared" si="38"/>
        <v>-0.653</v>
      </c>
      <c r="AB556">
        <f t="shared" si="39"/>
        <v>0.343</v>
      </c>
      <c r="AC556" t="s">
        <v>32</v>
      </c>
    </row>
    <row r="557" spans="1:29">
      <c r="A557" t="s">
        <v>64</v>
      </c>
      <c r="B557">
        <v>3818.375</v>
      </c>
      <c r="C557">
        <v>20.388</v>
      </c>
      <c r="D557">
        <v>20.692</v>
      </c>
      <c r="E557">
        <v>161.039</v>
      </c>
      <c r="F557">
        <v>0.213</v>
      </c>
      <c r="G557">
        <v>21.402</v>
      </c>
      <c r="H557">
        <v>1.377</v>
      </c>
      <c r="I557">
        <v>2.734</v>
      </c>
      <c r="J557">
        <v>0.744</v>
      </c>
      <c r="K557">
        <v>6.376</v>
      </c>
      <c r="L557">
        <v>0.09</v>
      </c>
      <c r="M557">
        <v>3.146</v>
      </c>
      <c r="N557">
        <v>93.63</v>
      </c>
      <c r="O557">
        <v>95.72</v>
      </c>
      <c r="P557">
        <f t="shared" si="36"/>
        <v>1.971415023385</v>
      </c>
      <c r="Q557">
        <f t="shared" si="36"/>
        <v>1.9810026899414</v>
      </c>
      <c r="R557">
        <v>38.346</v>
      </c>
      <c r="S557">
        <v>-9999</v>
      </c>
      <c r="T557">
        <v>36.912</v>
      </c>
      <c r="U557">
        <v>2.563</v>
      </c>
      <c r="V557">
        <v>100</v>
      </c>
      <c r="W557">
        <v>0.1</v>
      </c>
      <c r="X557" t="s">
        <v>55</v>
      </c>
      <c r="Y557" t="s">
        <v>31</v>
      </c>
      <c r="Z557" s="3">
        <f t="shared" si="37"/>
        <v>-0.00958766655640453</v>
      </c>
      <c r="AA557">
        <f t="shared" si="38"/>
        <v>-0.654</v>
      </c>
      <c r="AB557">
        <f t="shared" si="39"/>
        <v>0.303</v>
      </c>
      <c r="AC557" t="s">
        <v>32</v>
      </c>
    </row>
    <row r="558" spans="1:29">
      <c r="A558" t="s">
        <v>64</v>
      </c>
      <c r="B558">
        <v>3818.5</v>
      </c>
      <c r="C558">
        <v>19.468</v>
      </c>
      <c r="D558">
        <v>21.08</v>
      </c>
      <c r="E558">
        <v>160.238</v>
      </c>
      <c r="F558">
        <v>0.198</v>
      </c>
      <c r="G558">
        <v>21.401</v>
      </c>
      <c r="H558">
        <v>1.401</v>
      </c>
      <c r="I558">
        <v>2.723</v>
      </c>
      <c r="J558">
        <v>0.702</v>
      </c>
      <c r="K558">
        <v>6.247</v>
      </c>
      <c r="L558">
        <v>0.071</v>
      </c>
      <c r="M558">
        <v>3.195</v>
      </c>
      <c r="N558">
        <v>95.716</v>
      </c>
      <c r="O558">
        <v>97.633</v>
      </c>
      <c r="P558">
        <f t="shared" si="36"/>
        <v>1.98098454102554</v>
      </c>
      <c r="Q558">
        <f t="shared" si="36"/>
        <v>1.98959663421962</v>
      </c>
      <c r="R558">
        <v>42.361</v>
      </c>
      <c r="S558">
        <v>-9999</v>
      </c>
      <c r="T558">
        <v>41.552</v>
      </c>
      <c r="U558">
        <v>2.767</v>
      </c>
      <c r="V558">
        <v>100</v>
      </c>
      <c r="W558">
        <v>0.1</v>
      </c>
      <c r="X558" t="s">
        <v>55</v>
      </c>
      <c r="Y558" t="s">
        <v>31</v>
      </c>
      <c r="Z558" s="3">
        <f t="shared" si="37"/>
        <v>-0.00861209319407963</v>
      </c>
      <c r="AA558">
        <f t="shared" si="38"/>
        <v>-0.631</v>
      </c>
      <c r="AB558">
        <f t="shared" si="39"/>
        <v>0.269</v>
      </c>
      <c r="AC558" t="s">
        <v>32</v>
      </c>
    </row>
    <row r="559" spans="1:29">
      <c r="A559" t="s">
        <v>64</v>
      </c>
      <c r="B559">
        <v>3818.625</v>
      </c>
      <c r="C559">
        <v>19.066</v>
      </c>
      <c r="D559">
        <v>21.573</v>
      </c>
      <c r="E559">
        <v>159.489</v>
      </c>
      <c r="F559">
        <v>0.185</v>
      </c>
      <c r="G559">
        <v>21.407</v>
      </c>
      <c r="H559">
        <v>1.497</v>
      </c>
      <c r="I559">
        <v>2.716</v>
      </c>
      <c r="J559">
        <v>0.674</v>
      </c>
      <c r="K559">
        <v>6.195</v>
      </c>
      <c r="L559">
        <v>0.064</v>
      </c>
      <c r="M559">
        <v>3.232</v>
      </c>
      <c r="N559">
        <v>97.326</v>
      </c>
      <c r="O559">
        <v>98.486</v>
      </c>
      <c r="P559">
        <f t="shared" si="36"/>
        <v>1.98822887467893</v>
      </c>
      <c r="Q559">
        <f t="shared" si="36"/>
        <v>1.99337449897601</v>
      </c>
      <c r="R559">
        <v>48.248</v>
      </c>
      <c r="S559">
        <v>-9999</v>
      </c>
      <c r="T559">
        <v>48.016</v>
      </c>
      <c r="U559">
        <v>2.906</v>
      </c>
      <c r="V559">
        <v>100</v>
      </c>
      <c r="W559">
        <v>0.1</v>
      </c>
      <c r="X559" t="s">
        <v>55</v>
      </c>
      <c r="Y559" t="s">
        <v>31</v>
      </c>
      <c r="Z559" s="3">
        <f t="shared" si="37"/>
        <v>-0.00514562429708176</v>
      </c>
      <c r="AA559">
        <f t="shared" si="38"/>
        <v>-0.61</v>
      </c>
      <c r="AB559">
        <f t="shared" si="39"/>
        <v>0.249</v>
      </c>
      <c r="AC559" t="s">
        <v>32</v>
      </c>
    </row>
    <row r="560" spans="1:29">
      <c r="A560" t="s">
        <v>64</v>
      </c>
      <c r="B560">
        <v>3818.75</v>
      </c>
      <c r="C560">
        <v>19.623</v>
      </c>
      <c r="D560">
        <v>22.155</v>
      </c>
      <c r="E560">
        <v>158.736</v>
      </c>
      <c r="F560">
        <v>0.171</v>
      </c>
      <c r="G560">
        <v>21.42</v>
      </c>
      <c r="H560">
        <v>1.519</v>
      </c>
      <c r="I560">
        <v>2.718</v>
      </c>
      <c r="J560">
        <v>0.682</v>
      </c>
      <c r="K560">
        <v>6.187</v>
      </c>
      <c r="L560">
        <v>0.063</v>
      </c>
      <c r="M560">
        <v>3.257</v>
      </c>
      <c r="N560">
        <v>101.711</v>
      </c>
      <c r="O560">
        <v>101.806</v>
      </c>
      <c r="P560">
        <f t="shared" si="36"/>
        <v>2.00736792422032</v>
      </c>
      <c r="Q560">
        <f t="shared" si="36"/>
        <v>2.00777337417072</v>
      </c>
      <c r="R560">
        <v>55.838</v>
      </c>
      <c r="S560">
        <v>-9999</v>
      </c>
      <c r="T560">
        <v>55.781</v>
      </c>
      <c r="U560">
        <v>2.841</v>
      </c>
      <c r="V560">
        <v>100</v>
      </c>
      <c r="W560">
        <v>0.1</v>
      </c>
      <c r="X560" t="s">
        <v>55</v>
      </c>
      <c r="Y560" t="s">
        <v>31</v>
      </c>
      <c r="Z560" s="3">
        <f t="shared" si="37"/>
        <v>-0.000405449950396708</v>
      </c>
      <c r="AA560">
        <f t="shared" si="38"/>
        <v>-0.619</v>
      </c>
      <c r="AB560">
        <f t="shared" si="39"/>
        <v>0.234</v>
      </c>
      <c r="AC560" t="s">
        <v>32</v>
      </c>
    </row>
    <row r="561" spans="1:29">
      <c r="A561" t="s">
        <v>64</v>
      </c>
      <c r="B561">
        <v>3818.875</v>
      </c>
      <c r="C561">
        <v>20.295</v>
      </c>
      <c r="D561">
        <v>22.839</v>
      </c>
      <c r="E561">
        <v>157.949</v>
      </c>
      <c r="F561">
        <v>0.156</v>
      </c>
      <c r="G561">
        <v>21.434</v>
      </c>
      <c r="H561">
        <v>1.437</v>
      </c>
      <c r="I561">
        <v>2.728</v>
      </c>
      <c r="J561">
        <v>0.721</v>
      </c>
      <c r="K561">
        <v>6.207</v>
      </c>
      <c r="L561">
        <v>0.066</v>
      </c>
      <c r="M561">
        <v>3.275</v>
      </c>
      <c r="N561">
        <v>108.537</v>
      </c>
      <c r="O561">
        <v>107.291</v>
      </c>
      <c r="P561">
        <f t="shared" si="36"/>
        <v>2.03557781336054</v>
      </c>
      <c r="Q561">
        <f t="shared" si="36"/>
        <v>2.0305632931284</v>
      </c>
      <c r="R561">
        <v>64.146</v>
      </c>
      <c r="S561">
        <v>-9999</v>
      </c>
      <c r="T561">
        <v>63.944</v>
      </c>
      <c r="U561">
        <v>2.613</v>
      </c>
      <c r="V561">
        <v>100</v>
      </c>
      <c r="W561">
        <v>0.1</v>
      </c>
      <c r="X561" t="s">
        <v>55</v>
      </c>
      <c r="Y561" t="s">
        <v>31</v>
      </c>
      <c r="Z561" s="3">
        <f t="shared" si="37"/>
        <v>0.00501452023214144</v>
      </c>
      <c r="AA561">
        <f t="shared" si="38"/>
        <v>-0.655</v>
      </c>
      <c r="AB561">
        <f t="shared" si="39"/>
        <v>0.222</v>
      </c>
      <c r="AC561" t="s">
        <v>32</v>
      </c>
    </row>
    <row r="562" spans="1:29">
      <c r="A562" t="s">
        <v>64</v>
      </c>
      <c r="B562">
        <v>3819</v>
      </c>
      <c r="C562">
        <v>21.077</v>
      </c>
      <c r="D562">
        <v>23.637</v>
      </c>
      <c r="E562">
        <v>157.137</v>
      </c>
      <c r="F562">
        <v>0.141</v>
      </c>
      <c r="G562">
        <v>21.455</v>
      </c>
      <c r="H562">
        <v>1.25</v>
      </c>
      <c r="I562">
        <v>2.741</v>
      </c>
      <c r="J562">
        <v>0.771</v>
      </c>
      <c r="K562">
        <v>6.253</v>
      </c>
      <c r="L562">
        <v>0.072</v>
      </c>
      <c r="M562">
        <v>3.296</v>
      </c>
      <c r="N562">
        <v>114.825</v>
      </c>
      <c r="O562">
        <v>112.407</v>
      </c>
      <c r="P562">
        <f t="shared" si="36"/>
        <v>2.06003645408996</v>
      </c>
      <c r="Q562">
        <f t="shared" si="36"/>
        <v>2.05079335720024</v>
      </c>
      <c r="R562">
        <v>71.059</v>
      </c>
      <c r="S562">
        <v>-9999</v>
      </c>
      <c r="T562">
        <v>71.029</v>
      </c>
      <c r="U562">
        <v>2.331</v>
      </c>
      <c r="V562">
        <v>100</v>
      </c>
      <c r="W562">
        <v>0.1</v>
      </c>
      <c r="X562" t="s">
        <v>55</v>
      </c>
      <c r="Y562" t="s">
        <v>31</v>
      </c>
      <c r="Z562" s="3">
        <f t="shared" si="37"/>
        <v>0.00924309688971725</v>
      </c>
      <c r="AA562">
        <f t="shared" si="38"/>
        <v>-0.699</v>
      </c>
      <c r="AB562">
        <f t="shared" si="39"/>
        <v>0.213</v>
      </c>
      <c r="AC562" t="s">
        <v>32</v>
      </c>
    </row>
    <row r="563" spans="1:29">
      <c r="A563" t="s">
        <v>64</v>
      </c>
      <c r="B563">
        <v>3819.125</v>
      </c>
      <c r="C563">
        <v>20.914</v>
      </c>
      <c r="D563">
        <v>24.561</v>
      </c>
      <c r="E563">
        <v>156.341</v>
      </c>
      <c r="F563">
        <v>0.126</v>
      </c>
      <c r="G563">
        <v>21.462</v>
      </c>
      <c r="H563">
        <v>1.027</v>
      </c>
      <c r="I563">
        <v>2.747</v>
      </c>
      <c r="J563">
        <v>0.795</v>
      </c>
      <c r="K563">
        <v>6.297</v>
      </c>
      <c r="L563">
        <v>0.078</v>
      </c>
      <c r="M563">
        <v>3.332</v>
      </c>
      <c r="N563">
        <v>121.322</v>
      </c>
      <c r="O563">
        <v>117.5</v>
      </c>
      <c r="P563">
        <f t="shared" si="36"/>
        <v>2.08393956106662</v>
      </c>
      <c r="Q563">
        <f t="shared" si="36"/>
        <v>2.07003786660775</v>
      </c>
      <c r="R563">
        <v>75.514</v>
      </c>
      <c r="S563">
        <v>-9999</v>
      </c>
      <c r="T563">
        <v>76.67</v>
      </c>
      <c r="U563">
        <v>2.246</v>
      </c>
      <c r="V563">
        <v>100</v>
      </c>
      <c r="W563">
        <v>0.1</v>
      </c>
      <c r="X563" t="s">
        <v>55</v>
      </c>
      <c r="Y563" t="s">
        <v>31</v>
      </c>
      <c r="Z563" s="3">
        <f t="shared" si="37"/>
        <v>0.0139016944588661</v>
      </c>
      <c r="AA563">
        <f t="shared" si="38"/>
        <v>-0.717</v>
      </c>
      <c r="AB563">
        <f t="shared" si="39"/>
        <v>0.204</v>
      </c>
      <c r="AC563" t="s">
        <v>32</v>
      </c>
    </row>
    <row r="564" spans="1:29">
      <c r="A564" t="s">
        <v>64</v>
      </c>
      <c r="B564">
        <v>3819.25</v>
      </c>
      <c r="C564">
        <v>20.322</v>
      </c>
      <c r="D564">
        <v>25.558</v>
      </c>
      <c r="E564">
        <v>155.602</v>
      </c>
      <c r="F564">
        <v>0.113</v>
      </c>
      <c r="G564">
        <v>21.469</v>
      </c>
      <c r="H564">
        <v>0.867</v>
      </c>
      <c r="I564">
        <v>2.741</v>
      </c>
      <c r="J564">
        <v>0.771</v>
      </c>
      <c r="K564">
        <v>6.283</v>
      </c>
      <c r="L564">
        <v>0.076</v>
      </c>
      <c r="M564">
        <v>3.382</v>
      </c>
      <c r="N564">
        <v>129.63</v>
      </c>
      <c r="O564">
        <v>124.108</v>
      </c>
      <c r="P564">
        <f t="shared" si="36"/>
        <v>2.11270552103089</v>
      </c>
      <c r="Q564">
        <f t="shared" si="36"/>
        <v>2.09379977701746</v>
      </c>
      <c r="R564">
        <v>81.047</v>
      </c>
      <c r="S564">
        <v>-9999</v>
      </c>
      <c r="T564">
        <v>83.639</v>
      </c>
      <c r="U564">
        <v>2.377</v>
      </c>
      <c r="V564">
        <v>100</v>
      </c>
      <c r="W564">
        <v>0.1</v>
      </c>
      <c r="X564" t="s">
        <v>55</v>
      </c>
      <c r="Y564" t="s">
        <v>31</v>
      </c>
      <c r="Z564" s="3">
        <f t="shared" si="37"/>
        <v>0.0189057440134333</v>
      </c>
      <c r="AA564">
        <f t="shared" si="38"/>
        <v>-0.695</v>
      </c>
      <c r="AB564">
        <f t="shared" si="39"/>
        <v>0.189</v>
      </c>
      <c r="AC564" t="s">
        <v>32</v>
      </c>
    </row>
    <row r="565" spans="1:29">
      <c r="A565" t="s">
        <v>64</v>
      </c>
      <c r="B565">
        <v>3819.375</v>
      </c>
      <c r="C565">
        <v>20.243</v>
      </c>
      <c r="D565">
        <v>26.594</v>
      </c>
      <c r="E565">
        <v>154.943</v>
      </c>
      <c r="F565">
        <v>0.101</v>
      </c>
      <c r="G565">
        <v>21.471</v>
      </c>
      <c r="H565">
        <v>0.818</v>
      </c>
      <c r="I565">
        <v>2.729</v>
      </c>
      <c r="J565">
        <v>0.725</v>
      </c>
      <c r="K565">
        <v>6.241</v>
      </c>
      <c r="L565">
        <v>0.07</v>
      </c>
      <c r="M565">
        <v>3.44</v>
      </c>
      <c r="N565">
        <v>137.982</v>
      </c>
      <c r="O565">
        <v>130.192</v>
      </c>
      <c r="P565">
        <f t="shared" si="36"/>
        <v>2.1398224356002</v>
      </c>
      <c r="Q565">
        <f t="shared" si="36"/>
        <v>2.11458429865154</v>
      </c>
      <c r="R565">
        <v>90.422</v>
      </c>
      <c r="S565">
        <v>-9999</v>
      </c>
      <c r="T565">
        <v>94.589</v>
      </c>
      <c r="U565">
        <v>2.605</v>
      </c>
      <c r="V565">
        <v>100</v>
      </c>
      <c r="W565">
        <v>0.1</v>
      </c>
      <c r="X565" t="s">
        <v>55</v>
      </c>
      <c r="Y565" t="s">
        <v>31</v>
      </c>
      <c r="Z565" s="3">
        <f t="shared" si="37"/>
        <v>0.0252381369486652</v>
      </c>
      <c r="AA565">
        <f t="shared" si="38"/>
        <v>-0.655</v>
      </c>
      <c r="AB565">
        <f t="shared" si="39"/>
        <v>0.171</v>
      </c>
      <c r="AC565" t="s">
        <v>32</v>
      </c>
    </row>
    <row r="566" spans="1:29">
      <c r="A566" t="s">
        <v>64</v>
      </c>
      <c r="B566">
        <v>3819.5</v>
      </c>
      <c r="C566">
        <v>21.134</v>
      </c>
      <c r="D566">
        <v>27.649</v>
      </c>
      <c r="E566">
        <v>154.375</v>
      </c>
      <c r="F566">
        <v>0.09</v>
      </c>
      <c r="G566">
        <v>21.424</v>
      </c>
      <c r="H566">
        <v>0.812</v>
      </c>
      <c r="I566">
        <v>2.719</v>
      </c>
      <c r="J566">
        <v>0.686</v>
      </c>
      <c r="K566">
        <v>6.209</v>
      </c>
      <c r="L566">
        <v>0.066</v>
      </c>
      <c r="M566">
        <v>3.494</v>
      </c>
      <c r="N566">
        <v>144.684</v>
      </c>
      <c r="O566">
        <v>135.332</v>
      </c>
      <c r="P566">
        <f t="shared" si="36"/>
        <v>2.16042050695932</v>
      </c>
      <c r="Q566">
        <f t="shared" si="36"/>
        <v>2.13140050007309</v>
      </c>
      <c r="R566">
        <v>103.436</v>
      </c>
      <c r="S566">
        <v>-9999</v>
      </c>
      <c r="T566">
        <v>109.325</v>
      </c>
      <c r="U566">
        <v>2.755</v>
      </c>
      <c r="V566">
        <v>100</v>
      </c>
      <c r="W566">
        <v>0.1</v>
      </c>
      <c r="X566" t="s">
        <v>55</v>
      </c>
      <c r="Y566" t="s">
        <v>31</v>
      </c>
      <c r="Z566" s="3">
        <f t="shared" si="37"/>
        <v>0.029020006886237</v>
      </c>
      <c r="AA566">
        <f t="shared" si="38"/>
        <v>-0.62</v>
      </c>
      <c r="AB566">
        <f t="shared" si="39"/>
        <v>0.156</v>
      </c>
      <c r="AC566" t="s">
        <v>32</v>
      </c>
    </row>
    <row r="567" spans="1:29">
      <c r="A567" t="s">
        <v>64</v>
      </c>
      <c r="B567">
        <v>3819.625</v>
      </c>
      <c r="C567">
        <v>21.404</v>
      </c>
      <c r="D567">
        <v>28.746</v>
      </c>
      <c r="E567">
        <v>153.901</v>
      </c>
      <c r="F567">
        <v>0.081</v>
      </c>
      <c r="G567">
        <v>21.421</v>
      </c>
      <c r="H567">
        <v>0.731</v>
      </c>
      <c r="I567">
        <v>2.719</v>
      </c>
      <c r="J567">
        <v>0.686</v>
      </c>
      <c r="K567">
        <v>6.128</v>
      </c>
      <c r="L567">
        <v>0.054</v>
      </c>
      <c r="M567">
        <v>3.531</v>
      </c>
      <c r="N567">
        <v>149.879</v>
      </c>
      <c r="O567">
        <v>139.612</v>
      </c>
      <c r="P567">
        <f t="shared" si="36"/>
        <v>2.17574078679746</v>
      </c>
      <c r="Q567">
        <f t="shared" si="36"/>
        <v>2.1449227485866</v>
      </c>
      <c r="R567">
        <v>116.832</v>
      </c>
      <c r="S567">
        <v>-9999</v>
      </c>
      <c r="T567">
        <v>124.649</v>
      </c>
      <c r="U567">
        <v>2.701</v>
      </c>
      <c r="V567">
        <v>100</v>
      </c>
      <c r="W567">
        <v>0.1</v>
      </c>
      <c r="X567" t="s">
        <v>55</v>
      </c>
      <c r="Y567" t="s">
        <v>31</v>
      </c>
      <c r="Z567" s="3">
        <f t="shared" si="37"/>
        <v>0.0308180382108567</v>
      </c>
      <c r="AA567">
        <f t="shared" si="38"/>
        <v>-0.632</v>
      </c>
      <c r="AB567">
        <f t="shared" si="39"/>
        <v>0.135</v>
      </c>
      <c r="AC567" t="s">
        <v>32</v>
      </c>
    </row>
    <row r="568" spans="1:29">
      <c r="A568" t="s">
        <v>64</v>
      </c>
      <c r="B568">
        <v>3819.75</v>
      </c>
      <c r="C568">
        <v>22.01</v>
      </c>
      <c r="D568">
        <v>29.902</v>
      </c>
      <c r="E568">
        <v>153.488</v>
      </c>
      <c r="F568">
        <v>0.074</v>
      </c>
      <c r="G568">
        <v>21.437</v>
      </c>
      <c r="H568">
        <v>0.626</v>
      </c>
      <c r="I568">
        <v>2.728</v>
      </c>
      <c r="J568">
        <v>0.721</v>
      </c>
      <c r="K568">
        <v>6.012</v>
      </c>
      <c r="L568">
        <v>0.038</v>
      </c>
      <c r="M568">
        <v>3.548</v>
      </c>
      <c r="N568">
        <v>155.57</v>
      </c>
      <c r="O568">
        <v>144.102</v>
      </c>
      <c r="P568">
        <f t="shared" si="36"/>
        <v>2.19192585171144</v>
      </c>
      <c r="Q568">
        <f t="shared" si="36"/>
        <v>2.15867000845407</v>
      </c>
      <c r="R568">
        <v>128.448</v>
      </c>
      <c r="S568">
        <v>-9999</v>
      </c>
      <c r="T568">
        <v>138.043</v>
      </c>
      <c r="U568">
        <v>2.417</v>
      </c>
      <c r="V568">
        <v>100</v>
      </c>
      <c r="W568">
        <v>0.1</v>
      </c>
      <c r="X568" t="s">
        <v>55</v>
      </c>
      <c r="Y568" t="s">
        <v>31</v>
      </c>
      <c r="Z568" s="3">
        <f t="shared" si="37"/>
        <v>0.0332558432573626</v>
      </c>
      <c r="AA568">
        <f t="shared" si="38"/>
        <v>-0.683</v>
      </c>
      <c r="AB568">
        <f t="shared" si="39"/>
        <v>0.112</v>
      </c>
      <c r="AC568" t="s">
        <v>32</v>
      </c>
    </row>
    <row r="569" spans="1:29">
      <c r="A569" t="s">
        <v>64</v>
      </c>
      <c r="B569">
        <v>3819.875</v>
      </c>
      <c r="C569">
        <v>22.645</v>
      </c>
      <c r="D569">
        <v>31.133</v>
      </c>
      <c r="E569">
        <v>153.111</v>
      </c>
      <c r="F569">
        <v>0.067</v>
      </c>
      <c r="G569">
        <v>21.45</v>
      </c>
      <c r="H569">
        <v>0.574</v>
      </c>
      <c r="I569">
        <v>2.744</v>
      </c>
      <c r="J569">
        <v>0.783</v>
      </c>
      <c r="K569">
        <v>5.896</v>
      </c>
      <c r="L569">
        <v>0.021</v>
      </c>
      <c r="M569">
        <v>3.548</v>
      </c>
      <c r="N569">
        <v>164.002</v>
      </c>
      <c r="O569">
        <v>150.784</v>
      </c>
      <c r="P569">
        <f t="shared" si="36"/>
        <v>2.21484914428957</v>
      </c>
      <c r="Q569">
        <f t="shared" si="36"/>
        <v>2.17835526009895</v>
      </c>
      <c r="R569">
        <v>139.597</v>
      </c>
      <c r="S569">
        <v>-9999</v>
      </c>
      <c r="T569">
        <v>150.248</v>
      </c>
      <c r="U569">
        <v>2.021</v>
      </c>
      <c r="V569">
        <v>100</v>
      </c>
      <c r="W569">
        <v>0.1</v>
      </c>
      <c r="X569" t="s">
        <v>55</v>
      </c>
      <c r="Y569" t="s">
        <v>31</v>
      </c>
      <c r="Z569" s="3">
        <f t="shared" si="37"/>
        <v>0.0364938841906222</v>
      </c>
      <c r="AA569">
        <f t="shared" si="38"/>
        <v>-0.762</v>
      </c>
      <c r="AB569">
        <f t="shared" si="39"/>
        <v>0.088</v>
      </c>
      <c r="AC569" t="s">
        <v>32</v>
      </c>
    </row>
    <row r="570" spans="1:29">
      <c r="A570" t="s">
        <v>64</v>
      </c>
      <c r="B570">
        <v>3820</v>
      </c>
      <c r="C570">
        <v>22.642</v>
      </c>
      <c r="D570">
        <v>32.441</v>
      </c>
      <c r="E570">
        <v>152.745</v>
      </c>
      <c r="F570">
        <v>0.06</v>
      </c>
      <c r="G570">
        <v>21.447</v>
      </c>
      <c r="H570">
        <v>0.529</v>
      </c>
      <c r="I570">
        <v>2.76</v>
      </c>
      <c r="J570">
        <v>0.845</v>
      </c>
      <c r="K570">
        <v>5.793</v>
      </c>
      <c r="L570">
        <v>0.007</v>
      </c>
      <c r="M570">
        <v>3.537</v>
      </c>
      <c r="N570">
        <v>172.366</v>
      </c>
      <c r="O570">
        <v>157.411</v>
      </c>
      <c r="P570">
        <f t="shared" si="36"/>
        <v>2.23645160331804</v>
      </c>
      <c r="Q570">
        <f t="shared" si="36"/>
        <v>2.19703507791109</v>
      </c>
      <c r="R570">
        <v>151.41</v>
      </c>
      <c r="S570">
        <v>-9999</v>
      </c>
      <c r="T570">
        <v>162.044</v>
      </c>
      <c r="U570">
        <v>1.684</v>
      </c>
      <c r="V570">
        <v>100</v>
      </c>
      <c r="W570">
        <v>0.1</v>
      </c>
      <c r="X570" t="s">
        <v>55</v>
      </c>
      <c r="Y570" t="s">
        <v>31</v>
      </c>
      <c r="Z570" s="3">
        <f t="shared" si="37"/>
        <v>0.0394165254069434</v>
      </c>
      <c r="AA570">
        <f t="shared" si="38"/>
        <v>-0.838</v>
      </c>
      <c r="AB570">
        <f t="shared" si="39"/>
        <v>0.067</v>
      </c>
      <c r="AC570" t="s">
        <v>32</v>
      </c>
    </row>
    <row r="571" spans="1:29">
      <c r="A571" t="s">
        <v>65</v>
      </c>
      <c r="B571">
        <v>3471</v>
      </c>
      <c r="C571">
        <v>22.919</v>
      </c>
      <c r="D571">
        <v>-20.383</v>
      </c>
      <c r="E571">
        <v>178.141</v>
      </c>
      <c r="F571">
        <v>0.351</v>
      </c>
      <c r="G571">
        <v>22.168</v>
      </c>
      <c r="H571">
        <v>1.603</v>
      </c>
      <c r="I571">
        <v>2.692</v>
      </c>
      <c r="J571">
        <v>0.383</v>
      </c>
      <c r="K571">
        <v>16.054</v>
      </c>
      <c r="L571">
        <v>0.991</v>
      </c>
      <c r="M571">
        <v>3.041</v>
      </c>
      <c r="N571">
        <v>38.237</v>
      </c>
      <c r="O571">
        <v>40.475</v>
      </c>
      <c r="P571">
        <f t="shared" si="36"/>
        <v>1.5824838110477</v>
      </c>
      <c r="Q571">
        <f t="shared" si="36"/>
        <v>1.60718685742541</v>
      </c>
      <c r="R571">
        <v>20.401</v>
      </c>
      <c r="S571">
        <v>20.401</v>
      </c>
      <c r="T571">
        <v>20.156</v>
      </c>
      <c r="U571">
        <v>7.776</v>
      </c>
      <c r="V571">
        <v>47.342</v>
      </c>
      <c r="W571">
        <v>0.14</v>
      </c>
      <c r="X571" t="s">
        <v>55</v>
      </c>
      <c r="Y571" t="s">
        <v>31</v>
      </c>
      <c r="Z571" s="3">
        <f t="shared" si="37"/>
        <v>-0.0247030463777089</v>
      </c>
      <c r="AA571">
        <f t="shared" si="38"/>
        <v>0.608</v>
      </c>
      <c r="AB571">
        <f t="shared" si="39"/>
        <v>1.342</v>
      </c>
      <c r="AC571" t="s">
        <v>32</v>
      </c>
    </row>
    <row r="572" spans="1:29">
      <c r="A572" t="s">
        <v>65</v>
      </c>
      <c r="B572">
        <v>3471.125</v>
      </c>
      <c r="C572">
        <v>22.921</v>
      </c>
      <c r="D572">
        <v>-20.612</v>
      </c>
      <c r="E572">
        <v>177.372</v>
      </c>
      <c r="F572">
        <v>0.342</v>
      </c>
      <c r="G572">
        <v>22.177</v>
      </c>
      <c r="H572">
        <v>1.588</v>
      </c>
      <c r="I572">
        <v>2.692</v>
      </c>
      <c r="J572">
        <v>0.383</v>
      </c>
      <c r="K572">
        <v>16.191</v>
      </c>
      <c r="L572">
        <v>1</v>
      </c>
      <c r="M572">
        <v>3.022</v>
      </c>
      <c r="N572">
        <v>37.382</v>
      </c>
      <c r="O572">
        <v>39.749</v>
      </c>
      <c r="P572">
        <f t="shared" si="36"/>
        <v>1.5726625331511</v>
      </c>
      <c r="Q572">
        <f t="shared" si="36"/>
        <v>1.59932620720771</v>
      </c>
      <c r="R572">
        <v>19.524</v>
      </c>
      <c r="S572">
        <v>19.524</v>
      </c>
      <c r="T572">
        <v>19.297</v>
      </c>
      <c r="U572">
        <v>7.577</v>
      </c>
      <c r="V572">
        <v>50.344</v>
      </c>
      <c r="W572">
        <v>0.125</v>
      </c>
      <c r="X572" t="s">
        <v>55</v>
      </c>
      <c r="Y572" t="s">
        <v>31</v>
      </c>
      <c r="Z572" s="3">
        <f t="shared" si="37"/>
        <v>-0.02666367405661</v>
      </c>
      <c r="AA572">
        <f t="shared" si="38"/>
        <v>0.617</v>
      </c>
      <c r="AB572">
        <f t="shared" si="39"/>
        <v>1.342</v>
      </c>
      <c r="AC572" t="s">
        <v>32</v>
      </c>
    </row>
    <row r="573" spans="1:29">
      <c r="A573" t="s">
        <v>65</v>
      </c>
      <c r="B573">
        <v>3471.25</v>
      </c>
      <c r="C573">
        <v>22.723</v>
      </c>
      <c r="D573">
        <v>-20.399</v>
      </c>
      <c r="E573">
        <v>174.778</v>
      </c>
      <c r="F573">
        <v>0.312</v>
      </c>
      <c r="G573">
        <v>22.201</v>
      </c>
      <c r="H573">
        <v>1.575</v>
      </c>
      <c r="I573">
        <v>2.694</v>
      </c>
      <c r="J573">
        <v>0.389</v>
      </c>
      <c r="K573">
        <v>15.752</v>
      </c>
      <c r="L573">
        <v>0.97</v>
      </c>
      <c r="M573">
        <v>3.004</v>
      </c>
      <c r="N573">
        <v>38.493</v>
      </c>
      <c r="O573">
        <v>41.186</v>
      </c>
      <c r="P573">
        <f t="shared" si="36"/>
        <v>1.58538175969614</v>
      </c>
      <c r="Q573">
        <f t="shared" si="36"/>
        <v>1.61474961515907</v>
      </c>
      <c r="R573">
        <v>18.434</v>
      </c>
      <c r="S573">
        <v>18.434</v>
      </c>
      <c r="T573">
        <v>18.231</v>
      </c>
      <c r="U573">
        <v>8.893</v>
      </c>
      <c r="V573">
        <v>43.647</v>
      </c>
      <c r="W573">
        <v>0.26</v>
      </c>
      <c r="X573" t="s">
        <v>55</v>
      </c>
      <c r="Y573" t="s">
        <v>31</v>
      </c>
      <c r="Z573" s="3">
        <f t="shared" si="37"/>
        <v>-0.0293678554629382</v>
      </c>
      <c r="AA573">
        <f t="shared" si="38"/>
        <v>0.581</v>
      </c>
      <c r="AB573">
        <f t="shared" si="39"/>
        <v>1.282</v>
      </c>
      <c r="AC573" t="s">
        <v>32</v>
      </c>
    </row>
    <row r="574" spans="1:29">
      <c r="A574" t="s">
        <v>65</v>
      </c>
      <c r="B574">
        <v>3471.375</v>
      </c>
      <c r="C574">
        <v>22.432</v>
      </c>
      <c r="D574">
        <v>-19.88</v>
      </c>
      <c r="E574">
        <v>170.543</v>
      </c>
      <c r="F574">
        <v>0.263</v>
      </c>
      <c r="G574">
        <v>22.219</v>
      </c>
      <c r="H574">
        <v>1.595</v>
      </c>
      <c r="I574">
        <v>2.699</v>
      </c>
      <c r="J574">
        <v>0.402</v>
      </c>
      <c r="K574">
        <v>14.771</v>
      </c>
      <c r="L574">
        <v>0.904</v>
      </c>
      <c r="M574">
        <v>3</v>
      </c>
      <c r="N574">
        <v>42.308</v>
      </c>
      <c r="O574">
        <v>45.516</v>
      </c>
      <c r="P574">
        <f t="shared" si="36"/>
        <v>1.62642249568124</v>
      </c>
      <c r="Q574">
        <f t="shared" si="36"/>
        <v>1.65816408875042</v>
      </c>
      <c r="R574">
        <v>17.825</v>
      </c>
      <c r="S574">
        <v>17.825</v>
      </c>
      <c r="T574">
        <v>17.628</v>
      </c>
      <c r="U574">
        <v>8.585</v>
      </c>
      <c r="V574">
        <v>45.546</v>
      </c>
      <c r="W574">
        <v>0.217</v>
      </c>
      <c r="X574" t="s">
        <v>55</v>
      </c>
      <c r="Y574" t="s">
        <v>31</v>
      </c>
      <c r="Z574" s="3">
        <f t="shared" si="37"/>
        <v>-0.0317415930691709</v>
      </c>
      <c r="AA574">
        <f t="shared" si="38"/>
        <v>0.502</v>
      </c>
      <c r="AB574">
        <f t="shared" si="39"/>
        <v>1.167</v>
      </c>
      <c r="AC574" t="s">
        <v>32</v>
      </c>
    </row>
    <row r="575" spans="1:29">
      <c r="A575" t="s">
        <v>65</v>
      </c>
      <c r="B575">
        <v>3471.5</v>
      </c>
      <c r="C575">
        <v>22.324</v>
      </c>
      <c r="D575">
        <v>-19.524</v>
      </c>
      <c r="E575">
        <v>167.861</v>
      </c>
      <c r="F575">
        <v>0.232</v>
      </c>
      <c r="G575">
        <v>22.221</v>
      </c>
      <c r="H575">
        <v>1.624</v>
      </c>
      <c r="I575">
        <v>2.712</v>
      </c>
      <c r="J575">
        <v>0.437</v>
      </c>
      <c r="K575">
        <v>14.272</v>
      </c>
      <c r="L575">
        <v>0.87</v>
      </c>
      <c r="M575">
        <v>3</v>
      </c>
      <c r="N575">
        <v>45.561</v>
      </c>
      <c r="O575">
        <v>49.148</v>
      </c>
      <c r="P575">
        <f t="shared" si="36"/>
        <v>1.65859324766597</v>
      </c>
      <c r="Q575">
        <f t="shared" si="36"/>
        <v>1.6915058496018</v>
      </c>
      <c r="R575">
        <v>17.677</v>
      </c>
      <c r="S575">
        <v>17.677</v>
      </c>
      <c r="T575">
        <v>17.48</v>
      </c>
      <c r="U575">
        <v>8.228</v>
      </c>
      <c r="V575">
        <v>47.825</v>
      </c>
      <c r="W575">
        <v>0.179</v>
      </c>
      <c r="X575" t="s">
        <v>55</v>
      </c>
      <c r="Y575" t="s">
        <v>31</v>
      </c>
      <c r="Z575" s="3">
        <f t="shared" si="37"/>
        <v>-0.032912601935827</v>
      </c>
      <c r="AA575">
        <f t="shared" si="38"/>
        <v>0.433</v>
      </c>
      <c r="AB575">
        <f t="shared" si="39"/>
        <v>1.102</v>
      </c>
      <c r="AC575" t="s">
        <v>32</v>
      </c>
    </row>
    <row r="576" spans="1:29">
      <c r="A576" t="s">
        <v>65</v>
      </c>
      <c r="B576">
        <v>3471.625</v>
      </c>
      <c r="C576">
        <v>22.344</v>
      </c>
      <c r="D576">
        <v>-19.315</v>
      </c>
      <c r="E576">
        <v>163.842</v>
      </c>
      <c r="F576">
        <v>0.186</v>
      </c>
      <c r="G576">
        <v>22.218</v>
      </c>
      <c r="H576">
        <v>1.686</v>
      </c>
      <c r="I576">
        <v>2.722</v>
      </c>
      <c r="J576">
        <v>0.464</v>
      </c>
      <c r="K576">
        <v>13.619</v>
      </c>
      <c r="L576">
        <v>0.826</v>
      </c>
      <c r="M576">
        <v>3</v>
      </c>
      <c r="N576">
        <v>52.183</v>
      </c>
      <c r="O576">
        <v>56.476</v>
      </c>
      <c r="P576">
        <f t="shared" si="36"/>
        <v>1.71752904306611</v>
      </c>
      <c r="Q576">
        <f t="shared" si="36"/>
        <v>1.75186392955498</v>
      </c>
      <c r="R576">
        <v>17.837</v>
      </c>
      <c r="S576">
        <v>17.837</v>
      </c>
      <c r="T576">
        <v>17.647</v>
      </c>
      <c r="U576">
        <v>6.825</v>
      </c>
      <c r="V576">
        <v>58.634</v>
      </c>
      <c r="W576">
        <v>0.084</v>
      </c>
      <c r="X576" t="s">
        <v>55</v>
      </c>
      <c r="Y576" t="s">
        <v>31</v>
      </c>
      <c r="Z576" s="3">
        <f t="shared" si="37"/>
        <v>-0.0343348864888737</v>
      </c>
      <c r="AA576">
        <f t="shared" si="38"/>
        <v>0.362</v>
      </c>
      <c r="AB576">
        <f t="shared" si="39"/>
        <v>1.012</v>
      </c>
      <c r="AC576" t="s">
        <v>32</v>
      </c>
    </row>
    <row r="577" spans="1:29">
      <c r="A577" t="s">
        <v>65</v>
      </c>
      <c r="B577">
        <v>3471.75</v>
      </c>
      <c r="C577">
        <v>22.679</v>
      </c>
      <c r="D577">
        <v>-18.712</v>
      </c>
      <c r="E577">
        <v>160.497</v>
      </c>
      <c r="F577">
        <v>0.147</v>
      </c>
      <c r="G577">
        <v>22.213</v>
      </c>
      <c r="H577">
        <v>1.727</v>
      </c>
      <c r="I577">
        <v>2.736</v>
      </c>
      <c r="J577">
        <v>0.501</v>
      </c>
      <c r="K577">
        <v>13.455</v>
      </c>
      <c r="L577">
        <v>0.815</v>
      </c>
      <c r="M577">
        <v>2.971</v>
      </c>
      <c r="N577">
        <v>60.008</v>
      </c>
      <c r="O577">
        <v>65.128</v>
      </c>
      <c r="P577">
        <f t="shared" si="36"/>
        <v>1.77820915245451</v>
      </c>
      <c r="Q577">
        <f t="shared" si="36"/>
        <v>1.81376774173465</v>
      </c>
      <c r="R577">
        <v>18.221</v>
      </c>
      <c r="S577">
        <v>18.221</v>
      </c>
      <c r="T577">
        <v>18.051</v>
      </c>
      <c r="U577">
        <v>6.085</v>
      </c>
      <c r="V577">
        <v>65.214</v>
      </c>
      <c r="W577">
        <v>0.048</v>
      </c>
      <c r="X577" t="s">
        <v>55</v>
      </c>
      <c r="Y577" t="s">
        <v>31</v>
      </c>
      <c r="Z577" s="3">
        <f t="shared" si="37"/>
        <v>-0.0355585892801369</v>
      </c>
      <c r="AA577">
        <f t="shared" si="38"/>
        <v>0.314</v>
      </c>
      <c r="AB577">
        <f t="shared" si="39"/>
        <v>0.962</v>
      </c>
      <c r="AC577" t="s">
        <v>32</v>
      </c>
    </row>
    <row r="578" spans="1:29">
      <c r="A578" t="s">
        <v>65</v>
      </c>
      <c r="B578">
        <v>3471.875</v>
      </c>
      <c r="C578">
        <v>23.001</v>
      </c>
      <c r="D578">
        <v>-17.737</v>
      </c>
      <c r="E578">
        <v>159.442</v>
      </c>
      <c r="F578">
        <v>0.135</v>
      </c>
      <c r="G578">
        <v>22.208</v>
      </c>
      <c r="H578">
        <v>1.793</v>
      </c>
      <c r="I578">
        <v>2.746</v>
      </c>
      <c r="J578">
        <v>0.528</v>
      </c>
      <c r="K578">
        <v>13.353</v>
      </c>
      <c r="L578">
        <v>0.808</v>
      </c>
      <c r="M578">
        <v>2.948</v>
      </c>
      <c r="N578">
        <v>64.017</v>
      </c>
      <c r="O578">
        <v>69.618</v>
      </c>
      <c r="P578">
        <f t="shared" si="36"/>
        <v>1.80629531813718</v>
      </c>
      <c r="Q578">
        <f t="shared" si="36"/>
        <v>1.84272154262767</v>
      </c>
      <c r="R578">
        <v>18.42</v>
      </c>
      <c r="S578">
        <v>18.42</v>
      </c>
      <c r="T578">
        <v>18.253</v>
      </c>
      <c r="U578">
        <v>4.774</v>
      </c>
      <c r="V578">
        <v>84.663</v>
      </c>
      <c r="W578">
        <v>0.018</v>
      </c>
      <c r="X578" t="s">
        <v>55</v>
      </c>
      <c r="Y578" t="s">
        <v>31</v>
      </c>
      <c r="Z578" s="3">
        <f t="shared" si="37"/>
        <v>-0.0364262244904938</v>
      </c>
      <c r="AA578">
        <f t="shared" si="38"/>
        <v>0.28</v>
      </c>
      <c r="AB578">
        <f t="shared" si="39"/>
        <v>0.943</v>
      </c>
      <c r="AC578" t="s">
        <v>32</v>
      </c>
    </row>
    <row r="579" spans="1:29">
      <c r="A579" t="s">
        <v>65</v>
      </c>
      <c r="B579">
        <v>3472</v>
      </c>
      <c r="C579">
        <v>23.532</v>
      </c>
      <c r="D579">
        <v>-17.072</v>
      </c>
      <c r="E579">
        <v>159.76</v>
      </c>
      <c r="F579">
        <v>0.139</v>
      </c>
      <c r="G579">
        <v>22.192</v>
      </c>
      <c r="H579">
        <v>1.822</v>
      </c>
      <c r="I579">
        <v>2.749</v>
      </c>
      <c r="J579">
        <v>0.536</v>
      </c>
      <c r="K579">
        <v>13.338</v>
      </c>
      <c r="L579">
        <v>0.807</v>
      </c>
      <c r="M579">
        <v>2.944</v>
      </c>
      <c r="N579">
        <v>66.418</v>
      </c>
      <c r="O579">
        <v>72.579</v>
      </c>
      <c r="P579">
        <f t="shared" si="36"/>
        <v>1.8222857938453</v>
      </c>
      <c r="Q579">
        <f t="shared" si="36"/>
        <v>1.86081098015727</v>
      </c>
      <c r="R579">
        <v>18.767</v>
      </c>
      <c r="S579">
        <v>18.767</v>
      </c>
      <c r="T579">
        <v>18.6</v>
      </c>
      <c r="U579">
        <v>4.392</v>
      </c>
      <c r="V579">
        <v>91.036</v>
      </c>
      <c r="W579">
        <v>0.011</v>
      </c>
      <c r="X579" t="s">
        <v>55</v>
      </c>
      <c r="Y579" t="s">
        <v>31</v>
      </c>
      <c r="Z579" s="3">
        <f t="shared" si="37"/>
        <v>-0.038525186311962</v>
      </c>
      <c r="AA579">
        <f t="shared" si="38"/>
        <v>0.271</v>
      </c>
      <c r="AB579">
        <f t="shared" si="39"/>
        <v>0.946</v>
      </c>
      <c r="AC579" t="s">
        <v>32</v>
      </c>
    </row>
    <row r="580" spans="1:29">
      <c r="A580" t="s">
        <v>65</v>
      </c>
      <c r="B580">
        <v>3472.125</v>
      </c>
      <c r="C580">
        <v>23.496</v>
      </c>
      <c r="D580">
        <v>-15.91</v>
      </c>
      <c r="E580">
        <v>160.57</v>
      </c>
      <c r="F580">
        <v>0.148</v>
      </c>
      <c r="G580">
        <v>22.166</v>
      </c>
      <c r="H580">
        <v>1.807</v>
      </c>
      <c r="I580">
        <v>2.746</v>
      </c>
      <c r="J580">
        <v>0.528</v>
      </c>
      <c r="K580">
        <v>13.32</v>
      </c>
      <c r="L580">
        <v>0.806</v>
      </c>
      <c r="M580">
        <v>2.944</v>
      </c>
      <c r="N580">
        <v>63.124</v>
      </c>
      <c r="O580">
        <v>69.335</v>
      </c>
      <c r="P580">
        <f t="shared" si="36"/>
        <v>1.80019451115964</v>
      </c>
      <c r="Q580">
        <f t="shared" si="36"/>
        <v>1.84095251988882</v>
      </c>
      <c r="R580">
        <v>19.042</v>
      </c>
      <c r="S580">
        <v>19.042</v>
      </c>
      <c r="T580">
        <v>18.873</v>
      </c>
      <c r="U580">
        <v>4.921</v>
      </c>
      <c r="V580">
        <v>80.282</v>
      </c>
      <c r="W580">
        <v>0.019</v>
      </c>
      <c r="X580" t="s">
        <v>55</v>
      </c>
      <c r="Y580" t="s">
        <v>31</v>
      </c>
      <c r="Z580" s="3">
        <f t="shared" si="37"/>
        <v>-0.0407580087291843</v>
      </c>
      <c r="AA580">
        <f t="shared" si="38"/>
        <v>0.278</v>
      </c>
      <c r="AB580">
        <f t="shared" si="39"/>
        <v>0.954</v>
      </c>
      <c r="AC580" t="s">
        <v>32</v>
      </c>
    </row>
    <row r="581" spans="1:29">
      <c r="A581" t="s">
        <v>65</v>
      </c>
      <c r="B581">
        <v>3472.25</v>
      </c>
      <c r="C581">
        <v>23.229</v>
      </c>
      <c r="D581">
        <v>-14.511</v>
      </c>
      <c r="E581">
        <v>162.49</v>
      </c>
      <c r="F581">
        <v>0.17</v>
      </c>
      <c r="G581">
        <v>22.152</v>
      </c>
      <c r="H581">
        <v>1.735</v>
      </c>
      <c r="I581">
        <v>2.742</v>
      </c>
      <c r="J581">
        <v>0.517</v>
      </c>
      <c r="K581">
        <v>13.387</v>
      </c>
      <c r="L581">
        <v>0.81</v>
      </c>
      <c r="M581">
        <v>2.944</v>
      </c>
      <c r="N581">
        <v>59.29</v>
      </c>
      <c r="O581">
        <v>65.246</v>
      </c>
      <c r="P581">
        <f t="shared" si="36"/>
        <v>1.77298145034496</v>
      </c>
      <c r="Q581">
        <f t="shared" si="36"/>
        <v>1.81455389177773</v>
      </c>
      <c r="R581">
        <v>19.079</v>
      </c>
      <c r="S581">
        <v>19.079</v>
      </c>
      <c r="T581">
        <v>18.922</v>
      </c>
      <c r="U581">
        <v>6.214</v>
      </c>
      <c r="V581">
        <v>62.781</v>
      </c>
      <c r="W581">
        <v>0.054</v>
      </c>
      <c r="X581" t="s">
        <v>55</v>
      </c>
      <c r="Y581" t="s">
        <v>31</v>
      </c>
      <c r="Z581" s="3">
        <f t="shared" si="37"/>
        <v>-0.041572441432763</v>
      </c>
      <c r="AA581">
        <f t="shared" si="38"/>
        <v>0.293</v>
      </c>
      <c r="AB581">
        <f t="shared" si="39"/>
        <v>0.98</v>
      </c>
      <c r="AC581" t="s">
        <v>32</v>
      </c>
    </row>
    <row r="582" spans="1:29">
      <c r="A582" t="s">
        <v>65</v>
      </c>
      <c r="B582">
        <v>3472.375</v>
      </c>
      <c r="C582">
        <v>23.069</v>
      </c>
      <c r="D582">
        <v>-13.727</v>
      </c>
      <c r="E582">
        <v>164.297</v>
      </c>
      <c r="F582">
        <v>0.191</v>
      </c>
      <c r="G582">
        <v>22.121</v>
      </c>
      <c r="H582">
        <v>1.654</v>
      </c>
      <c r="I582">
        <v>2.735</v>
      </c>
      <c r="J582">
        <v>0.499</v>
      </c>
      <c r="K582">
        <v>13.738</v>
      </c>
      <c r="L582">
        <v>0.834</v>
      </c>
      <c r="M582">
        <v>2.944</v>
      </c>
      <c r="N582">
        <v>52.634</v>
      </c>
      <c r="O582">
        <v>57.84</v>
      </c>
      <c r="P582">
        <f t="shared" si="36"/>
        <v>1.72126637613387</v>
      </c>
      <c r="Q582">
        <f t="shared" si="36"/>
        <v>1.76222828428647</v>
      </c>
      <c r="R582">
        <v>18.915</v>
      </c>
      <c r="S582">
        <v>18.915</v>
      </c>
      <c r="T582">
        <v>18.796</v>
      </c>
      <c r="U582">
        <v>5.147</v>
      </c>
      <c r="V582">
        <v>77.243</v>
      </c>
      <c r="W582">
        <v>0.025</v>
      </c>
      <c r="X582" t="s">
        <v>55</v>
      </c>
      <c r="Y582" t="s">
        <v>31</v>
      </c>
      <c r="Z582" s="3">
        <f t="shared" si="37"/>
        <v>-0.0409619081526054</v>
      </c>
      <c r="AA582">
        <f t="shared" si="38"/>
        <v>0.335</v>
      </c>
      <c r="AB582">
        <f t="shared" si="39"/>
        <v>1.025</v>
      </c>
      <c r="AC582" t="s">
        <v>32</v>
      </c>
    </row>
    <row r="583" spans="1:29">
      <c r="A583" t="s">
        <v>65</v>
      </c>
      <c r="B583">
        <v>3472.5</v>
      </c>
      <c r="C583">
        <v>23.683</v>
      </c>
      <c r="D583">
        <v>-12.902</v>
      </c>
      <c r="E583">
        <v>165.21</v>
      </c>
      <c r="F583">
        <v>0.201</v>
      </c>
      <c r="G583">
        <v>22.102</v>
      </c>
      <c r="H583">
        <v>1.622</v>
      </c>
      <c r="I583">
        <v>2.729</v>
      </c>
      <c r="J583">
        <v>0.483</v>
      </c>
      <c r="K583">
        <v>14.051</v>
      </c>
      <c r="L583">
        <v>0.855</v>
      </c>
      <c r="M583">
        <v>2.944</v>
      </c>
      <c r="N583">
        <v>47.4</v>
      </c>
      <c r="O583">
        <v>51.807</v>
      </c>
      <c r="P583">
        <f t="shared" si="36"/>
        <v>1.67577834167409</v>
      </c>
      <c r="Q583">
        <f t="shared" si="36"/>
        <v>1.71438844422366</v>
      </c>
      <c r="R583">
        <v>18.763</v>
      </c>
      <c r="S583">
        <v>18.763</v>
      </c>
      <c r="T583">
        <v>18.665</v>
      </c>
      <c r="U583">
        <v>5.642</v>
      </c>
      <c r="V583">
        <v>69.948</v>
      </c>
      <c r="W583">
        <v>0.035</v>
      </c>
      <c r="X583" t="s">
        <v>55</v>
      </c>
      <c r="Y583" t="s">
        <v>31</v>
      </c>
      <c r="Z583" s="3">
        <f t="shared" si="37"/>
        <v>-0.0386101025495702</v>
      </c>
      <c r="AA583">
        <f t="shared" si="38"/>
        <v>0.372</v>
      </c>
      <c r="AB583">
        <f t="shared" si="39"/>
        <v>1.056</v>
      </c>
      <c r="AC583" t="s">
        <v>32</v>
      </c>
    </row>
    <row r="584" spans="1:29">
      <c r="A584" t="s">
        <v>65</v>
      </c>
      <c r="B584">
        <v>3472.625</v>
      </c>
      <c r="C584">
        <v>24.16</v>
      </c>
      <c r="D584">
        <v>-12.583</v>
      </c>
      <c r="E584">
        <v>166.891</v>
      </c>
      <c r="F584">
        <v>0.221</v>
      </c>
      <c r="G584">
        <v>22.104</v>
      </c>
      <c r="H584">
        <v>1.611</v>
      </c>
      <c r="I584">
        <v>2.727</v>
      </c>
      <c r="J584">
        <v>0.477</v>
      </c>
      <c r="K584">
        <v>14.677</v>
      </c>
      <c r="L584">
        <v>0.897</v>
      </c>
      <c r="M584">
        <v>2.944</v>
      </c>
      <c r="N584">
        <v>45.356</v>
      </c>
      <c r="O584">
        <v>49.378</v>
      </c>
      <c r="P584">
        <f t="shared" si="36"/>
        <v>1.65663474662279</v>
      </c>
      <c r="Q584">
        <f t="shared" si="36"/>
        <v>1.69353349534573</v>
      </c>
      <c r="R584">
        <v>18.401</v>
      </c>
      <c r="S584">
        <v>18.401</v>
      </c>
      <c r="T584">
        <v>18.323</v>
      </c>
      <c r="U584">
        <v>3.911</v>
      </c>
      <c r="V584">
        <v>94.655</v>
      </c>
      <c r="W584">
        <v>0.015</v>
      </c>
      <c r="X584" t="s">
        <v>55</v>
      </c>
      <c r="Y584" t="s">
        <v>31</v>
      </c>
      <c r="Z584" s="3">
        <f t="shared" si="37"/>
        <v>-0.0368987487229424</v>
      </c>
      <c r="AA584">
        <f t="shared" si="38"/>
        <v>0.42</v>
      </c>
      <c r="AB584">
        <f t="shared" si="39"/>
        <v>1.118</v>
      </c>
      <c r="AC584" t="s">
        <v>32</v>
      </c>
    </row>
    <row r="585" spans="1:29">
      <c r="A585" t="s">
        <v>65</v>
      </c>
      <c r="B585">
        <v>3472.75</v>
      </c>
      <c r="C585">
        <v>24.396</v>
      </c>
      <c r="D585">
        <v>-12.183</v>
      </c>
      <c r="E585">
        <v>167.902</v>
      </c>
      <c r="F585">
        <v>0.232</v>
      </c>
      <c r="G585">
        <v>22.125</v>
      </c>
      <c r="H585">
        <v>1.651</v>
      </c>
      <c r="I585">
        <v>2.729</v>
      </c>
      <c r="J585">
        <v>0.483</v>
      </c>
      <c r="K585">
        <v>15.156</v>
      </c>
      <c r="L585">
        <v>0.93</v>
      </c>
      <c r="M585">
        <v>2.944</v>
      </c>
      <c r="N585">
        <v>43.721</v>
      </c>
      <c r="O585">
        <v>47.322</v>
      </c>
      <c r="P585">
        <f t="shared" si="36"/>
        <v>1.64069008670665</v>
      </c>
      <c r="Q585">
        <f t="shared" si="36"/>
        <v>1.67506309120967</v>
      </c>
      <c r="R585">
        <v>18.031</v>
      </c>
      <c r="S585">
        <v>18.031</v>
      </c>
      <c r="T585">
        <v>17.981</v>
      </c>
      <c r="U585">
        <v>3.309</v>
      </c>
      <c r="V585">
        <v>100</v>
      </c>
      <c r="W585">
        <v>0.01</v>
      </c>
      <c r="X585" t="s">
        <v>55</v>
      </c>
      <c r="Y585" t="s">
        <v>31</v>
      </c>
      <c r="Z585" s="3">
        <f t="shared" si="37"/>
        <v>-0.0343730045030191</v>
      </c>
      <c r="AA585">
        <f t="shared" si="38"/>
        <v>0.447</v>
      </c>
      <c r="AB585">
        <f t="shared" si="39"/>
        <v>1.162</v>
      </c>
      <c r="AC585" t="s">
        <v>32</v>
      </c>
    </row>
    <row r="586" spans="1:29">
      <c r="A586" t="s">
        <v>65</v>
      </c>
      <c r="B586">
        <v>3472.875</v>
      </c>
      <c r="C586">
        <v>24.022</v>
      </c>
      <c r="D586">
        <v>-11.102</v>
      </c>
      <c r="E586">
        <v>167.604</v>
      </c>
      <c r="F586">
        <v>0.229</v>
      </c>
      <c r="G586">
        <v>22.137</v>
      </c>
      <c r="H586">
        <v>1.699</v>
      </c>
      <c r="I586">
        <v>2.733</v>
      </c>
      <c r="J586">
        <v>0.493</v>
      </c>
      <c r="K586">
        <v>15.308</v>
      </c>
      <c r="L586">
        <v>0.94</v>
      </c>
      <c r="M586">
        <v>2.915</v>
      </c>
      <c r="N586">
        <v>43.131</v>
      </c>
      <c r="O586">
        <v>46.513</v>
      </c>
      <c r="P586">
        <f t="shared" si="36"/>
        <v>1.63478952745843</v>
      </c>
      <c r="Q586">
        <f t="shared" si="36"/>
        <v>1.66757435158264</v>
      </c>
      <c r="R586">
        <v>17.902</v>
      </c>
      <c r="S586">
        <v>17.902</v>
      </c>
      <c r="T586">
        <v>17.869</v>
      </c>
      <c r="U586">
        <v>2.594</v>
      </c>
      <c r="V586">
        <v>100</v>
      </c>
      <c r="W586">
        <v>0.01</v>
      </c>
      <c r="X586" t="s">
        <v>55</v>
      </c>
      <c r="Y586" t="s">
        <v>31</v>
      </c>
      <c r="Z586" s="3">
        <f t="shared" si="37"/>
        <v>-0.0327848241242104</v>
      </c>
      <c r="AA586">
        <f t="shared" si="38"/>
        <v>0.447</v>
      </c>
      <c r="AB586">
        <f t="shared" si="39"/>
        <v>1.169</v>
      </c>
      <c r="AC586" t="s">
        <v>32</v>
      </c>
    </row>
    <row r="587" spans="1:29">
      <c r="A587" t="s">
        <v>65</v>
      </c>
      <c r="B587">
        <v>3473</v>
      </c>
      <c r="C587">
        <v>23.781</v>
      </c>
      <c r="D587">
        <v>-10.089</v>
      </c>
      <c r="E587">
        <v>165.891</v>
      </c>
      <c r="F587">
        <v>0.209</v>
      </c>
      <c r="G587">
        <v>22.153</v>
      </c>
      <c r="H587">
        <v>1.783</v>
      </c>
      <c r="I587">
        <v>2.736</v>
      </c>
      <c r="J587">
        <v>0.501</v>
      </c>
      <c r="K587">
        <v>15.404</v>
      </c>
      <c r="L587">
        <v>0.947</v>
      </c>
      <c r="M587">
        <v>2.893</v>
      </c>
      <c r="N587">
        <v>42.861</v>
      </c>
      <c r="O587">
        <v>45.949</v>
      </c>
      <c r="P587">
        <f t="shared" si="36"/>
        <v>1.63206229944999</v>
      </c>
      <c r="Q587">
        <f t="shared" si="36"/>
        <v>1.66227606416157</v>
      </c>
      <c r="R587">
        <v>17.865</v>
      </c>
      <c r="S587">
        <v>17.865</v>
      </c>
      <c r="T587">
        <v>17.865</v>
      </c>
      <c r="U587">
        <v>2.126</v>
      </c>
      <c r="V587">
        <v>100</v>
      </c>
      <c r="W587">
        <v>0.01</v>
      </c>
      <c r="X587" t="s">
        <v>55</v>
      </c>
      <c r="Y587" t="s">
        <v>31</v>
      </c>
      <c r="Z587" s="3">
        <f t="shared" si="37"/>
        <v>-0.030213764711581</v>
      </c>
      <c r="AA587">
        <f t="shared" si="38"/>
        <v>0.446</v>
      </c>
      <c r="AB587">
        <f t="shared" si="39"/>
        <v>1.156</v>
      </c>
      <c r="AC587" t="s">
        <v>32</v>
      </c>
    </row>
    <row r="588" spans="1:29">
      <c r="A588" t="s">
        <v>65</v>
      </c>
      <c r="B588">
        <v>3473.125</v>
      </c>
      <c r="C588">
        <v>23.641</v>
      </c>
      <c r="D588">
        <v>-8.023</v>
      </c>
      <c r="E588">
        <v>164.071</v>
      </c>
      <c r="F588">
        <v>0.188</v>
      </c>
      <c r="G588">
        <v>22.145</v>
      </c>
      <c r="H588">
        <v>1.826</v>
      </c>
      <c r="I588">
        <v>2.739</v>
      </c>
      <c r="J588">
        <v>0.509</v>
      </c>
      <c r="K588">
        <v>15.308</v>
      </c>
      <c r="L588">
        <v>0.94</v>
      </c>
      <c r="M588">
        <v>2.889</v>
      </c>
      <c r="N588">
        <v>42.659</v>
      </c>
      <c r="O588">
        <v>45.478</v>
      </c>
      <c r="P588">
        <f t="shared" si="36"/>
        <v>1.63001067062649</v>
      </c>
      <c r="Q588">
        <f t="shared" si="36"/>
        <v>1.65780135733358</v>
      </c>
      <c r="R588">
        <v>18.138</v>
      </c>
      <c r="S588">
        <v>18.138</v>
      </c>
      <c r="T588">
        <v>18.171</v>
      </c>
      <c r="U588">
        <v>1.543</v>
      </c>
      <c r="V588">
        <v>100</v>
      </c>
      <c r="W588">
        <v>0.01</v>
      </c>
      <c r="X588" t="s">
        <v>55</v>
      </c>
      <c r="Y588" t="s">
        <v>31</v>
      </c>
      <c r="Z588" s="3">
        <f t="shared" si="37"/>
        <v>-0.0277906867070952</v>
      </c>
      <c r="AA588">
        <f t="shared" si="38"/>
        <v>0.431</v>
      </c>
      <c r="AB588">
        <f t="shared" si="39"/>
        <v>1.128</v>
      </c>
      <c r="AC588" t="s">
        <v>32</v>
      </c>
    </row>
    <row r="589" spans="1:29">
      <c r="A589" t="s">
        <v>65</v>
      </c>
      <c r="B589">
        <v>3473.25</v>
      </c>
      <c r="C589">
        <v>23.559</v>
      </c>
      <c r="D589">
        <v>-5.855</v>
      </c>
      <c r="E589">
        <v>163.223</v>
      </c>
      <c r="F589">
        <v>0.179</v>
      </c>
      <c r="G589">
        <v>22.132</v>
      </c>
      <c r="H589">
        <v>1.879</v>
      </c>
      <c r="I589">
        <v>2.74</v>
      </c>
      <c r="J589">
        <v>0.512</v>
      </c>
      <c r="K589">
        <v>14.827</v>
      </c>
      <c r="L589">
        <v>0.908</v>
      </c>
      <c r="M589">
        <v>2.889</v>
      </c>
      <c r="N589">
        <v>42.461</v>
      </c>
      <c r="O589">
        <v>45.149</v>
      </c>
      <c r="P589">
        <f t="shared" si="36"/>
        <v>1.62799021802988</v>
      </c>
      <c r="Q589">
        <f t="shared" si="36"/>
        <v>1.6546481356176</v>
      </c>
      <c r="R589">
        <v>18.428</v>
      </c>
      <c r="S589">
        <v>18.428</v>
      </c>
      <c r="T589">
        <v>18.481</v>
      </c>
      <c r="U589">
        <v>3.337</v>
      </c>
      <c r="V589">
        <v>100</v>
      </c>
      <c r="W589">
        <v>0.01</v>
      </c>
      <c r="X589" t="s">
        <v>55</v>
      </c>
      <c r="Y589" t="s">
        <v>31</v>
      </c>
      <c r="Z589" s="3">
        <f t="shared" si="37"/>
        <v>-0.0266579175877175</v>
      </c>
      <c r="AA589">
        <f t="shared" si="38"/>
        <v>0.396</v>
      </c>
      <c r="AB589">
        <f t="shared" si="39"/>
        <v>1.087</v>
      </c>
      <c r="AC589" t="s">
        <v>32</v>
      </c>
    </row>
    <row r="590" spans="1:29">
      <c r="A590" t="s">
        <v>65</v>
      </c>
      <c r="B590">
        <v>3473.375</v>
      </c>
      <c r="C590">
        <v>23.297</v>
      </c>
      <c r="D590">
        <v>-4.725</v>
      </c>
      <c r="E590">
        <v>162.896</v>
      </c>
      <c r="F590">
        <v>0.175</v>
      </c>
      <c r="G590">
        <v>22.105</v>
      </c>
      <c r="H590">
        <v>1.903</v>
      </c>
      <c r="I590">
        <v>2.738</v>
      </c>
      <c r="J590">
        <v>0.507</v>
      </c>
      <c r="K590">
        <v>14.138</v>
      </c>
      <c r="L590">
        <v>0.861</v>
      </c>
      <c r="M590">
        <v>2.889</v>
      </c>
      <c r="N590">
        <v>42.216</v>
      </c>
      <c r="O590">
        <v>44.744</v>
      </c>
      <c r="P590">
        <f t="shared" si="36"/>
        <v>1.62547708116907</v>
      </c>
      <c r="Q590">
        <f t="shared" si="36"/>
        <v>1.65073480632019</v>
      </c>
      <c r="R590">
        <v>19.27</v>
      </c>
      <c r="S590">
        <v>19.27</v>
      </c>
      <c r="T590">
        <v>19.36</v>
      </c>
      <c r="U590">
        <v>4.055</v>
      </c>
      <c r="V590">
        <v>96.091</v>
      </c>
      <c r="W590">
        <v>0.01</v>
      </c>
      <c r="X590" t="s">
        <v>55</v>
      </c>
      <c r="Y590" t="s">
        <v>31</v>
      </c>
      <c r="Z590" s="3">
        <f t="shared" si="37"/>
        <v>-0.0252577251511246</v>
      </c>
      <c r="AA590">
        <f t="shared" si="38"/>
        <v>0.354</v>
      </c>
      <c r="AB590">
        <f t="shared" si="39"/>
        <v>1.036</v>
      </c>
      <c r="AC590" t="s">
        <v>32</v>
      </c>
    </row>
    <row r="591" spans="1:29">
      <c r="A591" t="s">
        <v>65</v>
      </c>
      <c r="B591">
        <v>3473.5</v>
      </c>
      <c r="C591">
        <v>23.401</v>
      </c>
      <c r="D591">
        <v>-3.122</v>
      </c>
      <c r="E591">
        <v>163.077</v>
      </c>
      <c r="F591">
        <v>0.177</v>
      </c>
      <c r="G591">
        <v>22.108</v>
      </c>
      <c r="H591">
        <v>1.897</v>
      </c>
      <c r="I591">
        <v>2.732</v>
      </c>
      <c r="J591">
        <v>0.491</v>
      </c>
      <c r="K591">
        <v>13.823</v>
      </c>
      <c r="L591">
        <v>0.84</v>
      </c>
      <c r="M591">
        <v>2.889</v>
      </c>
      <c r="N591">
        <v>42.96</v>
      </c>
      <c r="O591">
        <v>45.326</v>
      </c>
      <c r="P591">
        <f t="shared" si="36"/>
        <v>1.6330642726915</v>
      </c>
      <c r="Q591">
        <f t="shared" si="36"/>
        <v>1.65634739444854</v>
      </c>
      <c r="R591">
        <v>20.572</v>
      </c>
      <c r="S591">
        <v>20.572</v>
      </c>
      <c r="T591">
        <v>20.701</v>
      </c>
      <c r="U591">
        <v>5.092</v>
      </c>
      <c r="V591">
        <v>74.647</v>
      </c>
      <c r="W591">
        <v>0.023</v>
      </c>
      <c r="X591" t="s">
        <v>55</v>
      </c>
      <c r="Y591" t="s">
        <v>31</v>
      </c>
      <c r="Z591" s="3">
        <f t="shared" si="37"/>
        <v>-0.0232831217570417</v>
      </c>
      <c r="AA591">
        <f t="shared" si="38"/>
        <v>0.349</v>
      </c>
      <c r="AB591">
        <f t="shared" si="39"/>
        <v>1.017</v>
      </c>
      <c r="AC591" t="s">
        <v>32</v>
      </c>
    </row>
    <row r="592" spans="1:29">
      <c r="A592" t="s">
        <v>65</v>
      </c>
      <c r="B592">
        <v>3473.625</v>
      </c>
      <c r="C592">
        <v>23.911</v>
      </c>
      <c r="D592">
        <v>-1.226</v>
      </c>
      <c r="E592">
        <v>163.151</v>
      </c>
      <c r="F592">
        <v>0.178</v>
      </c>
      <c r="G592">
        <v>22.124</v>
      </c>
      <c r="H592">
        <v>1.841</v>
      </c>
      <c r="I592">
        <v>2.73</v>
      </c>
      <c r="J592">
        <v>0.485</v>
      </c>
      <c r="K592">
        <v>13.383</v>
      </c>
      <c r="L592">
        <v>0.81</v>
      </c>
      <c r="M592">
        <v>2.904</v>
      </c>
      <c r="N592">
        <v>44.169</v>
      </c>
      <c r="O592">
        <v>46.419</v>
      </c>
      <c r="P592">
        <f t="shared" si="36"/>
        <v>1.64511756680654</v>
      </c>
      <c r="Q592">
        <f t="shared" si="36"/>
        <v>1.66669578025691</v>
      </c>
      <c r="R592">
        <v>21.458</v>
      </c>
      <c r="S592">
        <v>21.458</v>
      </c>
      <c r="T592">
        <v>21.61</v>
      </c>
      <c r="U592">
        <v>6.964</v>
      </c>
      <c r="V592">
        <v>51.536</v>
      </c>
      <c r="W592">
        <v>0.092</v>
      </c>
      <c r="X592" t="s">
        <v>55</v>
      </c>
      <c r="Y592" t="s">
        <v>31</v>
      </c>
      <c r="Z592" s="3">
        <f t="shared" si="37"/>
        <v>-0.0215782134503695</v>
      </c>
      <c r="AA592">
        <f t="shared" si="38"/>
        <v>0.325</v>
      </c>
      <c r="AB592">
        <f t="shared" si="39"/>
        <v>0.988</v>
      </c>
      <c r="AC592" t="s">
        <v>32</v>
      </c>
    </row>
    <row r="593" spans="1:29">
      <c r="A593" t="s">
        <v>65</v>
      </c>
      <c r="B593">
        <v>3473.75</v>
      </c>
      <c r="C593">
        <v>25.508</v>
      </c>
      <c r="D593">
        <v>-0.011</v>
      </c>
      <c r="E593">
        <v>161.884</v>
      </c>
      <c r="F593">
        <v>0.163</v>
      </c>
      <c r="G593">
        <v>22.165</v>
      </c>
      <c r="H593">
        <v>1.749</v>
      </c>
      <c r="I593">
        <v>2.736</v>
      </c>
      <c r="J593">
        <v>0.501</v>
      </c>
      <c r="K593">
        <v>12.91</v>
      </c>
      <c r="L593">
        <v>0.778</v>
      </c>
      <c r="M593">
        <v>2.937</v>
      </c>
      <c r="N593">
        <v>48.409</v>
      </c>
      <c r="O593">
        <v>50.314</v>
      </c>
      <c r="P593">
        <f t="shared" si="36"/>
        <v>1.68492611137529</v>
      </c>
      <c r="Q593">
        <f t="shared" si="36"/>
        <v>1.70168884542895</v>
      </c>
      <c r="R593">
        <v>23.462</v>
      </c>
      <c r="S593">
        <v>23.462</v>
      </c>
      <c r="T593">
        <v>23.657</v>
      </c>
      <c r="U593">
        <v>6.432</v>
      </c>
      <c r="V593">
        <v>53.754</v>
      </c>
      <c r="W593">
        <v>0.062</v>
      </c>
      <c r="X593" t="s">
        <v>55</v>
      </c>
      <c r="Y593" t="s">
        <v>31</v>
      </c>
      <c r="Z593" s="3">
        <f t="shared" si="37"/>
        <v>-0.016762734053662</v>
      </c>
      <c r="AA593">
        <f t="shared" si="38"/>
        <v>0.277</v>
      </c>
      <c r="AB593">
        <f t="shared" si="39"/>
        <v>0.941</v>
      </c>
      <c r="AC593" t="s">
        <v>32</v>
      </c>
    </row>
    <row r="594" spans="1:29">
      <c r="A594" t="s">
        <v>65</v>
      </c>
      <c r="B594">
        <v>3473.875</v>
      </c>
      <c r="C594">
        <v>27.213</v>
      </c>
      <c r="D594">
        <v>2.056</v>
      </c>
      <c r="E594">
        <v>160.524</v>
      </c>
      <c r="F594">
        <v>0.147</v>
      </c>
      <c r="G594">
        <v>22.199</v>
      </c>
      <c r="H594">
        <v>1.696</v>
      </c>
      <c r="I594">
        <v>2.755</v>
      </c>
      <c r="J594">
        <v>0.552</v>
      </c>
      <c r="K594">
        <v>12.516</v>
      </c>
      <c r="L594">
        <v>0.751</v>
      </c>
      <c r="M594">
        <v>2.959</v>
      </c>
      <c r="N594">
        <v>57.213</v>
      </c>
      <c r="O594">
        <v>58.479</v>
      </c>
      <c r="P594">
        <f t="shared" si="36"/>
        <v>1.75749472086978</v>
      </c>
      <c r="Q594">
        <f t="shared" si="36"/>
        <v>1.76699993751008</v>
      </c>
      <c r="R594">
        <v>26.154</v>
      </c>
      <c r="S594">
        <v>26.154</v>
      </c>
      <c r="T594">
        <v>26.39</v>
      </c>
      <c r="U594">
        <v>5.533</v>
      </c>
      <c r="V594">
        <v>60.062</v>
      </c>
      <c r="W594">
        <v>0.032</v>
      </c>
      <c r="X594" t="s">
        <v>55</v>
      </c>
      <c r="Y594" t="s">
        <v>31</v>
      </c>
      <c r="Z594" s="3">
        <f t="shared" si="37"/>
        <v>-0.00950521664029669</v>
      </c>
      <c r="AA594">
        <f t="shared" si="38"/>
        <v>0.199</v>
      </c>
      <c r="AB594">
        <f t="shared" si="39"/>
        <v>0.898</v>
      </c>
      <c r="AC594" t="s">
        <v>32</v>
      </c>
    </row>
    <row r="595" spans="1:29">
      <c r="A595" t="s">
        <v>65</v>
      </c>
      <c r="B595">
        <v>3474</v>
      </c>
      <c r="C595">
        <v>28.091</v>
      </c>
      <c r="D595">
        <v>4.571</v>
      </c>
      <c r="E595">
        <v>157.386</v>
      </c>
      <c r="F595">
        <v>0.111</v>
      </c>
      <c r="G595">
        <v>22.205</v>
      </c>
      <c r="H595">
        <v>1.633</v>
      </c>
      <c r="I595">
        <v>2.769</v>
      </c>
      <c r="J595">
        <v>0.59</v>
      </c>
      <c r="K595">
        <v>11.682</v>
      </c>
      <c r="L595">
        <v>0.695</v>
      </c>
      <c r="M595">
        <v>2.978</v>
      </c>
      <c r="N595">
        <v>64.69</v>
      </c>
      <c r="O595">
        <v>65.514</v>
      </c>
      <c r="P595">
        <f t="shared" si="36"/>
        <v>1.81083715114049</v>
      </c>
      <c r="Q595">
        <f t="shared" si="36"/>
        <v>1.8163341163743</v>
      </c>
      <c r="R595">
        <v>27.885</v>
      </c>
      <c r="S595">
        <v>27.885</v>
      </c>
      <c r="T595">
        <v>28.134</v>
      </c>
      <c r="U595">
        <v>4.426</v>
      </c>
      <c r="V595">
        <v>72.265</v>
      </c>
      <c r="W595">
        <v>0.013</v>
      </c>
      <c r="X595" t="s">
        <v>55</v>
      </c>
      <c r="Y595" t="s">
        <v>31</v>
      </c>
      <c r="Z595" s="3">
        <f t="shared" si="37"/>
        <v>-0.00549696523381549</v>
      </c>
      <c r="AA595">
        <f t="shared" si="38"/>
        <v>0.105</v>
      </c>
      <c r="AB595">
        <f t="shared" si="39"/>
        <v>0.806</v>
      </c>
      <c r="AC595" t="s">
        <v>32</v>
      </c>
    </row>
    <row r="596" spans="1:29">
      <c r="A596" t="s">
        <v>65</v>
      </c>
      <c r="B596">
        <v>3474.125</v>
      </c>
      <c r="C596">
        <v>29.105</v>
      </c>
      <c r="D596">
        <v>6.231</v>
      </c>
      <c r="E596">
        <v>154.118</v>
      </c>
      <c r="F596">
        <v>0.074</v>
      </c>
      <c r="G596">
        <v>22.192</v>
      </c>
      <c r="H596">
        <v>1.601</v>
      </c>
      <c r="I596">
        <v>2.788</v>
      </c>
      <c r="J596">
        <v>0.641</v>
      </c>
      <c r="K596">
        <v>11.154</v>
      </c>
      <c r="L596">
        <v>0.659</v>
      </c>
      <c r="M596">
        <v>2.996</v>
      </c>
      <c r="N596">
        <v>80.161</v>
      </c>
      <c r="O596">
        <v>80.288</v>
      </c>
      <c r="P596">
        <f t="shared" si="36"/>
        <v>1.90396312633471</v>
      </c>
      <c r="Q596">
        <f t="shared" si="36"/>
        <v>1.90465063963452</v>
      </c>
      <c r="R596">
        <v>31.607</v>
      </c>
      <c r="S596">
        <v>31.607</v>
      </c>
      <c r="T596">
        <v>31.627</v>
      </c>
      <c r="U596">
        <v>0.711</v>
      </c>
      <c r="V596">
        <v>95.765</v>
      </c>
      <c r="W596">
        <v>0.002</v>
      </c>
      <c r="X596" t="s">
        <v>55</v>
      </c>
      <c r="Y596" t="s">
        <v>31</v>
      </c>
      <c r="Z596" s="3">
        <f t="shared" si="37"/>
        <v>-0.000687513299806541</v>
      </c>
      <c r="AA596">
        <f t="shared" si="38"/>
        <v>0.018</v>
      </c>
      <c r="AB596">
        <f t="shared" si="39"/>
        <v>0.733</v>
      </c>
      <c r="AC596" t="s">
        <v>32</v>
      </c>
    </row>
    <row r="597" spans="1:29">
      <c r="A597" t="s">
        <v>65</v>
      </c>
      <c r="B597">
        <v>3474.25</v>
      </c>
      <c r="C597">
        <v>29.378</v>
      </c>
      <c r="D597">
        <v>9.187</v>
      </c>
      <c r="E597">
        <v>152.56</v>
      </c>
      <c r="F597">
        <v>0.056</v>
      </c>
      <c r="G597">
        <v>22.177</v>
      </c>
      <c r="H597">
        <v>1.618</v>
      </c>
      <c r="I597">
        <v>2.802</v>
      </c>
      <c r="J597">
        <v>0.678</v>
      </c>
      <c r="K597">
        <v>11.129</v>
      </c>
      <c r="L597">
        <v>0.657</v>
      </c>
      <c r="M597">
        <v>3.044</v>
      </c>
      <c r="N597">
        <v>90.379</v>
      </c>
      <c r="O597">
        <v>90.027</v>
      </c>
      <c r="P597">
        <f t="shared" si="36"/>
        <v>1.956067531763</v>
      </c>
      <c r="Q597">
        <f t="shared" si="36"/>
        <v>1.95437277824455</v>
      </c>
      <c r="R597">
        <v>33.826</v>
      </c>
      <c r="S597">
        <v>33.826</v>
      </c>
      <c r="T597">
        <v>34.017</v>
      </c>
      <c r="U597">
        <v>0.01</v>
      </c>
      <c r="V597">
        <v>100</v>
      </c>
      <c r="W597">
        <v>0.001</v>
      </c>
      <c r="X597" t="s">
        <v>55</v>
      </c>
      <c r="Y597" t="s">
        <v>31</v>
      </c>
      <c r="Z597" s="3">
        <f t="shared" si="37"/>
        <v>0.00169475351844994</v>
      </c>
      <c r="AA597">
        <f t="shared" si="38"/>
        <v>-0.021</v>
      </c>
      <c r="AB597">
        <f t="shared" si="39"/>
        <v>0.713</v>
      </c>
      <c r="AC597" t="s">
        <v>32</v>
      </c>
    </row>
    <row r="598" spans="1:29">
      <c r="A598" t="s">
        <v>65</v>
      </c>
      <c r="B598">
        <v>3474.375</v>
      </c>
      <c r="C598">
        <v>29.182</v>
      </c>
      <c r="D598">
        <v>11.1</v>
      </c>
      <c r="E598">
        <v>150.54</v>
      </c>
      <c r="F598">
        <v>0.032</v>
      </c>
      <c r="G598">
        <v>22.153</v>
      </c>
      <c r="H598">
        <v>1.703</v>
      </c>
      <c r="I598">
        <v>2.806</v>
      </c>
      <c r="J598">
        <v>0.689</v>
      </c>
      <c r="K598">
        <v>11.346</v>
      </c>
      <c r="L598">
        <v>0.672</v>
      </c>
      <c r="M598">
        <v>3.056</v>
      </c>
      <c r="N598">
        <v>104.819</v>
      </c>
      <c r="O598">
        <v>103.437</v>
      </c>
      <c r="P598">
        <f t="shared" si="36"/>
        <v>2.02044001210619</v>
      </c>
      <c r="Q598">
        <f t="shared" si="36"/>
        <v>2.01467591614206</v>
      </c>
      <c r="R598">
        <v>38.82</v>
      </c>
      <c r="S598">
        <v>38.82</v>
      </c>
      <c r="T598">
        <v>39.268</v>
      </c>
      <c r="U598">
        <v>0.01</v>
      </c>
      <c r="V598">
        <v>100</v>
      </c>
      <c r="W598">
        <v>0.001</v>
      </c>
      <c r="X598" t="s">
        <v>55</v>
      </c>
      <c r="Y598" t="s">
        <v>31</v>
      </c>
      <c r="Z598" s="3">
        <f t="shared" si="37"/>
        <v>0.00576409596412475</v>
      </c>
      <c r="AA598">
        <f t="shared" si="38"/>
        <v>-0.0169999999999999</v>
      </c>
      <c r="AB598">
        <f t="shared" si="39"/>
        <v>0.704</v>
      </c>
      <c r="AC598" t="s">
        <v>32</v>
      </c>
    </row>
    <row r="599" spans="1:29">
      <c r="A599" t="s">
        <v>65</v>
      </c>
      <c r="B599">
        <v>3474.5</v>
      </c>
      <c r="C599">
        <v>28.51</v>
      </c>
      <c r="D599">
        <v>13.801</v>
      </c>
      <c r="E599">
        <v>148.474</v>
      </c>
      <c r="F599">
        <v>0.008</v>
      </c>
      <c r="G599">
        <v>22.16</v>
      </c>
      <c r="H599">
        <v>1.806</v>
      </c>
      <c r="I599">
        <v>2.809</v>
      </c>
      <c r="J599">
        <v>0.697</v>
      </c>
      <c r="K599">
        <v>11.375</v>
      </c>
      <c r="L599">
        <v>0.674</v>
      </c>
      <c r="M599">
        <v>3.055</v>
      </c>
      <c r="N599">
        <v>118.286</v>
      </c>
      <c r="O599">
        <v>115.477</v>
      </c>
      <c r="P599">
        <f t="shared" si="36"/>
        <v>2.07293334578984</v>
      </c>
      <c r="Q599">
        <f t="shared" si="36"/>
        <v>2.06249549273233</v>
      </c>
      <c r="R599">
        <v>45.465</v>
      </c>
      <c r="S599">
        <v>45.465</v>
      </c>
      <c r="T599">
        <v>45.958</v>
      </c>
      <c r="U599">
        <v>0.01</v>
      </c>
      <c r="V599">
        <v>100</v>
      </c>
      <c r="W599">
        <v>0.001</v>
      </c>
      <c r="X599" t="s">
        <v>55</v>
      </c>
      <c r="Y599" t="s">
        <v>31</v>
      </c>
      <c r="Z599" s="3">
        <f t="shared" si="37"/>
        <v>0.0104378530575167</v>
      </c>
      <c r="AA599">
        <f t="shared" si="38"/>
        <v>-0.0229999999999999</v>
      </c>
      <c r="AB599">
        <f t="shared" si="39"/>
        <v>0.682</v>
      </c>
      <c r="AC599" t="s">
        <v>32</v>
      </c>
    </row>
    <row r="600" spans="1:29">
      <c r="A600" t="s">
        <v>65</v>
      </c>
      <c r="B600">
        <v>3474.625</v>
      </c>
      <c r="C600">
        <v>27.588</v>
      </c>
      <c r="D600">
        <v>16.135</v>
      </c>
      <c r="E600">
        <v>147.741</v>
      </c>
      <c r="F600">
        <v>0</v>
      </c>
      <c r="G600">
        <v>22.171</v>
      </c>
      <c r="H600">
        <v>1.908</v>
      </c>
      <c r="I600">
        <v>2.815</v>
      </c>
      <c r="J600">
        <v>0.713</v>
      </c>
      <c r="K600">
        <v>11.171</v>
      </c>
      <c r="L600">
        <v>0.66</v>
      </c>
      <c r="M600">
        <v>3.053</v>
      </c>
      <c r="N600">
        <v>125.457</v>
      </c>
      <c r="O600">
        <v>121.788</v>
      </c>
      <c r="P600">
        <f t="shared" si="36"/>
        <v>2.09849489822584</v>
      </c>
      <c r="Q600">
        <f t="shared" si="36"/>
        <v>2.08560449855527</v>
      </c>
      <c r="R600">
        <v>49.545</v>
      </c>
      <c r="S600">
        <v>49.545</v>
      </c>
      <c r="T600">
        <v>50.052</v>
      </c>
      <c r="U600">
        <v>0.01</v>
      </c>
      <c r="V600">
        <v>100</v>
      </c>
      <c r="W600">
        <v>0.001</v>
      </c>
      <c r="X600" t="s">
        <v>55</v>
      </c>
      <c r="Y600" t="s">
        <v>31</v>
      </c>
      <c r="Z600" s="3">
        <f t="shared" si="37"/>
        <v>0.0128903996705714</v>
      </c>
      <c r="AA600">
        <f t="shared" si="38"/>
        <v>-0.0529999999999999</v>
      </c>
      <c r="AB600">
        <f t="shared" si="39"/>
        <v>0.66</v>
      </c>
      <c r="AC600" t="s">
        <v>32</v>
      </c>
    </row>
    <row r="601" spans="1:29">
      <c r="A601" t="s">
        <v>65</v>
      </c>
      <c r="B601">
        <v>3474.75</v>
      </c>
      <c r="C601">
        <v>26.97</v>
      </c>
      <c r="D601">
        <v>17.34</v>
      </c>
      <c r="E601">
        <v>148.416</v>
      </c>
      <c r="F601">
        <v>0.008</v>
      </c>
      <c r="G601">
        <v>22.191</v>
      </c>
      <c r="H601">
        <v>2.128</v>
      </c>
      <c r="I601">
        <v>2.82</v>
      </c>
      <c r="J601">
        <v>0.727</v>
      </c>
      <c r="K601">
        <v>10.663</v>
      </c>
      <c r="L601">
        <v>0.625</v>
      </c>
      <c r="M601">
        <v>3.043</v>
      </c>
      <c r="N601">
        <v>135.164</v>
      </c>
      <c r="O601">
        <v>130.25</v>
      </c>
      <c r="P601">
        <f t="shared" si="36"/>
        <v>2.13086103566443</v>
      </c>
      <c r="Q601">
        <f t="shared" si="36"/>
        <v>2.11477773197156</v>
      </c>
      <c r="R601">
        <v>57.556</v>
      </c>
      <c r="S601">
        <v>57.556</v>
      </c>
      <c r="T601">
        <v>58.116</v>
      </c>
      <c r="U601">
        <v>0.01</v>
      </c>
      <c r="V601">
        <v>100</v>
      </c>
      <c r="W601">
        <v>0.001</v>
      </c>
      <c r="X601" t="s">
        <v>55</v>
      </c>
      <c r="Y601" t="s">
        <v>31</v>
      </c>
      <c r="Z601" s="3">
        <f t="shared" si="37"/>
        <v>0.0160833036928727</v>
      </c>
      <c r="AA601">
        <f t="shared" si="38"/>
        <v>-0.102</v>
      </c>
      <c r="AB601">
        <f t="shared" si="39"/>
        <v>0.633</v>
      </c>
      <c r="AC601" t="s">
        <v>32</v>
      </c>
    </row>
    <row r="602" spans="1:29">
      <c r="A602" t="s">
        <v>65</v>
      </c>
      <c r="B602">
        <v>3474.875</v>
      </c>
      <c r="C602">
        <v>26.446</v>
      </c>
      <c r="D602">
        <v>19.487</v>
      </c>
      <c r="E602">
        <v>150.235</v>
      </c>
      <c r="F602">
        <v>0.029</v>
      </c>
      <c r="G602">
        <v>22.189</v>
      </c>
      <c r="H602">
        <v>2.294</v>
      </c>
      <c r="I602">
        <v>2.821</v>
      </c>
      <c r="J602">
        <v>0.729</v>
      </c>
      <c r="K602">
        <v>10.471</v>
      </c>
      <c r="L602">
        <v>0.612</v>
      </c>
      <c r="M602">
        <v>2.996</v>
      </c>
      <c r="N602">
        <v>143.758</v>
      </c>
      <c r="O602">
        <v>137.545</v>
      </c>
      <c r="P602">
        <f t="shared" si="36"/>
        <v>2.15763202212119</v>
      </c>
      <c r="Q602">
        <f t="shared" si="36"/>
        <v>2.1384448076528</v>
      </c>
      <c r="R602">
        <v>65.711</v>
      </c>
      <c r="S602">
        <v>65.711</v>
      </c>
      <c r="T602">
        <v>66.373</v>
      </c>
      <c r="U602">
        <v>0.01</v>
      </c>
      <c r="V602">
        <v>100</v>
      </c>
      <c r="W602">
        <v>0.001</v>
      </c>
      <c r="X602" t="s">
        <v>55</v>
      </c>
      <c r="Y602" t="s">
        <v>31</v>
      </c>
      <c r="Z602" s="3">
        <f t="shared" si="37"/>
        <v>0.0191872144683867</v>
      </c>
      <c r="AA602">
        <f t="shared" si="38"/>
        <v>-0.117</v>
      </c>
      <c r="AB602">
        <f t="shared" si="39"/>
        <v>0.641</v>
      </c>
      <c r="AC602" t="s">
        <v>32</v>
      </c>
    </row>
    <row r="603" spans="1:29">
      <c r="A603" t="s">
        <v>65</v>
      </c>
      <c r="B603">
        <v>3475</v>
      </c>
      <c r="C603">
        <v>26.466</v>
      </c>
      <c r="D603">
        <v>22.397</v>
      </c>
      <c r="E603">
        <v>151.193</v>
      </c>
      <c r="F603">
        <v>0.04</v>
      </c>
      <c r="G603">
        <v>22.176</v>
      </c>
      <c r="H603">
        <v>2.552</v>
      </c>
      <c r="I603">
        <v>2.813</v>
      </c>
      <c r="J603">
        <v>0.708</v>
      </c>
      <c r="K603">
        <v>10.298</v>
      </c>
      <c r="L603">
        <v>0.601</v>
      </c>
      <c r="M603">
        <v>2.943</v>
      </c>
      <c r="N603">
        <v>148.276</v>
      </c>
      <c r="O603">
        <v>141.326</v>
      </c>
      <c r="P603">
        <f t="shared" si="36"/>
        <v>2.17107086167531</v>
      </c>
      <c r="Q603">
        <f t="shared" si="36"/>
        <v>2.15022206714079</v>
      </c>
      <c r="R603">
        <v>69.461</v>
      </c>
      <c r="S603">
        <v>69.461</v>
      </c>
      <c r="T603">
        <v>70.193</v>
      </c>
      <c r="U603">
        <v>0.01</v>
      </c>
      <c r="V603">
        <v>100</v>
      </c>
      <c r="W603">
        <v>0.001</v>
      </c>
      <c r="X603" t="s">
        <v>55</v>
      </c>
      <c r="Y603" t="s">
        <v>31</v>
      </c>
      <c r="Z603" s="3">
        <f t="shared" si="37"/>
        <v>0.0208487945345177</v>
      </c>
      <c r="AA603">
        <f t="shared" si="38"/>
        <v>-0.107</v>
      </c>
      <c r="AB603">
        <f t="shared" si="39"/>
        <v>0.641</v>
      </c>
      <c r="AC603" t="s">
        <v>32</v>
      </c>
    </row>
    <row r="604" spans="1:29">
      <c r="A604" t="s">
        <v>66</v>
      </c>
      <c r="B604">
        <v>3595</v>
      </c>
      <c r="C604">
        <v>15.891</v>
      </c>
      <c r="D604">
        <v>60.211</v>
      </c>
      <c r="E604">
        <v>162.587</v>
      </c>
      <c r="F604">
        <v>0.112</v>
      </c>
      <c r="G604">
        <v>22.071</v>
      </c>
      <c r="H604">
        <v>1.564</v>
      </c>
      <c r="I604">
        <v>2.738</v>
      </c>
      <c r="J604">
        <v>0.117</v>
      </c>
      <c r="K604">
        <v>8.187</v>
      </c>
      <c r="L604">
        <v>0.587</v>
      </c>
      <c r="M604">
        <v>3.182</v>
      </c>
      <c r="N604">
        <v>207.639</v>
      </c>
      <c r="O604">
        <v>158.936</v>
      </c>
      <c r="P604">
        <f t="shared" si="36"/>
        <v>2.3173089286275</v>
      </c>
      <c r="Q604">
        <f t="shared" si="36"/>
        <v>2.20122227877155</v>
      </c>
      <c r="R604">
        <v>118.261</v>
      </c>
      <c r="S604">
        <v>118.261</v>
      </c>
      <c r="T604">
        <v>132.3</v>
      </c>
      <c r="U604">
        <v>3.534</v>
      </c>
      <c r="V604">
        <v>40.628</v>
      </c>
      <c r="W604">
        <v>0.01</v>
      </c>
      <c r="X604" t="s">
        <v>55</v>
      </c>
      <c r="Y604" t="s">
        <v>31</v>
      </c>
      <c r="Z604" s="3">
        <f t="shared" si="37"/>
        <v>0.116086649855949</v>
      </c>
      <c r="AA604">
        <f t="shared" si="38"/>
        <v>0.47</v>
      </c>
      <c r="AB604">
        <f t="shared" si="39"/>
        <v>0.699</v>
      </c>
      <c r="AC604" t="s">
        <v>32</v>
      </c>
    </row>
    <row r="605" spans="1:29">
      <c r="A605" t="s">
        <v>66</v>
      </c>
      <c r="B605">
        <v>3595.125</v>
      </c>
      <c r="C605">
        <v>16.649</v>
      </c>
      <c r="D605">
        <v>60.108</v>
      </c>
      <c r="E605">
        <v>164.26</v>
      </c>
      <c r="F605">
        <v>0.127</v>
      </c>
      <c r="G605">
        <v>22.06</v>
      </c>
      <c r="H605">
        <v>1.627</v>
      </c>
      <c r="I605">
        <v>2.735</v>
      </c>
      <c r="J605">
        <v>0.104</v>
      </c>
      <c r="K605">
        <v>7.914</v>
      </c>
      <c r="L605">
        <v>0.567</v>
      </c>
      <c r="M605">
        <v>3.043</v>
      </c>
      <c r="N605">
        <v>183.344</v>
      </c>
      <c r="O605">
        <v>142.616</v>
      </c>
      <c r="P605">
        <f t="shared" si="36"/>
        <v>2.26326670208212</v>
      </c>
      <c r="Q605">
        <f t="shared" si="36"/>
        <v>2.15416825147595</v>
      </c>
      <c r="R605">
        <v>131.49</v>
      </c>
      <c r="S605">
        <v>131.49</v>
      </c>
      <c r="T605">
        <v>147.969</v>
      </c>
      <c r="U605">
        <v>3.486</v>
      </c>
      <c r="V605">
        <v>38.279</v>
      </c>
      <c r="W605">
        <v>0.01</v>
      </c>
      <c r="X605" t="s">
        <v>55</v>
      </c>
      <c r="Y605" t="s">
        <v>31</v>
      </c>
      <c r="Z605" s="3">
        <f t="shared" si="37"/>
        <v>0.109098450606178</v>
      </c>
      <c r="AA605">
        <f t="shared" si="38"/>
        <v>0.463</v>
      </c>
      <c r="AB605">
        <f t="shared" si="39"/>
        <v>0.694</v>
      </c>
      <c r="AC605" t="s">
        <v>32</v>
      </c>
    </row>
    <row r="606" spans="1:29">
      <c r="A606" t="s">
        <v>66</v>
      </c>
      <c r="B606">
        <v>3595.25</v>
      </c>
      <c r="C606">
        <v>17.628</v>
      </c>
      <c r="D606">
        <v>60.007</v>
      </c>
      <c r="E606">
        <v>165.951</v>
      </c>
      <c r="F606">
        <v>0.143</v>
      </c>
      <c r="G606">
        <v>22.038</v>
      </c>
      <c r="H606">
        <v>1.736</v>
      </c>
      <c r="I606">
        <v>2.734</v>
      </c>
      <c r="J606">
        <v>0.099</v>
      </c>
      <c r="K606">
        <v>7.676</v>
      </c>
      <c r="L606">
        <v>0.549</v>
      </c>
      <c r="M606">
        <v>2.879</v>
      </c>
      <c r="N606">
        <v>167.226</v>
      </c>
      <c r="O606">
        <v>131.383</v>
      </c>
      <c r="P606">
        <f t="shared" si="36"/>
        <v>2.22330380168362</v>
      </c>
      <c r="Q606">
        <f t="shared" si="36"/>
        <v>2.11853917432707</v>
      </c>
      <c r="R606">
        <v>145.934</v>
      </c>
      <c r="S606">
        <v>145.934</v>
      </c>
      <c r="T606">
        <v>165.133</v>
      </c>
      <c r="U606">
        <v>3.388</v>
      </c>
      <c r="V606">
        <v>37.603</v>
      </c>
      <c r="W606">
        <v>0.01</v>
      </c>
      <c r="X606" t="s">
        <v>55</v>
      </c>
      <c r="Y606" t="s">
        <v>31</v>
      </c>
      <c r="Z606" s="3">
        <f t="shared" si="37"/>
        <v>0.104764627356553</v>
      </c>
      <c r="AA606">
        <f t="shared" si="38"/>
        <v>0.45</v>
      </c>
      <c r="AB606">
        <f t="shared" si="39"/>
        <v>0.692</v>
      </c>
      <c r="AC606" t="s">
        <v>32</v>
      </c>
    </row>
    <row r="607" spans="1:29">
      <c r="A607" t="s">
        <v>66</v>
      </c>
      <c r="B607">
        <v>3595.375</v>
      </c>
      <c r="C607">
        <v>18.355</v>
      </c>
      <c r="D607">
        <v>59.907</v>
      </c>
      <c r="E607">
        <v>166.738</v>
      </c>
      <c r="F607">
        <v>0.15</v>
      </c>
      <c r="G607">
        <v>22.007</v>
      </c>
      <c r="H607">
        <v>1.855</v>
      </c>
      <c r="I607">
        <v>2.735</v>
      </c>
      <c r="J607">
        <v>0.104</v>
      </c>
      <c r="K607">
        <v>7.564</v>
      </c>
      <c r="L607">
        <v>0.54</v>
      </c>
      <c r="M607">
        <v>2.862</v>
      </c>
      <c r="N607">
        <v>162.388</v>
      </c>
      <c r="O607">
        <v>128.337</v>
      </c>
      <c r="P607">
        <f t="shared" si="36"/>
        <v>2.21055393299422</v>
      </c>
      <c r="Q607">
        <f t="shared" si="36"/>
        <v>2.10835188302535</v>
      </c>
      <c r="R607">
        <v>161.362</v>
      </c>
      <c r="S607">
        <v>161.362</v>
      </c>
      <c r="T607">
        <v>183.455</v>
      </c>
      <c r="U607">
        <v>3.376</v>
      </c>
      <c r="V607">
        <v>36.792</v>
      </c>
      <c r="W607">
        <v>0.01</v>
      </c>
      <c r="X607" t="s">
        <v>55</v>
      </c>
      <c r="Y607" t="s">
        <v>31</v>
      </c>
      <c r="Z607" s="3">
        <f t="shared" si="37"/>
        <v>0.102202049968869</v>
      </c>
      <c r="AA607">
        <f t="shared" si="38"/>
        <v>0.436</v>
      </c>
      <c r="AB607">
        <f t="shared" si="39"/>
        <v>0.69</v>
      </c>
      <c r="AC607" t="s">
        <v>32</v>
      </c>
    </row>
    <row r="608" spans="1:29">
      <c r="A608" t="s">
        <v>66</v>
      </c>
      <c r="B608">
        <v>3595.5</v>
      </c>
      <c r="C608">
        <v>18.09</v>
      </c>
      <c r="D608">
        <v>59.789</v>
      </c>
      <c r="E608">
        <v>165.546</v>
      </c>
      <c r="F608">
        <v>0.139</v>
      </c>
      <c r="G608">
        <v>21.975</v>
      </c>
      <c r="H608">
        <v>1.979</v>
      </c>
      <c r="I608">
        <v>2.737</v>
      </c>
      <c r="J608">
        <v>0.113</v>
      </c>
      <c r="K608">
        <v>7.488</v>
      </c>
      <c r="L608">
        <v>0.535</v>
      </c>
      <c r="M608">
        <v>2.908</v>
      </c>
      <c r="N608">
        <v>168.203</v>
      </c>
      <c r="O608">
        <v>132.698</v>
      </c>
      <c r="P608">
        <f t="shared" ref="P608:Q662" si="40">LOG(N608)</f>
        <v>2.22583373742995</v>
      </c>
      <c r="Q608">
        <f t="shared" si="40"/>
        <v>2.12286437730672</v>
      </c>
      <c r="R608">
        <v>175.997</v>
      </c>
      <c r="S608">
        <v>175.997</v>
      </c>
      <c r="T608">
        <v>200.872</v>
      </c>
      <c r="U608">
        <v>3.204</v>
      </c>
      <c r="V608">
        <v>36.291</v>
      </c>
      <c r="W608">
        <v>0.01</v>
      </c>
      <c r="X608" t="s">
        <v>55</v>
      </c>
      <c r="Y608" t="s">
        <v>31</v>
      </c>
      <c r="Z608" s="3">
        <f t="shared" ref="Z608:Z671" si="41">P608-Q608</f>
        <v>0.102969360123232</v>
      </c>
      <c r="AA608">
        <f t="shared" ref="AA608:AA671" si="42">L608-J608</f>
        <v>0.422</v>
      </c>
      <c r="AB608">
        <f t="shared" ref="AB608:AB671" si="43">L608+F608</f>
        <v>0.674</v>
      </c>
      <c r="AC608" t="s">
        <v>32</v>
      </c>
    </row>
    <row r="609" spans="1:29">
      <c r="A609" t="s">
        <v>66</v>
      </c>
      <c r="B609">
        <v>3595.625</v>
      </c>
      <c r="C609">
        <v>17.246</v>
      </c>
      <c r="D609">
        <v>59.694</v>
      </c>
      <c r="E609">
        <v>163.666</v>
      </c>
      <c r="F609">
        <v>0.122</v>
      </c>
      <c r="G609">
        <v>21.964</v>
      </c>
      <c r="H609">
        <v>2.083</v>
      </c>
      <c r="I609">
        <v>2.739</v>
      </c>
      <c r="J609">
        <v>0.122</v>
      </c>
      <c r="K609">
        <v>7.334</v>
      </c>
      <c r="L609">
        <v>0.523</v>
      </c>
      <c r="M609">
        <v>2.948</v>
      </c>
      <c r="N609">
        <v>178.331</v>
      </c>
      <c r="O609">
        <v>139.999</v>
      </c>
      <c r="P609">
        <f t="shared" si="40"/>
        <v>2.25122684490668</v>
      </c>
      <c r="Q609">
        <f t="shared" si="40"/>
        <v>2.14612493356372</v>
      </c>
      <c r="R609">
        <v>179.102</v>
      </c>
      <c r="S609">
        <v>179.102</v>
      </c>
      <c r="T609">
        <v>204.673</v>
      </c>
      <c r="U609">
        <v>2.812</v>
      </c>
      <c r="V609">
        <v>39.429</v>
      </c>
      <c r="W609">
        <v>0.01</v>
      </c>
      <c r="X609" t="s">
        <v>55</v>
      </c>
      <c r="Y609" t="s">
        <v>31</v>
      </c>
      <c r="Z609" s="3">
        <f t="shared" si="41"/>
        <v>0.105101911342967</v>
      </c>
      <c r="AA609">
        <f t="shared" si="42"/>
        <v>0.401</v>
      </c>
      <c r="AB609">
        <f t="shared" si="43"/>
        <v>0.645</v>
      </c>
      <c r="AC609" t="s">
        <v>32</v>
      </c>
    </row>
    <row r="610" spans="1:29">
      <c r="A610" t="s">
        <v>66</v>
      </c>
      <c r="B610">
        <v>3595.75</v>
      </c>
      <c r="C610">
        <v>16.747</v>
      </c>
      <c r="D610">
        <v>59.602</v>
      </c>
      <c r="E610">
        <v>162.032</v>
      </c>
      <c r="F610">
        <v>0.106</v>
      </c>
      <c r="G610">
        <v>21.964</v>
      </c>
      <c r="H610">
        <v>2.166</v>
      </c>
      <c r="I610">
        <v>2.739</v>
      </c>
      <c r="J610">
        <v>0.122</v>
      </c>
      <c r="K610">
        <v>7.025</v>
      </c>
      <c r="L610">
        <v>0.5</v>
      </c>
      <c r="M610">
        <v>2.98</v>
      </c>
      <c r="N610">
        <v>188.832</v>
      </c>
      <c r="O610">
        <v>147.539</v>
      </c>
      <c r="P610">
        <f t="shared" si="40"/>
        <v>2.27607559295891</v>
      </c>
      <c r="Q610">
        <f t="shared" si="40"/>
        <v>2.16890683554127</v>
      </c>
      <c r="R610">
        <v>174.644</v>
      </c>
      <c r="S610">
        <v>174.644</v>
      </c>
      <c r="T610">
        <v>199.51</v>
      </c>
      <c r="U610">
        <v>2.746</v>
      </c>
      <c r="V610">
        <v>46.035</v>
      </c>
      <c r="W610">
        <v>0.01</v>
      </c>
      <c r="X610" t="s">
        <v>55</v>
      </c>
      <c r="Y610" t="s">
        <v>31</v>
      </c>
      <c r="Z610" s="3">
        <f t="shared" si="41"/>
        <v>0.107168757417632</v>
      </c>
      <c r="AA610">
        <f t="shared" si="42"/>
        <v>0.378</v>
      </c>
      <c r="AB610">
        <f t="shared" si="43"/>
        <v>0.606</v>
      </c>
      <c r="AC610" t="s">
        <v>32</v>
      </c>
    </row>
    <row r="611" spans="1:29">
      <c r="A611" t="s">
        <v>66</v>
      </c>
      <c r="B611">
        <v>3595.875</v>
      </c>
      <c r="C611">
        <v>17.125</v>
      </c>
      <c r="D611">
        <v>59.513</v>
      </c>
      <c r="E611">
        <v>160.925</v>
      </c>
      <c r="F611">
        <v>0.096</v>
      </c>
      <c r="G611">
        <v>21.967</v>
      </c>
      <c r="H611">
        <v>2.208</v>
      </c>
      <c r="I611">
        <v>2.739</v>
      </c>
      <c r="J611">
        <v>0.122</v>
      </c>
      <c r="K611">
        <v>6.737</v>
      </c>
      <c r="L611">
        <v>0.478</v>
      </c>
      <c r="M611">
        <v>2.995</v>
      </c>
      <c r="N611">
        <v>197.327</v>
      </c>
      <c r="O611">
        <v>153.2</v>
      </c>
      <c r="P611">
        <f t="shared" si="40"/>
        <v>2.29518651327425</v>
      </c>
      <c r="Q611">
        <f t="shared" si="40"/>
        <v>2.18525876529658</v>
      </c>
      <c r="R611">
        <v>166.753</v>
      </c>
      <c r="S611">
        <v>166.753</v>
      </c>
      <c r="T611">
        <v>190.186</v>
      </c>
      <c r="U611">
        <v>2.548</v>
      </c>
      <c r="V611">
        <v>47.94</v>
      </c>
      <c r="W611">
        <v>0.01</v>
      </c>
      <c r="X611" t="s">
        <v>55</v>
      </c>
      <c r="Y611" t="s">
        <v>31</v>
      </c>
      <c r="Z611" s="3">
        <f t="shared" si="41"/>
        <v>0.109927747977661</v>
      </c>
      <c r="AA611">
        <f t="shared" si="42"/>
        <v>0.356</v>
      </c>
      <c r="AB611">
        <f t="shared" si="43"/>
        <v>0.574</v>
      </c>
      <c r="AC611" t="s">
        <v>32</v>
      </c>
    </row>
    <row r="612" spans="1:29">
      <c r="A612" t="s">
        <v>66</v>
      </c>
      <c r="B612">
        <v>3596</v>
      </c>
      <c r="C612">
        <v>18.379</v>
      </c>
      <c r="D612">
        <v>59.426</v>
      </c>
      <c r="E612">
        <v>160.391</v>
      </c>
      <c r="F612">
        <v>0.091</v>
      </c>
      <c r="G612">
        <v>21.976</v>
      </c>
      <c r="H612">
        <v>2.213</v>
      </c>
      <c r="I612">
        <v>2.74</v>
      </c>
      <c r="J612">
        <v>0.126</v>
      </c>
      <c r="K612">
        <v>6.607</v>
      </c>
      <c r="L612">
        <v>0.468</v>
      </c>
      <c r="M612">
        <v>3.005</v>
      </c>
      <c r="N612">
        <v>203.048</v>
      </c>
      <c r="O612">
        <v>156.423</v>
      </c>
      <c r="P612">
        <f t="shared" si="40"/>
        <v>2.30759871609524</v>
      </c>
      <c r="Q612">
        <f t="shared" si="40"/>
        <v>2.19430061086377</v>
      </c>
      <c r="R612">
        <v>160.881</v>
      </c>
      <c r="S612">
        <v>160.881</v>
      </c>
      <c r="T612">
        <v>183.053</v>
      </c>
      <c r="U612">
        <v>2.316</v>
      </c>
      <c r="V612">
        <v>52.564</v>
      </c>
      <c r="W612">
        <v>0.01</v>
      </c>
      <c r="X612" t="s">
        <v>55</v>
      </c>
      <c r="Y612" t="s">
        <v>31</v>
      </c>
      <c r="Z612" s="3">
        <f t="shared" si="41"/>
        <v>0.113298105231471</v>
      </c>
      <c r="AA612">
        <f t="shared" si="42"/>
        <v>0.342</v>
      </c>
      <c r="AB612">
        <f t="shared" si="43"/>
        <v>0.559</v>
      </c>
      <c r="AC612" t="s">
        <v>32</v>
      </c>
    </row>
    <row r="613" spans="1:29">
      <c r="A613" t="s">
        <v>66</v>
      </c>
      <c r="B613">
        <v>3596.125</v>
      </c>
      <c r="C613">
        <v>19.658</v>
      </c>
      <c r="D613">
        <v>59.342</v>
      </c>
      <c r="E613">
        <v>160.06</v>
      </c>
      <c r="F613">
        <v>0.088</v>
      </c>
      <c r="G613">
        <v>21.989</v>
      </c>
      <c r="H613">
        <v>2.202</v>
      </c>
      <c r="I613">
        <v>2.745</v>
      </c>
      <c r="J613">
        <v>0.149</v>
      </c>
      <c r="K613">
        <v>6.562</v>
      </c>
      <c r="L613">
        <v>0.465</v>
      </c>
      <c r="M613">
        <v>3.018</v>
      </c>
      <c r="N613">
        <v>207.085</v>
      </c>
      <c r="O613">
        <v>158.161</v>
      </c>
      <c r="P613">
        <f t="shared" si="40"/>
        <v>2.31614864233548</v>
      </c>
      <c r="Q613">
        <f t="shared" si="40"/>
        <v>2.19909940221551</v>
      </c>
      <c r="R613">
        <v>158.9</v>
      </c>
      <c r="S613">
        <v>158.9</v>
      </c>
      <c r="T613">
        <v>180.341</v>
      </c>
      <c r="U613">
        <v>2.19</v>
      </c>
      <c r="V613">
        <v>58.044</v>
      </c>
      <c r="W613">
        <v>0.01</v>
      </c>
      <c r="X613" t="s">
        <v>55</v>
      </c>
      <c r="Y613" t="s">
        <v>31</v>
      </c>
      <c r="Z613" s="3">
        <f t="shared" si="41"/>
        <v>0.117049240119972</v>
      </c>
      <c r="AA613">
        <f t="shared" si="42"/>
        <v>0.316</v>
      </c>
      <c r="AB613">
        <f t="shared" si="43"/>
        <v>0.553</v>
      </c>
      <c r="AC613" t="s">
        <v>32</v>
      </c>
    </row>
    <row r="614" spans="1:29">
      <c r="A614" t="s">
        <v>66</v>
      </c>
      <c r="B614">
        <v>3596.25</v>
      </c>
      <c r="C614">
        <v>20.184</v>
      </c>
      <c r="D614">
        <v>59.261</v>
      </c>
      <c r="E614">
        <v>159.511</v>
      </c>
      <c r="F614">
        <v>0.083</v>
      </c>
      <c r="G614">
        <v>22.002</v>
      </c>
      <c r="H614">
        <v>2.166</v>
      </c>
      <c r="I614">
        <v>2.754</v>
      </c>
      <c r="J614">
        <v>0.189</v>
      </c>
      <c r="K614">
        <v>6.554</v>
      </c>
      <c r="L614">
        <v>0.464</v>
      </c>
      <c r="M614">
        <v>3.025</v>
      </c>
      <c r="N614">
        <v>210.127</v>
      </c>
      <c r="O614">
        <v>158.938</v>
      </c>
      <c r="P614">
        <f t="shared" si="40"/>
        <v>2.32248186010526</v>
      </c>
      <c r="Q614">
        <f t="shared" si="40"/>
        <v>2.2012277437606</v>
      </c>
      <c r="R614">
        <v>159.841</v>
      </c>
      <c r="S614">
        <v>159.841</v>
      </c>
      <c r="T614">
        <v>180.984</v>
      </c>
      <c r="U614">
        <v>2.127</v>
      </c>
      <c r="V614">
        <v>61.597</v>
      </c>
      <c r="W614">
        <v>0.01</v>
      </c>
      <c r="X614" t="s">
        <v>55</v>
      </c>
      <c r="Y614" t="s">
        <v>31</v>
      </c>
      <c r="Z614" s="3">
        <f t="shared" si="41"/>
        <v>0.121254116344657</v>
      </c>
      <c r="AA614">
        <f t="shared" si="42"/>
        <v>0.275</v>
      </c>
      <c r="AB614">
        <f t="shared" si="43"/>
        <v>0.547</v>
      </c>
      <c r="AC614" t="s">
        <v>32</v>
      </c>
    </row>
    <row r="615" spans="1:29">
      <c r="A615" t="s">
        <v>66</v>
      </c>
      <c r="B615">
        <v>3596.375</v>
      </c>
      <c r="C615">
        <v>19.394</v>
      </c>
      <c r="D615">
        <v>59.183</v>
      </c>
      <c r="E615">
        <v>158.447</v>
      </c>
      <c r="F615">
        <v>0.073</v>
      </c>
      <c r="G615">
        <v>22.015</v>
      </c>
      <c r="H615">
        <v>2.076</v>
      </c>
      <c r="I615">
        <v>2.761</v>
      </c>
      <c r="J615">
        <v>0.221</v>
      </c>
      <c r="K615">
        <v>6.498</v>
      </c>
      <c r="L615">
        <v>0.46</v>
      </c>
      <c r="M615">
        <v>3.014</v>
      </c>
      <c r="N615">
        <v>213.868</v>
      </c>
      <c r="O615">
        <v>160.005</v>
      </c>
      <c r="P615">
        <f t="shared" si="40"/>
        <v>2.33014580811959</v>
      </c>
      <c r="Q615">
        <f t="shared" si="40"/>
        <v>2.20413355414643</v>
      </c>
      <c r="R615">
        <v>160.541</v>
      </c>
      <c r="S615">
        <v>160.541</v>
      </c>
      <c r="T615">
        <v>181.431</v>
      </c>
      <c r="U615">
        <v>2.16</v>
      </c>
      <c r="V615">
        <v>63.728</v>
      </c>
      <c r="W615">
        <v>0.01</v>
      </c>
      <c r="X615" t="s">
        <v>55</v>
      </c>
      <c r="Y615" t="s">
        <v>31</v>
      </c>
      <c r="Z615" s="3">
        <f t="shared" si="41"/>
        <v>0.126012253973157</v>
      </c>
      <c r="AA615">
        <f t="shared" si="42"/>
        <v>0.239</v>
      </c>
      <c r="AB615">
        <f t="shared" si="43"/>
        <v>0.533</v>
      </c>
      <c r="AC615" t="s">
        <v>32</v>
      </c>
    </row>
    <row r="616" spans="1:29">
      <c r="A616" t="s">
        <v>66</v>
      </c>
      <c r="B616">
        <v>3596.5</v>
      </c>
      <c r="C616">
        <v>17.898</v>
      </c>
      <c r="D616">
        <v>59.108</v>
      </c>
      <c r="E616">
        <v>156.922</v>
      </c>
      <c r="F616">
        <v>0.059</v>
      </c>
      <c r="G616">
        <v>22.034</v>
      </c>
      <c r="H616">
        <v>1.931</v>
      </c>
      <c r="I616">
        <v>2.766</v>
      </c>
      <c r="J616">
        <v>0.243</v>
      </c>
      <c r="K616">
        <v>6.379</v>
      </c>
      <c r="L616">
        <v>0.451</v>
      </c>
      <c r="M616">
        <v>2.99</v>
      </c>
      <c r="N616">
        <v>220.755</v>
      </c>
      <c r="O616">
        <v>162.909</v>
      </c>
      <c r="P616">
        <f t="shared" si="40"/>
        <v>2.34391054893281</v>
      </c>
      <c r="Q616">
        <f t="shared" si="40"/>
        <v>2.21194507781598</v>
      </c>
      <c r="R616">
        <v>159.894</v>
      </c>
      <c r="S616">
        <v>159.894</v>
      </c>
      <c r="T616">
        <v>180.471</v>
      </c>
      <c r="U616">
        <v>1.932</v>
      </c>
      <c r="V616">
        <v>62.714</v>
      </c>
      <c r="W616">
        <v>0.01</v>
      </c>
      <c r="X616" t="s">
        <v>55</v>
      </c>
      <c r="Y616" t="s">
        <v>31</v>
      </c>
      <c r="Z616" s="3">
        <f t="shared" si="41"/>
        <v>0.131965471116831</v>
      </c>
      <c r="AA616">
        <f t="shared" si="42"/>
        <v>0.208</v>
      </c>
      <c r="AB616">
        <f t="shared" si="43"/>
        <v>0.51</v>
      </c>
      <c r="AC616" t="s">
        <v>32</v>
      </c>
    </row>
    <row r="617" spans="1:29">
      <c r="A617" t="s">
        <v>66</v>
      </c>
      <c r="B617">
        <v>3596.625</v>
      </c>
      <c r="C617">
        <v>16.921</v>
      </c>
      <c r="D617">
        <v>59.036</v>
      </c>
      <c r="E617">
        <v>155.243</v>
      </c>
      <c r="F617">
        <v>0.043</v>
      </c>
      <c r="G617">
        <v>22.068</v>
      </c>
      <c r="H617">
        <v>1.827</v>
      </c>
      <c r="I617">
        <v>2.77</v>
      </c>
      <c r="J617">
        <v>0.261</v>
      </c>
      <c r="K617">
        <v>6.234</v>
      </c>
      <c r="L617">
        <v>0.44</v>
      </c>
      <c r="M617">
        <v>2.982</v>
      </c>
      <c r="N617">
        <v>232.973</v>
      </c>
      <c r="O617">
        <v>169.194</v>
      </c>
      <c r="P617">
        <f t="shared" si="40"/>
        <v>2.36730559213991</v>
      </c>
      <c r="Q617">
        <f t="shared" si="40"/>
        <v>2.2283849579164</v>
      </c>
      <c r="R617">
        <v>159.554</v>
      </c>
      <c r="S617">
        <v>159.554</v>
      </c>
      <c r="T617">
        <v>180.053</v>
      </c>
      <c r="U617">
        <v>1.294</v>
      </c>
      <c r="V617">
        <v>72.826</v>
      </c>
      <c r="W617">
        <v>0.01</v>
      </c>
      <c r="X617" t="s">
        <v>55</v>
      </c>
      <c r="Y617" t="s">
        <v>31</v>
      </c>
      <c r="Z617" s="3">
        <f t="shared" si="41"/>
        <v>0.138920634223509</v>
      </c>
      <c r="AA617">
        <f t="shared" si="42"/>
        <v>0.179</v>
      </c>
      <c r="AB617">
        <f t="shared" si="43"/>
        <v>0.483</v>
      </c>
      <c r="AC617" t="s">
        <v>32</v>
      </c>
    </row>
    <row r="618" spans="1:29">
      <c r="A618" t="s">
        <v>66</v>
      </c>
      <c r="B618">
        <v>3596.75</v>
      </c>
      <c r="C618">
        <v>17.295</v>
      </c>
      <c r="D618">
        <v>58.968</v>
      </c>
      <c r="E618">
        <v>153.982</v>
      </c>
      <c r="F618">
        <v>0.032</v>
      </c>
      <c r="G618">
        <v>22.108</v>
      </c>
      <c r="H618">
        <v>1.891</v>
      </c>
      <c r="I618">
        <v>2.774</v>
      </c>
      <c r="J618">
        <v>0.279</v>
      </c>
      <c r="K618">
        <v>6.139</v>
      </c>
      <c r="L618">
        <v>0.433</v>
      </c>
      <c r="M618">
        <v>3.022</v>
      </c>
      <c r="N618">
        <v>250.935</v>
      </c>
      <c r="O618">
        <v>178.959</v>
      </c>
      <c r="P618">
        <f t="shared" si="40"/>
        <v>2.3995612402176</v>
      </c>
      <c r="Q618">
        <f t="shared" si="40"/>
        <v>2.25275354431334</v>
      </c>
      <c r="R618">
        <v>161.38</v>
      </c>
      <c r="S618">
        <v>161.38</v>
      </c>
      <c r="T618">
        <v>182.348</v>
      </c>
      <c r="U618">
        <v>1.099</v>
      </c>
      <c r="V618">
        <v>100</v>
      </c>
      <c r="W618">
        <v>0.01</v>
      </c>
      <c r="X618" t="s">
        <v>55</v>
      </c>
      <c r="Y618" t="s">
        <v>31</v>
      </c>
      <c r="Z618" s="3">
        <f t="shared" si="41"/>
        <v>0.146807695904259</v>
      </c>
      <c r="AA618">
        <f t="shared" si="42"/>
        <v>0.154</v>
      </c>
      <c r="AB618">
        <f t="shared" si="43"/>
        <v>0.465</v>
      </c>
      <c r="AC618" t="s">
        <v>32</v>
      </c>
    </row>
    <row r="619" spans="1:29">
      <c r="A619" t="s">
        <v>66</v>
      </c>
      <c r="B619">
        <v>3596.875</v>
      </c>
      <c r="C619">
        <v>18.546</v>
      </c>
      <c r="D619">
        <v>58.903</v>
      </c>
      <c r="E619">
        <v>153.215</v>
      </c>
      <c r="F619">
        <v>0.024</v>
      </c>
      <c r="G619">
        <v>22.143</v>
      </c>
      <c r="H619">
        <v>2.055</v>
      </c>
      <c r="I619">
        <v>2.777</v>
      </c>
      <c r="J619">
        <v>0.293</v>
      </c>
      <c r="K619">
        <v>6.128</v>
      </c>
      <c r="L619">
        <v>0.432</v>
      </c>
      <c r="M619">
        <v>3.102</v>
      </c>
      <c r="N619">
        <v>274.171</v>
      </c>
      <c r="O619">
        <v>192.171</v>
      </c>
      <c r="P619">
        <f t="shared" si="40"/>
        <v>2.438021516077</v>
      </c>
      <c r="Q619">
        <f t="shared" si="40"/>
        <v>2.28368785008471</v>
      </c>
      <c r="R619">
        <v>165.382</v>
      </c>
      <c r="S619">
        <v>165.382</v>
      </c>
      <c r="T619">
        <v>187.405</v>
      </c>
      <c r="U619">
        <v>0.77</v>
      </c>
      <c r="V619">
        <v>100</v>
      </c>
      <c r="W619">
        <v>0.01</v>
      </c>
      <c r="X619" t="s">
        <v>55</v>
      </c>
      <c r="Y619" t="s">
        <v>31</v>
      </c>
      <c r="Z619" s="3">
        <f t="shared" si="41"/>
        <v>0.154333665992291</v>
      </c>
      <c r="AA619">
        <f t="shared" si="42"/>
        <v>0.139</v>
      </c>
      <c r="AB619">
        <f t="shared" si="43"/>
        <v>0.456</v>
      </c>
      <c r="AC619" t="s">
        <v>32</v>
      </c>
    </row>
    <row r="620" spans="1:29">
      <c r="A620" t="s">
        <v>66</v>
      </c>
      <c r="B620">
        <v>3597</v>
      </c>
      <c r="C620">
        <v>19.898</v>
      </c>
      <c r="D620">
        <v>58.842</v>
      </c>
      <c r="E620">
        <v>152.612</v>
      </c>
      <c r="F620">
        <v>0.019</v>
      </c>
      <c r="G620">
        <v>22.17</v>
      </c>
      <c r="H620">
        <v>2.188</v>
      </c>
      <c r="I620">
        <v>2.78</v>
      </c>
      <c r="J620">
        <v>0.306</v>
      </c>
      <c r="K620">
        <v>6.143</v>
      </c>
      <c r="L620">
        <v>0.433</v>
      </c>
      <c r="M620">
        <v>3.178</v>
      </c>
      <c r="N620">
        <v>301.801</v>
      </c>
      <c r="O620">
        <v>209.005</v>
      </c>
      <c r="P620">
        <f t="shared" si="40"/>
        <v>2.47972067445137</v>
      </c>
      <c r="Q620">
        <f t="shared" si="40"/>
        <v>2.32015667580692</v>
      </c>
      <c r="R620">
        <v>173.361</v>
      </c>
      <c r="S620">
        <v>173.361</v>
      </c>
      <c r="T620">
        <v>197.391</v>
      </c>
      <c r="U620">
        <v>0.01</v>
      </c>
      <c r="V620">
        <v>100</v>
      </c>
      <c r="W620">
        <v>0.008</v>
      </c>
      <c r="X620" t="s">
        <v>55</v>
      </c>
      <c r="Y620" t="s">
        <v>31</v>
      </c>
      <c r="Z620" s="3">
        <f t="shared" si="41"/>
        <v>0.159563998644458</v>
      </c>
      <c r="AA620">
        <f t="shared" si="42"/>
        <v>0.127</v>
      </c>
      <c r="AB620">
        <f t="shared" si="43"/>
        <v>0.452</v>
      </c>
      <c r="AC620" t="s">
        <v>32</v>
      </c>
    </row>
    <row r="621" spans="1:29">
      <c r="A621" t="s">
        <v>66</v>
      </c>
      <c r="B621">
        <v>3597.125</v>
      </c>
      <c r="C621">
        <v>21.328</v>
      </c>
      <c r="D621">
        <v>58.784</v>
      </c>
      <c r="E621">
        <v>152.033</v>
      </c>
      <c r="F621">
        <v>0.013</v>
      </c>
      <c r="G621">
        <v>22.208</v>
      </c>
      <c r="H621">
        <v>2.283</v>
      </c>
      <c r="I621">
        <v>2.781</v>
      </c>
      <c r="J621">
        <v>0.311</v>
      </c>
      <c r="K621">
        <v>6.065</v>
      </c>
      <c r="L621">
        <v>0.428</v>
      </c>
      <c r="M621">
        <v>3.239</v>
      </c>
      <c r="N621">
        <v>329.319</v>
      </c>
      <c r="O621">
        <v>226.474</v>
      </c>
      <c r="P621">
        <f t="shared" si="40"/>
        <v>2.51761678797615</v>
      </c>
      <c r="Q621">
        <f t="shared" si="40"/>
        <v>2.35501835069911</v>
      </c>
      <c r="R621">
        <v>187.917</v>
      </c>
      <c r="S621">
        <v>187.917</v>
      </c>
      <c r="T621">
        <v>215.39</v>
      </c>
      <c r="U621">
        <v>0.01</v>
      </c>
      <c r="V621">
        <v>100</v>
      </c>
      <c r="W621">
        <v>0.001</v>
      </c>
      <c r="X621" t="s">
        <v>55</v>
      </c>
      <c r="Y621" t="s">
        <v>31</v>
      </c>
      <c r="Z621" s="3">
        <f t="shared" si="41"/>
        <v>0.162598437277035</v>
      </c>
      <c r="AA621">
        <f t="shared" si="42"/>
        <v>0.117</v>
      </c>
      <c r="AB621">
        <f t="shared" si="43"/>
        <v>0.441</v>
      </c>
      <c r="AC621" t="s">
        <v>32</v>
      </c>
    </row>
    <row r="622" spans="1:29">
      <c r="A622" t="s">
        <v>66</v>
      </c>
      <c r="B622">
        <v>3597.25</v>
      </c>
      <c r="C622">
        <v>23.086</v>
      </c>
      <c r="D622">
        <v>58.73</v>
      </c>
      <c r="E622">
        <v>151.693</v>
      </c>
      <c r="F622">
        <v>0.01</v>
      </c>
      <c r="G622">
        <v>22.272</v>
      </c>
      <c r="H622">
        <v>2.426</v>
      </c>
      <c r="I622">
        <v>2.78</v>
      </c>
      <c r="J622">
        <v>0.306</v>
      </c>
      <c r="K622">
        <v>5.939</v>
      </c>
      <c r="L622">
        <v>0.418</v>
      </c>
      <c r="M622">
        <v>3.29</v>
      </c>
      <c r="N622">
        <v>352.118</v>
      </c>
      <c r="O622">
        <v>241.209</v>
      </c>
      <c r="P622">
        <f t="shared" si="40"/>
        <v>2.54668822643589</v>
      </c>
      <c r="Q622">
        <f t="shared" si="40"/>
        <v>2.38239350818377</v>
      </c>
      <c r="R622">
        <v>206.945</v>
      </c>
      <c r="S622">
        <v>206.945</v>
      </c>
      <c r="T622">
        <v>239.082</v>
      </c>
      <c r="U622">
        <v>0.01</v>
      </c>
      <c r="V622">
        <v>100</v>
      </c>
      <c r="W622">
        <v>0.001</v>
      </c>
      <c r="X622" t="s">
        <v>55</v>
      </c>
      <c r="Y622" t="s">
        <v>31</v>
      </c>
      <c r="Z622" s="3">
        <f t="shared" si="41"/>
        <v>0.164294718252116</v>
      </c>
      <c r="AA622">
        <f t="shared" si="42"/>
        <v>0.112</v>
      </c>
      <c r="AB622">
        <f t="shared" si="43"/>
        <v>0.428</v>
      </c>
      <c r="AC622" t="s">
        <v>32</v>
      </c>
    </row>
    <row r="623" spans="1:29">
      <c r="A623" t="s">
        <v>66</v>
      </c>
      <c r="B623">
        <v>3597.375</v>
      </c>
      <c r="C623">
        <v>24.575</v>
      </c>
      <c r="D623">
        <v>58.679</v>
      </c>
      <c r="E623">
        <v>151.8</v>
      </c>
      <c r="F623">
        <v>0.011</v>
      </c>
      <c r="G623">
        <v>22.356</v>
      </c>
      <c r="H623">
        <v>2.548</v>
      </c>
      <c r="I623">
        <v>2.781</v>
      </c>
      <c r="J623">
        <v>0.311</v>
      </c>
      <c r="K623">
        <v>5.914</v>
      </c>
      <c r="L623">
        <v>0.416</v>
      </c>
      <c r="M623">
        <v>3.322</v>
      </c>
      <c r="N623">
        <v>367.1</v>
      </c>
      <c r="O623">
        <v>250.723</v>
      </c>
      <c r="P623">
        <f t="shared" si="40"/>
        <v>2.56478438450399</v>
      </c>
      <c r="Q623">
        <f t="shared" si="40"/>
        <v>2.39919417566109</v>
      </c>
      <c r="R623">
        <v>221.09</v>
      </c>
      <c r="S623">
        <v>221.09</v>
      </c>
      <c r="T623">
        <v>257.618</v>
      </c>
      <c r="U623">
        <v>0.01</v>
      </c>
      <c r="V623">
        <v>100</v>
      </c>
      <c r="W623">
        <v>0.001</v>
      </c>
      <c r="X623" t="s">
        <v>55</v>
      </c>
      <c r="Y623" t="s">
        <v>31</v>
      </c>
      <c r="Z623" s="3">
        <f t="shared" si="41"/>
        <v>0.165590208842894</v>
      </c>
      <c r="AA623">
        <f t="shared" si="42"/>
        <v>0.105</v>
      </c>
      <c r="AB623">
        <f t="shared" si="43"/>
        <v>0.427</v>
      </c>
      <c r="AC623" t="s">
        <v>32</v>
      </c>
    </row>
    <row r="624" spans="1:29">
      <c r="A624" t="s">
        <v>66</v>
      </c>
      <c r="B624">
        <v>3597.5</v>
      </c>
      <c r="C624">
        <v>24.685</v>
      </c>
      <c r="D624">
        <v>58.633</v>
      </c>
      <c r="E624">
        <v>152.254</v>
      </c>
      <c r="F624">
        <v>0.015</v>
      </c>
      <c r="G624">
        <v>22.403</v>
      </c>
      <c r="H624">
        <v>2.568</v>
      </c>
      <c r="I624">
        <v>2.788</v>
      </c>
      <c r="J624">
        <v>0.342</v>
      </c>
      <c r="K624">
        <v>6.017</v>
      </c>
      <c r="L624">
        <v>0.424</v>
      </c>
      <c r="M624">
        <v>3.323</v>
      </c>
      <c r="N624">
        <v>377.924</v>
      </c>
      <c r="O624">
        <v>257.363</v>
      </c>
      <c r="P624">
        <f t="shared" si="40"/>
        <v>2.57740447259074</v>
      </c>
      <c r="Q624">
        <f t="shared" si="40"/>
        <v>2.41054611035837</v>
      </c>
      <c r="R624">
        <v>227.084</v>
      </c>
      <c r="S624">
        <v>227.084</v>
      </c>
      <c r="T624">
        <v>266.815</v>
      </c>
      <c r="U624">
        <v>0.01</v>
      </c>
      <c r="V624">
        <v>100</v>
      </c>
      <c r="W624">
        <v>0.001</v>
      </c>
      <c r="X624" t="s">
        <v>55</v>
      </c>
      <c r="Y624" t="s">
        <v>31</v>
      </c>
      <c r="Z624" s="3">
        <f t="shared" si="41"/>
        <v>0.166858362232373</v>
      </c>
      <c r="AA624">
        <f t="shared" si="42"/>
        <v>0.082</v>
      </c>
      <c r="AB624">
        <f t="shared" si="43"/>
        <v>0.439</v>
      </c>
      <c r="AC624" t="s">
        <v>32</v>
      </c>
    </row>
    <row r="625" spans="1:29">
      <c r="A625" t="s">
        <v>66</v>
      </c>
      <c r="B625">
        <v>3597.625</v>
      </c>
      <c r="C625">
        <v>23.486</v>
      </c>
      <c r="D625">
        <v>58.59</v>
      </c>
      <c r="E625">
        <v>152.845</v>
      </c>
      <c r="F625">
        <v>0.021</v>
      </c>
      <c r="G625">
        <v>21.745</v>
      </c>
      <c r="H625">
        <v>2.524</v>
      </c>
      <c r="I625">
        <v>2.801</v>
      </c>
      <c r="J625">
        <v>0.401</v>
      </c>
      <c r="K625">
        <v>6.19</v>
      </c>
      <c r="L625">
        <v>0.437</v>
      </c>
      <c r="M625">
        <v>3.311</v>
      </c>
      <c r="N625">
        <v>387.806</v>
      </c>
      <c r="O625">
        <v>263.545</v>
      </c>
      <c r="P625">
        <f t="shared" si="40"/>
        <v>2.58861452404834</v>
      </c>
      <c r="Q625">
        <f t="shared" si="40"/>
        <v>2.42085478115425</v>
      </c>
      <c r="R625">
        <v>229.255</v>
      </c>
      <c r="S625">
        <v>229.255</v>
      </c>
      <c r="T625">
        <v>271.451</v>
      </c>
      <c r="U625">
        <v>0.01</v>
      </c>
      <c r="V625">
        <v>100</v>
      </c>
      <c r="W625">
        <v>0.001</v>
      </c>
      <c r="X625" t="s">
        <v>55</v>
      </c>
      <c r="Y625" t="s">
        <v>31</v>
      </c>
      <c r="Z625" s="3">
        <f t="shared" si="41"/>
        <v>0.167759742894096</v>
      </c>
      <c r="AA625">
        <f t="shared" si="42"/>
        <v>0.036</v>
      </c>
      <c r="AB625">
        <f t="shared" si="43"/>
        <v>0.458</v>
      </c>
      <c r="AC625" t="s">
        <v>32</v>
      </c>
    </row>
    <row r="626" spans="1:29">
      <c r="A626" t="s">
        <v>66</v>
      </c>
      <c r="B626">
        <v>3597.75</v>
      </c>
      <c r="C626">
        <v>22.345</v>
      </c>
      <c r="D626">
        <v>58.551</v>
      </c>
      <c r="E626">
        <v>153.269</v>
      </c>
      <c r="F626">
        <v>0.025</v>
      </c>
      <c r="G626">
        <v>21.722</v>
      </c>
      <c r="H626">
        <v>2.479</v>
      </c>
      <c r="I626">
        <v>2.815</v>
      </c>
      <c r="J626">
        <v>0.464</v>
      </c>
      <c r="K626">
        <v>6.324</v>
      </c>
      <c r="L626">
        <v>0.447</v>
      </c>
      <c r="M626">
        <v>3.277</v>
      </c>
      <c r="N626">
        <v>395.85</v>
      </c>
      <c r="O626">
        <v>269.311</v>
      </c>
      <c r="P626">
        <f t="shared" si="40"/>
        <v>2.59753064927573</v>
      </c>
      <c r="Q626">
        <f t="shared" si="40"/>
        <v>2.43025409251933</v>
      </c>
      <c r="R626">
        <v>233.318</v>
      </c>
      <c r="S626">
        <v>233.318</v>
      </c>
      <c r="T626">
        <v>277.942</v>
      </c>
      <c r="U626">
        <v>0.01</v>
      </c>
      <c r="V626">
        <v>100</v>
      </c>
      <c r="W626">
        <v>0.001</v>
      </c>
      <c r="X626" t="s">
        <v>55</v>
      </c>
      <c r="Y626" t="s">
        <v>31</v>
      </c>
      <c r="Z626" s="3">
        <f t="shared" si="41"/>
        <v>0.167276556756398</v>
      </c>
      <c r="AA626">
        <f t="shared" si="42"/>
        <v>-0.017</v>
      </c>
      <c r="AB626">
        <f t="shared" si="43"/>
        <v>0.472</v>
      </c>
      <c r="AC626" t="s">
        <v>32</v>
      </c>
    </row>
    <row r="627" spans="1:29">
      <c r="A627" t="s">
        <v>66</v>
      </c>
      <c r="B627">
        <v>3597.875</v>
      </c>
      <c r="C627">
        <v>22.663</v>
      </c>
      <c r="D627">
        <v>58.516</v>
      </c>
      <c r="E627">
        <v>153.591</v>
      </c>
      <c r="F627">
        <v>0.028</v>
      </c>
      <c r="G627">
        <v>21.771</v>
      </c>
      <c r="H627">
        <v>2.439</v>
      </c>
      <c r="I627">
        <v>2.821</v>
      </c>
      <c r="J627">
        <v>0.491</v>
      </c>
      <c r="K627">
        <v>6.418</v>
      </c>
      <c r="L627">
        <v>0.454</v>
      </c>
      <c r="M627">
        <v>3.243</v>
      </c>
      <c r="N627">
        <v>398.546</v>
      </c>
      <c r="O627">
        <v>272.529</v>
      </c>
      <c r="P627">
        <f t="shared" si="40"/>
        <v>2.60047845469881</v>
      </c>
      <c r="Q627">
        <f t="shared" si="40"/>
        <v>2.43541272264882</v>
      </c>
      <c r="R627">
        <v>240.049</v>
      </c>
      <c r="S627">
        <v>240.049</v>
      </c>
      <c r="T627">
        <v>287.099</v>
      </c>
      <c r="U627">
        <v>0.01</v>
      </c>
      <c r="V627">
        <v>100</v>
      </c>
      <c r="W627">
        <v>0.001</v>
      </c>
      <c r="X627" t="s">
        <v>55</v>
      </c>
      <c r="Y627" t="s">
        <v>31</v>
      </c>
      <c r="Z627" s="3">
        <f t="shared" si="41"/>
        <v>0.16506573204999</v>
      </c>
      <c r="AA627">
        <f t="shared" si="42"/>
        <v>-0.037</v>
      </c>
      <c r="AB627">
        <f t="shared" si="43"/>
        <v>0.482</v>
      </c>
      <c r="AC627" t="s">
        <v>32</v>
      </c>
    </row>
    <row r="628" spans="1:29">
      <c r="A628" t="s">
        <v>66</v>
      </c>
      <c r="B628">
        <v>3598</v>
      </c>
      <c r="C628">
        <v>25.701</v>
      </c>
      <c r="D628">
        <v>58.485</v>
      </c>
      <c r="E628">
        <v>153.944</v>
      </c>
      <c r="F628">
        <v>0.031</v>
      </c>
      <c r="G628">
        <v>21.863</v>
      </c>
      <c r="H628">
        <v>2.415</v>
      </c>
      <c r="I628">
        <v>2.815</v>
      </c>
      <c r="J628">
        <v>0.464</v>
      </c>
      <c r="K628">
        <v>6.394</v>
      </c>
      <c r="L628">
        <v>0.452</v>
      </c>
      <c r="M628">
        <v>3.237</v>
      </c>
      <c r="N628">
        <v>395.202</v>
      </c>
      <c r="O628">
        <v>272.613</v>
      </c>
      <c r="P628">
        <f t="shared" si="40"/>
        <v>2.5968191337566</v>
      </c>
      <c r="Q628">
        <f t="shared" si="40"/>
        <v>2.43554656204028</v>
      </c>
      <c r="R628">
        <v>247.548</v>
      </c>
      <c r="S628">
        <v>247.548</v>
      </c>
      <c r="T628">
        <v>296.489</v>
      </c>
      <c r="U628">
        <v>0.01</v>
      </c>
      <c r="V628">
        <v>100</v>
      </c>
      <c r="W628">
        <v>0.001</v>
      </c>
      <c r="X628" t="s">
        <v>55</v>
      </c>
      <c r="Y628" t="s">
        <v>31</v>
      </c>
      <c r="Z628" s="3">
        <f t="shared" si="41"/>
        <v>0.161272571716316</v>
      </c>
      <c r="AA628">
        <f t="shared" si="42"/>
        <v>-0.012</v>
      </c>
      <c r="AB628">
        <f t="shared" si="43"/>
        <v>0.483</v>
      </c>
      <c r="AC628" t="s">
        <v>32</v>
      </c>
    </row>
    <row r="629" spans="1:29">
      <c r="A629" t="s">
        <v>67</v>
      </c>
      <c r="B629">
        <v>3949</v>
      </c>
      <c r="C629">
        <v>22.173</v>
      </c>
      <c r="D629">
        <v>89.489</v>
      </c>
      <c r="E629">
        <v>171.185</v>
      </c>
      <c r="F629">
        <v>0.197</v>
      </c>
      <c r="G629">
        <v>22.664</v>
      </c>
      <c r="H629">
        <v>0.834</v>
      </c>
      <c r="I629">
        <v>2.69</v>
      </c>
      <c r="J629">
        <v>0.672</v>
      </c>
      <c r="K629">
        <v>10.012</v>
      </c>
      <c r="L629">
        <v>0.48</v>
      </c>
      <c r="M629">
        <v>3.192</v>
      </c>
      <c r="N629">
        <v>143.222</v>
      </c>
      <c r="O629">
        <v>126.036</v>
      </c>
      <c r="P629">
        <f t="shared" si="40"/>
        <v>2.15600973406642</v>
      </c>
      <c r="Q629">
        <f t="shared" si="40"/>
        <v>2.10049461153232</v>
      </c>
      <c r="R629">
        <v>62.459</v>
      </c>
      <c r="S629">
        <v>69.4</v>
      </c>
      <c r="T629">
        <v>75.434</v>
      </c>
      <c r="U629">
        <v>5.414</v>
      </c>
      <c r="V629">
        <v>34.447</v>
      </c>
      <c r="W629">
        <v>0.144</v>
      </c>
      <c r="X629" t="s">
        <v>55</v>
      </c>
      <c r="Y629" t="s">
        <v>31</v>
      </c>
      <c r="Z629" s="3">
        <f t="shared" si="41"/>
        <v>0.0555151225340955</v>
      </c>
      <c r="AA629">
        <f t="shared" si="42"/>
        <v>-0.192</v>
      </c>
      <c r="AB629">
        <f t="shared" si="43"/>
        <v>0.677</v>
      </c>
      <c r="AC629" t="s">
        <v>32</v>
      </c>
    </row>
    <row r="630" spans="1:29">
      <c r="A630" t="s">
        <v>67</v>
      </c>
      <c r="B630">
        <v>3949.125</v>
      </c>
      <c r="C630">
        <v>22.587</v>
      </c>
      <c r="D630">
        <v>89.449</v>
      </c>
      <c r="E630">
        <v>172.329</v>
      </c>
      <c r="F630">
        <v>0.219</v>
      </c>
      <c r="G630">
        <v>22.653</v>
      </c>
      <c r="H630">
        <v>0.94</v>
      </c>
      <c r="I630">
        <v>2.684</v>
      </c>
      <c r="J630">
        <v>0.663</v>
      </c>
      <c r="K630">
        <v>10.064</v>
      </c>
      <c r="L630">
        <v>0.486</v>
      </c>
      <c r="M630">
        <v>3.156</v>
      </c>
      <c r="N630">
        <v>142.943</v>
      </c>
      <c r="O630">
        <v>125.79</v>
      </c>
      <c r="P630">
        <f t="shared" si="40"/>
        <v>2.15516289256698</v>
      </c>
      <c r="Q630">
        <f t="shared" si="40"/>
        <v>2.09964611712323</v>
      </c>
      <c r="R630">
        <v>63.743</v>
      </c>
      <c r="S630">
        <v>70.826</v>
      </c>
      <c r="T630">
        <v>76.985</v>
      </c>
      <c r="U630">
        <v>5.445</v>
      </c>
      <c r="V630">
        <v>34.398</v>
      </c>
      <c r="W630">
        <v>0.148</v>
      </c>
      <c r="X630" t="s">
        <v>55</v>
      </c>
      <c r="Y630" t="s">
        <v>31</v>
      </c>
      <c r="Z630" s="3">
        <f t="shared" si="41"/>
        <v>0.0555167754437478</v>
      </c>
      <c r="AA630">
        <f t="shared" si="42"/>
        <v>-0.177</v>
      </c>
      <c r="AB630">
        <f t="shared" si="43"/>
        <v>0.705</v>
      </c>
      <c r="AC630" t="s">
        <v>32</v>
      </c>
    </row>
    <row r="631" spans="1:29">
      <c r="A631" t="s">
        <v>67</v>
      </c>
      <c r="B631">
        <v>3949.25</v>
      </c>
      <c r="C631">
        <v>22.972</v>
      </c>
      <c r="D631">
        <v>89.4</v>
      </c>
      <c r="E631">
        <v>173.235</v>
      </c>
      <c r="F631">
        <v>0.236</v>
      </c>
      <c r="G631">
        <v>22.662</v>
      </c>
      <c r="H631">
        <v>1.017</v>
      </c>
      <c r="I631">
        <v>2.679</v>
      </c>
      <c r="J631">
        <v>0.655</v>
      </c>
      <c r="K631">
        <v>10.068</v>
      </c>
      <c r="L631">
        <v>0.487</v>
      </c>
      <c r="M631">
        <v>3.108</v>
      </c>
      <c r="N631">
        <v>145.469</v>
      </c>
      <c r="O631">
        <v>128.013</v>
      </c>
      <c r="P631">
        <f t="shared" si="40"/>
        <v>2.16277045336757</v>
      </c>
      <c r="Q631">
        <f t="shared" si="40"/>
        <v>2.10725407544148</v>
      </c>
      <c r="R631">
        <v>63.214</v>
      </c>
      <c r="S631">
        <v>70.238</v>
      </c>
      <c r="T631">
        <v>76.346</v>
      </c>
      <c r="U631">
        <v>5.43</v>
      </c>
      <c r="V631">
        <v>34.305</v>
      </c>
      <c r="W631">
        <v>0.145</v>
      </c>
      <c r="X631" t="s">
        <v>55</v>
      </c>
      <c r="Y631" t="s">
        <v>31</v>
      </c>
      <c r="Z631" s="3">
        <f t="shared" si="41"/>
        <v>0.0555163779260899</v>
      </c>
      <c r="AA631">
        <f t="shared" si="42"/>
        <v>-0.168</v>
      </c>
      <c r="AB631">
        <f t="shared" si="43"/>
        <v>0.723</v>
      </c>
      <c r="AC631" t="s">
        <v>32</v>
      </c>
    </row>
    <row r="632" spans="1:29">
      <c r="A632" t="s">
        <v>67</v>
      </c>
      <c r="B632">
        <v>3949.375</v>
      </c>
      <c r="C632">
        <v>23.261</v>
      </c>
      <c r="D632">
        <v>89.343</v>
      </c>
      <c r="E632">
        <v>173.697</v>
      </c>
      <c r="F632">
        <v>0.245</v>
      </c>
      <c r="G632">
        <v>22.674</v>
      </c>
      <c r="H632">
        <v>1.082</v>
      </c>
      <c r="I632">
        <v>2.673</v>
      </c>
      <c r="J632">
        <v>0.646</v>
      </c>
      <c r="K632">
        <v>10.03</v>
      </c>
      <c r="L632">
        <v>0.482</v>
      </c>
      <c r="M632">
        <v>3.074</v>
      </c>
      <c r="N632">
        <v>149.589</v>
      </c>
      <c r="O632">
        <v>131.638</v>
      </c>
      <c r="P632">
        <f t="shared" si="40"/>
        <v>2.17489965893658</v>
      </c>
      <c r="Q632">
        <f t="shared" si="40"/>
        <v>2.11938127535766</v>
      </c>
      <c r="R632">
        <v>61.232</v>
      </c>
      <c r="S632">
        <v>68.035</v>
      </c>
      <c r="T632">
        <v>73.952</v>
      </c>
      <c r="U632">
        <v>5.4</v>
      </c>
      <c r="V632">
        <v>34.056</v>
      </c>
      <c r="W632">
        <v>0.142</v>
      </c>
      <c r="X632" t="s">
        <v>55</v>
      </c>
      <c r="Y632" t="s">
        <v>31</v>
      </c>
      <c r="Z632" s="3">
        <f t="shared" si="41"/>
        <v>0.0555183835789164</v>
      </c>
      <c r="AA632">
        <f t="shared" si="42"/>
        <v>-0.164</v>
      </c>
      <c r="AB632">
        <f t="shared" si="43"/>
        <v>0.727</v>
      </c>
      <c r="AC632" t="s">
        <v>32</v>
      </c>
    </row>
    <row r="633" spans="1:29">
      <c r="A633" t="s">
        <v>67</v>
      </c>
      <c r="B633">
        <v>3949.5</v>
      </c>
      <c r="C633">
        <v>23.887</v>
      </c>
      <c r="D633">
        <v>89.278</v>
      </c>
      <c r="E633">
        <v>173.667</v>
      </c>
      <c r="F633">
        <v>0.245</v>
      </c>
      <c r="G633">
        <v>22.653</v>
      </c>
      <c r="H633">
        <v>1.18</v>
      </c>
      <c r="I633">
        <v>2.672</v>
      </c>
      <c r="J633">
        <v>0.644</v>
      </c>
      <c r="K633">
        <v>9.94</v>
      </c>
      <c r="L633">
        <v>0.473</v>
      </c>
      <c r="M633">
        <v>3.083</v>
      </c>
      <c r="N633">
        <v>153.166</v>
      </c>
      <c r="O633">
        <v>134.787</v>
      </c>
      <c r="P633">
        <f t="shared" si="40"/>
        <v>2.18516237070681</v>
      </c>
      <c r="Q633">
        <f t="shared" si="40"/>
        <v>2.12964800718059</v>
      </c>
      <c r="R633">
        <v>59.262</v>
      </c>
      <c r="S633">
        <v>65.846</v>
      </c>
      <c r="T633">
        <v>71.572</v>
      </c>
      <c r="U633">
        <v>5.33</v>
      </c>
      <c r="V633">
        <v>34.058</v>
      </c>
      <c r="W633">
        <v>0.134</v>
      </c>
      <c r="X633" t="s">
        <v>55</v>
      </c>
      <c r="Y633" t="s">
        <v>31</v>
      </c>
      <c r="Z633" s="3">
        <f t="shared" si="41"/>
        <v>0.0555143635262172</v>
      </c>
      <c r="AA633">
        <f t="shared" si="42"/>
        <v>-0.171</v>
      </c>
      <c r="AB633">
        <f t="shared" si="43"/>
        <v>0.718</v>
      </c>
      <c r="AC633" t="s">
        <v>32</v>
      </c>
    </row>
    <row r="634" spans="1:29">
      <c r="A634" t="s">
        <v>67</v>
      </c>
      <c r="B634">
        <v>3949.625</v>
      </c>
      <c r="C634">
        <v>24.131</v>
      </c>
      <c r="D634">
        <v>89.204</v>
      </c>
      <c r="E634">
        <v>173.386</v>
      </c>
      <c r="F634">
        <v>0.239</v>
      </c>
      <c r="G634">
        <v>22.674</v>
      </c>
      <c r="H634">
        <v>1.3</v>
      </c>
      <c r="I634">
        <v>2.677</v>
      </c>
      <c r="J634">
        <v>0.652</v>
      </c>
      <c r="K634">
        <v>9.817</v>
      </c>
      <c r="L634">
        <v>0.459</v>
      </c>
      <c r="M634">
        <v>3.127</v>
      </c>
      <c r="N634">
        <v>156.325</v>
      </c>
      <c r="O634">
        <v>137.566</v>
      </c>
      <c r="P634">
        <f t="shared" si="40"/>
        <v>2.19402843735271</v>
      </c>
      <c r="Q634">
        <f t="shared" si="40"/>
        <v>2.13851110950287</v>
      </c>
      <c r="R634">
        <v>58.52</v>
      </c>
      <c r="S634">
        <v>65.022</v>
      </c>
      <c r="T634">
        <v>70.676</v>
      </c>
      <c r="U634">
        <v>5.238</v>
      </c>
      <c r="V634">
        <v>34.276</v>
      </c>
      <c r="W634">
        <v>0.124</v>
      </c>
      <c r="X634" t="s">
        <v>55</v>
      </c>
      <c r="Y634" t="s">
        <v>31</v>
      </c>
      <c r="Z634" s="3">
        <f t="shared" si="41"/>
        <v>0.0555173278498313</v>
      </c>
      <c r="AA634">
        <f t="shared" si="42"/>
        <v>-0.193</v>
      </c>
      <c r="AB634">
        <f t="shared" si="43"/>
        <v>0.698</v>
      </c>
      <c r="AC634" t="s">
        <v>32</v>
      </c>
    </row>
    <row r="635" spans="1:29">
      <c r="A635" t="s">
        <v>67</v>
      </c>
      <c r="B635">
        <v>3949.75</v>
      </c>
      <c r="C635">
        <v>24.17</v>
      </c>
      <c r="D635">
        <v>89.122</v>
      </c>
      <c r="E635">
        <v>173.044</v>
      </c>
      <c r="F635">
        <v>0.233</v>
      </c>
      <c r="G635">
        <v>22.717</v>
      </c>
      <c r="H635">
        <v>1.43</v>
      </c>
      <c r="I635">
        <v>2.684</v>
      </c>
      <c r="J635">
        <v>0.663</v>
      </c>
      <c r="K635">
        <v>9.7</v>
      </c>
      <c r="L635">
        <v>0.446</v>
      </c>
      <c r="M635">
        <v>3.167</v>
      </c>
      <c r="N635">
        <v>158.975</v>
      </c>
      <c r="O635">
        <v>139.898</v>
      </c>
      <c r="P635">
        <f t="shared" si="40"/>
        <v>2.20132883365565</v>
      </c>
      <c r="Q635">
        <f t="shared" si="40"/>
        <v>2.14581150580582</v>
      </c>
      <c r="R635">
        <v>59.233</v>
      </c>
      <c r="S635">
        <v>65.815</v>
      </c>
      <c r="T635">
        <v>71.537</v>
      </c>
      <c r="U635">
        <v>5.169</v>
      </c>
      <c r="V635">
        <v>34.422</v>
      </c>
      <c r="W635">
        <v>0.117</v>
      </c>
      <c r="X635" t="s">
        <v>55</v>
      </c>
      <c r="Y635" t="s">
        <v>31</v>
      </c>
      <c r="Z635" s="3">
        <f t="shared" si="41"/>
        <v>0.0555173278498313</v>
      </c>
      <c r="AA635">
        <f t="shared" si="42"/>
        <v>-0.217</v>
      </c>
      <c r="AB635">
        <f t="shared" si="43"/>
        <v>0.679</v>
      </c>
      <c r="AC635" t="s">
        <v>32</v>
      </c>
    </row>
    <row r="636" spans="1:29">
      <c r="A636" t="s">
        <v>67</v>
      </c>
      <c r="B636">
        <v>3949.875</v>
      </c>
      <c r="C636">
        <v>24.005</v>
      </c>
      <c r="D636">
        <v>89.033</v>
      </c>
      <c r="E636">
        <v>172.77</v>
      </c>
      <c r="F636">
        <v>0.228</v>
      </c>
      <c r="G636">
        <v>22.715</v>
      </c>
      <c r="H636">
        <v>1.555</v>
      </c>
      <c r="I636">
        <v>2.691</v>
      </c>
      <c r="J636">
        <v>0.674</v>
      </c>
      <c r="K636">
        <v>9.602</v>
      </c>
      <c r="L636">
        <v>0.436</v>
      </c>
      <c r="M636">
        <v>3.191</v>
      </c>
      <c r="N636">
        <v>160.552</v>
      </c>
      <c r="O636">
        <v>141.286</v>
      </c>
      <c r="P636">
        <f t="shared" si="40"/>
        <v>2.20561571995268</v>
      </c>
      <c r="Q636">
        <f t="shared" si="40"/>
        <v>2.15009912983175</v>
      </c>
      <c r="R636">
        <v>61.639</v>
      </c>
      <c r="S636">
        <v>68.489</v>
      </c>
      <c r="T636">
        <v>74.444</v>
      </c>
      <c r="U636">
        <v>5.109</v>
      </c>
      <c r="V636">
        <v>34.602</v>
      </c>
      <c r="W636">
        <v>0.111</v>
      </c>
      <c r="X636" t="s">
        <v>55</v>
      </c>
      <c r="Y636" t="s">
        <v>31</v>
      </c>
      <c r="Z636" s="3">
        <f t="shared" si="41"/>
        <v>0.0555165901209396</v>
      </c>
      <c r="AA636">
        <f t="shared" si="42"/>
        <v>-0.238</v>
      </c>
      <c r="AB636">
        <f t="shared" si="43"/>
        <v>0.664</v>
      </c>
      <c r="AC636" t="s">
        <v>32</v>
      </c>
    </row>
    <row r="637" spans="1:29">
      <c r="A637" t="s">
        <v>67</v>
      </c>
      <c r="B637">
        <v>3950</v>
      </c>
      <c r="C637">
        <v>23.507</v>
      </c>
      <c r="D637">
        <v>88.935</v>
      </c>
      <c r="E637">
        <v>172.583</v>
      </c>
      <c r="F637">
        <v>0.224</v>
      </c>
      <c r="G637">
        <v>22.673</v>
      </c>
      <c r="H637">
        <v>1.635</v>
      </c>
      <c r="I637">
        <v>2.696</v>
      </c>
      <c r="J637">
        <v>0.682</v>
      </c>
      <c r="K637">
        <v>9.512</v>
      </c>
      <c r="L637">
        <v>0.426</v>
      </c>
      <c r="M637">
        <v>3.198</v>
      </c>
      <c r="N637">
        <v>160.746</v>
      </c>
      <c r="O637">
        <v>141.457</v>
      </c>
      <c r="P637">
        <f t="shared" si="40"/>
        <v>2.20614017475619</v>
      </c>
      <c r="Q637">
        <f t="shared" si="40"/>
        <v>2.1506244433883</v>
      </c>
      <c r="R637">
        <v>66.707</v>
      </c>
      <c r="S637">
        <v>74.119</v>
      </c>
      <c r="T637">
        <v>80.564</v>
      </c>
      <c r="U637">
        <v>5.074</v>
      </c>
      <c r="V637">
        <v>34.759</v>
      </c>
      <c r="W637">
        <v>0.108</v>
      </c>
      <c r="X637" t="s">
        <v>55</v>
      </c>
      <c r="Y637" t="s">
        <v>31</v>
      </c>
      <c r="Z637" s="3">
        <f t="shared" si="41"/>
        <v>0.0555157313678922</v>
      </c>
      <c r="AA637">
        <f t="shared" si="42"/>
        <v>-0.256</v>
      </c>
      <c r="AB637">
        <f t="shared" si="43"/>
        <v>0.65</v>
      </c>
      <c r="AC637" t="s">
        <v>32</v>
      </c>
    </row>
    <row r="638" spans="1:29">
      <c r="A638" t="s">
        <v>67</v>
      </c>
      <c r="B638">
        <v>3950.125</v>
      </c>
      <c r="C638">
        <v>23.694</v>
      </c>
      <c r="D638">
        <v>88.83</v>
      </c>
      <c r="E638">
        <v>172.372</v>
      </c>
      <c r="F638">
        <v>0.22</v>
      </c>
      <c r="G638">
        <v>22.687</v>
      </c>
      <c r="H638">
        <v>1.643</v>
      </c>
      <c r="I638">
        <v>2.701</v>
      </c>
      <c r="J638">
        <v>0.69</v>
      </c>
      <c r="K638">
        <v>9.414</v>
      </c>
      <c r="L638">
        <v>0.415</v>
      </c>
      <c r="M638">
        <v>3.197</v>
      </c>
      <c r="N638">
        <v>160.595</v>
      </c>
      <c r="O638">
        <v>141.323</v>
      </c>
      <c r="P638">
        <f t="shared" si="40"/>
        <v>2.20573201973337</v>
      </c>
      <c r="Q638">
        <f t="shared" si="40"/>
        <v>2.15021284804965</v>
      </c>
      <c r="R638">
        <v>73.923</v>
      </c>
      <c r="S638">
        <v>82.136</v>
      </c>
      <c r="T638">
        <v>89.279</v>
      </c>
      <c r="U638">
        <v>5.026</v>
      </c>
      <c r="V638">
        <v>35.108</v>
      </c>
      <c r="W638">
        <v>0.103</v>
      </c>
      <c r="X638" t="s">
        <v>55</v>
      </c>
      <c r="Y638" t="s">
        <v>31</v>
      </c>
      <c r="Z638" s="3">
        <f t="shared" si="41"/>
        <v>0.0555191716837156</v>
      </c>
      <c r="AA638">
        <f t="shared" si="42"/>
        <v>-0.275</v>
      </c>
      <c r="AB638">
        <f t="shared" si="43"/>
        <v>0.635</v>
      </c>
      <c r="AC638" t="s">
        <v>32</v>
      </c>
    </row>
    <row r="639" spans="1:29">
      <c r="A639" t="s">
        <v>67</v>
      </c>
      <c r="B639">
        <v>3950.25</v>
      </c>
      <c r="C639">
        <v>24.491</v>
      </c>
      <c r="D639">
        <v>88.716</v>
      </c>
      <c r="E639">
        <v>171.993</v>
      </c>
      <c r="F639">
        <v>0.213</v>
      </c>
      <c r="G639">
        <v>22.715</v>
      </c>
      <c r="H639">
        <v>1.602</v>
      </c>
      <c r="I639">
        <v>2.708</v>
      </c>
      <c r="J639">
        <v>0.701</v>
      </c>
      <c r="K639">
        <v>9.314</v>
      </c>
      <c r="L639">
        <v>0.404</v>
      </c>
      <c r="M639">
        <v>3.183</v>
      </c>
      <c r="N639">
        <v>161.59</v>
      </c>
      <c r="O639">
        <v>142.199</v>
      </c>
      <c r="P639">
        <f t="shared" si="40"/>
        <v>2.20841448094848</v>
      </c>
      <c r="Q639">
        <f t="shared" si="40"/>
        <v>2.15289654227273</v>
      </c>
      <c r="R639">
        <v>80.066</v>
      </c>
      <c r="S639">
        <v>88.963</v>
      </c>
      <c r="T639">
        <v>96.698</v>
      </c>
      <c r="U639">
        <v>4.933</v>
      </c>
      <c r="V639">
        <v>35.727</v>
      </c>
      <c r="W639">
        <v>0.095</v>
      </c>
      <c r="X639" t="s">
        <v>55</v>
      </c>
      <c r="Y639" t="s">
        <v>31</v>
      </c>
      <c r="Z639" s="3">
        <f t="shared" si="41"/>
        <v>0.0555179386757532</v>
      </c>
      <c r="AA639">
        <f t="shared" si="42"/>
        <v>-0.297</v>
      </c>
      <c r="AB639">
        <f t="shared" si="43"/>
        <v>0.617</v>
      </c>
      <c r="AC639" t="s">
        <v>32</v>
      </c>
    </row>
    <row r="640" spans="1:29">
      <c r="A640" t="s">
        <v>67</v>
      </c>
      <c r="B640">
        <v>3950.375</v>
      </c>
      <c r="C640">
        <v>25.619</v>
      </c>
      <c r="D640">
        <v>88.596</v>
      </c>
      <c r="E640">
        <v>171.302</v>
      </c>
      <c r="F640">
        <v>0.199</v>
      </c>
      <c r="G640">
        <v>22.705</v>
      </c>
      <c r="H640">
        <v>1.527</v>
      </c>
      <c r="I640">
        <v>2.712</v>
      </c>
      <c r="J640">
        <v>0.707</v>
      </c>
      <c r="K640">
        <v>9.216</v>
      </c>
      <c r="L640">
        <v>0.393</v>
      </c>
      <c r="M640">
        <v>3.135</v>
      </c>
      <c r="N640">
        <v>165.036</v>
      </c>
      <c r="O640">
        <v>145.231</v>
      </c>
      <c r="P640">
        <f t="shared" si="40"/>
        <v>2.21757868903817</v>
      </c>
      <c r="Q640">
        <f t="shared" si="40"/>
        <v>2.16205932774124</v>
      </c>
      <c r="R640">
        <v>84.575</v>
      </c>
      <c r="S640">
        <v>93.972</v>
      </c>
      <c r="T640">
        <v>102.144</v>
      </c>
      <c r="U640">
        <v>4.833</v>
      </c>
      <c r="V640">
        <v>36.191</v>
      </c>
      <c r="W640">
        <v>0.087</v>
      </c>
      <c r="X640" t="s">
        <v>55</v>
      </c>
      <c r="Y640" t="s">
        <v>31</v>
      </c>
      <c r="Z640" s="3">
        <f t="shared" si="41"/>
        <v>0.0555193612969349</v>
      </c>
      <c r="AA640">
        <f t="shared" si="42"/>
        <v>-0.314</v>
      </c>
      <c r="AB640">
        <f t="shared" si="43"/>
        <v>0.592</v>
      </c>
      <c r="AC640" t="s">
        <v>32</v>
      </c>
    </row>
    <row r="641" spans="1:29">
      <c r="A641" t="s">
        <v>67</v>
      </c>
      <c r="B641">
        <v>3950.5</v>
      </c>
      <c r="C641">
        <v>26.682</v>
      </c>
      <c r="D641">
        <v>88.468</v>
      </c>
      <c r="E641">
        <v>170.198</v>
      </c>
      <c r="F641">
        <v>0.178</v>
      </c>
      <c r="G641">
        <v>22.686</v>
      </c>
      <c r="H641">
        <v>1.444</v>
      </c>
      <c r="I641">
        <v>2.712</v>
      </c>
      <c r="J641">
        <v>0.707</v>
      </c>
      <c r="K641">
        <v>9.125</v>
      </c>
      <c r="L641">
        <v>0.383</v>
      </c>
      <c r="M641">
        <v>3.078</v>
      </c>
      <c r="N641">
        <v>169.664</v>
      </c>
      <c r="O641">
        <v>149.304</v>
      </c>
      <c r="P641">
        <f t="shared" si="40"/>
        <v>2.22958970171698</v>
      </c>
      <c r="Q641">
        <f t="shared" si="40"/>
        <v>2.17407144305428</v>
      </c>
      <c r="R641">
        <v>85.11</v>
      </c>
      <c r="S641">
        <v>94.567</v>
      </c>
      <c r="T641">
        <v>102.79</v>
      </c>
      <c r="U641">
        <v>4.727</v>
      </c>
      <c r="V641">
        <v>36.504</v>
      </c>
      <c r="W641">
        <v>0.079</v>
      </c>
      <c r="X641" t="s">
        <v>55</v>
      </c>
      <c r="Y641" t="s">
        <v>31</v>
      </c>
      <c r="Z641" s="3">
        <f t="shared" si="41"/>
        <v>0.0555182586627048</v>
      </c>
      <c r="AA641">
        <f t="shared" si="42"/>
        <v>-0.324</v>
      </c>
      <c r="AB641">
        <f t="shared" si="43"/>
        <v>0.561</v>
      </c>
      <c r="AC641" t="s">
        <v>32</v>
      </c>
    </row>
    <row r="642" spans="1:29">
      <c r="A642" t="s">
        <v>67</v>
      </c>
      <c r="B642">
        <v>3950.625</v>
      </c>
      <c r="C642">
        <v>27.587</v>
      </c>
      <c r="D642">
        <v>88.334</v>
      </c>
      <c r="E642">
        <v>168.789</v>
      </c>
      <c r="F642">
        <v>0.151</v>
      </c>
      <c r="G642">
        <v>22.68</v>
      </c>
      <c r="H642">
        <v>1.379</v>
      </c>
      <c r="I642">
        <v>2.712</v>
      </c>
      <c r="J642">
        <v>0.707</v>
      </c>
      <c r="K642">
        <v>9.054</v>
      </c>
      <c r="L642">
        <v>0.376</v>
      </c>
      <c r="M642">
        <v>3.072</v>
      </c>
      <c r="N642">
        <v>172.283</v>
      </c>
      <c r="O642">
        <v>151.608</v>
      </c>
      <c r="P642">
        <f t="shared" si="40"/>
        <v>2.23624242561727</v>
      </c>
      <c r="Q642">
        <f t="shared" si="40"/>
        <v>2.18072211860597</v>
      </c>
      <c r="R642">
        <v>82.451</v>
      </c>
      <c r="S642">
        <v>91.612</v>
      </c>
      <c r="T642">
        <v>99.579</v>
      </c>
      <c r="U642">
        <v>4.632</v>
      </c>
      <c r="V642">
        <v>36.826</v>
      </c>
      <c r="W642">
        <v>0.072</v>
      </c>
      <c r="X642" t="s">
        <v>55</v>
      </c>
      <c r="Y642" t="s">
        <v>31</v>
      </c>
      <c r="Z642" s="3">
        <f t="shared" si="41"/>
        <v>0.0555203070113004</v>
      </c>
      <c r="AA642">
        <f t="shared" si="42"/>
        <v>-0.331</v>
      </c>
      <c r="AB642">
        <f t="shared" si="43"/>
        <v>0.527</v>
      </c>
      <c r="AC642" t="s">
        <v>32</v>
      </c>
    </row>
    <row r="643" spans="1:29">
      <c r="A643" t="s">
        <v>67</v>
      </c>
      <c r="B643">
        <v>3950.75</v>
      </c>
      <c r="C643">
        <v>27.96</v>
      </c>
      <c r="D643">
        <v>88.194</v>
      </c>
      <c r="E643">
        <v>167.248</v>
      </c>
      <c r="F643">
        <v>0.121</v>
      </c>
      <c r="G643">
        <v>22.692</v>
      </c>
      <c r="H643">
        <v>1.331</v>
      </c>
      <c r="I643">
        <v>2.719</v>
      </c>
      <c r="J643">
        <v>0.718</v>
      </c>
      <c r="K643">
        <v>9.014</v>
      </c>
      <c r="L643">
        <v>0.371</v>
      </c>
      <c r="M643">
        <v>3.105</v>
      </c>
      <c r="N643">
        <v>171.361</v>
      </c>
      <c r="O643">
        <v>150.797</v>
      </c>
      <c r="P643">
        <f t="shared" si="40"/>
        <v>2.23391198787862</v>
      </c>
      <c r="Q643">
        <f t="shared" si="40"/>
        <v>2.17839270163717</v>
      </c>
      <c r="R643">
        <v>81.352</v>
      </c>
      <c r="S643">
        <v>90.391</v>
      </c>
      <c r="T643">
        <v>98.251</v>
      </c>
      <c r="U643">
        <v>4.579</v>
      </c>
      <c r="V643">
        <v>37.217</v>
      </c>
      <c r="W643">
        <v>0.069</v>
      </c>
      <c r="X643" t="s">
        <v>55</v>
      </c>
      <c r="Y643" t="s">
        <v>31</v>
      </c>
      <c r="Z643" s="3">
        <f t="shared" si="41"/>
        <v>0.0555192862414562</v>
      </c>
      <c r="AA643">
        <f t="shared" si="42"/>
        <v>-0.347</v>
      </c>
      <c r="AB643">
        <f t="shared" si="43"/>
        <v>0.492</v>
      </c>
      <c r="AC643" t="s">
        <v>32</v>
      </c>
    </row>
    <row r="644" spans="1:29">
      <c r="A644" t="s">
        <v>67</v>
      </c>
      <c r="B644">
        <v>3950.875</v>
      </c>
      <c r="C644">
        <v>28.202</v>
      </c>
      <c r="D644">
        <v>88.049</v>
      </c>
      <c r="E644">
        <v>165.857</v>
      </c>
      <c r="F644">
        <v>0.094</v>
      </c>
      <c r="G644">
        <v>22.686</v>
      </c>
      <c r="H644">
        <v>1.303</v>
      </c>
      <c r="I644">
        <v>2.732</v>
      </c>
      <c r="J644">
        <v>0.739</v>
      </c>
      <c r="K644">
        <v>9.002</v>
      </c>
      <c r="L644">
        <v>0.37</v>
      </c>
      <c r="M644">
        <v>3.143</v>
      </c>
      <c r="N644">
        <v>166.709</v>
      </c>
      <c r="O644">
        <v>146.704</v>
      </c>
      <c r="P644">
        <f t="shared" si="40"/>
        <v>2.22195904640766</v>
      </c>
      <c r="Q644">
        <f t="shared" si="40"/>
        <v>2.16644195538551</v>
      </c>
      <c r="R644">
        <v>81.549</v>
      </c>
      <c r="S644">
        <v>90.61</v>
      </c>
      <c r="T644">
        <v>98.489</v>
      </c>
      <c r="U644">
        <v>4.558</v>
      </c>
      <c r="V644">
        <v>37.773</v>
      </c>
      <c r="W644">
        <v>0.068</v>
      </c>
      <c r="X644" t="s">
        <v>55</v>
      </c>
      <c r="Y644" t="s">
        <v>31</v>
      </c>
      <c r="Z644" s="3">
        <f t="shared" si="41"/>
        <v>0.0555170910221512</v>
      </c>
      <c r="AA644">
        <f t="shared" si="42"/>
        <v>-0.369</v>
      </c>
      <c r="AB644">
        <f t="shared" si="43"/>
        <v>0.464</v>
      </c>
      <c r="AC644" t="s">
        <v>32</v>
      </c>
    </row>
    <row r="645" spans="1:29">
      <c r="A645" t="s">
        <v>67</v>
      </c>
      <c r="B645">
        <v>3951</v>
      </c>
      <c r="C645">
        <v>29.362</v>
      </c>
      <c r="D645">
        <v>87.899</v>
      </c>
      <c r="E645">
        <v>164.964</v>
      </c>
      <c r="F645">
        <v>0.077</v>
      </c>
      <c r="G645">
        <v>22.693</v>
      </c>
      <c r="H645">
        <v>1.248</v>
      </c>
      <c r="I645">
        <v>2.747</v>
      </c>
      <c r="J645">
        <v>0.762</v>
      </c>
      <c r="K645">
        <v>8.997</v>
      </c>
      <c r="L645">
        <v>0.369</v>
      </c>
      <c r="M645">
        <v>3.152</v>
      </c>
      <c r="N645">
        <v>160.043</v>
      </c>
      <c r="O645">
        <v>140.838</v>
      </c>
      <c r="P645">
        <f t="shared" si="40"/>
        <v>2.20423668361695</v>
      </c>
      <c r="Q645">
        <f t="shared" si="40"/>
        <v>2.14871984915069</v>
      </c>
      <c r="R645">
        <v>82.154</v>
      </c>
      <c r="S645">
        <v>91.283</v>
      </c>
      <c r="T645">
        <v>99.22</v>
      </c>
      <c r="U645">
        <v>4.516</v>
      </c>
      <c r="V645">
        <v>38.859</v>
      </c>
      <c r="W645">
        <v>0.065</v>
      </c>
      <c r="X645" t="s">
        <v>55</v>
      </c>
      <c r="Y645" t="s">
        <v>31</v>
      </c>
      <c r="Z645" s="3">
        <f t="shared" si="41"/>
        <v>0.055516834466252</v>
      </c>
      <c r="AA645">
        <f t="shared" si="42"/>
        <v>-0.393</v>
      </c>
      <c r="AB645">
        <f t="shared" si="43"/>
        <v>0.446</v>
      </c>
      <c r="AC645" t="s">
        <v>32</v>
      </c>
    </row>
    <row r="646" spans="1:29">
      <c r="A646" t="s">
        <v>68</v>
      </c>
      <c r="B646">
        <v>3292</v>
      </c>
      <c r="C646">
        <v>15.079</v>
      </c>
      <c r="D646">
        <v>74.413</v>
      </c>
      <c r="E646">
        <v>168.601</v>
      </c>
      <c r="F646">
        <v>0.257</v>
      </c>
      <c r="G646">
        <v>22.136</v>
      </c>
      <c r="H646">
        <v>1.013</v>
      </c>
      <c r="I646">
        <v>2.823</v>
      </c>
      <c r="J646">
        <v>0.785</v>
      </c>
      <c r="K646">
        <v>8.603</v>
      </c>
      <c r="L646">
        <v>0.6</v>
      </c>
      <c r="M646">
        <v>3.308</v>
      </c>
      <c r="N646">
        <v>95.757</v>
      </c>
      <c r="O646">
        <v>85.994</v>
      </c>
      <c r="P646">
        <f t="shared" si="40"/>
        <v>1.98117053146838</v>
      </c>
      <c r="Q646">
        <f t="shared" si="40"/>
        <v>1.93446815057154</v>
      </c>
      <c r="R646">
        <v>43.501</v>
      </c>
      <c r="S646">
        <v>47.284</v>
      </c>
      <c r="T646">
        <v>51.396</v>
      </c>
      <c r="U646">
        <v>6.582</v>
      </c>
      <c r="V646">
        <v>43.64</v>
      </c>
      <c r="W646">
        <v>2.987</v>
      </c>
      <c r="X646" t="s">
        <v>55</v>
      </c>
      <c r="Y646" t="s">
        <v>31</v>
      </c>
      <c r="Z646" s="3">
        <f t="shared" si="41"/>
        <v>0.0467023808968374</v>
      </c>
      <c r="AA646">
        <f t="shared" si="42"/>
        <v>-0.185</v>
      </c>
      <c r="AB646">
        <f t="shared" si="43"/>
        <v>0.857</v>
      </c>
      <c r="AC646" t="s">
        <v>32</v>
      </c>
    </row>
    <row r="647" spans="1:29">
      <c r="A647" t="s">
        <v>68</v>
      </c>
      <c r="B647">
        <v>3292.125</v>
      </c>
      <c r="C647">
        <v>16.278</v>
      </c>
      <c r="D647">
        <v>74.323</v>
      </c>
      <c r="E647">
        <v>168.629</v>
      </c>
      <c r="F647">
        <v>0.257</v>
      </c>
      <c r="G647">
        <v>22.139</v>
      </c>
      <c r="H647">
        <v>0.973</v>
      </c>
      <c r="I647">
        <v>2.813</v>
      </c>
      <c r="J647">
        <v>0.766</v>
      </c>
      <c r="K647">
        <v>8.691</v>
      </c>
      <c r="L647">
        <v>0.609</v>
      </c>
      <c r="M647">
        <v>3.289</v>
      </c>
      <c r="N647">
        <v>85.431</v>
      </c>
      <c r="O647">
        <v>77.217</v>
      </c>
      <c r="P647">
        <f t="shared" si="40"/>
        <v>1.93161548996287</v>
      </c>
      <c r="Q647">
        <f t="shared" si="40"/>
        <v>1.88771292460278</v>
      </c>
      <c r="R647">
        <v>34.627</v>
      </c>
      <c r="S647">
        <v>37.638</v>
      </c>
      <c r="T647">
        <v>40.911</v>
      </c>
      <c r="U647">
        <v>6.232</v>
      </c>
      <c r="V647">
        <v>49.56</v>
      </c>
      <c r="W647">
        <v>2.749</v>
      </c>
      <c r="X647" t="s">
        <v>55</v>
      </c>
      <c r="Y647" t="s">
        <v>31</v>
      </c>
      <c r="Z647" s="3">
        <f t="shared" si="41"/>
        <v>0.043902565360088</v>
      </c>
      <c r="AA647">
        <f t="shared" si="42"/>
        <v>-0.157</v>
      </c>
      <c r="AB647">
        <f t="shared" si="43"/>
        <v>0.866</v>
      </c>
      <c r="AC647" t="s">
        <v>32</v>
      </c>
    </row>
    <row r="648" spans="1:29">
      <c r="A648" t="s">
        <v>68</v>
      </c>
      <c r="B648">
        <v>3292.25</v>
      </c>
      <c r="C648">
        <v>17.704</v>
      </c>
      <c r="D648">
        <v>74.294</v>
      </c>
      <c r="E648">
        <v>167.935</v>
      </c>
      <c r="F648">
        <v>0.245</v>
      </c>
      <c r="G648">
        <v>22.155</v>
      </c>
      <c r="H648">
        <v>0.948</v>
      </c>
      <c r="I648">
        <v>2.802</v>
      </c>
      <c r="J648">
        <v>0.746</v>
      </c>
      <c r="K648">
        <v>8.916</v>
      </c>
      <c r="L648">
        <v>0.633</v>
      </c>
      <c r="M648">
        <v>3.287</v>
      </c>
      <c r="N648">
        <v>78.33</v>
      </c>
      <c r="O648">
        <v>71.181</v>
      </c>
      <c r="P648">
        <f t="shared" si="40"/>
        <v>1.89392812654261</v>
      </c>
      <c r="Q648">
        <f t="shared" si="40"/>
        <v>1.85236408498043</v>
      </c>
      <c r="R648">
        <v>28.759</v>
      </c>
      <c r="S648">
        <v>31.259</v>
      </c>
      <c r="T648">
        <v>33.977</v>
      </c>
      <c r="U648">
        <v>5.794</v>
      </c>
      <c r="V648">
        <v>56.733</v>
      </c>
      <c r="W648">
        <v>2.254</v>
      </c>
      <c r="X648" t="s">
        <v>55</v>
      </c>
      <c r="Y648" t="s">
        <v>31</v>
      </c>
      <c r="Z648" s="3">
        <f t="shared" si="41"/>
        <v>0.0415640415621743</v>
      </c>
      <c r="AA648">
        <f t="shared" si="42"/>
        <v>-0.113</v>
      </c>
      <c r="AB648">
        <f t="shared" si="43"/>
        <v>0.878</v>
      </c>
      <c r="AC648" t="s">
        <v>32</v>
      </c>
    </row>
    <row r="649" spans="1:29">
      <c r="A649" t="s">
        <v>68</v>
      </c>
      <c r="B649">
        <v>3292.375</v>
      </c>
      <c r="C649">
        <v>18.024</v>
      </c>
      <c r="D649">
        <v>74.259</v>
      </c>
      <c r="E649">
        <v>166.718</v>
      </c>
      <c r="F649">
        <v>0.225</v>
      </c>
      <c r="G649">
        <v>22.158</v>
      </c>
      <c r="H649">
        <v>0.939</v>
      </c>
      <c r="I649">
        <v>2.794</v>
      </c>
      <c r="J649">
        <v>0.731</v>
      </c>
      <c r="K649">
        <v>9.188</v>
      </c>
      <c r="L649">
        <v>0.661</v>
      </c>
      <c r="M649">
        <v>3.309</v>
      </c>
      <c r="N649">
        <v>74.684</v>
      </c>
      <c r="O649">
        <v>68.082</v>
      </c>
      <c r="P649">
        <f t="shared" si="40"/>
        <v>1.87322757027605</v>
      </c>
      <c r="Q649">
        <f t="shared" si="40"/>
        <v>1.83303230524642</v>
      </c>
      <c r="R649">
        <v>25.7</v>
      </c>
      <c r="S649">
        <v>27.935</v>
      </c>
      <c r="T649">
        <v>30.364</v>
      </c>
      <c r="U649">
        <v>5.532</v>
      </c>
      <c r="V649">
        <v>62.062</v>
      </c>
      <c r="W649">
        <v>2.089</v>
      </c>
      <c r="X649" t="s">
        <v>55</v>
      </c>
      <c r="Y649" t="s">
        <v>31</v>
      </c>
      <c r="Z649" s="3">
        <f t="shared" si="41"/>
        <v>0.0401952650296347</v>
      </c>
      <c r="AA649">
        <f t="shared" si="42"/>
        <v>-0.07</v>
      </c>
      <c r="AB649">
        <f t="shared" si="43"/>
        <v>0.886</v>
      </c>
      <c r="AC649" t="s">
        <v>32</v>
      </c>
    </row>
    <row r="650" spans="1:29">
      <c r="A650" t="s">
        <v>68</v>
      </c>
      <c r="B650">
        <v>3292.5</v>
      </c>
      <c r="C650">
        <v>17.254</v>
      </c>
      <c r="D650">
        <v>74.164</v>
      </c>
      <c r="E650">
        <v>165.764</v>
      </c>
      <c r="F650">
        <v>0.209</v>
      </c>
      <c r="G650">
        <v>22.133</v>
      </c>
      <c r="H650">
        <v>0.964</v>
      </c>
      <c r="I650">
        <v>2.787</v>
      </c>
      <c r="J650">
        <v>0.718</v>
      </c>
      <c r="K650">
        <v>9.422</v>
      </c>
      <c r="L650">
        <v>0.685</v>
      </c>
      <c r="M650">
        <v>3.348</v>
      </c>
      <c r="N650">
        <v>71.885</v>
      </c>
      <c r="O650">
        <v>65.703</v>
      </c>
      <c r="P650">
        <f t="shared" si="40"/>
        <v>1.85663827707479</v>
      </c>
      <c r="Q650">
        <f t="shared" si="40"/>
        <v>1.8175851999053</v>
      </c>
      <c r="R650">
        <v>24.858</v>
      </c>
      <c r="S650">
        <v>27.019</v>
      </c>
      <c r="T650">
        <v>29.368</v>
      </c>
      <c r="U650">
        <v>5.357</v>
      </c>
      <c r="V650">
        <v>65.947</v>
      </c>
      <c r="W650">
        <v>1.978</v>
      </c>
      <c r="X650" t="s">
        <v>55</v>
      </c>
      <c r="Y650" t="s">
        <v>31</v>
      </c>
      <c r="Z650" s="3">
        <f t="shared" si="41"/>
        <v>0.0390530771694912</v>
      </c>
      <c r="AA650">
        <f t="shared" si="42"/>
        <v>-0.0329999999999999</v>
      </c>
      <c r="AB650">
        <f t="shared" si="43"/>
        <v>0.894</v>
      </c>
      <c r="AC650" t="s">
        <v>32</v>
      </c>
    </row>
    <row r="651" spans="1:29">
      <c r="A651" t="s">
        <v>68</v>
      </c>
      <c r="B651">
        <v>3292.625</v>
      </c>
      <c r="C651">
        <v>16.576</v>
      </c>
      <c r="D651">
        <v>73.99</v>
      </c>
      <c r="E651">
        <v>165.087</v>
      </c>
      <c r="F651">
        <v>0.197</v>
      </c>
      <c r="G651">
        <v>22.11</v>
      </c>
      <c r="H651">
        <v>1.013</v>
      </c>
      <c r="I651">
        <v>2.781</v>
      </c>
      <c r="J651">
        <v>0.707</v>
      </c>
      <c r="K651">
        <v>9.617</v>
      </c>
      <c r="L651">
        <v>0.706</v>
      </c>
      <c r="M651">
        <v>3.382</v>
      </c>
      <c r="N651">
        <v>70.625</v>
      </c>
      <c r="O651">
        <v>64.631</v>
      </c>
      <c r="P651">
        <f t="shared" si="40"/>
        <v>1.84895846082749</v>
      </c>
      <c r="Q651">
        <f t="shared" si="40"/>
        <v>1.81044087557488</v>
      </c>
      <c r="R651">
        <v>25.782</v>
      </c>
      <c r="S651">
        <v>28.024</v>
      </c>
      <c r="T651">
        <v>30.46</v>
      </c>
      <c r="U651">
        <v>5.302</v>
      </c>
      <c r="V651">
        <v>64.705</v>
      </c>
      <c r="W651">
        <v>1.729</v>
      </c>
      <c r="X651" t="s">
        <v>55</v>
      </c>
      <c r="Y651" t="s">
        <v>31</v>
      </c>
      <c r="Z651" s="3">
        <f t="shared" si="41"/>
        <v>0.0385175852526161</v>
      </c>
      <c r="AA651">
        <f t="shared" si="42"/>
        <v>-0.001</v>
      </c>
      <c r="AB651">
        <f t="shared" si="43"/>
        <v>0.903</v>
      </c>
      <c r="AC651" t="s">
        <v>32</v>
      </c>
    </row>
    <row r="652" spans="1:29">
      <c r="A652" t="s">
        <v>68</v>
      </c>
      <c r="B652">
        <v>3292.75</v>
      </c>
      <c r="C652">
        <v>16.608</v>
      </c>
      <c r="D652">
        <v>73.756</v>
      </c>
      <c r="E652">
        <v>164.933</v>
      </c>
      <c r="F652">
        <v>0.195</v>
      </c>
      <c r="G652">
        <v>22.091</v>
      </c>
      <c r="H652">
        <v>1.093</v>
      </c>
      <c r="I652">
        <v>2.778</v>
      </c>
      <c r="J652">
        <v>0.701</v>
      </c>
      <c r="K652">
        <v>9.749</v>
      </c>
      <c r="L652">
        <v>0.719</v>
      </c>
      <c r="M652">
        <v>3.408</v>
      </c>
      <c r="N652">
        <v>75.978</v>
      </c>
      <c r="O652">
        <v>69.181</v>
      </c>
      <c r="P652">
        <f t="shared" si="40"/>
        <v>1.88068785725771</v>
      </c>
      <c r="Q652">
        <f t="shared" si="40"/>
        <v>1.83998683537917</v>
      </c>
      <c r="R652">
        <v>28.231</v>
      </c>
      <c r="S652">
        <v>30.686</v>
      </c>
      <c r="T652">
        <v>33.354</v>
      </c>
      <c r="U652">
        <v>5.281</v>
      </c>
      <c r="V652">
        <v>61.22</v>
      </c>
      <c r="W652">
        <v>1.433</v>
      </c>
      <c r="X652" t="s">
        <v>55</v>
      </c>
      <c r="Y652" t="s">
        <v>31</v>
      </c>
      <c r="Z652" s="3">
        <f t="shared" si="41"/>
        <v>0.0407010218785466</v>
      </c>
      <c r="AA652">
        <f t="shared" si="42"/>
        <v>0.018</v>
      </c>
      <c r="AB652">
        <f t="shared" si="43"/>
        <v>0.914</v>
      </c>
      <c r="AC652" t="s">
        <v>32</v>
      </c>
    </row>
    <row r="653" spans="1:29">
      <c r="A653" t="s">
        <v>68</v>
      </c>
      <c r="B653">
        <v>3292.875</v>
      </c>
      <c r="C653">
        <v>16.769</v>
      </c>
      <c r="D653">
        <v>73.526</v>
      </c>
      <c r="E653">
        <v>164.91</v>
      </c>
      <c r="F653">
        <v>0.194</v>
      </c>
      <c r="G653">
        <v>22.116</v>
      </c>
      <c r="H653">
        <v>1.194</v>
      </c>
      <c r="I653">
        <v>2.779</v>
      </c>
      <c r="J653">
        <v>0.703</v>
      </c>
      <c r="K653">
        <v>9.744</v>
      </c>
      <c r="L653">
        <v>0.719</v>
      </c>
      <c r="M653">
        <v>3.444</v>
      </c>
      <c r="N653">
        <v>85.933</v>
      </c>
      <c r="O653">
        <v>77.643</v>
      </c>
      <c r="P653">
        <f t="shared" si="40"/>
        <v>1.9341599736766</v>
      </c>
      <c r="Q653">
        <f t="shared" si="40"/>
        <v>1.89010230747721</v>
      </c>
      <c r="R653">
        <v>31.751</v>
      </c>
      <c r="S653">
        <v>34.512</v>
      </c>
      <c r="T653">
        <v>37.512</v>
      </c>
      <c r="U653">
        <v>5.059</v>
      </c>
      <c r="V653">
        <v>62.405</v>
      </c>
      <c r="W653">
        <v>1.054</v>
      </c>
      <c r="X653" t="s">
        <v>55</v>
      </c>
      <c r="Y653" t="s">
        <v>31</v>
      </c>
      <c r="Z653" s="3">
        <f t="shared" si="41"/>
        <v>0.0440576661993985</v>
      </c>
      <c r="AA653">
        <f t="shared" si="42"/>
        <v>0.016</v>
      </c>
      <c r="AB653">
        <f t="shared" si="43"/>
        <v>0.913</v>
      </c>
      <c r="AC653" t="s">
        <v>32</v>
      </c>
    </row>
    <row r="654" spans="1:29">
      <c r="A654" t="s">
        <v>68</v>
      </c>
      <c r="B654">
        <v>3293</v>
      </c>
      <c r="C654">
        <v>17.165</v>
      </c>
      <c r="D654">
        <v>73.382</v>
      </c>
      <c r="E654">
        <v>164.351</v>
      </c>
      <c r="F654">
        <v>0.185</v>
      </c>
      <c r="G654">
        <v>22.123</v>
      </c>
      <c r="H654">
        <v>1.276</v>
      </c>
      <c r="I654">
        <v>2.791</v>
      </c>
      <c r="J654">
        <v>0.725</v>
      </c>
      <c r="K654">
        <v>9.639</v>
      </c>
      <c r="L654">
        <v>0.708</v>
      </c>
      <c r="M654">
        <v>3.473</v>
      </c>
      <c r="N654">
        <v>95.606</v>
      </c>
      <c r="O654">
        <v>85.865</v>
      </c>
      <c r="P654">
        <f t="shared" si="40"/>
        <v>1.98048514839664</v>
      </c>
      <c r="Q654">
        <f t="shared" si="40"/>
        <v>1.93381617425738</v>
      </c>
      <c r="R654">
        <v>35.047</v>
      </c>
      <c r="S654">
        <v>38.095</v>
      </c>
      <c r="T654">
        <v>41.407</v>
      </c>
      <c r="U654">
        <v>4.548</v>
      </c>
      <c r="V654">
        <v>72.775</v>
      </c>
      <c r="W654">
        <v>0.627</v>
      </c>
      <c r="X654" t="s">
        <v>55</v>
      </c>
      <c r="Y654" t="s">
        <v>31</v>
      </c>
      <c r="Z654" s="3">
        <f t="shared" si="41"/>
        <v>0.0466689741392603</v>
      </c>
      <c r="AA654">
        <f t="shared" si="42"/>
        <v>-0.017</v>
      </c>
      <c r="AB654">
        <f t="shared" si="43"/>
        <v>0.893</v>
      </c>
      <c r="AC654" t="s">
        <v>32</v>
      </c>
    </row>
    <row r="655" spans="1:29">
      <c r="A655" t="s">
        <v>68</v>
      </c>
      <c r="B655">
        <v>3293.125</v>
      </c>
      <c r="C655">
        <v>18.028</v>
      </c>
      <c r="D655">
        <v>73.394</v>
      </c>
      <c r="E655">
        <v>163.048</v>
      </c>
      <c r="F655">
        <v>0.163</v>
      </c>
      <c r="G655">
        <v>22.108</v>
      </c>
      <c r="H655">
        <v>1.33</v>
      </c>
      <c r="I655">
        <v>2.802</v>
      </c>
      <c r="J655">
        <v>0.746</v>
      </c>
      <c r="K655">
        <v>9.464</v>
      </c>
      <c r="L655">
        <v>0.69</v>
      </c>
      <c r="M655">
        <v>3.478</v>
      </c>
      <c r="N655">
        <v>103.726</v>
      </c>
      <c r="O655">
        <v>92.768</v>
      </c>
      <c r="P655">
        <f t="shared" si="40"/>
        <v>2.01588763046065</v>
      </c>
      <c r="Q655">
        <f t="shared" si="40"/>
        <v>1.9673981936749</v>
      </c>
      <c r="R655">
        <v>37.055</v>
      </c>
      <c r="S655">
        <v>40.277</v>
      </c>
      <c r="T655">
        <v>43.779</v>
      </c>
      <c r="U655">
        <v>3.87</v>
      </c>
      <c r="V655">
        <v>91.464</v>
      </c>
      <c r="W655">
        <v>0.294</v>
      </c>
      <c r="X655" t="s">
        <v>55</v>
      </c>
      <c r="Y655" t="s">
        <v>31</v>
      </c>
      <c r="Z655" s="3">
        <f t="shared" si="41"/>
        <v>0.0484894367857449</v>
      </c>
      <c r="AA655">
        <f t="shared" si="42"/>
        <v>-0.056</v>
      </c>
      <c r="AB655">
        <f t="shared" si="43"/>
        <v>0.853</v>
      </c>
      <c r="AC655" t="s">
        <v>32</v>
      </c>
    </row>
    <row r="656" spans="1:29">
      <c r="A656" t="s">
        <v>68</v>
      </c>
      <c r="B656">
        <v>3293.25</v>
      </c>
      <c r="C656">
        <v>18.296</v>
      </c>
      <c r="D656">
        <v>73.602</v>
      </c>
      <c r="E656">
        <v>161.116</v>
      </c>
      <c r="F656">
        <v>0.13</v>
      </c>
      <c r="G656">
        <v>22.125</v>
      </c>
      <c r="H656">
        <v>1.347</v>
      </c>
      <c r="I656">
        <v>2.804</v>
      </c>
      <c r="J656">
        <v>0.75</v>
      </c>
      <c r="K656">
        <v>9.212</v>
      </c>
      <c r="L656">
        <v>0.663</v>
      </c>
      <c r="M656">
        <v>3.442</v>
      </c>
      <c r="N656">
        <v>110.609</v>
      </c>
      <c r="O656">
        <v>98.618</v>
      </c>
      <c r="P656">
        <f t="shared" si="40"/>
        <v>2.04379046594982</v>
      </c>
      <c r="Q656">
        <f t="shared" si="40"/>
        <v>1.99395619067361</v>
      </c>
      <c r="R656">
        <v>38.083</v>
      </c>
      <c r="S656">
        <v>41.395</v>
      </c>
      <c r="T656">
        <v>44.994</v>
      </c>
      <c r="U656">
        <v>3.214</v>
      </c>
      <c r="V656">
        <v>100</v>
      </c>
      <c r="W656">
        <v>0.11</v>
      </c>
      <c r="X656" t="s">
        <v>55</v>
      </c>
      <c r="Y656" t="s">
        <v>31</v>
      </c>
      <c r="Z656" s="3">
        <f t="shared" si="41"/>
        <v>0.0498342752762089</v>
      </c>
      <c r="AA656">
        <f t="shared" si="42"/>
        <v>-0.087</v>
      </c>
      <c r="AB656">
        <f t="shared" si="43"/>
        <v>0.793</v>
      </c>
      <c r="AC656" t="s">
        <v>32</v>
      </c>
    </row>
    <row r="657" spans="1:29">
      <c r="A657" t="s">
        <v>68</v>
      </c>
      <c r="B657">
        <v>3293.375</v>
      </c>
      <c r="C657">
        <v>17.939</v>
      </c>
      <c r="D657">
        <v>74.035</v>
      </c>
      <c r="E657">
        <v>159.095</v>
      </c>
      <c r="F657">
        <v>0.096</v>
      </c>
      <c r="G657">
        <v>22.134</v>
      </c>
      <c r="H657">
        <v>1.342</v>
      </c>
      <c r="I657">
        <v>2.802</v>
      </c>
      <c r="J657">
        <v>0.746</v>
      </c>
      <c r="K657">
        <v>9.023</v>
      </c>
      <c r="L657">
        <v>0.644</v>
      </c>
      <c r="M657">
        <v>3.386</v>
      </c>
      <c r="N657">
        <v>118.164</v>
      </c>
      <c r="O657">
        <v>105.04</v>
      </c>
      <c r="P657">
        <f t="shared" si="40"/>
        <v>2.0724851839671</v>
      </c>
      <c r="Q657">
        <f t="shared" si="40"/>
        <v>2.02135471308142</v>
      </c>
      <c r="R657">
        <v>39.674</v>
      </c>
      <c r="S657">
        <v>43.124</v>
      </c>
      <c r="T657">
        <v>46.874</v>
      </c>
      <c r="U657">
        <v>2.718</v>
      </c>
      <c r="V657">
        <v>100</v>
      </c>
      <c r="W657">
        <v>0.032</v>
      </c>
      <c r="X657" t="s">
        <v>55</v>
      </c>
      <c r="Y657" t="s">
        <v>31</v>
      </c>
      <c r="Z657" s="3">
        <f t="shared" si="41"/>
        <v>0.0511304708856763</v>
      </c>
      <c r="AA657">
        <f t="shared" si="42"/>
        <v>-0.102</v>
      </c>
      <c r="AB657">
        <f t="shared" si="43"/>
        <v>0.74</v>
      </c>
      <c r="AC657" t="s">
        <v>32</v>
      </c>
    </row>
    <row r="658" spans="1:29">
      <c r="A658" t="s">
        <v>68</v>
      </c>
      <c r="B658">
        <v>3293.5</v>
      </c>
      <c r="C658">
        <v>17.32</v>
      </c>
      <c r="D658">
        <v>74.66</v>
      </c>
      <c r="E658">
        <v>157.486</v>
      </c>
      <c r="F658">
        <v>0.069</v>
      </c>
      <c r="G658">
        <v>22.124</v>
      </c>
      <c r="H658">
        <v>1.359</v>
      </c>
      <c r="I658">
        <v>2.805</v>
      </c>
      <c r="J658">
        <v>0.751</v>
      </c>
      <c r="K658">
        <v>8.983</v>
      </c>
      <c r="L658">
        <v>0.64</v>
      </c>
      <c r="M658">
        <v>3.365</v>
      </c>
      <c r="N658">
        <v>132.425</v>
      </c>
      <c r="O658">
        <v>117.161</v>
      </c>
      <c r="P658">
        <f t="shared" si="40"/>
        <v>2.12196998160764</v>
      </c>
      <c r="Q658">
        <f t="shared" si="40"/>
        <v>2.06878306984319</v>
      </c>
      <c r="R658">
        <v>44.272</v>
      </c>
      <c r="S658">
        <v>48.122</v>
      </c>
      <c r="T658">
        <v>52.306</v>
      </c>
      <c r="U658">
        <v>2.355</v>
      </c>
      <c r="V658">
        <v>100</v>
      </c>
      <c r="W658">
        <v>0.005</v>
      </c>
      <c r="X658" t="s">
        <v>55</v>
      </c>
      <c r="Y658" t="s">
        <v>31</v>
      </c>
      <c r="Z658" s="3">
        <f t="shared" si="41"/>
        <v>0.0531869117644406</v>
      </c>
      <c r="AA658">
        <f t="shared" si="42"/>
        <v>-0.111</v>
      </c>
      <c r="AB658">
        <f t="shared" si="43"/>
        <v>0.709</v>
      </c>
      <c r="AC658" t="s">
        <v>32</v>
      </c>
    </row>
    <row r="659" spans="1:29">
      <c r="A659" t="s">
        <v>68</v>
      </c>
      <c r="B659">
        <v>3293.625</v>
      </c>
      <c r="C659">
        <v>17.473</v>
      </c>
      <c r="D659">
        <v>75.426</v>
      </c>
      <c r="E659">
        <v>156.451</v>
      </c>
      <c r="F659">
        <v>0.052</v>
      </c>
      <c r="G659">
        <v>22.105</v>
      </c>
      <c r="H659">
        <v>1.392</v>
      </c>
      <c r="I659">
        <v>2.809</v>
      </c>
      <c r="J659">
        <v>0.759</v>
      </c>
      <c r="K659">
        <v>8.996</v>
      </c>
      <c r="L659">
        <v>0.641</v>
      </c>
      <c r="M659">
        <v>3.371</v>
      </c>
      <c r="N659">
        <v>157.549</v>
      </c>
      <c r="O659">
        <v>138.516</v>
      </c>
      <c r="P659">
        <f t="shared" si="40"/>
        <v>2.19741565095108</v>
      </c>
      <c r="Q659">
        <f t="shared" si="40"/>
        <v>2.1414999417064</v>
      </c>
      <c r="R659">
        <v>54.553</v>
      </c>
      <c r="S659">
        <v>59.297</v>
      </c>
      <c r="T659">
        <v>64.453</v>
      </c>
      <c r="U659">
        <v>2.04</v>
      </c>
      <c r="V659">
        <v>100</v>
      </c>
      <c r="W659">
        <v>0.006</v>
      </c>
      <c r="X659" t="s">
        <v>55</v>
      </c>
      <c r="Y659" t="s">
        <v>31</v>
      </c>
      <c r="Z659" s="3">
        <f t="shared" si="41"/>
        <v>0.0559157092446831</v>
      </c>
      <c r="AA659">
        <f t="shared" si="42"/>
        <v>-0.118</v>
      </c>
      <c r="AB659">
        <f t="shared" si="43"/>
        <v>0.693</v>
      </c>
      <c r="AC659" t="s">
        <v>32</v>
      </c>
    </row>
    <row r="660" spans="1:29">
      <c r="A660" t="s">
        <v>68</v>
      </c>
      <c r="B660">
        <v>3293.75</v>
      </c>
      <c r="C660">
        <v>18.936</v>
      </c>
      <c r="D660">
        <v>76.294</v>
      </c>
      <c r="E660">
        <v>155.872</v>
      </c>
      <c r="F660">
        <v>0.042</v>
      </c>
      <c r="G660">
        <v>22.122</v>
      </c>
      <c r="H660">
        <v>1.352</v>
      </c>
      <c r="I660">
        <v>2.811</v>
      </c>
      <c r="J660">
        <v>0.763</v>
      </c>
      <c r="K660">
        <v>8.935</v>
      </c>
      <c r="L660">
        <v>0.635</v>
      </c>
      <c r="M660">
        <v>3.358</v>
      </c>
      <c r="N660">
        <v>184.858</v>
      </c>
      <c r="O660">
        <v>161.729</v>
      </c>
      <c r="P660">
        <f t="shared" si="40"/>
        <v>2.26683825004397</v>
      </c>
      <c r="Q660">
        <f t="shared" si="40"/>
        <v>2.20878790123435</v>
      </c>
      <c r="R660">
        <v>74.114</v>
      </c>
      <c r="S660">
        <v>80.559</v>
      </c>
      <c r="T660">
        <v>87.564</v>
      </c>
      <c r="U660">
        <v>1.781</v>
      </c>
      <c r="V660">
        <v>100</v>
      </c>
      <c r="W660">
        <v>0.01</v>
      </c>
      <c r="X660" t="s">
        <v>55</v>
      </c>
      <c r="Y660" t="s">
        <v>31</v>
      </c>
      <c r="Z660" s="3">
        <f t="shared" si="41"/>
        <v>0.0580503488096138</v>
      </c>
      <c r="AA660">
        <f t="shared" si="42"/>
        <v>-0.128</v>
      </c>
      <c r="AB660">
        <f t="shared" si="43"/>
        <v>0.677</v>
      </c>
      <c r="AC660" t="s">
        <v>32</v>
      </c>
    </row>
    <row r="661" spans="1:29">
      <c r="A661" t="s">
        <v>68</v>
      </c>
      <c r="B661">
        <v>3293.875</v>
      </c>
      <c r="C661">
        <v>20.208</v>
      </c>
      <c r="D661">
        <v>77.233</v>
      </c>
      <c r="E661">
        <v>155.411</v>
      </c>
      <c r="F661">
        <v>0.034</v>
      </c>
      <c r="G661">
        <v>22.185</v>
      </c>
      <c r="H661">
        <v>1.303</v>
      </c>
      <c r="I661">
        <v>2.806</v>
      </c>
      <c r="J661">
        <v>0.753</v>
      </c>
      <c r="K661">
        <v>8.779</v>
      </c>
      <c r="L661">
        <v>0.618</v>
      </c>
      <c r="M661">
        <v>3.339</v>
      </c>
      <c r="N661">
        <v>213.35</v>
      </c>
      <c r="O661">
        <v>185.948</v>
      </c>
      <c r="P661">
        <f t="shared" si="40"/>
        <v>2.32909264719533</v>
      </c>
      <c r="Q661">
        <f t="shared" si="40"/>
        <v>2.26939151158106</v>
      </c>
      <c r="R661">
        <v>103.931</v>
      </c>
      <c r="S661">
        <v>112.969</v>
      </c>
      <c r="T661">
        <v>122.792</v>
      </c>
      <c r="U661">
        <v>1.598</v>
      </c>
      <c r="V661">
        <v>100</v>
      </c>
      <c r="W661">
        <v>0.01</v>
      </c>
      <c r="X661" t="s">
        <v>55</v>
      </c>
      <c r="Y661" t="s">
        <v>31</v>
      </c>
      <c r="Z661" s="3">
        <f t="shared" si="41"/>
        <v>0.0597011356142674</v>
      </c>
      <c r="AA661">
        <f t="shared" si="42"/>
        <v>-0.135</v>
      </c>
      <c r="AB661">
        <f t="shared" si="43"/>
        <v>0.652</v>
      </c>
      <c r="AC661" t="s">
        <v>32</v>
      </c>
    </row>
    <row r="662" spans="1:29">
      <c r="A662" t="s">
        <v>68</v>
      </c>
      <c r="B662">
        <v>3294</v>
      </c>
      <c r="C662">
        <v>19.805</v>
      </c>
      <c r="D662">
        <v>78.206</v>
      </c>
      <c r="E662">
        <v>154.778</v>
      </c>
      <c r="F662">
        <v>0.023</v>
      </c>
      <c r="G662">
        <v>22.315</v>
      </c>
      <c r="H662">
        <v>1.33</v>
      </c>
      <c r="I662">
        <v>2.801</v>
      </c>
      <c r="J662">
        <v>0.744</v>
      </c>
      <c r="K662">
        <v>8.57</v>
      </c>
      <c r="L662">
        <v>0.597</v>
      </c>
      <c r="M662">
        <v>3.334</v>
      </c>
      <c r="N662">
        <v>240.667</v>
      </c>
      <c r="O662">
        <v>209.167</v>
      </c>
      <c r="P662">
        <f t="shared" si="40"/>
        <v>2.38141654436546</v>
      </c>
      <c r="Q662">
        <f t="shared" si="40"/>
        <v>2.32049316753562</v>
      </c>
      <c r="R662">
        <v>134.412</v>
      </c>
      <c r="S662">
        <v>146.1</v>
      </c>
      <c r="T662">
        <v>158.805</v>
      </c>
      <c r="U662">
        <v>1.412</v>
      </c>
      <c r="V662">
        <v>100</v>
      </c>
      <c r="W662">
        <v>0.01</v>
      </c>
      <c r="X662" t="s">
        <v>55</v>
      </c>
      <c r="Y662" t="s">
        <v>31</v>
      </c>
      <c r="Z662" s="3">
        <f t="shared" si="41"/>
        <v>0.0609233768298414</v>
      </c>
      <c r="AA662">
        <f t="shared" si="42"/>
        <v>-0.147</v>
      </c>
      <c r="AB662">
        <f t="shared" si="43"/>
        <v>0.62</v>
      </c>
      <c r="AC662" t="s">
        <v>32</v>
      </c>
    </row>
    <row r="663" spans="1:29">
      <c r="A663" t="s">
        <v>69</v>
      </c>
      <c r="B663">
        <v>4044</v>
      </c>
      <c r="C663">
        <v>22.3</v>
      </c>
      <c r="D663">
        <v>72.035</v>
      </c>
      <c r="E663">
        <v>168.843</v>
      </c>
      <c r="F663">
        <v>0.059</v>
      </c>
      <c r="G663">
        <v>23.986</v>
      </c>
      <c r="H663">
        <v>1.376</v>
      </c>
      <c r="I663">
        <v>2.656</v>
      </c>
      <c r="J663">
        <v>0.527</v>
      </c>
      <c r="K663">
        <v>5.25</v>
      </c>
      <c r="L663">
        <v>0.043</v>
      </c>
      <c r="M663">
        <v>3.567</v>
      </c>
      <c r="N663">
        <v>505.521</v>
      </c>
      <c r="O663">
        <v>441.452</v>
      </c>
      <c r="P663">
        <f t="shared" ref="P663:Q726" si="44">LOG(N663)</f>
        <v>2.70373920145953</v>
      </c>
      <c r="Q663">
        <f t="shared" si="44"/>
        <v>2.64488348873259</v>
      </c>
      <c r="R663">
        <v>14.754</v>
      </c>
      <c r="S663">
        <v>15.348</v>
      </c>
      <c r="T663">
        <v>15.865</v>
      </c>
      <c r="U663">
        <v>0.557</v>
      </c>
      <c r="V663">
        <v>100</v>
      </c>
      <c r="W663">
        <v>0.003</v>
      </c>
      <c r="X663" t="s">
        <v>55</v>
      </c>
      <c r="Y663" t="s">
        <v>31</v>
      </c>
      <c r="Z663" s="3">
        <f t="shared" si="41"/>
        <v>0.0588557127269471</v>
      </c>
      <c r="AA663">
        <f t="shared" si="42"/>
        <v>-0.484</v>
      </c>
      <c r="AB663">
        <f t="shared" si="43"/>
        <v>0.102</v>
      </c>
      <c r="AC663" t="s">
        <v>43</v>
      </c>
    </row>
    <row r="664" spans="1:29">
      <c r="A664" t="s">
        <v>69</v>
      </c>
      <c r="B664">
        <v>4044.125</v>
      </c>
      <c r="C664">
        <v>20.259</v>
      </c>
      <c r="D664">
        <v>71.479</v>
      </c>
      <c r="E664">
        <v>173.938</v>
      </c>
      <c r="F664">
        <v>0.109</v>
      </c>
      <c r="G664">
        <v>24.096</v>
      </c>
      <c r="H664">
        <v>1.342</v>
      </c>
      <c r="I664">
        <v>2.651</v>
      </c>
      <c r="J664">
        <v>0.506</v>
      </c>
      <c r="K664">
        <v>5.885</v>
      </c>
      <c r="L664">
        <v>0.08</v>
      </c>
      <c r="M664">
        <v>3.548</v>
      </c>
      <c r="N664">
        <v>297.636</v>
      </c>
      <c r="O664">
        <v>260.964</v>
      </c>
      <c r="P664">
        <f t="shared" si="44"/>
        <v>2.47368545931935</v>
      </c>
      <c r="Q664">
        <f t="shared" si="44"/>
        <v>2.41658060051952</v>
      </c>
      <c r="R664">
        <v>17.36</v>
      </c>
      <c r="S664">
        <v>18.116</v>
      </c>
      <c r="T664">
        <v>18.79</v>
      </c>
      <c r="U664">
        <v>2.006</v>
      </c>
      <c r="V664">
        <v>100</v>
      </c>
      <c r="W664">
        <v>0.01</v>
      </c>
      <c r="X664" t="s">
        <v>55</v>
      </c>
      <c r="Y664" t="s">
        <v>31</v>
      </c>
      <c r="Z664" s="3">
        <f t="shared" si="41"/>
        <v>0.057104858799828</v>
      </c>
      <c r="AA664">
        <f t="shared" si="42"/>
        <v>-0.426</v>
      </c>
      <c r="AB664">
        <f t="shared" si="43"/>
        <v>0.189</v>
      </c>
      <c r="AC664" t="s">
        <v>43</v>
      </c>
    </row>
    <row r="665" spans="1:29">
      <c r="A665" t="s">
        <v>69</v>
      </c>
      <c r="B665">
        <v>4044.25</v>
      </c>
      <c r="C665">
        <v>18.851</v>
      </c>
      <c r="D665">
        <v>70.943</v>
      </c>
      <c r="E665">
        <v>179.98</v>
      </c>
      <c r="F665">
        <v>0.167</v>
      </c>
      <c r="G665">
        <v>24.178</v>
      </c>
      <c r="H665">
        <v>1.421</v>
      </c>
      <c r="I665">
        <v>2.651</v>
      </c>
      <c r="J665">
        <v>0.506</v>
      </c>
      <c r="K665">
        <v>7.208</v>
      </c>
      <c r="L665">
        <v>0.159</v>
      </c>
      <c r="M665">
        <v>3.53</v>
      </c>
      <c r="N665">
        <v>174.515</v>
      </c>
      <c r="O665">
        <v>153.447</v>
      </c>
      <c r="P665">
        <f t="shared" si="44"/>
        <v>2.24183276159466</v>
      </c>
      <c r="Q665">
        <f t="shared" si="44"/>
        <v>2.18595840207914</v>
      </c>
      <c r="R665">
        <v>26.546</v>
      </c>
      <c r="S665">
        <v>27.875</v>
      </c>
      <c r="T665">
        <v>29.131</v>
      </c>
      <c r="U665">
        <v>2.799</v>
      </c>
      <c r="V665">
        <v>87.848</v>
      </c>
      <c r="W665">
        <v>0.012</v>
      </c>
      <c r="X665" t="s">
        <v>55</v>
      </c>
      <c r="Y665" t="s">
        <v>31</v>
      </c>
      <c r="Z665" s="3">
        <f t="shared" si="41"/>
        <v>0.0558743595155193</v>
      </c>
      <c r="AA665">
        <f t="shared" si="42"/>
        <v>-0.347</v>
      </c>
      <c r="AB665">
        <f t="shared" si="43"/>
        <v>0.326</v>
      </c>
      <c r="AC665" t="s">
        <v>43</v>
      </c>
    </row>
    <row r="666" spans="1:29">
      <c r="A666" t="s">
        <v>69</v>
      </c>
      <c r="B666">
        <v>4044.375</v>
      </c>
      <c r="C666">
        <v>18.091</v>
      </c>
      <c r="D666">
        <v>70.414</v>
      </c>
      <c r="E666">
        <v>184.655</v>
      </c>
      <c r="F666">
        <v>0.213</v>
      </c>
      <c r="G666">
        <v>24.122</v>
      </c>
      <c r="H666">
        <v>1.606</v>
      </c>
      <c r="I666">
        <v>2.653</v>
      </c>
      <c r="J666">
        <v>0.515</v>
      </c>
      <c r="K666">
        <v>9.051</v>
      </c>
      <c r="L666">
        <v>0.268</v>
      </c>
      <c r="M666">
        <v>3.508</v>
      </c>
      <c r="N666">
        <v>119.31</v>
      </c>
      <c r="O666">
        <v>105.085</v>
      </c>
      <c r="P666">
        <f t="shared" si="44"/>
        <v>2.07667684570564</v>
      </c>
      <c r="Q666">
        <f t="shared" si="44"/>
        <v>2.02154072856729</v>
      </c>
      <c r="R666">
        <v>38.757</v>
      </c>
      <c r="S666">
        <v>40.883</v>
      </c>
      <c r="T666">
        <v>42.868</v>
      </c>
      <c r="U666">
        <v>5.318</v>
      </c>
      <c r="V666">
        <v>49.859</v>
      </c>
      <c r="W666">
        <v>0.031</v>
      </c>
      <c r="X666" t="s">
        <v>55</v>
      </c>
      <c r="Y666" t="s">
        <v>31</v>
      </c>
      <c r="Z666" s="3">
        <f t="shared" si="41"/>
        <v>0.055136117138348</v>
      </c>
      <c r="AA666">
        <f t="shared" si="42"/>
        <v>-0.247</v>
      </c>
      <c r="AB666">
        <f t="shared" si="43"/>
        <v>0.481</v>
      </c>
      <c r="AC666" t="s">
        <v>43</v>
      </c>
    </row>
    <row r="667" spans="1:29">
      <c r="A667" t="s">
        <v>69</v>
      </c>
      <c r="B667">
        <v>4044.5</v>
      </c>
      <c r="C667">
        <v>18.012</v>
      </c>
      <c r="D667">
        <v>69.878</v>
      </c>
      <c r="E667">
        <v>186.484</v>
      </c>
      <c r="F667">
        <v>0.23</v>
      </c>
      <c r="G667">
        <v>23.806</v>
      </c>
      <c r="H667">
        <v>1.832</v>
      </c>
      <c r="I667">
        <v>2.658</v>
      </c>
      <c r="J667">
        <v>0.535</v>
      </c>
      <c r="K667">
        <v>10.639</v>
      </c>
      <c r="L667">
        <v>0.362</v>
      </c>
      <c r="M667">
        <v>3.478</v>
      </c>
      <c r="N667">
        <v>97.207</v>
      </c>
      <c r="O667">
        <v>85.703</v>
      </c>
      <c r="P667">
        <f t="shared" si="44"/>
        <v>1.9876975401517</v>
      </c>
      <c r="Q667">
        <f t="shared" si="44"/>
        <v>1.93299602449778</v>
      </c>
      <c r="R667">
        <v>48.478</v>
      </c>
      <c r="S667">
        <v>51.278</v>
      </c>
      <c r="T667">
        <v>53.741</v>
      </c>
      <c r="U667">
        <v>6.625</v>
      </c>
      <c r="V667">
        <v>34.086</v>
      </c>
      <c r="W667">
        <v>0.069</v>
      </c>
      <c r="X667" t="s">
        <v>55</v>
      </c>
      <c r="Y667" t="s">
        <v>31</v>
      </c>
      <c r="Z667" s="3">
        <f t="shared" si="41"/>
        <v>0.0547015156539161</v>
      </c>
      <c r="AA667">
        <f t="shared" si="42"/>
        <v>-0.173</v>
      </c>
      <c r="AB667">
        <f t="shared" si="43"/>
        <v>0.592</v>
      </c>
      <c r="AC667" t="s">
        <v>43</v>
      </c>
    </row>
    <row r="668" spans="1:29">
      <c r="A668" t="s">
        <v>69</v>
      </c>
      <c r="B668">
        <v>4044.625</v>
      </c>
      <c r="C668">
        <v>18.269</v>
      </c>
      <c r="D668">
        <v>69.327</v>
      </c>
      <c r="E668">
        <v>185.621</v>
      </c>
      <c r="F668">
        <v>0.222</v>
      </c>
      <c r="G668">
        <v>23.243</v>
      </c>
      <c r="H668">
        <v>2.014</v>
      </c>
      <c r="I668">
        <v>2.663</v>
      </c>
      <c r="J668">
        <v>0.556</v>
      </c>
      <c r="K668">
        <v>11.405</v>
      </c>
      <c r="L668">
        <v>0.408</v>
      </c>
      <c r="M668">
        <v>3.442</v>
      </c>
      <c r="N668">
        <v>86.283</v>
      </c>
      <c r="O668">
        <v>76.135</v>
      </c>
      <c r="P668">
        <f t="shared" si="44"/>
        <v>1.93592523681061</v>
      </c>
      <c r="Q668">
        <f t="shared" si="44"/>
        <v>1.88158435207237</v>
      </c>
      <c r="R668">
        <v>47.286</v>
      </c>
      <c r="S668">
        <v>49.939</v>
      </c>
      <c r="T668">
        <v>52.113</v>
      </c>
      <c r="U668">
        <v>6.848</v>
      </c>
      <c r="V668">
        <v>34.363</v>
      </c>
      <c r="W668">
        <v>0.082</v>
      </c>
      <c r="X668" t="s">
        <v>55</v>
      </c>
      <c r="Y668" t="s">
        <v>31</v>
      </c>
      <c r="Z668" s="3">
        <f t="shared" si="41"/>
        <v>0.0543408847382418</v>
      </c>
      <c r="AA668">
        <f t="shared" si="42"/>
        <v>-0.148</v>
      </c>
      <c r="AB668">
        <f t="shared" si="43"/>
        <v>0.63</v>
      </c>
      <c r="AC668" t="s">
        <v>43</v>
      </c>
    </row>
    <row r="669" spans="1:29">
      <c r="A669" t="s">
        <v>69</v>
      </c>
      <c r="B669">
        <v>4044.75</v>
      </c>
      <c r="C669">
        <v>18.36</v>
      </c>
      <c r="D669">
        <v>68.76</v>
      </c>
      <c r="E669">
        <v>183.11</v>
      </c>
      <c r="F669">
        <v>0.198</v>
      </c>
      <c r="G669">
        <v>22.596</v>
      </c>
      <c r="H669">
        <v>2.146</v>
      </c>
      <c r="I669">
        <v>2.668</v>
      </c>
      <c r="J669">
        <v>0.577</v>
      </c>
      <c r="K669">
        <v>11.534</v>
      </c>
      <c r="L669">
        <v>0.415</v>
      </c>
      <c r="M669">
        <v>3.403</v>
      </c>
      <c r="N669">
        <v>81.563</v>
      </c>
      <c r="O669">
        <v>72.024</v>
      </c>
      <c r="P669">
        <f t="shared" si="44"/>
        <v>1.91149319135187</v>
      </c>
      <c r="Q669">
        <f t="shared" si="44"/>
        <v>1.85747723713646</v>
      </c>
      <c r="R669">
        <v>37.542</v>
      </c>
      <c r="S669">
        <v>39.473</v>
      </c>
      <c r="T669">
        <v>41.023</v>
      </c>
      <c r="U669">
        <v>7.477</v>
      </c>
      <c r="V669">
        <v>35.679</v>
      </c>
      <c r="W669">
        <v>0.118</v>
      </c>
      <c r="X669" t="s">
        <v>55</v>
      </c>
      <c r="Y669" t="s">
        <v>31</v>
      </c>
      <c r="Z669" s="3">
        <f t="shared" si="41"/>
        <v>0.0540159542154073</v>
      </c>
      <c r="AA669">
        <f t="shared" si="42"/>
        <v>-0.162</v>
      </c>
      <c r="AB669">
        <f t="shared" si="43"/>
        <v>0.613</v>
      </c>
      <c r="AC669" t="s">
        <v>43</v>
      </c>
    </row>
    <row r="670" spans="1:29">
      <c r="A670" t="s">
        <v>69</v>
      </c>
      <c r="B670">
        <v>4044.875</v>
      </c>
      <c r="C670">
        <v>17.914</v>
      </c>
      <c r="D670">
        <v>68.187</v>
      </c>
      <c r="E670">
        <v>180.561</v>
      </c>
      <c r="F670">
        <v>0.173</v>
      </c>
      <c r="G670">
        <v>22.103</v>
      </c>
      <c r="H670">
        <v>2.278</v>
      </c>
      <c r="I670">
        <v>2.674</v>
      </c>
      <c r="J670">
        <v>0.602</v>
      </c>
      <c r="K670">
        <v>11.469</v>
      </c>
      <c r="L670">
        <v>0.411</v>
      </c>
      <c r="M670">
        <v>3.366</v>
      </c>
      <c r="N670">
        <v>80.895</v>
      </c>
      <c r="O670">
        <v>71.485</v>
      </c>
      <c r="P670">
        <f t="shared" si="44"/>
        <v>1.90792167934384</v>
      </c>
      <c r="Q670">
        <f t="shared" si="44"/>
        <v>1.8542149215122</v>
      </c>
      <c r="R670">
        <v>28.137</v>
      </c>
      <c r="S670">
        <v>29.475</v>
      </c>
      <c r="T670">
        <v>30.557</v>
      </c>
      <c r="U670">
        <v>7.462</v>
      </c>
      <c r="V670">
        <v>40.174</v>
      </c>
      <c r="W670">
        <v>0.117</v>
      </c>
      <c r="X670" t="s">
        <v>55</v>
      </c>
      <c r="Y670" t="s">
        <v>31</v>
      </c>
      <c r="Z670" s="3">
        <f t="shared" si="41"/>
        <v>0.0537067578316388</v>
      </c>
      <c r="AA670">
        <f t="shared" si="42"/>
        <v>-0.191</v>
      </c>
      <c r="AB670">
        <f t="shared" si="43"/>
        <v>0.584</v>
      </c>
      <c r="AC670" t="s">
        <v>43</v>
      </c>
    </row>
    <row r="671" spans="1:29">
      <c r="A671" t="s">
        <v>69</v>
      </c>
      <c r="B671">
        <v>4045</v>
      </c>
      <c r="C671">
        <v>17.181</v>
      </c>
      <c r="D671">
        <v>67.615</v>
      </c>
      <c r="E671">
        <v>178.587</v>
      </c>
      <c r="F671">
        <v>0.154</v>
      </c>
      <c r="G671">
        <v>21.85</v>
      </c>
      <c r="H671">
        <v>2.389</v>
      </c>
      <c r="I671">
        <v>2.68</v>
      </c>
      <c r="J671">
        <v>0.627</v>
      </c>
      <c r="K671">
        <v>11.222</v>
      </c>
      <c r="L671">
        <v>0.397</v>
      </c>
      <c r="M671">
        <v>3.334</v>
      </c>
      <c r="N671">
        <v>82.757</v>
      </c>
      <c r="O671">
        <v>73.175</v>
      </c>
      <c r="P671">
        <f t="shared" si="44"/>
        <v>1.91780473879577</v>
      </c>
      <c r="Q671">
        <f t="shared" si="44"/>
        <v>1.86436273110583</v>
      </c>
      <c r="R671">
        <v>21.286</v>
      </c>
      <c r="S671">
        <v>22.243</v>
      </c>
      <c r="T671">
        <v>23.002</v>
      </c>
      <c r="U671">
        <v>7.19</v>
      </c>
      <c r="V671">
        <v>50.042</v>
      </c>
      <c r="W671">
        <v>0.102</v>
      </c>
      <c r="X671" t="s">
        <v>55</v>
      </c>
      <c r="Y671" t="s">
        <v>31</v>
      </c>
      <c r="Z671" s="3">
        <f t="shared" si="41"/>
        <v>0.053442007689938</v>
      </c>
      <c r="AA671">
        <f t="shared" si="42"/>
        <v>-0.23</v>
      </c>
      <c r="AB671">
        <f t="shared" si="43"/>
        <v>0.551</v>
      </c>
      <c r="AC671" t="s">
        <v>43</v>
      </c>
    </row>
    <row r="672" spans="1:29">
      <c r="A672" t="s">
        <v>69</v>
      </c>
      <c r="B672">
        <v>4045.125</v>
      </c>
      <c r="C672">
        <v>16.809</v>
      </c>
      <c r="D672">
        <v>67.047</v>
      </c>
      <c r="E672">
        <v>176.724</v>
      </c>
      <c r="F672">
        <v>0.136</v>
      </c>
      <c r="G672">
        <v>21.782</v>
      </c>
      <c r="H672">
        <v>2.417</v>
      </c>
      <c r="I672">
        <v>2.686</v>
      </c>
      <c r="J672">
        <v>0.651</v>
      </c>
      <c r="K672">
        <v>10.763</v>
      </c>
      <c r="L672">
        <v>0.369</v>
      </c>
      <c r="M672">
        <v>3.309</v>
      </c>
      <c r="N672">
        <v>86.399</v>
      </c>
      <c r="O672">
        <v>76.431</v>
      </c>
      <c r="P672">
        <f t="shared" si="44"/>
        <v>1.9365087158933</v>
      </c>
      <c r="Q672">
        <f t="shared" si="44"/>
        <v>1.8832695417993</v>
      </c>
      <c r="R672">
        <v>16.676</v>
      </c>
      <c r="S672">
        <v>17.383</v>
      </c>
      <c r="T672">
        <v>17.912</v>
      </c>
      <c r="U672">
        <v>6.496</v>
      </c>
      <c r="V672">
        <v>62.917</v>
      </c>
      <c r="W672">
        <v>0.063</v>
      </c>
      <c r="X672" t="s">
        <v>55</v>
      </c>
      <c r="Y672" t="s">
        <v>31</v>
      </c>
      <c r="Z672" s="3">
        <f t="shared" ref="Z672:Z735" si="45">P672-Q672</f>
        <v>0.0532391740940026</v>
      </c>
      <c r="AA672">
        <f t="shared" ref="AA672:AA735" si="46">L672-J672</f>
        <v>-0.282</v>
      </c>
      <c r="AB672">
        <f t="shared" ref="AB672:AB735" si="47">L672+F672</f>
        <v>0.505</v>
      </c>
      <c r="AC672" t="s">
        <v>43</v>
      </c>
    </row>
    <row r="673" spans="1:29">
      <c r="A673" t="s">
        <v>69</v>
      </c>
      <c r="B673">
        <v>4045.25</v>
      </c>
      <c r="C673">
        <v>17.2</v>
      </c>
      <c r="D673">
        <v>66.48</v>
      </c>
      <c r="E673">
        <v>174.343</v>
      </c>
      <c r="F673">
        <v>0.112</v>
      </c>
      <c r="G673">
        <v>21.777</v>
      </c>
      <c r="H673">
        <v>2.353</v>
      </c>
      <c r="I673">
        <v>2.693</v>
      </c>
      <c r="J673">
        <v>0.68</v>
      </c>
      <c r="K673">
        <v>10.311</v>
      </c>
      <c r="L673">
        <v>0.343</v>
      </c>
      <c r="M673">
        <v>3.294</v>
      </c>
      <c r="N673">
        <v>91.479</v>
      </c>
      <c r="O673">
        <v>80.95</v>
      </c>
      <c r="P673">
        <f t="shared" si="44"/>
        <v>1.96132140848329</v>
      </c>
      <c r="Q673">
        <f t="shared" si="44"/>
        <v>1.90821685308939</v>
      </c>
      <c r="R673">
        <v>16.627</v>
      </c>
      <c r="S673">
        <v>17.371</v>
      </c>
      <c r="T673">
        <v>17.902</v>
      </c>
      <c r="U673">
        <v>6.201</v>
      </c>
      <c r="V673">
        <v>65.746</v>
      </c>
      <c r="W673">
        <v>0.053</v>
      </c>
      <c r="X673" t="s">
        <v>55</v>
      </c>
      <c r="Y673" t="s">
        <v>31</v>
      </c>
      <c r="Z673" s="3">
        <f t="shared" si="45"/>
        <v>0.0531045553939011</v>
      </c>
      <c r="AA673">
        <f t="shared" si="46"/>
        <v>-0.337</v>
      </c>
      <c r="AB673">
        <f t="shared" si="47"/>
        <v>0.455</v>
      </c>
      <c r="AC673" t="s">
        <v>43</v>
      </c>
    </row>
    <row r="674" spans="1:29">
      <c r="A674" t="s">
        <v>69</v>
      </c>
      <c r="B674">
        <v>4045.375</v>
      </c>
      <c r="C674">
        <v>18.104</v>
      </c>
      <c r="D674">
        <v>65.917</v>
      </c>
      <c r="E674">
        <v>171.674</v>
      </c>
      <c r="F674">
        <v>0.087</v>
      </c>
      <c r="G674">
        <v>21.784</v>
      </c>
      <c r="H674">
        <v>2.272</v>
      </c>
      <c r="I674">
        <v>2.699</v>
      </c>
      <c r="J674">
        <v>0.705</v>
      </c>
      <c r="K674">
        <v>10.085</v>
      </c>
      <c r="L674">
        <v>0.329</v>
      </c>
      <c r="M674">
        <v>3.286</v>
      </c>
      <c r="N674">
        <v>97.589</v>
      </c>
      <c r="O674">
        <v>86.357</v>
      </c>
      <c r="P674">
        <f t="shared" si="44"/>
        <v>1.98940086778421</v>
      </c>
      <c r="Q674">
        <f t="shared" si="44"/>
        <v>1.93629754674607</v>
      </c>
      <c r="R674">
        <v>20.682</v>
      </c>
      <c r="S674">
        <v>21.742</v>
      </c>
      <c r="T674">
        <v>22.503</v>
      </c>
      <c r="U674">
        <v>5.461</v>
      </c>
      <c r="V674">
        <v>66.089</v>
      </c>
      <c r="W674">
        <v>0.029</v>
      </c>
      <c r="X674" t="s">
        <v>55</v>
      </c>
      <c r="Y674" t="s">
        <v>31</v>
      </c>
      <c r="Z674" s="3">
        <f t="shared" si="45"/>
        <v>0.0531033210381366</v>
      </c>
      <c r="AA674">
        <f t="shared" si="46"/>
        <v>-0.376</v>
      </c>
      <c r="AB674">
        <f t="shared" si="47"/>
        <v>0.416</v>
      </c>
      <c r="AC674" t="s">
        <v>43</v>
      </c>
    </row>
    <row r="675" spans="1:29">
      <c r="A675" t="s">
        <v>69</v>
      </c>
      <c r="B675">
        <v>4045.5</v>
      </c>
      <c r="C675">
        <v>18.89</v>
      </c>
      <c r="D675">
        <v>65.365</v>
      </c>
      <c r="E675">
        <v>169.497</v>
      </c>
      <c r="F675">
        <v>0.065</v>
      </c>
      <c r="G675">
        <v>21.788</v>
      </c>
      <c r="H675">
        <v>2.224</v>
      </c>
      <c r="I675">
        <v>2.702</v>
      </c>
      <c r="J675">
        <v>0.718</v>
      </c>
      <c r="K675">
        <v>10.119</v>
      </c>
      <c r="L675">
        <v>0.331</v>
      </c>
      <c r="M675">
        <v>3.283</v>
      </c>
      <c r="N675">
        <v>103.499</v>
      </c>
      <c r="O675">
        <v>91.554</v>
      </c>
      <c r="P675">
        <f t="shared" si="44"/>
        <v>2.01493615369071</v>
      </c>
      <c r="Q675">
        <f t="shared" si="44"/>
        <v>1.96167732340537</v>
      </c>
      <c r="R675">
        <v>30.1</v>
      </c>
      <c r="S675">
        <v>31.894</v>
      </c>
      <c r="T675">
        <v>33.257</v>
      </c>
      <c r="U675">
        <v>5.408</v>
      </c>
      <c r="V675">
        <v>53.657</v>
      </c>
      <c r="W675">
        <v>0.028</v>
      </c>
      <c r="X675" t="s">
        <v>55</v>
      </c>
      <c r="Y675" t="s">
        <v>31</v>
      </c>
      <c r="Z675" s="3">
        <f t="shared" si="45"/>
        <v>0.0532588302853496</v>
      </c>
      <c r="AA675">
        <f t="shared" si="46"/>
        <v>-0.387</v>
      </c>
      <c r="AB675">
        <f t="shared" si="47"/>
        <v>0.396</v>
      </c>
      <c r="AC675" t="s">
        <v>43</v>
      </c>
    </row>
    <row r="676" spans="1:29">
      <c r="A676" t="s">
        <v>69</v>
      </c>
      <c r="B676">
        <v>4045.625</v>
      </c>
      <c r="C676">
        <v>19.103</v>
      </c>
      <c r="D676">
        <v>64.837</v>
      </c>
      <c r="E676">
        <v>168.348</v>
      </c>
      <c r="F676">
        <v>0.054</v>
      </c>
      <c r="G676">
        <v>21.787</v>
      </c>
      <c r="H676">
        <v>2.17</v>
      </c>
      <c r="I676">
        <v>2.703</v>
      </c>
      <c r="J676">
        <v>0.722</v>
      </c>
      <c r="K676">
        <v>10.194</v>
      </c>
      <c r="L676">
        <v>0.336</v>
      </c>
      <c r="M676">
        <v>3.283</v>
      </c>
      <c r="N676">
        <v>107.819</v>
      </c>
      <c r="O676">
        <v>95.318</v>
      </c>
      <c r="P676">
        <f t="shared" si="44"/>
        <v>2.03269529951547</v>
      </c>
      <c r="Q676">
        <f t="shared" si="44"/>
        <v>1.97917492123132</v>
      </c>
      <c r="R676">
        <v>42.19</v>
      </c>
      <c r="S676">
        <v>44.962</v>
      </c>
      <c r="T676">
        <v>47.128</v>
      </c>
      <c r="U676">
        <v>5.4</v>
      </c>
      <c r="V676">
        <v>47.361</v>
      </c>
      <c r="W676">
        <v>0.028</v>
      </c>
      <c r="X676" t="s">
        <v>55</v>
      </c>
      <c r="Y676" t="s">
        <v>31</v>
      </c>
      <c r="Z676" s="3">
        <f t="shared" si="45"/>
        <v>0.0535203782841529</v>
      </c>
      <c r="AA676">
        <f t="shared" si="46"/>
        <v>-0.386</v>
      </c>
      <c r="AB676">
        <f t="shared" si="47"/>
        <v>0.39</v>
      </c>
      <c r="AC676" t="s">
        <v>43</v>
      </c>
    </row>
    <row r="677" spans="1:29">
      <c r="A677" t="s">
        <v>69</v>
      </c>
      <c r="B677">
        <v>4045.75</v>
      </c>
      <c r="C677">
        <v>18.901</v>
      </c>
      <c r="D677">
        <v>64.353</v>
      </c>
      <c r="E677">
        <v>168.336</v>
      </c>
      <c r="F677">
        <v>0.054</v>
      </c>
      <c r="G677">
        <v>21.789</v>
      </c>
      <c r="H677">
        <v>2.06</v>
      </c>
      <c r="I677">
        <v>2.701</v>
      </c>
      <c r="J677">
        <v>0.714</v>
      </c>
      <c r="K677">
        <v>10.141</v>
      </c>
      <c r="L677">
        <v>0.333</v>
      </c>
      <c r="M677">
        <v>3.281</v>
      </c>
      <c r="N677">
        <v>110.241</v>
      </c>
      <c r="O677">
        <v>97.38</v>
      </c>
      <c r="P677">
        <f t="shared" si="44"/>
        <v>2.04234314408198</v>
      </c>
      <c r="Q677">
        <f t="shared" si="44"/>
        <v>1.98846977020988</v>
      </c>
      <c r="R677">
        <v>55.152</v>
      </c>
      <c r="S677">
        <v>58.996</v>
      </c>
      <c r="T677">
        <v>62.039</v>
      </c>
      <c r="U677">
        <v>5.413</v>
      </c>
      <c r="V677">
        <v>39.472</v>
      </c>
      <c r="W677">
        <v>0.028</v>
      </c>
      <c r="X677" t="s">
        <v>55</v>
      </c>
      <c r="Y677" t="s">
        <v>31</v>
      </c>
      <c r="Z677" s="3">
        <f t="shared" si="45"/>
        <v>0.0538733738721089</v>
      </c>
      <c r="AA677">
        <f t="shared" si="46"/>
        <v>-0.381</v>
      </c>
      <c r="AB677">
        <f t="shared" si="47"/>
        <v>0.387</v>
      </c>
      <c r="AC677" t="s">
        <v>43</v>
      </c>
    </row>
    <row r="678" spans="1:29">
      <c r="A678" t="s">
        <v>69</v>
      </c>
      <c r="B678">
        <v>4045.875</v>
      </c>
      <c r="C678">
        <v>18.856</v>
      </c>
      <c r="D678">
        <v>63.924</v>
      </c>
      <c r="E678">
        <v>169.173</v>
      </c>
      <c r="F678">
        <v>0.062</v>
      </c>
      <c r="G678">
        <v>21.816</v>
      </c>
      <c r="H678">
        <v>1.905</v>
      </c>
      <c r="I678">
        <v>2.7</v>
      </c>
      <c r="J678">
        <v>0.71</v>
      </c>
      <c r="K678">
        <v>10.03</v>
      </c>
      <c r="L678">
        <v>0.326</v>
      </c>
      <c r="M678">
        <v>3.279</v>
      </c>
      <c r="N678">
        <v>111.405</v>
      </c>
      <c r="O678">
        <v>98.315</v>
      </c>
      <c r="P678">
        <f t="shared" si="44"/>
        <v>2.04690468297128</v>
      </c>
      <c r="Q678">
        <f t="shared" si="44"/>
        <v>1.99261978355185</v>
      </c>
      <c r="R678">
        <v>62.348</v>
      </c>
      <c r="S678">
        <v>66.744</v>
      </c>
      <c r="T678">
        <v>70.159</v>
      </c>
      <c r="U678">
        <v>5.427</v>
      </c>
      <c r="V678">
        <v>36.636</v>
      </c>
      <c r="W678">
        <v>0.029</v>
      </c>
      <c r="X678" t="s">
        <v>55</v>
      </c>
      <c r="Y678" t="s">
        <v>31</v>
      </c>
      <c r="Z678" s="3">
        <f t="shared" si="45"/>
        <v>0.0542848994194249</v>
      </c>
      <c r="AA678">
        <f t="shared" si="46"/>
        <v>-0.384</v>
      </c>
      <c r="AB678">
        <f t="shared" si="47"/>
        <v>0.388</v>
      </c>
      <c r="AC678" t="s">
        <v>43</v>
      </c>
    </row>
    <row r="679" spans="1:29">
      <c r="A679" t="s">
        <v>69</v>
      </c>
      <c r="B679">
        <v>4046</v>
      </c>
      <c r="C679">
        <v>19.268</v>
      </c>
      <c r="D679">
        <v>63.555</v>
      </c>
      <c r="E679">
        <v>170.116</v>
      </c>
      <c r="F679">
        <v>0.071</v>
      </c>
      <c r="G679">
        <v>21.918</v>
      </c>
      <c r="H679">
        <v>1.725</v>
      </c>
      <c r="I679">
        <v>2.7</v>
      </c>
      <c r="J679">
        <v>0.71</v>
      </c>
      <c r="K679">
        <v>10.088</v>
      </c>
      <c r="L679">
        <v>0.329</v>
      </c>
      <c r="M679">
        <v>3.277</v>
      </c>
      <c r="N679">
        <v>112.03</v>
      </c>
      <c r="O679">
        <v>98.764</v>
      </c>
      <c r="P679">
        <f t="shared" si="44"/>
        <v>2.04933433597228</v>
      </c>
      <c r="Q679">
        <f t="shared" si="44"/>
        <v>1.99459867079765</v>
      </c>
      <c r="R679">
        <v>61.157</v>
      </c>
      <c r="S679">
        <v>65.38</v>
      </c>
      <c r="T679">
        <v>68.542</v>
      </c>
      <c r="U679">
        <v>5.418</v>
      </c>
      <c r="V679">
        <v>37.467</v>
      </c>
      <c r="W679">
        <v>0.029</v>
      </c>
      <c r="X679" t="s">
        <v>55</v>
      </c>
      <c r="Y679" t="s">
        <v>31</v>
      </c>
      <c r="Z679" s="3">
        <f t="shared" si="45"/>
        <v>0.0547356651746331</v>
      </c>
      <c r="AA679">
        <f t="shared" si="46"/>
        <v>-0.381</v>
      </c>
      <c r="AB679">
        <f t="shared" si="47"/>
        <v>0.4</v>
      </c>
      <c r="AC679" t="s">
        <v>43</v>
      </c>
    </row>
    <row r="680" spans="1:29">
      <c r="A680" t="s">
        <v>70</v>
      </c>
      <c r="B680">
        <v>4318.5</v>
      </c>
      <c r="C680">
        <v>28.817</v>
      </c>
      <c r="D680">
        <v>48.641</v>
      </c>
      <c r="E680">
        <v>164.869</v>
      </c>
      <c r="F680">
        <v>0.123</v>
      </c>
      <c r="G680">
        <v>22.385</v>
      </c>
      <c r="H680">
        <v>2.649</v>
      </c>
      <c r="I680">
        <v>2.824</v>
      </c>
      <c r="J680">
        <v>1</v>
      </c>
      <c r="K680">
        <v>4.069</v>
      </c>
      <c r="L680">
        <v>0.003</v>
      </c>
      <c r="M680">
        <v>3.701</v>
      </c>
      <c r="N680">
        <v>598.94</v>
      </c>
      <c r="O680">
        <v>563.004</v>
      </c>
      <c r="P680">
        <f t="shared" si="44"/>
        <v>2.77738331825899</v>
      </c>
      <c r="Q680">
        <f t="shared" si="44"/>
        <v>2.75051148041397</v>
      </c>
      <c r="R680">
        <v>115.803</v>
      </c>
      <c r="S680">
        <v>-9999</v>
      </c>
      <c r="T680">
        <v>98.899</v>
      </c>
      <c r="U680">
        <v>2.313</v>
      </c>
      <c r="V680">
        <v>44.064</v>
      </c>
      <c r="W680">
        <v>0.003</v>
      </c>
      <c r="X680" t="s">
        <v>55</v>
      </c>
      <c r="Y680" t="s">
        <v>31</v>
      </c>
      <c r="Z680" s="3">
        <f t="shared" si="45"/>
        <v>0.0268718378450252</v>
      </c>
      <c r="AA680">
        <f t="shared" si="46"/>
        <v>-0.997</v>
      </c>
      <c r="AB680">
        <f t="shared" si="47"/>
        <v>0.126</v>
      </c>
      <c r="AC680" t="s">
        <v>43</v>
      </c>
    </row>
    <row r="681" spans="1:29">
      <c r="A681" t="s">
        <v>70</v>
      </c>
      <c r="B681">
        <v>4318.625</v>
      </c>
      <c r="C681">
        <v>25.905</v>
      </c>
      <c r="D681">
        <v>48.415</v>
      </c>
      <c r="E681">
        <v>166.111</v>
      </c>
      <c r="F681">
        <v>0.138</v>
      </c>
      <c r="G681">
        <v>22.384</v>
      </c>
      <c r="H681">
        <v>2.44</v>
      </c>
      <c r="I681">
        <v>2.819</v>
      </c>
      <c r="J681">
        <v>0.976</v>
      </c>
      <c r="K681">
        <v>4.018</v>
      </c>
      <c r="L681">
        <v>0</v>
      </c>
      <c r="M681">
        <v>3.625</v>
      </c>
      <c r="N681">
        <v>494.804</v>
      </c>
      <c r="O681">
        <v>464.827</v>
      </c>
      <c r="P681">
        <f t="shared" si="44"/>
        <v>2.69443320181178</v>
      </c>
      <c r="Q681">
        <f t="shared" si="44"/>
        <v>2.66729134659924</v>
      </c>
      <c r="R681">
        <v>101.521</v>
      </c>
      <c r="S681">
        <v>-9999</v>
      </c>
      <c r="T681">
        <v>92.556</v>
      </c>
      <c r="U681">
        <v>2.501</v>
      </c>
      <c r="V681">
        <v>42.768</v>
      </c>
      <c r="W681">
        <v>0.004</v>
      </c>
      <c r="X681" t="s">
        <v>55</v>
      </c>
      <c r="Y681" t="s">
        <v>31</v>
      </c>
      <c r="Z681" s="3">
        <f t="shared" si="45"/>
        <v>0.0271418552125402</v>
      </c>
      <c r="AA681">
        <f t="shared" si="46"/>
        <v>-0.976</v>
      </c>
      <c r="AB681">
        <f t="shared" si="47"/>
        <v>0.138</v>
      </c>
      <c r="AC681" t="s">
        <v>43</v>
      </c>
    </row>
    <row r="682" spans="1:29">
      <c r="A682" t="s">
        <v>70</v>
      </c>
      <c r="B682">
        <v>4318.75</v>
      </c>
      <c r="C682">
        <v>24.343</v>
      </c>
      <c r="D682">
        <v>48.197</v>
      </c>
      <c r="E682">
        <v>166.175</v>
      </c>
      <c r="F682">
        <v>0.138</v>
      </c>
      <c r="G682">
        <v>22.434</v>
      </c>
      <c r="H682">
        <v>2.207</v>
      </c>
      <c r="I682">
        <v>2.813</v>
      </c>
      <c r="J682">
        <v>0.948</v>
      </c>
      <c r="K682">
        <v>4.401</v>
      </c>
      <c r="L682">
        <v>0.022</v>
      </c>
      <c r="M682">
        <v>3.544</v>
      </c>
      <c r="N682">
        <v>447.525</v>
      </c>
      <c r="O682">
        <v>420.623</v>
      </c>
      <c r="P682">
        <f t="shared" si="44"/>
        <v>2.6508173012358</v>
      </c>
      <c r="Q682">
        <f t="shared" si="44"/>
        <v>2.62389301656709</v>
      </c>
      <c r="R682">
        <v>95.207</v>
      </c>
      <c r="S682">
        <v>-9999</v>
      </c>
      <c r="T682">
        <v>82.448</v>
      </c>
      <c r="U682">
        <v>2.92</v>
      </c>
      <c r="V682">
        <v>39.159</v>
      </c>
      <c r="W682">
        <v>0.008</v>
      </c>
      <c r="X682" t="s">
        <v>55</v>
      </c>
      <c r="Y682" t="s">
        <v>31</v>
      </c>
      <c r="Z682" s="3">
        <f t="shared" si="45"/>
        <v>0.0269242846687061</v>
      </c>
      <c r="AA682">
        <f t="shared" si="46"/>
        <v>-0.926</v>
      </c>
      <c r="AB682">
        <f t="shared" si="47"/>
        <v>0.16</v>
      </c>
      <c r="AC682" t="s">
        <v>43</v>
      </c>
    </row>
    <row r="683" spans="1:29">
      <c r="A683" t="s">
        <v>70</v>
      </c>
      <c r="B683">
        <v>4318.875</v>
      </c>
      <c r="C683">
        <v>22.596</v>
      </c>
      <c r="D683">
        <v>47.986</v>
      </c>
      <c r="E683">
        <v>165.342</v>
      </c>
      <c r="F683">
        <v>0.129</v>
      </c>
      <c r="G683">
        <v>22.527</v>
      </c>
      <c r="H683">
        <v>1.911</v>
      </c>
      <c r="I683">
        <v>2.805</v>
      </c>
      <c r="J683">
        <v>0.91</v>
      </c>
      <c r="K683">
        <v>5.092</v>
      </c>
      <c r="L683">
        <v>0.062</v>
      </c>
      <c r="M683">
        <v>3.433</v>
      </c>
      <c r="N683">
        <v>434.88</v>
      </c>
      <c r="O683">
        <v>408.787</v>
      </c>
      <c r="P683">
        <f t="shared" si="44"/>
        <v>2.6383694350524</v>
      </c>
      <c r="Q683">
        <f t="shared" si="44"/>
        <v>2.61149707617256</v>
      </c>
      <c r="R683">
        <v>93.252</v>
      </c>
      <c r="S683">
        <v>-9999</v>
      </c>
      <c r="T683">
        <v>71.667</v>
      </c>
      <c r="U683">
        <v>3.572</v>
      </c>
      <c r="V683">
        <v>34.289</v>
      </c>
      <c r="W683">
        <v>0.018</v>
      </c>
      <c r="X683" t="s">
        <v>55</v>
      </c>
      <c r="Y683" t="s">
        <v>31</v>
      </c>
      <c r="Z683" s="3">
        <f t="shared" si="45"/>
        <v>0.026872358879845</v>
      </c>
      <c r="AA683">
        <f t="shared" si="46"/>
        <v>-0.848</v>
      </c>
      <c r="AB683">
        <f t="shared" si="47"/>
        <v>0.191</v>
      </c>
      <c r="AC683" t="s">
        <v>43</v>
      </c>
    </row>
    <row r="684" spans="1:29">
      <c r="A684" t="s">
        <v>70</v>
      </c>
      <c r="B684">
        <v>4319</v>
      </c>
      <c r="C684">
        <v>19.629</v>
      </c>
      <c r="D684">
        <v>47.786</v>
      </c>
      <c r="E684">
        <v>165.04</v>
      </c>
      <c r="F684">
        <v>0.125</v>
      </c>
      <c r="G684">
        <v>22.6</v>
      </c>
      <c r="H684">
        <v>1.539</v>
      </c>
      <c r="I684">
        <v>2.792</v>
      </c>
      <c r="J684">
        <v>0.848</v>
      </c>
      <c r="K684">
        <v>5.848</v>
      </c>
      <c r="L684">
        <v>0.105</v>
      </c>
      <c r="M684">
        <v>3.353</v>
      </c>
      <c r="N684">
        <v>426.035</v>
      </c>
      <c r="O684">
        <v>400.473</v>
      </c>
      <c r="P684">
        <f t="shared" si="44"/>
        <v>2.62944527910853</v>
      </c>
      <c r="Q684">
        <f t="shared" si="44"/>
        <v>2.60257324115362</v>
      </c>
      <c r="R684">
        <v>90.628</v>
      </c>
      <c r="S684">
        <v>-9999</v>
      </c>
      <c r="T684">
        <v>62.885</v>
      </c>
      <c r="U684">
        <v>4.394</v>
      </c>
      <c r="V684">
        <v>29.518</v>
      </c>
      <c r="W684">
        <v>0.047</v>
      </c>
      <c r="X684" t="s">
        <v>55</v>
      </c>
      <c r="Y684" t="s">
        <v>31</v>
      </c>
      <c r="Z684" s="3">
        <f t="shared" si="45"/>
        <v>0.0268720379549037</v>
      </c>
      <c r="AA684">
        <f t="shared" si="46"/>
        <v>-0.743</v>
      </c>
      <c r="AB684">
        <f t="shared" si="47"/>
        <v>0.23</v>
      </c>
      <c r="AC684" t="s">
        <v>43</v>
      </c>
    </row>
    <row r="685" spans="1:29">
      <c r="A685" t="s">
        <v>70</v>
      </c>
      <c r="B685">
        <v>4319.125</v>
      </c>
      <c r="C685">
        <v>16.082</v>
      </c>
      <c r="D685">
        <v>47.594</v>
      </c>
      <c r="E685">
        <v>166.717</v>
      </c>
      <c r="F685">
        <v>0.145</v>
      </c>
      <c r="G685">
        <v>22.596</v>
      </c>
      <c r="H685">
        <v>1.124</v>
      </c>
      <c r="I685">
        <v>2.777</v>
      </c>
      <c r="J685">
        <v>0.777</v>
      </c>
      <c r="K685">
        <v>6.405</v>
      </c>
      <c r="L685">
        <v>0.137</v>
      </c>
      <c r="M685">
        <v>3.338</v>
      </c>
      <c r="N685">
        <v>401.964</v>
      </c>
      <c r="O685">
        <v>377.753</v>
      </c>
      <c r="P685">
        <f t="shared" si="44"/>
        <v>2.60418715929978</v>
      </c>
      <c r="Q685">
        <f t="shared" si="44"/>
        <v>2.5772079220601</v>
      </c>
      <c r="R685">
        <v>83.941</v>
      </c>
      <c r="S685">
        <v>-9999</v>
      </c>
      <c r="T685">
        <v>57.857</v>
      </c>
      <c r="U685">
        <v>5.13</v>
      </c>
      <c r="V685">
        <v>25.85</v>
      </c>
      <c r="W685">
        <v>0.091</v>
      </c>
      <c r="X685" t="s">
        <v>55</v>
      </c>
      <c r="Y685" t="s">
        <v>31</v>
      </c>
      <c r="Z685" s="3">
        <f t="shared" si="45"/>
        <v>0.0269792372396798</v>
      </c>
      <c r="AA685">
        <f t="shared" si="46"/>
        <v>-0.64</v>
      </c>
      <c r="AB685">
        <f t="shared" si="47"/>
        <v>0.282</v>
      </c>
      <c r="AC685" t="s">
        <v>43</v>
      </c>
    </row>
    <row r="686" spans="1:29">
      <c r="A686" t="s">
        <v>70</v>
      </c>
      <c r="B686">
        <v>4319.25</v>
      </c>
      <c r="C686">
        <v>14.051</v>
      </c>
      <c r="D686">
        <v>47.414</v>
      </c>
      <c r="E686">
        <v>169.474</v>
      </c>
      <c r="F686">
        <v>0.177</v>
      </c>
      <c r="G686">
        <v>22.534</v>
      </c>
      <c r="H686">
        <v>0.68</v>
      </c>
      <c r="I686">
        <v>2.767</v>
      </c>
      <c r="J686">
        <v>0.73</v>
      </c>
      <c r="K686">
        <v>6.622</v>
      </c>
      <c r="L686">
        <v>0.149</v>
      </c>
      <c r="M686">
        <v>3.401</v>
      </c>
      <c r="N686">
        <v>358.035</v>
      </c>
      <c r="O686">
        <v>336.382</v>
      </c>
      <c r="P686">
        <f t="shared" si="44"/>
        <v>2.55392548352623</v>
      </c>
      <c r="Q686">
        <f t="shared" si="44"/>
        <v>2.52683274839275</v>
      </c>
      <c r="R686">
        <v>74.292</v>
      </c>
      <c r="S686">
        <v>-9999</v>
      </c>
      <c r="T686">
        <v>56.731</v>
      </c>
      <c r="U686">
        <v>5.505</v>
      </c>
      <c r="V686">
        <v>24.105</v>
      </c>
      <c r="W686">
        <v>0.122</v>
      </c>
      <c r="X686" t="s">
        <v>55</v>
      </c>
      <c r="Y686" t="s">
        <v>31</v>
      </c>
      <c r="Z686" s="3">
        <f t="shared" si="45"/>
        <v>0.0270927351334844</v>
      </c>
      <c r="AA686">
        <f t="shared" si="46"/>
        <v>-0.581</v>
      </c>
      <c r="AB686">
        <f t="shared" si="47"/>
        <v>0.326</v>
      </c>
      <c r="AC686" t="s">
        <v>43</v>
      </c>
    </row>
    <row r="687" spans="1:29">
      <c r="A687" t="s">
        <v>70</v>
      </c>
      <c r="B687">
        <v>4319.375</v>
      </c>
      <c r="C687">
        <v>14.048</v>
      </c>
      <c r="D687">
        <v>47.245</v>
      </c>
      <c r="E687">
        <v>171.898</v>
      </c>
      <c r="F687">
        <v>0.206</v>
      </c>
      <c r="G687">
        <v>22.421</v>
      </c>
      <c r="H687">
        <v>0.41</v>
      </c>
      <c r="I687">
        <v>2.763</v>
      </c>
      <c r="J687">
        <v>0.711</v>
      </c>
      <c r="K687">
        <v>6.588</v>
      </c>
      <c r="L687">
        <v>0.147</v>
      </c>
      <c r="M687">
        <v>3.543</v>
      </c>
      <c r="N687">
        <v>304.943</v>
      </c>
      <c r="O687">
        <v>286.646</v>
      </c>
      <c r="P687">
        <f t="shared" si="44"/>
        <v>2.48421866853069</v>
      </c>
      <c r="Q687">
        <f t="shared" si="44"/>
        <v>2.45734588579307</v>
      </c>
      <c r="R687">
        <v>64.301</v>
      </c>
      <c r="S687">
        <v>-9999</v>
      </c>
      <c r="T687">
        <v>55.796</v>
      </c>
      <c r="U687">
        <v>5.518</v>
      </c>
      <c r="V687">
        <v>24.651</v>
      </c>
      <c r="W687">
        <v>0.123</v>
      </c>
      <c r="X687" t="s">
        <v>55</v>
      </c>
      <c r="Y687" t="s">
        <v>31</v>
      </c>
      <c r="Z687" s="3">
        <f t="shared" si="45"/>
        <v>0.0268727827376263</v>
      </c>
      <c r="AA687">
        <f t="shared" si="46"/>
        <v>-0.564</v>
      </c>
      <c r="AB687">
        <f t="shared" si="47"/>
        <v>0.353</v>
      </c>
      <c r="AC687" t="s">
        <v>43</v>
      </c>
    </row>
    <row r="688" spans="1:29">
      <c r="A688" t="s">
        <v>70</v>
      </c>
      <c r="B688">
        <v>4319.5</v>
      </c>
      <c r="C688">
        <v>14.499</v>
      </c>
      <c r="D688">
        <v>47.089</v>
      </c>
      <c r="E688">
        <v>173.19</v>
      </c>
      <c r="F688">
        <v>0.221</v>
      </c>
      <c r="G688">
        <v>22.351</v>
      </c>
      <c r="H688">
        <v>0.367</v>
      </c>
      <c r="I688">
        <v>2.768</v>
      </c>
      <c r="J688">
        <v>0.735</v>
      </c>
      <c r="K688">
        <v>6.495</v>
      </c>
      <c r="L688">
        <v>0.142</v>
      </c>
      <c r="M688">
        <v>3.652</v>
      </c>
      <c r="N688">
        <v>255.071</v>
      </c>
      <c r="O688">
        <v>239.766</v>
      </c>
      <c r="P688">
        <f t="shared" si="44"/>
        <v>2.40666108481164</v>
      </c>
      <c r="Q688">
        <f t="shared" si="44"/>
        <v>2.37978759803188</v>
      </c>
      <c r="R688">
        <v>56.689</v>
      </c>
      <c r="S688">
        <v>-9999</v>
      </c>
      <c r="T688">
        <v>52.119</v>
      </c>
      <c r="U688">
        <v>5.332</v>
      </c>
      <c r="V688">
        <v>26.441</v>
      </c>
      <c r="W688">
        <v>0.106</v>
      </c>
      <c r="X688" t="s">
        <v>55</v>
      </c>
      <c r="Y688" t="s">
        <v>31</v>
      </c>
      <c r="Z688" s="3">
        <f t="shared" si="45"/>
        <v>0.0268734867797575</v>
      </c>
      <c r="AA688">
        <f t="shared" si="46"/>
        <v>-0.593</v>
      </c>
      <c r="AB688">
        <f t="shared" si="47"/>
        <v>0.363</v>
      </c>
      <c r="AC688" t="s">
        <v>43</v>
      </c>
    </row>
    <row r="689" spans="1:29">
      <c r="A689" t="s">
        <v>70</v>
      </c>
      <c r="B689">
        <v>4319.625</v>
      </c>
      <c r="C689">
        <v>14.914</v>
      </c>
      <c r="D689">
        <v>46.946</v>
      </c>
      <c r="E689">
        <v>173.386</v>
      </c>
      <c r="F689">
        <v>0.224</v>
      </c>
      <c r="G689">
        <v>22.336</v>
      </c>
      <c r="H689">
        <v>0.373</v>
      </c>
      <c r="I689">
        <v>2.776</v>
      </c>
      <c r="J689">
        <v>0.773</v>
      </c>
      <c r="K689">
        <v>6.477</v>
      </c>
      <c r="L689">
        <v>0.141</v>
      </c>
      <c r="M689">
        <v>3.741</v>
      </c>
      <c r="N689">
        <v>217.133</v>
      </c>
      <c r="O689">
        <v>203.995</v>
      </c>
      <c r="P689">
        <f t="shared" si="44"/>
        <v>2.33672583279931</v>
      </c>
      <c r="Q689">
        <f t="shared" si="44"/>
        <v>2.30961952282285</v>
      </c>
      <c r="R689">
        <v>52.995</v>
      </c>
      <c r="S689">
        <v>-9999</v>
      </c>
      <c r="T689">
        <v>48.81</v>
      </c>
      <c r="U689">
        <v>5.103</v>
      </c>
      <c r="V689">
        <v>28.455</v>
      </c>
      <c r="W689">
        <v>0.088</v>
      </c>
      <c r="X689" t="s">
        <v>55</v>
      </c>
      <c r="Y689" t="s">
        <v>31</v>
      </c>
      <c r="Z689" s="3">
        <f t="shared" si="45"/>
        <v>0.0271063099764586</v>
      </c>
      <c r="AA689">
        <f t="shared" si="46"/>
        <v>-0.632</v>
      </c>
      <c r="AB689">
        <f t="shared" si="47"/>
        <v>0.365</v>
      </c>
      <c r="AC689" t="s">
        <v>43</v>
      </c>
    </row>
    <row r="690" spans="1:29">
      <c r="A690" t="s">
        <v>70</v>
      </c>
      <c r="B690">
        <v>4319.75</v>
      </c>
      <c r="C690">
        <v>15.434</v>
      </c>
      <c r="D690">
        <v>46.817</v>
      </c>
      <c r="E690">
        <v>173.032</v>
      </c>
      <c r="F690">
        <v>0.219</v>
      </c>
      <c r="G690">
        <v>22.321</v>
      </c>
      <c r="H690">
        <v>0.432</v>
      </c>
      <c r="I690">
        <v>2.786</v>
      </c>
      <c r="J690">
        <v>0.82</v>
      </c>
      <c r="K690">
        <v>6.512</v>
      </c>
      <c r="L690">
        <v>0.143</v>
      </c>
      <c r="M690">
        <v>3.774</v>
      </c>
      <c r="N690">
        <v>194.923</v>
      </c>
      <c r="O690">
        <v>183.185</v>
      </c>
      <c r="P690">
        <f t="shared" si="44"/>
        <v>2.28986308685362</v>
      </c>
      <c r="Q690">
        <f t="shared" si="44"/>
        <v>2.26288990883</v>
      </c>
      <c r="R690">
        <v>52.318</v>
      </c>
      <c r="S690">
        <v>-9999</v>
      </c>
      <c r="T690">
        <v>46.437</v>
      </c>
      <c r="U690">
        <v>4.872</v>
      </c>
      <c r="V690">
        <v>30.134</v>
      </c>
      <c r="W690">
        <v>0.071</v>
      </c>
      <c r="X690" t="s">
        <v>55</v>
      </c>
      <c r="Y690" t="s">
        <v>31</v>
      </c>
      <c r="Z690" s="3">
        <f t="shared" si="45"/>
        <v>0.0269731780236238</v>
      </c>
      <c r="AA690">
        <f t="shared" si="46"/>
        <v>-0.677</v>
      </c>
      <c r="AB690">
        <f t="shared" si="47"/>
        <v>0.362</v>
      </c>
      <c r="AC690" t="s">
        <v>43</v>
      </c>
    </row>
    <row r="691" spans="1:29">
      <c r="A691" t="s">
        <v>70</v>
      </c>
      <c r="B691">
        <v>4319.875</v>
      </c>
      <c r="C691">
        <v>15.828</v>
      </c>
      <c r="D691">
        <v>46.701</v>
      </c>
      <c r="E691">
        <v>172.486</v>
      </c>
      <c r="F691">
        <v>0.213</v>
      </c>
      <c r="G691">
        <v>22.277</v>
      </c>
      <c r="H691">
        <v>0.565</v>
      </c>
      <c r="I691">
        <v>2.795</v>
      </c>
      <c r="J691">
        <v>0.863</v>
      </c>
      <c r="K691">
        <v>6.517</v>
      </c>
      <c r="L691">
        <v>0.143</v>
      </c>
      <c r="M691">
        <v>3.708</v>
      </c>
      <c r="N691">
        <v>182.903</v>
      </c>
      <c r="O691">
        <v>171.928</v>
      </c>
      <c r="P691">
        <f t="shared" si="44"/>
        <v>2.26222082889228</v>
      </c>
      <c r="Q691">
        <f t="shared" si="44"/>
        <v>2.23534661115615</v>
      </c>
      <c r="R691">
        <v>52.038</v>
      </c>
      <c r="S691">
        <v>-9999</v>
      </c>
      <c r="T691">
        <v>46.75</v>
      </c>
      <c r="U691">
        <v>4.617</v>
      </c>
      <c r="V691">
        <v>31.492</v>
      </c>
      <c r="W691">
        <v>0.056</v>
      </c>
      <c r="X691" t="s">
        <v>55</v>
      </c>
      <c r="Y691" t="s">
        <v>31</v>
      </c>
      <c r="Z691" s="3">
        <f t="shared" si="45"/>
        <v>0.0268742177361272</v>
      </c>
      <c r="AA691">
        <f t="shared" si="46"/>
        <v>-0.72</v>
      </c>
      <c r="AB691">
        <f t="shared" si="47"/>
        <v>0.356</v>
      </c>
      <c r="AC691" t="s">
        <v>43</v>
      </c>
    </row>
    <row r="692" spans="1:29">
      <c r="A692" t="s">
        <v>70</v>
      </c>
      <c r="B692">
        <v>4320</v>
      </c>
      <c r="C692">
        <v>16.414</v>
      </c>
      <c r="D692">
        <v>46.601</v>
      </c>
      <c r="E692">
        <v>172.32</v>
      </c>
      <c r="F692">
        <v>0.211</v>
      </c>
      <c r="G692">
        <v>22.197</v>
      </c>
      <c r="H692">
        <v>0.778</v>
      </c>
      <c r="I692">
        <v>2.805</v>
      </c>
      <c r="J692">
        <v>0.91</v>
      </c>
      <c r="K692">
        <v>6.427</v>
      </c>
      <c r="L692">
        <v>0.138</v>
      </c>
      <c r="M692">
        <v>3.613</v>
      </c>
      <c r="N692">
        <v>175.214</v>
      </c>
      <c r="O692">
        <v>164.701</v>
      </c>
      <c r="P692">
        <f t="shared" si="44"/>
        <v>2.24356880434252</v>
      </c>
      <c r="Q692">
        <f t="shared" si="44"/>
        <v>2.21669623604385</v>
      </c>
      <c r="R692">
        <v>49.884</v>
      </c>
      <c r="S692">
        <v>-9999</v>
      </c>
      <c r="T692">
        <v>48.311</v>
      </c>
      <c r="U692">
        <v>4.288</v>
      </c>
      <c r="V692">
        <v>33.247</v>
      </c>
      <c r="W692">
        <v>0.041</v>
      </c>
      <c r="X692" t="s">
        <v>55</v>
      </c>
      <c r="Y692" t="s">
        <v>31</v>
      </c>
      <c r="Z692" s="3">
        <f t="shared" si="45"/>
        <v>0.0268725682986708</v>
      </c>
      <c r="AA692">
        <f t="shared" si="46"/>
        <v>-0.772</v>
      </c>
      <c r="AB692">
        <f t="shared" si="47"/>
        <v>0.349</v>
      </c>
      <c r="AC692" t="s">
        <v>43</v>
      </c>
    </row>
    <row r="693" spans="1:29">
      <c r="A693" t="s">
        <v>70</v>
      </c>
      <c r="B693">
        <v>4320.125</v>
      </c>
      <c r="C693">
        <v>17.953</v>
      </c>
      <c r="D693">
        <v>46.516</v>
      </c>
      <c r="E693">
        <v>172.846</v>
      </c>
      <c r="F693">
        <v>0.217</v>
      </c>
      <c r="G693">
        <v>22.098</v>
      </c>
      <c r="H693">
        <v>1.049</v>
      </c>
      <c r="I693">
        <v>2.812</v>
      </c>
      <c r="J693">
        <v>0.943</v>
      </c>
      <c r="K693">
        <v>6.211</v>
      </c>
      <c r="L693">
        <v>0.126</v>
      </c>
      <c r="M693">
        <v>3.526</v>
      </c>
      <c r="N693">
        <v>170.587</v>
      </c>
      <c r="O693">
        <v>160.339</v>
      </c>
      <c r="P693">
        <f t="shared" si="44"/>
        <v>2.23194593161822</v>
      </c>
      <c r="Q693">
        <f t="shared" si="44"/>
        <v>2.20503917066815</v>
      </c>
      <c r="R693">
        <v>46.576</v>
      </c>
      <c r="S693">
        <v>-9999</v>
      </c>
      <c r="T693">
        <v>50.187</v>
      </c>
      <c r="U693">
        <v>3.915</v>
      </c>
      <c r="V693">
        <v>35.984</v>
      </c>
      <c r="W693">
        <v>0.028</v>
      </c>
      <c r="X693" t="s">
        <v>55</v>
      </c>
      <c r="Y693" t="s">
        <v>31</v>
      </c>
      <c r="Z693" s="3">
        <f t="shared" si="45"/>
        <v>0.0269067609500659</v>
      </c>
      <c r="AA693">
        <f t="shared" si="46"/>
        <v>-0.817</v>
      </c>
      <c r="AB693">
        <f t="shared" si="47"/>
        <v>0.343</v>
      </c>
      <c r="AC693" t="s">
        <v>43</v>
      </c>
    </row>
    <row r="694" spans="1:29">
      <c r="A694" t="s">
        <v>70</v>
      </c>
      <c r="B694">
        <v>4320.25</v>
      </c>
      <c r="C694">
        <v>20.503</v>
      </c>
      <c r="D694">
        <v>46.446</v>
      </c>
      <c r="E694">
        <v>173.218</v>
      </c>
      <c r="F694">
        <v>0.222</v>
      </c>
      <c r="G694">
        <v>21.991</v>
      </c>
      <c r="H694">
        <v>1.31</v>
      </c>
      <c r="I694">
        <v>2.815</v>
      </c>
      <c r="J694">
        <v>0.957</v>
      </c>
      <c r="K694">
        <v>5.941</v>
      </c>
      <c r="L694">
        <v>0.11</v>
      </c>
      <c r="M694">
        <v>3.471</v>
      </c>
      <c r="N694">
        <v>169.114</v>
      </c>
      <c r="O694">
        <v>158.966</v>
      </c>
      <c r="P694">
        <f t="shared" si="44"/>
        <v>2.22817956189147</v>
      </c>
      <c r="Q694">
        <f t="shared" si="44"/>
        <v>2.20130424638733</v>
      </c>
      <c r="R694">
        <v>44.027</v>
      </c>
      <c r="S694">
        <v>-9999</v>
      </c>
      <c r="T694">
        <v>50.573</v>
      </c>
      <c r="U694">
        <v>3.605</v>
      </c>
      <c r="V694">
        <v>39.279</v>
      </c>
      <c r="W694">
        <v>0.019</v>
      </c>
      <c r="X694" t="s">
        <v>55</v>
      </c>
      <c r="Y694" t="s">
        <v>31</v>
      </c>
      <c r="Z694" s="3">
        <f t="shared" si="45"/>
        <v>0.0268753155041406</v>
      </c>
      <c r="AA694">
        <f t="shared" si="46"/>
        <v>-0.847</v>
      </c>
      <c r="AB694">
        <f t="shared" si="47"/>
        <v>0.332</v>
      </c>
      <c r="AC694" t="s">
        <v>43</v>
      </c>
    </row>
    <row r="695" spans="1:29">
      <c r="A695" t="s">
        <v>70</v>
      </c>
      <c r="B695">
        <v>4320.375</v>
      </c>
      <c r="C695">
        <v>22.607</v>
      </c>
      <c r="D695">
        <v>46.391</v>
      </c>
      <c r="E695">
        <v>172.828</v>
      </c>
      <c r="F695">
        <v>0.217</v>
      </c>
      <c r="G695">
        <v>21.947</v>
      </c>
      <c r="H695">
        <v>1.499</v>
      </c>
      <c r="I695">
        <v>2.816</v>
      </c>
      <c r="J695">
        <v>0.962</v>
      </c>
      <c r="K695">
        <v>5.713</v>
      </c>
      <c r="L695">
        <v>0.097</v>
      </c>
      <c r="M695">
        <v>3.417</v>
      </c>
      <c r="N695">
        <v>168.488</v>
      </c>
      <c r="O695">
        <v>158.379</v>
      </c>
      <c r="P695">
        <f t="shared" si="44"/>
        <v>2.2265689751221</v>
      </c>
      <c r="Q695">
        <f t="shared" si="44"/>
        <v>2.19969759651654</v>
      </c>
      <c r="R695">
        <v>42.815</v>
      </c>
      <c r="S695">
        <v>-9999</v>
      </c>
      <c r="T695">
        <v>49.176</v>
      </c>
      <c r="U695">
        <v>3.43</v>
      </c>
      <c r="V695">
        <v>41.946</v>
      </c>
      <c r="W695">
        <v>0.015</v>
      </c>
      <c r="X695" t="s">
        <v>55</v>
      </c>
      <c r="Y695" t="s">
        <v>31</v>
      </c>
      <c r="Z695" s="3">
        <f t="shared" si="45"/>
        <v>0.0268713786055659</v>
      </c>
      <c r="AA695">
        <f t="shared" si="46"/>
        <v>-0.865</v>
      </c>
      <c r="AB695">
        <f t="shared" si="47"/>
        <v>0.314</v>
      </c>
      <c r="AC695" t="s">
        <v>43</v>
      </c>
    </row>
    <row r="696" spans="1:29">
      <c r="A696" t="s">
        <v>70</v>
      </c>
      <c r="B696">
        <v>4320.5</v>
      </c>
      <c r="C696">
        <v>23.048</v>
      </c>
      <c r="D696">
        <v>46.352</v>
      </c>
      <c r="E696">
        <v>172.1</v>
      </c>
      <c r="F696">
        <v>0.208</v>
      </c>
      <c r="G696">
        <v>22.02</v>
      </c>
      <c r="H696">
        <v>1.571</v>
      </c>
      <c r="I696">
        <v>2.814</v>
      </c>
      <c r="J696">
        <v>0.953</v>
      </c>
      <c r="K696">
        <v>5.536</v>
      </c>
      <c r="L696">
        <v>0.087</v>
      </c>
      <c r="M696">
        <v>3.394</v>
      </c>
      <c r="N696">
        <v>165.853</v>
      </c>
      <c r="O696">
        <v>155.902</v>
      </c>
      <c r="P696">
        <f t="shared" si="44"/>
        <v>2.21972333157852</v>
      </c>
      <c r="Q696">
        <f t="shared" si="44"/>
        <v>2.19285168660252</v>
      </c>
      <c r="R696">
        <v>42.947</v>
      </c>
      <c r="S696">
        <v>-9999</v>
      </c>
      <c r="T696">
        <v>47.849</v>
      </c>
      <c r="U696">
        <v>3.379</v>
      </c>
      <c r="V696">
        <v>42.882</v>
      </c>
      <c r="W696">
        <v>0.014</v>
      </c>
      <c r="X696" t="s">
        <v>55</v>
      </c>
      <c r="Y696" t="s">
        <v>31</v>
      </c>
      <c r="Z696" s="3">
        <f t="shared" si="45"/>
        <v>0.0268716449759969</v>
      </c>
      <c r="AA696">
        <f t="shared" si="46"/>
        <v>-0.866</v>
      </c>
      <c r="AB696">
        <f t="shared" si="47"/>
        <v>0.295</v>
      </c>
      <c r="AC696" t="s">
        <v>43</v>
      </c>
    </row>
    <row r="697" spans="1:29">
      <c r="A697" t="s">
        <v>70</v>
      </c>
      <c r="B697">
        <v>4320.625</v>
      </c>
      <c r="C697">
        <v>22.674</v>
      </c>
      <c r="D697">
        <v>46.329</v>
      </c>
      <c r="E697">
        <v>172.081</v>
      </c>
      <c r="F697">
        <v>0.208</v>
      </c>
      <c r="G697">
        <v>22.125</v>
      </c>
      <c r="H697">
        <v>1.528</v>
      </c>
      <c r="I697">
        <v>2.814</v>
      </c>
      <c r="J697">
        <v>0.953</v>
      </c>
      <c r="K697">
        <v>5.35</v>
      </c>
      <c r="L697">
        <v>0.076</v>
      </c>
      <c r="M697">
        <v>3.394</v>
      </c>
      <c r="N697">
        <v>161.471</v>
      </c>
      <c r="O697">
        <v>151.768</v>
      </c>
      <c r="P697">
        <f t="shared" si="44"/>
        <v>2.20809453489691</v>
      </c>
      <c r="Q697">
        <f t="shared" si="44"/>
        <v>2.18118021102955</v>
      </c>
      <c r="R697">
        <v>44.693</v>
      </c>
      <c r="S697">
        <v>-9999</v>
      </c>
      <c r="T697">
        <v>47.747</v>
      </c>
      <c r="U697">
        <v>3.302</v>
      </c>
      <c r="V697">
        <v>43.683</v>
      </c>
      <c r="W697">
        <v>0.013</v>
      </c>
      <c r="X697" t="s">
        <v>55</v>
      </c>
      <c r="Y697" t="s">
        <v>31</v>
      </c>
      <c r="Z697" s="3">
        <f t="shared" si="45"/>
        <v>0.0269143238673588</v>
      </c>
      <c r="AA697">
        <f t="shared" si="46"/>
        <v>-0.877</v>
      </c>
      <c r="AB697">
        <f t="shared" si="47"/>
        <v>0.284</v>
      </c>
      <c r="AC697" t="s">
        <v>43</v>
      </c>
    </row>
    <row r="698" spans="1:29">
      <c r="A698" t="s">
        <v>70</v>
      </c>
      <c r="B698">
        <v>4320.75</v>
      </c>
      <c r="C698">
        <v>22.781</v>
      </c>
      <c r="D698">
        <v>46.32</v>
      </c>
      <c r="E698">
        <v>172.478</v>
      </c>
      <c r="F698">
        <v>0.213</v>
      </c>
      <c r="G698">
        <v>22.159</v>
      </c>
      <c r="H698">
        <v>1.429</v>
      </c>
      <c r="I698">
        <v>2.814</v>
      </c>
      <c r="J698">
        <v>0.953</v>
      </c>
      <c r="K698">
        <v>5.142</v>
      </c>
      <c r="L698">
        <v>0.064</v>
      </c>
      <c r="M698">
        <v>3.396</v>
      </c>
      <c r="N698">
        <v>158.453</v>
      </c>
      <c r="O698">
        <v>148.945</v>
      </c>
      <c r="P698">
        <f t="shared" si="44"/>
        <v>2.19990046612721</v>
      </c>
      <c r="Q698">
        <f t="shared" si="44"/>
        <v>2.17302592877391</v>
      </c>
      <c r="R698">
        <v>46.56</v>
      </c>
      <c r="S698">
        <v>-9999</v>
      </c>
      <c r="T698">
        <v>48.438</v>
      </c>
      <c r="U698">
        <v>3.187</v>
      </c>
      <c r="V698">
        <v>44.928</v>
      </c>
      <c r="W698">
        <v>0.011</v>
      </c>
      <c r="X698" t="s">
        <v>55</v>
      </c>
      <c r="Y698" t="s">
        <v>31</v>
      </c>
      <c r="Z698" s="3">
        <f t="shared" si="45"/>
        <v>0.0268745373533035</v>
      </c>
      <c r="AA698">
        <f t="shared" si="46"/>
        <v>-0.889</v>
      </c>
      <c r="AB698">
        <f t="shared" si="47"/>
        <v>0.277</v>
      </c>
      <c r="AC698" t="s">
        <v>43</v>
      </c>
    </row>
    <row r="699" spans="1:29">
      <c r="A699" t="s">
        <v>70</v>
      </c>
      <c r="B699">
        <v>4320.875</v>
      </c>
      <c r="C699">
        <v>22.657</v>
      </c>
      <c r="D699">
        <v>46.326</v>
      </c>
      <c r="E699">
        <v>172.192</v>
      </c>
      <c r="F699">
        <v>0.209</v>
      </c>
      <c r="G699">
        <v>22.171</v>
      </c>
      <c r="H699">
        <v>1.343</v>
      </c>
      <c r="I699">
        <v>2.815</v>
      </c>
      <c r="J699">
        <v>0.957</v>
      </c>
      <c r="K699">
        <v>5.014</v>
      </c>
      <c r="L699">
        <v>0.057</v>
      </c>
      <c r="M699">
        <v>3.422</v>
      </c>
      <c r="N699">
        <v>158.935</v>
      </c>
      <c r="O699">
        <v>149.399</v>
      </c>
      <c r="P699">
        <f t="shared" si="44"/>
        <v>2.20121954625124</v>
      </c>
      <c r="Q699">
        <f t="shared" si="44"/>
        <v>2.17434769054541</v>
      </c>
      <c r="R699">
        <v>46.298</v>
      </c>
      <c r="S699">
        <v>-9999</v>
      </c>
      <c r="T699">
        <v>49.181</v>
      </c>
      <c r="U699">
        <v>3.147</v>
      </c>
      <c r="V699">
        <v>45.122</v>
      </c>
      <c r="W699">
        <v>0.01</v>
      </c>
      <c r="X699" t="s">
        <v>55</v>
      </c>
      <c r="Y699" t="s">
        <v>31</v>
      </c>
      <c r="Z699" s="3">
        <f t="shared" si="45"/>
        <v>0.0268718557058341</v>
      </c>
      <c r="AA699">
        <f t="shared" si="46"/>
        <v>-0.9</v>
      </c>
      <c r="AB699">
        <f t="shared" si="47"/>
        <v>0.266</v>
      </c>
      <c r="AC699" t="s">
        <v>43</v>
      </c>
    </row>
    <row r="700" spans="1:29">
      <c r="A700" t="s">
        <v>70</v>
      </c>
      <c r="B700">
        <v>4321</v>
      </c>
      <c r="C700">
        <v>22.052</v>
      </c>
      <c r="D700">
        <v>46.348</v>
      </c>
      <c r="E700">
        <v>170.663</v>
      </c>
      <c r="F700">
        <v>0.191</v>
      </c>
      <c r="G700">
        <v>22.235</v>
      </c>
      <c r="H700">
        <v>1.289</v>
      </c>
      <c r="I700">
        <v>2.814</v>
      </c>
      <c r="J700">
        <v>0.953</v>
      </c>
      <c r="K700">
        <v>5.09</v>
      </c>
      <c r="L700">
        <v>0.061</v>
      </c>
      <c r="M700">
        <v>3.495</v>
      </c>
      <c r="N700">
        <v>162.757</v>
      </c>
      <c r="O700">
        <v>152.992</v>
      </c>
      <c r="P700">
        <f t="shared" si="44"/>
        <v>2.21153967617109</v>
      </c>
      <c r="Q700">
        <f t="shared" si="44"/>
        <v>2.1846687220157</v>
      </c>
      <c r="R700">
        <v>44.553</v>
      </c>
      <c r="S700">
        <v>-9999</v>
      </c>
      <c r="T700">
        <v>50.28</v>
      </c>
      <c r="U700">
        <v>3.298</v>
      </c>
      <c r="V700">
        <v>42.491</v>
      </c>
      <c r="W700">
        <v>0.013</v>
      </c>
      <c r="X700" t="s">
        <v>55</v>
      </c>
      <c r="Y700" t="s">
        <v>31</v>
      </c>
      <c r="Z700" s="3">
        <f t="shared" si="45"/>
        <v>0.0268709541553944</v>
      </c>
      <c r="AA700">
        <f t="shared" si="46"/>
        <v>-0.892</v>
      </c>
      <c r="AB700">
        <f t="shared" si="47"/>
        <v>0.252</v>
      </c>
      <c r="AC700" t="s">
        <v>43</v>
      </c>
    </row>
    <row r="701" spans="1:29">
      <c r="A701" t="s">
        <v>70</v>
      </c>
      <c r="B701">
        <v>4321.125</v>
      </c>
      <c r="C701">
        <v>21.972</v>
      </c>
      <c r="D701">
        <v>46.384</v>
      </c>
      <c r="E701">
        <v>168.727</v>
      </c>
      <c r="F701">
        <v>0.169</v>
      </c>
      <c r="G701">
        <v>22.348</v>
      </c>
      <c r="H701">
        <v>1.253</v>
      </c>
      <c r="I701">
        <v>2.807</v>
      </c>
      <c r="J701">
        <v>0.919</v>
      </c>
      <c r="K701">
        <v>5.476</v>
      </c>
      <c r="L701">
        <v>0.084</v>
      </c>
      <c r="M701">
        <v>3.584</v>
      </c>
      <c r="N701">
        <v>170.549</v>
      </c>
      <c r="O701">
        <v>160.345</v>
      </c>
      <c r="P701">
        <f t="shared" si="44"/>
        <v>2.23184917730099</v>
      </c>
      <c r="Q701">
        <f t="shared" si="44"/>
        <v>2.20505542197406</v>
      </c>
      <c r="R701">
        <v>43.935</v>
      </c>
      <c r="S701">
        <v>-9999</v>
      </c>
      <c r="T701">
        <v>51.914</v>
      </c>
      <c r="U701">
        <v>3.665</v>
      </c>
      <c r="V701">
        <v>37.74</v>
      </c>
      <c r="W701">
        <v>0.021</v>
      </c>
      <c r="X701" t="s">
        <v>55</v>
      </c>
      <c r="Y701" t="s">
        <v>31</v>
      </c>
      <c r="Z701" s="3">
        <f t="shared" si="45"/>
        <v>0.0267937553269331</v>
      </c>
      <c r="AA701">
        <f t="shared" si="46"/>
        <v>-0.835</v>
      </c>
      <c r="AB701">
        <f t="shared" si="47"/>
        <v>0.253</v>
      </c>
      <c r="AC701" t="s">
        <v>43</v>
      </c>
    </row>
    <row r="702" spans="1:29">
      <c r="A702" t="s">
        <v>70</v>
      </c>
      <c r="B702">
        <v>4321.25</v>
      </c>
      <c r="C702">
        <v>22.048</v>
      </c>
      <c r="D702">
        <v>46.433</v>
      </c>
      <c r="E702">
        <v>167.829</v>
      </c>
      <c r="F702">
        <v>0.158</v>
      </c>
      <c r="G702">
        <v>22.425</v>
      </c>
      <c r="H702">
        <v>1.222</v>
      </c>
      <c r="I702">
        <v>2.798</v>
      </c>
      <c r="J702">
        <v>0.877</v>
      </c>
      <c r="K702">
        <v>6.147</v>
      </c>
      <c r="L702">
        <v>0.122</v>
      </c>
      <c r="M702">
        <v>3.682</v>
      </c>
      <c r="N702">
        <v>180.475</v>
      </c>
      <c r="O702">
        <v>169.667</v>
      </c>
      <c r="P702">
        <f t="shared" si="44"/>
        <v>2.25641705048538</v>
      </c>
      <c r="Q702">
        <f t="shared" si="44"/>
        <v>2.22959738084707</v>
      </c>
      <c r="R702">
        <v>44.48</v>
      </c>
      <c r="S702">
        <v>-9999</v>
      </c>
      <c r="T702">
        <v>53.106</v>
      </c>
      <c r="U702">
        <v>4.253</v>
      </c>
      <c r="V702">
        <v>32.357</v>
      </c>
      <c r="W702">
        <v>0.04</v>
      </c>
      <c r="X702" t="s">
        <v>55</v>
      </c>
      <c r="Y702" t="s">
        <v>31</v>
      </c>
      <c r="Z702" s="3">
        <f t="shared" si="45"/>
        <v>0.0268196696383107</v>
      </c>
      <c r="AA702">
        <f t="shared" si="46"/>
        <v>-0.755</v>
      </c>
      <c r="AB702">
        <f t="shared" si="47"/>
        <v>0.28</v>
      </c>
      <c r="AC702" t="s">
        <v>43</v>
      </c>
    </row>
    <row r="703" spans="1:29">
      <c r="A703" t="s">
        <v>70</v>
      </c>
      <c r="B703">
        <v>4321.375</v>
      </c>
      <c r="C703">
        <v>21.371</v>
      </c>
      <c r="D703">
        <v>46.494</v>
      </c>
      <c r="E703">
        <v>168.471</v>
      </c>
      <c r="F703">
        <v>0.166</v>
      </c>
      <c r="G703">
        <v>22.405</v>
      </c>
      <c r="H703">
        <v>1.185</v>
      </c>
      <c r="I703">
        <v>2.789</v>
      </c>
      <c r="J703">
        <v>0.834</v>
      </c>
      <c r="K703">
        <v>6.918</v>
      </c>
      <c r="L703">
        <v>0.166</v>
      </c>
      <c r="M703">
        <v>3.725</v>
      </c>
      <c r="N703">
        <v>184.626</v>
      </c>
      <c r="O703">
        <v>173.549</v>
      </c>
      <c r="P703">
        <f t="shared" si="44"/>
        <v>2.26629286061956</v>
      </c>
      <c r="Q703">
        <f t="shared" si="44"/>
        <v>2.23942211558315</v>
      </c>
      <c r="R703">
        <v>45.216</v>
      </c>
      <c r="S703">
        <v>-9999</v>
      </c>
      <c r="T703">
        <v>52.98</v>
      </c>
      <c r="U703">
        <v>4.911</v>
      </c>
      <c r="V703">
        <v>28.056</v>
      </c>
      <c r="W703">
        <v>0.074</v>
      </c>
      <c r="X703" t="s">
        <v>55</v>
      </c>
      <c r="Y703" t="s">
        <v>31</v>
      </c>
      <c r="Z703" s="3">
        <f t="shared" si="45"/>
        <v>0.0268707450364083</v>
      </c>
      <c r="AA703">
        <f t="shared" si="46"/>
        <v>-0.668</v>
      </c>
      <c r="AB703">
        <f t="shared" si="47"/>
        <v>0.332</v>
      </c>
      <c r="AC703" t="s">
        <v>43</v>
      </c>
    </row>
    <row r="704" spans="1:29">
      <c r="A704" t="s">
        <v>70</v>
      </c>
      <c r="B704">
        <v>4321.5</v>
      </c>
      <c r="C704">
        <v>20.37</v>
      </c>
      <c r="D704">
        <v>46.57</v>
      </c>
      <c r="E704">
        <v>170.313</v>
      </c>
      <c r="F704">
        <v>0.187</v>
      </c>
      <c r="G704">
        <v>22.222</v>
      </c>
      <c r="H704">
        <v>1.137</v>
      </c>
      <c r="I704">
        <v>2.784</v>
      </c>
      <c r="J704">
        <v>0.81</v>
      </c>
      <c r="K704">
        <v>7.517</v>
      </c>
      <c r="L704">
        <v>0.201</v>
      </c>
      <c r="M704">
        <v>3.654</v>
      </c>
      <c r="N704">
        <v>180.255</v>
      </c>
      <c r="O704">
        <v>169.44</v>
      </c>
      <c r="P704">
        <f t="shared" si="44"/>
        <v>2.25588732022804</v>
      </c>
      <c r="Q704">
        <f t="shared" si="44"/>
        <v>2.22901594276341</v>
      </c>
      <c r="R704">
        <v>46.288</v>
      </c>
      <c r="S704">
        <v>-9999</v>
      </c>
      <c r="T704">
        <v>52.989</v>
      </c>
      <c r="U704">
        <v>5.284</v>
      </c>
      <c r="V704">
        <v>25.834</v>
      </c>
      <c r="W704">
        <v>0.102</v>
      </c>
      <c r="X704" t="s">
        <v>55</v>
      </c>
      <c r="Y704" t="s">
        <v>31</v>
      </c>
      <c r="Z704" s="3">
        <f t="shared" si="45"/>
        <v>0.0268713774646314</v>
      </c>
      <c r="AA704">
        <f t="shared" si="46"/>
        <v>-0.609</v>
      </c>
      <c r="AB704">
        <f t="shared" si="47"/>
        <v>0.388</v>
      </c>
      <c r="AC704" t="s">
        <v>43</v>
      </c>
    </row>
    <row r="705" spans="1:29">
      <c r="A705" t="s">
        <v>70</v>
      </c>
      <c r="B705">
        <v>4321.625</v>
      </c>
      <c r="C705">
        <v>19.665</v>
      </c>
      <c r="D705">
        <v>46.657</v>
      </c>
      <c r="E705">
        <v>172.257</v>
      </c>
      <c r="F705">
        <v>0.21</v>
      </c>
      <c r="G705">
        <v>21.953</v>
      </c>
      <c r="H705">
        <v>1.075</v>
      </c>
      <c r="I705">
        <v>2.787</v>
      </c>
      <c r="J705">
        <v>0.825</v>
      </c>
      <c r="K705">
        <v>7.625</v>
      </c>
      <c r="L705">
        <v>0.207</v>
      </c>
      <c r="M705">
        <v>3.569</v>
      </c>
      <c r="N705">
        <v>173.284</v>
      </c>
      <c r="O705">
        <v>162.865</v>
      </c>
      <c r="P705">
        <f t="shared" si="44"/>
        <v>2.23875846443058</v>
      </c>
      <c r="Q705">
        <f t="shared" si="44"/>
        <v>2.21182776362074</v>
      </c>
      <c r="R705">
        <v>48.066</v>
      </c>
      <c r="S705">
        <v>-9999</v>
      </c>
      <c r="T705">
        <v>54.997</v>
      </c>
      <c r="U705">
        <v>5.23</v>
      </c>
      <c r="V705">
        <v>25.397</v>
      </c>
      <c r="W705">
        <v>0.098</v>
      </c>
      <c r="X705" t="s">
        <v>55</v>
      </c>
      <c r="Y705" t="s">
        <v>31</v>
      </c>
      <c r="Z705" s="3">
        <f t="shared" si="45"/>
        <v>0.0269307008098405</v>
      </c>
      <c r="AA705">
        <f t="shared" si="46"/>
        <v>-0.618</v>
      </c>
      <c r="AB705">
        <f t="shared" si="47"/>
        <v>0.417</v>
      </c>
      <c r="AC705" t="s">
        <v>43</v>
      </c>
    </row>
    <row r="706" spans="1:29">
      <c r="A706" t="s">
        <v>70</v>
      </c>
      <c r="B706">
        <v>4321.75</v>
      </c>
      <c r="C706">
        <v>18.725</v>
      </c>
      <c r="D706">
        <v>46.755</v>
      </c>
      <c r="E706">
        <v>172.913</v>
      </c>
      <c r="F706">
        <v>0.218</v>
      </c>
      <c r="G706">
        <v>21.792</v>
      </c>
      <c r="H706">
        <v>1.005</v>
      </c>
      <c r="I706">
        <v>2.793</v>
      </c>
      <c r="J706">
        <v>0.853</v>
      </c>
      <c r="K706">
        <v>7.24</v>
      </c>
      <c r="L706">
        <v>0.185</v>
      </c>
      <c r="M706">
        <v>3.494</v>
      </c>
      <c r="N706">
        <v>170.74</v>
      </c>
      <c r="O706">
        <v>160.503</v>
      </c>
      <c r="P706">
        <f t="shared" si="44"/>
        <v>2.23233527708565</v>
      </c>
      <c r="Q706">
        <f t="shared" si="44"/>
        <v>2.20548315431889</v>
      </c>
      <c r="R706">
        <v>48.992</v>
      </c>
      <c r="S706">
        <v>-9999</v>
      </c>
      <c r="T706">
        <v>58.678</v>
      </c>
      <c r="U706">
        <v>4.873</v>
      </c>
      <c r="V706">
        <v>26.312</v>
      </c>
      <c r="W706">
        <v>0.072</v>
      </c>
      <c r="X706" t="s">
        <v>55</v>
      </c>
      <c r="Y706" t="s">
        <v>31</v>
      </c>
      <c r="Z706" s="3">
        <f t="shared" si="45"/>
        <v>0.0268521227667611</v>
      </c>
      <c r="AA706">
        <f t="shared" si="46"/>
        <v>-0.668</v>
      </c>
      <c r="AB706">
        <f t="shared" si="47"/>
        <v>0.403</v>
      </c>
      <c r="AC706" t="s">
        <v>43</v>
      </c>
    </row>
    <row r="707" spans="1:29">
      <c r="A707" t="s">
        <v>70</v>
      </c>
      <c r="B707">
        <v>4321.875</v>
      </c>
      <c r="C707">
        <v>17.08</v>
      </c>
      <c r="D707">
        <v>46.862</v>
      </c>
      <c r="E707">
        <v>171.541</v>
      </c>
      <c r="F707">
        <v>0.202</v>
      </c>
      <c r="G707">
        <v>21.806</v>
      </c>
      <c r="H707">
        <v>0.946</v>
      </c>
      <c r="I707">
        <v>2.801</v>
      </c>
      <c r="J707">
        <v>0.891</v>
      </c>
      <c r="K707">
        <v>6.697</v>
      </c>
      <c r="L707">
        <v>0.154</v>
      </c>
      <c r="M707">
        <v>3.467</v>
      </c>
      <c r="N707">
        <v>174.61</v>
      </c>
      <c r="O707">
        <v>164.134</v>
      </c>
      <c r="P707">
        <f t="shared" si="44"/>
        <v>2.24206911233894</v>
      </c>
      <c r="Q707">
        <f t="shared" si="44"/>
        <v>2.21519855352662</v>
      </c>
      <c r="R707">
        <v>48.561</v>
      </c>
      <c r="S707">
        <v>-9999</v>
      </c>
      <c r="T707">
        <v>63.006</v>
      </c>
      <c r="U707">
        <v>4.496</v>
      </c>
      <c r="V707">
        <v>27.622</v>
      </c>
      <c r="W707">
        <v>0.05</v>
      </c>
      <c r="X707" t="s">
        <v>55</v>
      </c>
      <c r="Y707" t="s">
        <v>31</v>
      </c>
      <c r="Z707" s="3">
        <f t="shared" si="45"/>
        <v>0.0268705588123219</v>
      </c>
      <c r="AA707">
        <f t="shared" si="46"/>
        <v>-0.737</v>
      </c>
      <c r="AB707">
        <f t="shared" si="47"/>
        <v>0.356</v>
      </c>
      <c r="AC707" t="s">
        <v>43</v>
      </c>
    </row>
    <row r="708" spans="1:29">
      <c r="A708" t="s">
        <v>70</v>
      </c>
      <c r="B708">
        <v>4322</v>
      </c>
      <c r="C708">
        <v>16.083</v>
      </c>
      <c r="D708">
        <v>46.98</v>
      </c>
      <c r="E708">
        <v>168.414</v>
      </c>
      <c r="F708">
        <v>0.165</v>
      </c>
      <c r="G708">
        <v>21.875</v>
      </c>
      <c r="H708">
        <v>0.915</v>
      </c>
      <c r="I708">
        <v>2.806</v>
      </c>
      <c r="J708">
        <v>0.915</v>
      </c>
      <c r="K708">
        <v>6.33</v>
      </c>
      <c r="L708">
        <v>0.133</v>
      </c>
      <c r="M708">
        <v>3.49</v>
      </c>
      <c r="N708">
        <v>187.129</v>
      </c>
      <c r="O708">
        <v>175.901</v>
      </c>
      <c r="P708">
        <f t="shared" si="44"/>
        <v>2.27214109676787</v>
      </c>
      <c r="Q708">
        <f t="shared" si="44"/>
        <v>2.24526830843556</v>
      </c>
      <c r="R708">
        <v>49.607</v>
      </c>
      <c r="S708">
        <v>-9999</v>
      </c>
      <c r="T708">
        <v>66.141</v>
      </c>
      <c r="U708">
        <v>4.271</v>
      </c>
      <c r="V708">
        <v>28.566</v>
      </c>
      <c r="W708">
        <v>0.04</v>
      </c>
      <c r="X708" t="s">
        <v>55</v>
      </c>
      <c r="Y708" t="s">
        <v>31</v>
      </c>
      <c r="Z708" s="3">
        <f t="shared" si="45"/>
        <v>0.0268727883323074</v>
      </c>
      <c r="AA708">
        <f t="shared" si="46"/>
        <v>-0.782</v>
      </c>
      <c r="AB708">
        <f t="shared" si="47"/>
        <v>0.298</v>
      </c>
      <c r="AC708" t="s">
        <v>43</v>
      </c>
    </row>
    <row r="709" spans="1:29">
      <c r="A709" t="s">
        <v>71</v>
      </c>
      <c r="B709">
        <v>3770</v>
      </c>
      <c r="C709">
        <v>26.634</v>
      </c>
      <c r="D709">
        <v>49.205</v>
      </c>
      <c r="E709">
        <v>158.808</v>
      </c>
      <c r="F709">
        <v>0.075</v>
      </c>
      <c r="G709">
        <v>22.231</v>
      </c>
      <c r="H709">
        <v>1.691</v>
      </c>
      <c r="I709">
        <v>2.849</v>
      </c>
      <c r="J709">
        <v>0.856</v>
      </c>
      <c r="K709">
        <v>5.681</v>
      </c>
      <c r="L709">
        <v>0.276</v>
      </c>
      <c r="M709">
        <v>3.287</v>
      </c>
      <c r="N709">
        <v>373.236</v>
      </c>
      <c r="O709">
        <v>262.739</v>
      </c>
      <c r="P709">
        <f t="shared" si="44"/>
        <v>2.5719835264124</v>
      </c>
      <c r="Q709">
        <f t="shared" si="44"/>
        <v>2.41952454262872</v>
      </c>
      <c r="R709">
        <v>540.998</v>
      </c>
      <c r="S709">
        <v>570.34</v>
      </c>
      <c r="T709">
        <v>606.229</v>
      </c>
      <c r="U709">
        <v>2.371</v>
      </c>
      <c r="V709">
        <v>57.35</v>
      </c>
      <c r="W709">
        <v>0.1</v>
      </c>
      <c r="X709" t="s">
        <v>55</v>
      </c>
      <c r="Y709" t="s">
        <v>31</v>
      </c>
      <c r="Z709" s="3">
        <f t="shared" si="45"/>
        <v>0.152458983783678</v>
      </c>
      <c r="AA709" t="e">
        <f>#REF!-#REF!</f>
        <v>#REF!</v>
      </c>
      <c r="AB709" t="e">
        <f>#REF!+#REF!</f>
        <v>#REF!</v>
      </c>
      <c r="AC709" t="s">
        <v>43</v>
      </c>
    </row>
    <row r="710" spans="1:29">
      <c r="A710" t="s">
        <v>71</v>
      </c>
      <c r="B710">
        <v>3770.125</v>
      </c>
      <c r="C710">
        <v>28.901</v>
      </c>
      <c r="D710">
        <v>49.092</v>
      </c>
      <c r="E710">
        <v>159.97</v>
      </c>
      <c r="F710">
        <v>0.092</v>
      </c>
      <c r="G710">
        <v>22.198</v>
      </c>
      <c r="H710">
        <v>1.466</v>
      </c>
      <c r="I710">
        <v>2.837</v>
      </c>
      <c r="J710">
        <v>0.829</v>
      </c>
      <c r="K710">
        <v>5.927</v>
      </c>
      <c r="L710">
        <v>0.29</v>
      </c>
      <c r="M710">
        <v>3.334</v>
      </c>
      <c r="N710">
        <v>331.71</v>
      </c>
      <c r="O710">
        <v>239.277</v>
      </c>
      <c r="P710">
        <f t="shared" si="44"/>
        <v>2.52075856431223</v>
      </c>
      <c r="Q710">
        <f t="shared" si="44"/>
        <v>2.37890095497306</v>
      </c>
      <c r="R710">
        <v>473.719</v>
      </c>
      <c r="S710">
        <v>499.411</v>
      </c>
      <c r="T710">
        <v>530.837</v>
      </c>
      <c r="U710">
        <v>2.466</v>
      </c>
      <c r="V710">
        <v>55.03</v>
      </c>
      <c r="W710">
        <v>0.1</v>
      </c>
      <c r="X710" t="s">
        <v>55</v>
      </c>
      <c r="Y710" t="s">
        <v>31</v>
      </c>
      <c r="Z710" s="3">
        <f t="shared" si="45"/>
        <v>0.141857609339177</v>
      </c>
      <c r="AA710" t="e">
        <f>#REF!-#REF!</f>
        <v>#REF!</v>
      </c>
      <c r="AB710" t="e">
        <f>#REF!+#REF!</f>
        <v>#REF!</v>
      </c>
      <c r="AC710" t="s">
        <v>43</v>
      </c>
    </row>
    <row r="711" spans="1:29">
      <c r="A711" t="s">
        <v>71</v>
      </c>
      <c r="B711">
        <v>3770.25</v>
      </c>
      <c r="C711">
        <v>29.485</v>
      </c>
      <c r="D711">
        <v>49.009</v>
      </c>
      <c r="E711">
        <v>161.032</v>
      </c>
      <c r="F711">
        <v>0.107</v>
      </c>
      <c r="G711">
        <v>22.236</v>
      </c>
      <c r="H711">
        <v>1.19</v>
      </c>
      <c r="I711">
        <v>2.827</v>
      </c>
      <c r="J711">
        <v>0.806</v>
      </c>
      <c r="K711">
        <v>6.275</v>
      </c>
      <c r="L711">
        <v>0.31</v>
      </c>
      <c r="M711">
        <v>3.382</v>
      </c>
      <c r="N711">
        <v>295.518</v>
      </c>
      <c r="O711">
        <v>217.77</v>
      </c>
      <c r="P711">
        <f t="shared" si="44"/>
        <v>2.47058393889779</v>
      </c>
      <c r="Q711">
        <f t="shared" si="44"/>
        <v>2.33799805112296</v>
      </c>
      <c r="R711">
        <v>397.579</v>
      </c>
      <c r="S711">
        <v>419.142</v>
      </c>
      <c r="T711">
        <v>445.517</v>
      </c>
      <c r="U711">
        <v>2.564</v>
      </c>
      <c r="V711">
        <v>54.144</v>
      </c>
      <c r="W711">
        <v>0.1</v>
      </c>
      <c r="X711" t="s">
        <v>55</v>
      </c>
      <c r="Y711" t="s">
        <v>31</v>
      </c>
      <c r="Z711" s="3">
        <f t="shared" si="45"/>
        <v>0.132585887774833</v>
      </c>
      <c r="AA711" t="e">
        <f>#REF!-#REF!</f>
        <v>#REF!</v>
      </c>
      <c r="AB711" t="e">
        <f>#REF!+#REF!</f>
        <v>#REF!</v>
      </c>
      <c r="AC711" t="s">
        <v>43</v>
      </c>
    </row>
    <row r="712" spans="1:29">
      <c r="A712" t="s">
        <v>71</v>
      </c>
      <c r="B712">
        <v>3770.375</v>
      </c>
      <c r="C712">
        <v>27.462</v>
      </c>
      <c r="D712">
        <v>48.95</v>
      </c>
      <c r="E712">
        <v>161.728</v>
      </c>
      <c r="F712">
        <v>0.118</v>
      </c>
      <c r="G712">
        <v>22.29</v>
      </c>
      <c r="H712">
        <v>1.125</v>
      </c>
      <c r="I712">
        <v>2.821</v>
      </c>
      <c r="J712">
        <v>0.793</v>
      </c>
      <c r="K712">
        <v>6.721</v>
      </c>
      <c r="L712">
        <v>0.336</v>
      </c>
      <c r="M712">
        <v>3.424</v>
      </c>
      <c r="N712">
        <v>263.313</v>
      </c>
      <c r="O712">
        <v>197.454</v>
      </c>
      <c r="P712">
        <f t="shared" si="44"/>
        <v>2.42047230114516</v>
      </c>
      <c r="Q712">
        <f t="shared" si="44"/>
        <v>2.29546593604841</v>
      </c>
      <c r="R712">
        <v>326.393</v>
      </c>
      <c r="S712">
        <v>344.096</v>
      </c>
      <c r="T712">
        <v>365.748</v>
      </c>
      <c r="U712">
        <v>2.665</v>
      </c>
      <c r="V712">
        <v>54.045</v>
      </c>
      <c r="W712">
        <v>0.1</v>
      </c>
      <c r="X712" t="s">
        <v>55</v>
      </c>
      <c r="Y712" t="s">
        <v>31</v>
      </c>
      <c r="Z712" s="3">
        <f t="shared" si="45"/>
        <v>0.125006365096746</v>
      </c>
      <c r="AA712" t="e">
        <f>#REF!-#REF!</f>
        <v>#REF!</v>
      </c>
      <c r="AB712" t="e">
        <f>#REF!+#REF!</f>
        <v>#REF!</v>
      </c>
      <c r="AC712" t="s">
        <v>43</v>
      </c>
    </row>
    <row r="713" spans="1:29">
      <c r="A713" t="s">
        <v>71</v>
      </c>
      <c r="B713">
        <v>3770.5</v>
      </c>
      <c r="C713">
        <v>23.816</v>
      </c>
      <c r="D713">
        <v>48.913</v>
      </c>
      <c r="E713">
        <v>161.913</v>
      </c>
      <c r="F713">
        <v>0.12</v>
      </c>
      <c r="G713">
        <v>22.397</v>
      </c>
      <c r="H713">
        <v>1.441</v>
      </c>
      <c r="I713">
        <v>2.817</v>
      </c>
      <c r="J713">
        <v>0.784</v>
      </c>
      <c r="K713">
        <v>7.201</v>
      </c>
      <c r="L713">
        <v>0.363</v>
      </c>
      <c r="M713">
        <v>3.44</v>
      </c>
      <c r="N713">
        <v>234.947</v>
      </c>
      <c r="O713">
        <v>178.534</v>
      </c>
      <c r="P713">
        <f t="shared" si="44"/>
        <v>2.37096990395883</v>
      </c>
      <c r="Q713">
        <f t="shared" si="44"/>
        <v>2.25172093532931</v>
      </c>
      <c r="R713">
        <v>266.184</v>
      </c>
      <c r="S713">
        <v>280.621</v>
      </c>
      <c r="T713">
        <v>298.279</v>
      </c>
      <c r="U713">
        <v>2.807</v>
      </c>
      <c r="V713">
        <v>52.546</v>
      </c>
      <c r="W713">
        <v>0.1</v>
      </c>
      <c r="X713" t="s">
        <v>55</v>
      </c>
      <c r="Y713" t="s">
        <v>31</v>
      </c>
      <c r="Z713" s="3">
        <f t="shared" si="45"/>
        <v>0.119248968629515</v>
      </c>
      <c r="AA713" t="e">
        <f>#REF!-#REF!</f>
        <v>#REF!</v>
      </c>
      <c r="AB713" t="e">
        <f>#REF!+#REF!</f>
        <v>#REF!</v>
      </c>
      <c r="AC713" t="s">
        <v>43</v>
      </c>
    </row>
    <row r="714" spans="1:29">
      <c r="A714" t="s">
        <v>71</v>
      </c>
      <c r="B714">
        <v>3770.625</v>
      </c>
      <c r="C714">
        <v>21.213</v>
      </c>
      <c r="D714">
        <v>48.895</v>
      </c>
      <c r="E714">
        <v>161.969</v>
      </c>
      <c r="F714">
        <v>0.121</v>
      </c>
      <c r="G714">
        <v>22.498</v>
      </c>
      <c r="H714">
        <v>1.577</v>
      </c>
      <c r="I714">
        <v>2.812</v>
      </c>
      <c r="J714">
        <v>0.772</v>
      </c>
      <c r="K714">
        <v>7.638</v>
      </c>
      <c r="L714">
        <v>0.388</v>
      </c>
      <c r="M714">
        <v>3.419</v>
      </c>
      <c r="N714">
        <v>210.152</v>
      </c>
      <c r="O714">
        <v>161.115</v>
      </c>
      <c r="P714">
        <f t="shared" si="44"/>
        <v>2.32253352750744</v>
      </c>
      <c r="Q714">
        <f t="shared" si="44"/>
        <v>2.20713597563939</v>
      </c>
      <c r="R714">
        <v>217.67</v>
      </c>
      <c r="S714">
        <v>229.475</v>
      </c>
      <c r="T714">
        <v>243.915</v>
      </c>
      <c r="U714">
        <v>2.945</v>
      </c>
      <c r="V714">
        <v>51.789</v>
      </c>
      <c r="W714">
        <v>0.1</v>
      </c>
      <c r="X714" t="s">
        <v>55</v>
      </c>
      <c r="Y714" t="s">
        <v>31</v>
      </c>
      <c r="Z714" s="3">
        <f t="shared" si="45"/>
        <v>0.115397551868049</v>
      </c>
      <c r="AA714" t="e">
        <f>#REF!-#REF!</f>
        <v>#REF!</v>
      </c>
      <c r="AB714" t="e">
        <f>#REF!+#REF!</f>
        <v>#REF!</v>
      </c>
      <c r="AC714" t="s">
        <v>43</v>
      </c>
    </row>
    <row r="715" spans="1:29">
      <c r="A715" t="s">
        <v>71</v>
      </c>
      <c r="B715">
        <v>3770.75</v>
      </c>
      <c r="C715">
        <v>20.687</v>
      </c>
      <c r="D715">
        <v>48.89</v>
      </c>
      <c r="E715">
        <v>162.154</v>
      </c>
      <c r="F715">
        <v>0.124</v>
      </c>
      <c r="G715">
        <v>22.408</v>
      </c>
      <c r="H715">
        <v>1.661</v>
      </c>
      <c r="I715">
        <v>2.803</v>
      </c>
      <c r="J715">
        <v>0.752</v>
      </c>
      <c r="K715">
        <v>8.023</v>
      </c>
      <c r="L715">
        <v>0.41</v>
      </c>
      <c r="M715">
        <v>3.363</v>
      </c>
      <c r="N715">
        <v>188.429</v>
      </c>
      <c r="O715">
        <v>145.587</v>
      </c>
      <c r="P715">
        <f t="shared" si="44"/>
        <v>2.27514774331222</v>
      </c>
      <c r="Q715">
        <f t="shared" si="44"/>
        <v>2.1631225969528</v>
      </c>
      <c r="R715">
        <v>179.484</v>
      </c>
      <c r="S715">
        <v>189.218</v>
      </c>
      <c r="T715">
        <v>201.125</v>
      </c>
      <c r="U715">
        <v>3.076</v>
      </c>
      <c r="V715">
        <v>51.577</v>
      </c>
      <c r="W715">
        <v>0.1</v>
      </c>
      <c r="X715" t="s">
        <v>55</v>
      </c>
      <c r="Y715" t="s">
        <v>31</v>
      </c>
      <c r="Z715" s="3">
        <f t="shared" si="45"/>
        <v>0.112025146359414</v>
      </c>
      <c r="AA715" t="e">
        <f>#REF!-#REF!</f>
        <v>#REF!</v>
      </c>
      <c r="AB715" t="e">
        <f>#REF!+#REF!</f>
        <v>#REF!</v>
      </c>
      <c r="AC715" t="s">
        <v>43</v>
      </c>
    </row>
    <row r="716" spans="1:29">
      <c r="A716" t="s">
        <v>71</v>
      </c>
      <c r="B716">
        <v>3770.875</v>
      </c>
      <c r="C716">
        <v>21.201</v>
      </c>
      <c r="D716">
        <v>48.894</v>
      </c>
      <c r="E716">
        <v>162.48</v>
      </c>
      <c r="F716">
        <v>0.128</v>
      </c>
      <c r="G716">
        <v>22.212</v>
      </c>
      <c r="H716">
        <v>2</v>
      </c>
      <c r="I716">
        <v>2.79</v>
      </c>
      <c r="J716">
        <v>0.722</v>
      </c>
      <c r="K716">
        <v>8.393</v>
      </c>
      <c r="L716">
        <v>0.432</v>
      </c>
      <c r="M716">
        <v>3.277</v>
      </c>
      <c r="N716">
        <v>170.004</v>
      </c>
      <c r="O716">
        <v>132.452</v>
      </c>
      <c r="P716">
        <f t="shared" si="44"/>
        <v>2.23045913995175</v>
      </c>
      <c r="Q716">
        <f t="shared" si="44"/>
        <v>2.12205852044681</v>
      </c>
      <c r="R716">
        <v>150.96</v>
      </c>
      <c r="S716">
        <v>159.148</v>
      </c>
      <c r="T716">
        <v>169.162</v>
      </c>
      <c r="U716">
        <v>3.221</v>
      </c>
      <c r="V716">
        <v>50.697</v>
      </c>
      <c r="W716">
        <v>0.104</v>
      </c>
      <c r="X716" t="s">
        <v>55</v>
      </c>
      <c r="Y716" t="s">
        <v>31</v>
      </c>
      <c r="Z716" s="3">
        <f t="shared" si="45"/>
        <v>0.108400619504938</v>
      </c>
      <c r="AA716" t="e">
        <f>#REF!-#REF!</f>
        <v>#REF!</v>
      </c>
      <c r="AB716" t="e">
        <f>#REF!+#REF!</f>
        <v>#REF!</v>
      </c>
      <c r="AC716" t="s">
        <v>43</v>
      </c>
    </row>
    <row r="717" spans="1:29">
      <c r="A717" t="s">
        <v>71</v>
      </c>
      <c r="B717">
        <v>3771</v>
      </c>
      <c r="C717">
        <v>21.728</v>
      </c>
      <c r="D717">
        <v>48.904</v>
      </c>
      <c r="E717">
        <v>162.975</v>
      </c>
      <c r="F717">
        <v>0.135</v>
      </c>
      <c r="G717">
        <v>22.092</v>
      </c>
      <c r="H717">
        <v>2.416</v>
      </c>
      <c r="I717">
        <v>2.778</v>
      </c>
      <c r="J717">
        <v>0.695</v>
      </c>
      <c r="K717">
        <v>8.764</v>
      </c>
      <c r="L717">
        <v>0.453</v>
      </c>
      <c r="M717">
        <v>3.174</v>
      </c>
      <c r="N717">
        <v>155.024</v>
      </c>
      <c r="O717">
        <v>122.034</v>
      </c>
      <c r="P717">
        <f t="shared" si="44"/>
        <v>2.19039893856192</v>
      </c>
      <c r="Q717">
        <f t="shared" si="44"/>
        <v>2.08648084670104</v>
      </c>
      <c r="R717">
        <v>129.263</v>
      </c>
      <c r="S717">
        <v>136.274</v>
      </c>
      <c r="T717">
        <v>144.849</v>
      </c>
      <c r="U717">
        <v>3.359</v>
      </c>
      <c r="V717">
        <v>50.017</v>
      </c>
      <c r="W717">
        <v>0.125</v>
      </c>
      <c r="X717" t="s">
        <v>55</v>
      </c>
      <c r="Y717" t="s">
        <v>31</v>
      </c>
      <c r="Z717" s="3">
        <f t="shared" si="45"/>
        <v>0.103918091860874</v>
      </c>
      <c r="AA717" t="e">
        <f>#REF!-#REF!</f>
        <v>#REF!</v>
      </c>
      <c r="AB717" t="e">
        <f>#REF!+#REF!</f>
        <v>#REF!</v>
      </c>
      <c r="AC717" t="s">
        <v>43</v>
      </c>
    </row>
    <row r="718" spans="1:29">
      <c r="A718" t="s">
        <v>71</v>
      </c>
      <c r="B718">
        <v>3771.125</v>
      </c>
      <c r="C718">
        <v>21.913</v>
      </c>
      <c r="D718">
        <v>48.921</v>
      </c>
      <c r="E718">
        <v>163.596</v>
      </c>
      <c r="F718">
        <v>0.144</v>
      </c>
      <c r="G718">
        <v>22.137</v>
      </c>
      <c r="H718">
        <v>2.873</v>
      </c>
      <c r="I718">
        <v>2.771</v>
      </c>
      <c r="J718">
        <v>0.679</v>
      </c>
      <c r="K718">
        <v>9.102</v>
      </c>
      <c r="L718">
        <v>0.472</v>
      </c>
      <c r="M718">
        <v>3.072</v>
      </c>
      <c r="N718">
        <v>143.648</v>
      </c>
      <c r="O718">
        <v>114.473</v>
      </c>
      <c r="P718">
        <f t="shared" si="44"/>
        <v>2.15729958372156</v>
      </c>
      <c r="Q718">
        <f t="shared" si="44"/>
        <v>2.05870306454696</v>
      </c>
      <c r="R718">
        <v>115.448</v>
      </c>
      <c r="S718">
        <v>121.71</v>
      </c>
      <c r="T718">
        <v>129.368</v>
      </c>
      <c r="U718">
        <v>3.456</v>
      </c>
      <c r="V718">
        <v>49.819</v>
      </c>
      <c r="W718">
        <v>0.142</v>
      </c>
      <c r="X718" t="s">
        <v>55</v>
      </c>
      <c r="Y718" t="s">
        <v>31</v>
      </c>
      <c r="Z718" s="3">
        <f t="shared" si="45"/>
        <v>0.0985965191745994</v>
      </c>
      <c r="AA718" t="e">
        <f>#REF!-#REF!</f>
        <v>#REF!</v>
      </c>
      <c r="AB718" t="e">
        <f>#REF!+#REF!</f>
        <v>#REF!</v>
      </c>
      <c r="AC718" t="s">
        <v>43</v>
      </c>
    </row>
    <row r="719" spans="1:29">
      <c r="A719" t="s">
        <v>71</v>
      </c>
      <c r="B719">
        <v>3771.25</v>
      </c>
      <c r="C719">
        <v>21.861</v>
      </c>
      <c r="D719">
        <v>48.941</v>
      </c>
      <c r="E719">
        <v>164.061</v>
      </c>
      <c r="F719">
        <v>0.151</v>
      </c>
      <c r="G719">
        <v>22.251</v>
      </c>
      <c r="H719">
        <v>3.226</v>
      </c>
      <c r="I719">
        <v>2.767</v>
      </c>
      <c r="J719">
        <v>0.67</v>
      </c>
      <c r="K719">
        <v>9.37</v>
      </c>
      <c r="L719">
        <v>0.488</v>
      </c>
      <c r="M719">
        <v>2.981</v>
      </c>
      <c r="N719">
        <v>136.477</v>
      </c>
      <c r="O719">
        <v>110.062</v>
      </c>
      <c r="P719">
        <f t="shared" si="44"/>
        <v>2.13505946738613</v>
      </c>
      <c r="Q719">
        <f t="shared" si="44"/>
        <v>2.04163740036204</v>
      </c>
      <c r="R719">
        <v>102.924</v>
      </c>
      <c r="S719">
        <v>108.506</v>
      </c>
      <c r="T719">
        <v>115.334</v>
      </c>
      <c r="U719">
        <v>3.512</v>
      </c>
      <c r="V719">
        <v>51.027</v>
      </c>
      <c r="W719">
        <v>0.152</v>
      </c>
      <c r="X719" t="s">
        <v>55</v>
      </c>
      <c r="Y719" t="s">
        <v>31</v>
      </c>
      <c r="Z719" s="3">
        <f t="shared" si="45"/>
        <v>0.0934220670240928</v>
      </c>
      <c r="AA719" t="e">
        <f>#REF!-#REF!</f>
        <v>#REF!</v>
      </c>
      <c r="AB719" t="e">
        <f>#REF!+#REF!</f>
        <v>#REF!</v>
      </c>
      <c r="AC719" t="s">
        <v>43</v>
      </c>
    </row>
    <row r="720" spans="1:29">
      <c r="A720" t="s">
        <v>71</v>
      </c>
      <c r="B720">
        <v>3771.375</v>
      </c>
      <c r="C720">
        <v>21.709</v>
      </c>
      <c r="D720">
        <v>48.966</v>
      </c>
      <c r="E720">
        <v>163.919</v>
      </c>
      <c r="F720">
        <v>0.149</v>
      </c>
      <c r="G720">
        <v>22.432</v>
      </c>
      <c r="H720">
        <v>3.19</v>
      </c>
      <c r="I720">
        <v>2.764</v>
      </c>
      <c r="J720">
        <v>0.663</v>
      </c>
      <c r="K720">
        <v>9.553</v>
      </c>
      <c r="L720">
        <v>0.498</v>
      </c>
      <c r="M720">
        <v>2.912</v>
      </c>
      <c r="N720">
        <v>133.363</v>
      </c>
      <c r="O720">
        <v>108.705</v>
      </c>
      <c r="P720">
        <f t="shared" si="44"/>
        <v>2.12503535638197</v>
      </c>
      <c r="Q720">
        <f t="shared" si="44"/>
        <v>2.03624952037396</v>
      </c>
      <c r="R720">
        <v>92.35</v>
      </c>
      <c r="S720">
        <v>97.359</v>
      </c>
      <c r="T720">
        <v>103.485</v>
      </c>
      <c r="U720">
        <v>3.552</v>
      </c>
      <c r="V720">
        <v>52.603</v>
      </c>
      <c r="W720">
        <v>0.16</v>
      </c>
      <c r="X720" t="s">
        <v>55</v>
      </c>
      <c r="Y720" t="s">
        <v>31</v>
      </c>
      <c r="Z720" s="3">
        <f t="shared" si="45"/>
        <v>0.0887858360080127</v>
      </c>
      <c r="AA720" t="e">
        <f>#REF!-#REF!</f>
        <v>#REF!</v>
      </c>
      <c r="AB720" t="e">
        <f>#REF!+#REF!</f>
        <v>#REF!</v>
      </c>
      <c r="AC720" t="s">
        <v>43</v>
      </c>
    </row>
    <row r="721" spans="1:29">
      <c r="A721" t="s">
        <v>71</v>
      </c>
      <c r="B721">
        <v>3771.5</v>
      </c>
      <c r="C721">
        <v>22.056</v>
      </c>
      <c r="D721">
        <v>48.994</v>
      </c>
      <c r="E721">
        <v>162.667</v>
      </c>
      <c r="F721">
        <v>0.131</v>
      </c>
      <c r="G721">
        <v>22.7</v>
      </c>
      <c r="H721">
        <v>2.907</v>
      </c>
      <c r="I721">
        <v>2.761</v>
      </c>
      <c r="J721">
        <v>0.656</v>
      </c>
      <c r="K721">
        <v>9.64</v>
      </c>
      <c r="L721">
        <v>0.503</v>
      </c>
      <c r="M721">
        <v>2.874</v>
      </c>
      <c r="N721">
        <v>133.084</v>
      </c>
      <c r="O721">
        <v>109.549</v>
      </c>
      <c r="P721">
        <f t="shared" si="44"/>
        <v>2.12412584563698</v>
      </c>
      <c r="Q721">
        <f t="shared" si="44"/>
        <v>2.03960841752918</v>
      </c>
      <c r="R721">
        <v>82.177</v>
      </c>
      <c r="S721">
        <v>86.634</v>
      </c>
      <c r="T721">
        <v>92.086</v>
      </c>
      <c r="U721">
        <v>3.589</v>
      </c>
      <c r="V721">
        <v>54.585</v>
      </c>
      <c r="W721">
        <v>0.167</v>
      </c>
      <c r="X721" t="s">
        <v>55</v>
      </c>
      <c r="Y721" t="s">
        <v>31</v>
      </c>
      <c r="Z721" s="3">
        <f t="shared" si="45"/>
        <v>0.0845174281077941</v>
      </c>
      <c r="AA721" t="e">
        <f>#REF!-#REF!</f>
        <v>#REF!</v>
      </c>
      <c r="AB721" t="e">
        <f>#REF!+#REF!</f>
        <v>#REF!</v>
      </c>
      <c r="AC721" t="s">
        <v>43</v>
      </c>
    </row>
    <row r="722" spans="1:29">
      <c r="A722" t="s">
        <v>71</v>
      </c>
      <c r="B722">
        <v>3771.625</v>
      </c>
      <c r="C722">
        <v>23.186</v>
      </c>
      <c r="D722">
        <v>49.026</v>
      </c>
      <c r="E722">
        <v>160.606</v>
      </c>
      <c r="F722">
        <v>0.101</v>
      </c>
      <c r="G722">
        <v>22.871</v>
      </c>
      <c r="H722">
        <v>2.624</v>
      </c>
      <c r="I722">
        <v>2.758</v>
      </c>
      <c r="J722">
        <v>0.649</v>
      </c>
      <c r="K722">
        <v>9.62</v>
      </c>
      <c r="L722">
        <v>0.502</v>
      </c>
      <c r="M722">
        <v>2.866</v>
      </c>
      <c r="N722">
        <v>134.941</v>
      </c>
      <c r="O722">
        <v>112.092</v>
      </c>
      <c r="P722">
        <f t="shared" si="44"/>
        <v>2.13014392423392</v>
      </c>
      <c r="Q722">
        <f t="shared" si="44"/>
        <v>2.04957461812722</v>
      </c>
      <c r="R722">
        <v>74.631</v>
      </c>
      <c r="S722">
        <v>78.679</v>
      </c>
      <c r="T722">
        <v>83.63</v>
      </c>
      <c r="U722">
        <v>3.594</v>
      </c>
      <c r="V722">
        <v>57.123</v>
      </c>
      <c r="W722">
        <v>0.168</v>
      </c>
      <c r="X722" t="s">
        <v>55</v>
      </c>
      <c r="Y722" t="s">
        <v>31</v>
      </c>
      <c r="Z722" s="3">
        <f t="shared" si="45"/>
        <v>0.0805693061066997</v>
      </c>
      <c r="AA722" t="e">
        <f>#REF!-#REF!</f>
        <v>#REF!</v>
      </c>
      <c r="AB722" t="e">
        <f>#REF!+#REF!</f>
        <v>#REF!</v>
      </c>
      <c r="AC722" t="s">
        <v>43</v>
      </c>
    </row>
    <row r="723" spans="1:29">
      <c r="A723" t="s">
        <v>71</v>
      </c>
      <c r="B723">
        <v>3771.75</v>
      </c>
      <c r="C723">
        <v>23.974</v>
      </c>
      <c r="D723">
        <v>49.058</v>
      </c>
      <c r="E723">
        <v>158.284</v>
      </c>
      <c r="F723">
        <v>0.068</v>
      </c>
      <c r="G723">
        <v>22.908</v>
      </c>
      <c r="H723">
        <v>2.398</v>
      </c>
      <c r="I723">
        <v>2.758</v>
      </c>
      <c r="J723">
        <v>0.649</v>
      </c>
      <c r="K723">
        <v>9.531</v>
      </c>
      <c r="L723">
        <v>0.497</v>
      </c>
      <c r="M723">
        <v>2.882</v>
      </c>
      <c r="N723">
        <v>139.1</v>
      </c>
      <c r="O723">
        <v>116.517</v>
      </c>
      <c r="P723">
        <f t="shared" si="44"/>
        <v>2.14332712999205</v>
      </c>
      <c r="Q723">
        <f t="shared" si="44"/>
        <v>2.06638929418239</v>
      </c>
      <c r="R723">
        <v>67.68</v>
      </c>
      <c r="S723">
        <v>71.35</v>
      </c>
      <c r="T723">
        <v>75.84</v>
      </c>
      <c r="U723">
        <v>3.601</v>
      </c>
      <c r="V723">
        <v>59.735</v>
      </c>
      <c r="W723">
        <v>0.17</v>
      </c>
      <c r="X723" t="s">
        <v>55</v>
      </c>
      <c r="Y723" t="s">
        <v>31</v>
      </c>
      <c r="Z723" s="3">
        <f t="shared" si="45"/>
        <v>0.0769378358096611</v>
      </c>
      <c r="AA723" t="e">
        <f>#REF!-#REF!</f>
        <v>#REF!</v>
      </c>
      <c r="AB723" t="e">
        <f>#REF!+#REF!</f>
        <v>#REF!</v>
      </c>
      <c r="AC723" t="s">
        <v>43</v>
      </c>
    </row>
    <row r="724" spans="1:29">
      <c r="A724" t="s">
        <v>71</v>
      </c>
      <c r="B724">
        <v>3771.875</v>
      </c>
      <c r="C724">
        <v>23.641</v>
      </c>
      <c r="D724">
        <v>49.089</v>
      </c>
      <c r="E724">
        <v>156.374</v>
      </c>
      <c r="F724">
        <v>0.04</v>
      </c>
      <c r="G724">
        <v>22.788</v>
      </c>
      <c r="H724">
        <v>2.394</v>
      </c>
      <c r="I724">
        <v>2.759</v>
      </c>
      <c r="J724">
        <v>0.651</v>
      </c>
      <c r="K724">
        <v>9.42</v>
      </c>
      <c r="L724">
        <v>0.49</v>
      </c>
      <c r="M724">
        <v>2.917</v>
      </c>
      <c r="N724">
        <v>145.288</v>
      </c>
      <c r="O724">
        <v>122.683</v>
      </c>
      <c r="P724">
        <f t="shared" si="44"/>
        <v>2.16222974541296</v>
      </c>
      <c r="Q724">
        <f t="shared" si="44"/>
        <v>2.08878438735867</v>
      </c>
      <c r="R724">
        <v>63.614</v>
      </c>
      <c r="S724">
        <v>67.064</v>
      </c>
      <c r="T724">
        <v>71.284</v>
      </c>
      <c r="U724">
        <v>3.573</v>
      </c>
      <c r="V724">
        <v>62.632</v>
      </c>
      <c r="W724">
        <v>0.164</v>
      </c>
      <c r="X724" t="s">
        <v>55</v>
      </c>
      <c r="Y724" t="s">
        <v>31</v>
      </c>
      <c r="Z724" s="3">
        <f t="shared" si="45"/>
        <v>0.0734453580542938</v>
      </c>
      <c r="AA724" t="e">
        <f>#REF!-#REF!</f>
        <v>#REF!</v>
      </c>
      <c r="AB724" t="e">
        <f>#REF!+#REF!</f>
        <v>#REF!</v>
      </c>
      <c r="AC724" t="s">
        <v>43</v>
      </c>
    </row>
    <row r="725" spans="1:29">
      <c r="A725" t="s">
        <v>71</v>
      </c>
      <c r="B725">
        <v>3772</v>
      </c>
      <c r="C725">
        <v>22.817</v>
      </c>
      <c r="D725">
        <v>49.114</v>
      </c>
      <c r="E725">
        <v>155.533</v>
      </c>
      <c r="F725">
        <v>0.028</v>
      </c>
      <c r="G725">
        <v>22.655</v>
      </c>
      <c r="H725">
        <v>2.432</v>
      </c>
      <c r="I725">
        <v>2.758</v>
      </c>
      <c r="J725">
        <v>0.649</v>
      </c>
      <c r="K725">
        <v>9.31</v>
      </c>
      <c r="L725">
        <v>0.484</v>
      </c>
      <c r="M725">
        <v>2.96</v>
      </c>
      <c r="N725">
        <v>151.886</v>
      </c>
      <c r="O725">
        <v>129.188</v>
      </c>
      <c r="P725">
        <f t="shared" si="44"/>
        <v>2.18151774487692</v>
      </c>
      <c r="Q725">
        <f t="shared" si="44"/>
        <v>2.11122217483693</v>
      </c>
      <c r="R725">
        <v>62.799</v>
      </c>
      <c r="S725">
        <v>66.205</v>
      </c>
      <c r="T725">
        <v>70.371</v>
      </c>
      <c r="U725">
        <v>3.602</v>
      </c>
      <c r="V725">
        <v>61.972</v>
      </c>
      <c r="W725">
        <v>0.17</v>
      </c>
      <c r="X725" t="s">
        <v>55</v>
      </c>
      <c r="Y725" t="s">
        <v>31</v>
      </c>
      <c r="Z725" s="3">
        <f t="shared" si="45"/>
        <v>0.0702955700399825</v>
      </c>
      <c r="AA725" t="e">
        <f>#REF!-#REF!</f>
        <v>#REF!</v>
      </c>
      <c r="AB725" t="e">
        <f>#REF!+#REF!</f>
        <v>#REF!</v>
      </c>
      <c r="AC725" t="s">
        <v>43</v>
      </c>
    </row>
    <row r="726" spans="1:29">
      <c r="A726" t="s">
        <v>72</v>
      </c>
      <c r="B726">
        <v>4135</v>
      </c>
      <c r="C726">
        <v>19.242</v>
      </c>
      <c r="D726">
        <v>52.476</v>
      </c>
      <c r="E726">
        <v>177.929</v>
      </c>
      <c r="F726">
        <v>0.246</v>
      </c>
      <c r="G726">
        <v>22.033</v>
      </c>
      <c r="H726">
        <v>2.423</v>
      </c>
      <c r="I726">
        <v>2.765</v>
      </c>
      <c r="J726">
        <v>0.878</v>
      </c>
      <c r="K726">
        <v>5.838</v>
      </c>
      <c r="L726">
        <v>0.002</v>
      </c>
      <c r="M726">
        <v>3.406</v>
      </c>
      <c r="N726">
        <v>216.587</v>
      </c>
      <c r="O726">
        <v>195.928</v>
      </c>
      <c r="P726">
        <f t="shared" si="44"/>
        <v>2.33563238581793</v>
      </c>
      <c r="Q726">
        <f t="shared" si="44"/>
        <v>2.29209650529818</v>
      </c>
      <c r="R726">
        <v>103.632</v>
      </c>
      <c r="S726">
        <v>116.086</v>
      </c>
      <c r="T726">
        <v>120.238</v>
      </c>
      <c r="U726">
        <v>2.364</v>
      </c>
      <c r="V726">
        <v>96.229</v>
      </c>
      <c r="W726">
        <v>0.01</v>
      </c>
      <c r="X726" t="s">
        <v>55</v>
      </c>
      <c r="Y726" t="s">
        <v>31</v>
      </c>
      <c r="Z726" s="3">
        <f t="shared" si="45"/>
        <v>0.043535880519757</v>
      </c>
      <c r="AA726">
        <f t="shared" si="46"/>
        <v>-0.876</v>
      </c>
      <c r="AB726">
        <f t="shared" si="47"/>
        <v>0.248</v>
      </c>
      <c r="AC726" t="s">
        <v>43</v>
      </c>
    </row>
    <row r="727" spans="1:29">
      <c r="A727" t="s">
        <v>72</v>
      </c>
      <c r="B727">
        <v>4135.125</v>
      </c>
      <c r="C727">
        <v>19.793</v>
      </c>
      <c r="D727">
        <v>51.808</v>
      </c>
      <c r="E727">
        <v>178.074</v>
      </c>
      <c r="F727">
        <v>0.247</v>
      </c>
      <c r="G727">
        <v>22.027</v>
      </c>
      <c r="H727">
        <v>2.674</v>
      </c>
      <c r="I727">
        <v>2.762</v>
      </c>
      <c r="J727">
        <v>0.874</v>
      </c>
      <c r="K727">
        <v>5.805</v>
      </c>
      <c r="L727">
        <v>0</v>
      </c>
      <c r="M727">
        <v>3.323</v>
      </c>
      <c r="N727">
        <v>186.552</v>
      </c>
      <c r="O727">
        <v>168.897</v>
      </c>
      <c r="P727">
        <f t="shared" ref="P727:Q773" si="48">LOG(N727)</f>
        <v>2.27079990941709</v>
      </c>
      <c r="Q727">
        <f t="shared" si="48"/>
        <v>2.22762193556854</v>
      </c>
      <c r="R727">
        <v>88.419</v>
      </c>
      <c r="S727">
        <v>99.066</v>
      </c>
      <c r="T727">
        <v>102.615</v>
      </c>
      <c r="U727">
        <v>2.238</v>
      </c>
      <c r="V727">
        <v>100</v>
      </c>
      <c r="W727">
        <v>0.01</v>
      </c>
      <c r="X727" t="s">
        <v>55</v>
      </c>
      <c r="Y727" t="s">
        <v>31</v>
      </c>
      <c r="Z727" s="3">
        <f t="shared" si="45"/>
        <v>0.043177973848552</v>
      </c>
      <c r="AA727">
        <f t="shared" si="46"/>
        <v>-0.874</v>
      </c>
      <c r="AB727">
        <f t="shared" si="47"/>
        <v>0.247</v>
      </c>
      <c r="AC727" t="s">
        <v>43</v>
      </c>
    </row>
    <row r="728" spans="1:29">
      <c r="A728" t="s">
        <v>72</v>
      </c>
      <c r="B728">
        <v>4135.25</v>
      </c>
      <c r="C728">
        <v>19.621</v>
      </c>
      <c r="D728">
        <v>51.501</v>
      </c>
      <c r="E728">
        <v>175.985</v>
      </c>
      <c r="F728">
        <v>0.225</v>
      </c>
      <c r="G728">
        <v>22.059</v>
      </c>
      <c r="H728">
        <v>2.829</v>
      </c>
      <c r="I728">
        <v>2.757</v>
      </c>
      <c r="J728">
        <v>0.867</v>
      </c>
      <c r="K728">
        <v>5.924</v>
      </c>
      <c r="L728">
        <v>0.009</v>
      </c>
      <c r="M728">
        <v>3.271</v>
      </c>
      <c r="N728">
        <v>168.126</v>
      </c>
      <c r="O728">
        <v>152.313</v>
      </c>
      <c r="P728">
        <f t="shared" si="48"/>
        <v>2.22563488050301</v>
      </c>
      <c r="Q728">
        <f t="shared" si="48"/>
        <v>2.18273697219567</v>
      </c>
      <c r="R728">
        <v>80.434</v>
      </c>
      <c r="S728">
        <v>90.087</v>
      </c>
      <c r="T728">
        <v>93.305</v>
      </c>
      <c r="U728">
        <v>2.767</v>
      </c>
      <c r="V728">
        <v>100</v>
      </c>
      <c r="W728">
        <v>0.01</v>
      </c>
      <c r="X728" t="s">
        <v>55</v>
      </c>
      <c r="Y728" t="s">
        <v>31</v>
      </c>
      <c r="Z728" s="3">
        <f t="shared" si="45"/>
        <v>0.04289790830734</v>
      </c>
      <c r="AA728">
        <f t="shared" si="46"/>
        <v>-0.858</v>
      </c>
      <c r="AB728">
        <f t="shared" si="47"/>
        <v>0.234</v>
      </c>
      <c r="AC728" t="s">
        <v>43</v>
      </c>
    </row>
    <row r="729" spans="1:29">
      <c r="A729" t="s">
        <v>72</v>
      </c>
      <c r="B729">
        <v>4135.375</v>
      </c>
      <c r="C729">
        <v>19.337</v>
      </c>
      <c r="D729">
        <v>51.261</v>
      </c>
      <c r="E729">
        <v>173.919</v>
      </c>
      <c r="F729">
        <v>0.203</v>
      </c>
      <c r="G729">
        <v>22.1</v>
      </c>
      <c r="H729">
        <v>2.767</v>
      </c>
      <c r="I729">
        <v>2.75</v>
      </c>
      <c r="J729">
        <v>0.857</v>
      </c>
      <c r="K729">
        <v>6.139</v>
      </c>
      <c r="L729">
        <v>0.025</v>
      </c>
      <c r="M729">
        <v>3.221</v>
      </c>
      <c r="N729">
        <v>147.901</v>
      </c>
      <c r="O729">
        <v>134.111</v>
      </c>
      <c r="P729">
        <f t="shared" si="48"/>
        <v>2.1699711103932</v>
      </c>
      <c r="Q729">
        <f t="shared" si="48"/>
        <v>2.12746440084472</v>
      </c>
      <c r="R729">
        <v>68.111</v>
      </c>
      <c r="S729">
        <v>76.217</v>
      </c>
      <c r="T729">
        <v>78.919</v>
      </c>
      <c r="U729">
        <v>2.89</v>
      </c>
      <c r="V729">
        <v>100</v>
      </c>
      <c r="W729">
        <v>0.01</v>
      </c>
      <c r="X729" t="s">
        <v>55</v>
      </c>
      <c r="Y729" t="s">
        <v>31</v>
      </c>
      <c r="Z729" s="3">
        <f t="shared" si="45"/>
        <v>0.0425067095484817</v>
      </c>
      <c r="AA729">
        <f t="shared" si="46"/>
        <v>-0.832</v>
      </c>
      <c r="AB729">
        <f t="shared" si="47"/>
        <v>0.228</v>
      </c>
      <c r="AC729" t="s">
        <v>43</v>
      </c>
    </row>
    <row r="730" spans="1:29">
      <c r="A730" t="s">
        <v>72</v>
      </c>
      <c r="B730">
        <v>4135.5</v>
      </c>
      <c r="C730">
        <v>19.177</v>
      </c>
      <c r="D730">
        <v>51.043</v>
      </c>
      <c r="E730">
        <v>172.393</v>
      </c>
      <c r="F730">
        <v>0.186</v>
      </c>
      <c r="G730">
        <v>22.142</v>
      </c>
      <c r="H730">
        <v>2.515</v>
      </c>
      <c r="I730">
        <v>2.737</v>
      </c>
      <c r="J730">
        <v>0.838</v>
      </c>
      <c r="K730">
        <v>6.517</v>
      </c>
      <c r="L730">
        <v>0.052</v>
      </c>
      <c r="M730">
        <v>3.172</v>
      </c>
      <c r="N730">
        <v>118.537</v>
      </c>
      <c r="O730">
        <v>107.684</v>
      </c>
      <c r="P730">
        <f t="shared" si="48"/>
        <v>2.07385393167698</v>
      </c>
      <c r="Q730">
        <f t="shared" si="48"/>
        <v>2.03215117936191</v>
      </c>
      <c r="R730">
        <v>61.78</v>
      </c>
      <c r="S730">
        <v>69.119</v>
      </c>
      <c r="T730">
        <v>71.565</v>
      </c>
      <c r="U730">
        <v>3.381</v>
      </c>
      <c r="V730">
        <v>92.924</v>
      </c>
      <c r="W730">
        <v>0.01</v>
      </c>
      <c r="X730" t="s">
        <v>55</v>
      </c>
      <c r="Y730" t="s">
        <v>31</v>
      </c>
      <c r="Z730" s="3">
        <f t="shared" si="45"/>
        <v>0.0417027523150657</v>
      </c>
      <c r="AA730">
        <f t="shared" si="46"/>
        <v>-0.786</v>
      </c>
      <c r="AB730">
        <f t="shared" si="47"/>
        <v>0.238</v>
      </c>
      <c r="AC730" t="s">
        <v>43</v>
      </c>
    </row>
    <row r="731" spans="1:29">
      <c r="A731" t="s">
        <v>72</v>
      </c>
      <c r="B731">
        <v>4135.625</v>
      </c>
      <c r="C731">
        <v>19.474</v>
      </c>
      <c r="D731">
        <v>50.877</v>
      </c>
      <c r="E731">
        <v>171.349</v>
      </c>
      <c r="F731">
        <v>0.175</v>
      </c>
      <c r="G731">
        <v>22.16</v>
      </c>
      <c r="H731">
        <v>2.197</v>
      </c>
      <c r="I731">
        <v>2.726</v>
      </c>
      <c r="J731">
        <v>0.822</v>
      </c>
      <c r="K731">
        <v>6.94</v>
      </c>
      <c r="L731">
        <v>0.083</v>
      </c>
      <c r="M731">
        <v>3.139</v>
      </c>
      <c r="N731">
        <v>89.769</v>
      </c>
      <c r="O731">
        <v>81.792</v>
      </c>
      <c r="P731">
        <f t="shared" si="48"/>
        <v>1.95312638729884</v>
      </c>
      <c r="Q731">
        <f t="shared" si="48"/>
        <v>1.91271082780627</v>
      </c>
      <c r="R731">
        <v>56.63</v>
      </c>
      <c r="S731">
        <v>63.345</v>
      </c>
      <c r="T731">
        <v>65.584</v>
      </c>
      <c r="U731">
        <v>3.984</v>
      </c>
      <c r="V731">
        <v>83.366</v>
      </c>
      <c r="W731">
        <v>0.01</v>
      </c>
      <c r="X731" t="s">
        <v>55</v>
      </c>
      <c r="Y731" t="s">
        <v>31</v>
      </c>
      <c r="Z731" s="3">
        <f t="shared" si="45"/>
        <v>0.040415559492573</v>
      </c>
      <c r="AA731">
        <f t="shared" si="46"/>
        <v>-0.739</v>
      </c>
      <c r="AB731">
        <f t="shared" si="47"/>
        <v>0.258</v>
      </c>
      <c r="AC731" t="s">
        <v>43</v>
      </c>
    </row>
    <row r="732" spans="1:29">
      <c r="A732" t="s">
        <v>72</v>
      </c>
      <c r="B732">
        <v>4135.75</v>
      </c>
      <c r="C732">
        <v>20.241</v>
      </c>
      <c r="D732">
        <v>50.838</v>
      </c>
      <c r="E732">
        <v>170.46</v>
      </c>
      <c r="F732">
        <v>0.166</v>
      </c>
      <c r="G732">
        <v>22.135</v>
      </c>
      <c r="H732">
        <v>1.94</v>
      </c>
      <c r="I732">
        <v>2.727</v>
      </c>
      <c r="J732">
        <v>0.824</v>
      </c>
      <c r="K732">
        <v>7.151</v>
      </c>
      <c r="L732">
        <v>0.099</v>
      </c>
      <c r="M732">
        <v>3.15</v>
      </c>
      <c r="N732">
        <v>83.551</v>
      </c>
      <c r="O732">
        <v>76.196</v>
      </c>
      <c r="P732">
        <f t="shared" si="48"/>
        <v>1.92195165221724</v>
      </c>
      <c r="Q732">
        <f t="shared" si="48"/>
        <v>1.88193217313062</v>
      </c>
      <c r="R732">
        <v>52.93</v>
      </c>
      <c r="S732">
        <v>59.193</v>
      </c>
      <c r="T732">
        <v>61.281</v>
      </c>
      <c r="U732">
        <v>3.951</v>
      </c>
      <c r="V732">
        <v>87.136</v>
      </c>
      <c r="W732">
        <v>0.01</v>
      </c>
      <c r="X732" t="s">
        <v>55</v>
      </c>
      <c r="Y732" t="s">
        <v>31</v>
      </c>
      <c r="Z732" s="3">
        <f t="shared" si="45"/>
        <v>0.0400194790866184</v>
      </c>
      <c r="AA732">
        <f t="shared" si="46"/>
        <v>-0.725</v>
      </c>
      <c r="AB732">
        <f t="shared" si="47"/>
        <v>0.265</v>
      </c>
      <c r="AC732" t="s">
        <v>43</v>
      </c>
    </row>
    <row r="733" spans="1:29">
      <c r="A733" t="s">
        <v>72</v>
      </c>
      <c r="B733">
        <v>4135.875</v>
      </c>
      <c r="C733">
        <v>21.101</v>
      </c>
      <c r="D733">
        <v>50.832</v>
      </c>
      <c r="E733">
        <v>169.283</v>
      </c>
      <c r="F733">
        <v>0.153</v>
      </c>
      <c r="G733">
        <v>22.105</v>
      </c>
      <c r="H733">
        <v>1.782</v>
      </c>
      <c r="I733">
        <v>2.731</v>
      </c>
      <c r="J733">
        <v>0.83</v>
      </c>
      <c r="K733">
        <v>7.29</v>
      </c>
      <c r="L733">
        <v>0.109</v>
      </c>
      <c r="M733">
        <v>3.184</v>
      </c>
      <c r="N733">
        <v>81.568</v>
      </c>
      <c r="O733">
        <v>74.411</v>
      </c>
      <c r="P733">
        <f t="shared" si="48"/>
        <v>1.91151981378917</v>
      </c>
      <c r="Q733">
        <f t="shared" si="48"/>
        <v>1.87163714100528</v>
      </c>
      <c r="R733">
        <v>49.226</v>
      </c>
      <c r="S733">
        <v>55.023</v>
      </c>
      <c r="T733">
        <v>56.955</v>
      </c>
      <c r="U733">
        <v>3.849</v>
      </c>
      <c r="V733">
        <v>91.348</v>
      </c>
      <c r="W733">
        <v>0.01</v>
      </c>
      <c r="X733" t="s">
        <v>55</v>
      </c>
      <c r="Y733" t="s">
        <v>31</v>
      </c>
      <c r="Z733" s="3">
        <f t="shared" si="45"/>
        <v>0.0398826727838915</v>
      </c>
      <c r="AA733">
        <f t="shared" si="46"/>
        <v>-0.721</v>
      </c>
      <c r="AB733">
        <f t="shared" si="47"/>
        <v>0.262</v>
      </c>
      <c r="AC733" t="s">
        <v>43</v>
      </c>
    </row>
    <row r="734" spans="1:29">
      <c r="A734" t="s">
        <v>72</v>
      </c>
      <c r="B734">
        <v>4136</v>
      </c>
      <c r="C734">
        <v>21.662</v>
      </c>
      <c r="D734">
        <v>50.874</v>
      </c>
      <c r="E734">
        <v>169.126</v>
      </c>
      <c r="F734">
        <v>0.152</v>
      </c>
      <c r="G734">
        <v>22.081</v>
      </c>
      <c r="H734">
        <v>1.784</v>
      </c>
      <c r="I734">
        <v>2.742</v>
      </c>
      <c r="J734">
        <v>0.845</v>
      </c>
      <c r="K734">
        <v>7.342</v>
      </c>
      <c r="L734">
        <v>0.113</v>
      </c>
      <c r="M734">
        <v>3.273</v>
      </c>
      <c r="N734">
        <v>82.713</v>
      </c>
      <c r="O734">
        <v>75.441</v>
      </c>
      <c r="P734">
        <f t="shared" si="48"/>
        <v>1.91757377296928</v>
      </c>
      <c r="Q734">
        <f t="shared" si="48"/>
        <v>1.87760743651087</v>
      </c>
      <c r="R734">
        <v>49.919</v>
      </c>
      <c r="S734">
        <v>55.782</v>
      </c>
      <c r="T734">
        <v>57.736</v>
      </c>
      <c r="U734">
        <v>3.661</v>
      </c>
      <c r="V734">
        <v>94.492</v>
      </c>
      <c r="W734">
        <v>0.01</v>
      </c>
      <c r="X734" t="s">
        <v>55</v>
      </c>
      <c r="Y734" t="s">
        <v>31</v>
      </c>
      <c r="Z734" s="3">
        <f t="shared" si="45"/>
        <v>0.0399663364584169</v>
      </c>
      <c r="AA734">
        <f t="shared" si="46"/>
        <v>-0.732</v>
      </c>
      <c r="AB734">
        <f t="shared" si="47"/>
        <v>0.265</v>
      </c>
      <c r="AC734" t="s">
        <v>43</v>
      </c>
    </row>
    <row r="735" spans="1:29">
      <c r="A735" t="s">
        <v>72</v>
      </c>
      <c r="B735">
        <v>4136.125</v>
      </c>
      <c r="C735">
        <v>21.529</v>
      </c>
      <c r="D735">
        <v>50.955</v>
      </c>
      <c r="E735">
        <v>171.275</v>
      </c>
      <c r="F735">
        <v>0.174</v>
      </c>
      <c r="G735">
        <v>22.076</v>
      </c>
      <c r="H735">
        <v>1.812</v>
      </c>
      <c r="I735">
        <v>2.758</v>
      </c>
      <c r="J735">
        <v>0.868</v>
      </c>
      <c r="K735">
        <v>7.337</v>
      </c>
      <c r="L735">
        <v>0.113</v>
      </c>
      <c r="M735">
        <v>3.398</v>
      </c>
      <c r="N735">
        <v>90.04</v>
      </c>
      <c r="O735">
        <v>82.036</v>
      </c>
      <c r="P735">
        <f t="shared" si="48"/>
        <v>1.95443548632848</v>
      </c>
      <c r="Q735">
        <f t="shared" si="48"/>
        <v>1.91400447641258</v>
      </c>
      <c r="R735">
        <v>54.245</v>
      </c>
      <c r="S735">
        <v>60.595</v>
      </c>
      <c r="T735">
        <v>62.711</v>
      </c>
      <c r="U735">
        <v>3.441</v>
      </c>
      <c r="V735">
        <v>95.472</v>
      </c>
      <c r="W735">
        <v>0.01</v>
      </c>
      <c r="X735" t="s">
        <v>55</v>
      </c>
      <c r="Y735" t="s">
        <v>31</v>
      </c>
      <c r="Z735" s="3">
        <f t="shared" si="45"/>
        <v>0.0404310099158995</v>
      </c>
      <c r="AA735">
        <f t="shared" si="46"/>
        <v>-0.755</v>
      </c>
      <c r="AB735">
        <f t="shared" si="47"/>
        <v>0.287</v>
      </c>
      <c r="AC735" t="s">
        <v>43</v>
      </c>
    </row>
    <row r="736" spans="1:29">
      <c r="A736" t="s">
        <v>72</v>
      </c>
      <c r="B736">
        <v>4136.25</v>
      </c>
      <c r="C736">
        <v>20.735</v>
      </c>
      <c r="D736">
        <v>51.029</v>
      </c>
      <c r="E736">
        <v>174.863</v>
      </c>
      <c r="F736">
        <v>0.213</v>
      </c>
      <c r="G736">
        <v>22.102</v>
      </c>
      <c r="H736">
        <v>1.72</v>
      </c>
      <c r="I736">
        <v>2.77</v>
      </c>
      <c r="J736">
        <v>0.885</v>
      </c>
      <c r="K736">
        <v>7.316</v>
      </c>
      <c r="L736">
        <v>0.111</v>
      </c>
      <c r="M736">
        <v>3.482</v>
      </c>
      <c r="N736">
        <v>109.981</v>
      </c>
      <c r="O736">
        <v>99.983</v>
      </c>
      <c r="P736">
        <f t="shared" si="48"/>
        <v>2.04131766417753</v>
      </c>
      <c r="Q736">
        <f t="shared" si="48"/>
        <v>1.99992616366181</v>
      </c>
      <c r="R736">
        <v>63.378</v>
      </c>
      <c r="S736">
        <v>70.763</v>
      </c>
      <c r="T736">
        <v>73.224</v>
      </c>
      <c r="U736">
        <v>3.295</v>
      </c>
      <c r="V736">
        <v>92.249</v>
      </c>
      <c r="W736">
        <v>0.01</v>
      </c>
      <c r="X736" t="s">
        <v>55</v>
      </c>
      <c r="Y736" t="s">
        <v>31</v>
      </c>
      <c r="Z736" s="3">
        <f t="shared" ref="Z736:Z782" si="49">P736-Q736</f>
        <v>0.0413915005157242</v>
      </c>
      <c r="AA736">
        <f t="shared" ref="AA736:AA782" si="50">L736-J736</f>
        <v>-0.774</v>
      </c>
      <c r="AB736">
        <f t="shared" ref="AB736:AB782" si="51">L736+F736</f>
        <v>0.324</v>
      </c>
      <c r="AC736" t="s">
        <v>43</v>
      </c>
    </row>
    <row r="737" spans="1:29">
      <c r="A737" t="s">
        <v>72</v>
      </c>
      <c r="B737">
        <v>4136.375</v>
      </c>
      <c r="C737">
        <v>19.893</v>
      </c>
      <c r="D737">
        <v>51.114</v>
      </c>
      <c r="E737">
        <v>178.491</v>
      </c>
      <c r="F737">
        <v>0.252</v>
      </c>
      <c r="G737">
        <v>22.176</v>
      </c>
      <c r="H737">
        <v>1.608</v>
      </c>
      <c r="I737">
        <v>2.784</v>
      </c>
      <c r="J737">
        <v>0.905</v>
      </c>
      <c r="K737">
        <v>7.281</v>
      </c>
      <c r="L737">
        <v>0.108</v>
      </c>
      <c r="M737">
        <v>3.557</v>
      </c>
      <c r="N737">
        <v>136.804</v>
      </c>
      <c r="O737">
        <v>124.124</v>
      </c>
      <c r="P737">
        <f t="shared" si="48"/>
        <v>2.13609879586751</v>
      </c>
      <c r="Q737">
        <f t="shared" si="48"/>
        <v>2.09385576264155</v>
      </c>
      <c r="R737">
        <v>75.302</v>
      </c>
      <c r="S737">
        <v>84.114</v>
      </c>
      <c r="T737">
        <v>87.051</v>
      </c>
      <c r="U737">
        <v>3.128</v>
      </c>
      <c r="V737">
        <v>93.738</v>
      </c>
      <c r="W737">
        <v>0.01</v>
      </c>
      <c r="X737" t="s">
        <v>55</v>
      </c>
      <c r="Y737" t="s">
        <v>31</v>
      </c>
      <c r="Z737" s="3">
        <f t="shared" si="49"/>
        <v>0.0422430332259558</v>
      </c>
      <c r="AA737">
        <f t="shared" si="50"/>
        <v>-0.797</v>
      </c>
      <c r="AB737">
        <f t="shared" si="51"/>
        <v>0.36</v>
      </c>
      <c r="AC737" t="s">
        <v>43</v>
      </c>
    </row>
    <row r="738" spans="1:29">
      <c r="A738" t="s">
        <v>72</v>
      </c>
      <c r="B738">
        <v>4136.5</v>
      </c>
      <c r="C738">
        <v>19.665</v>
      </c>
      <c r="D738">
        <v>51.248</v>
      </c>
      <c r="E738">
        <v>180.075</v>
      </c>
      <c r="F738">
        <v>0.269</v>
      </c>
      <c r="G738">
        <v>22.443</v>
      </c>
      <c r="H738">
        <v>1.506</v>
      </c>
      <c r="I738">
        <v>2.798</v>
      </c>
      <c r="J738">
        <v>0.926</v>
      </c>
      <c r="K738">
        <v>7.223</v>
      </c>
      <c r="L738">
        <v>0.104</v>
      </c>
      <c r="M738">
        <v>3.619</v>
      </c>
      <c r="N738">
        <v>172.999</v>
      </c>
      <c r="O738">
        <v>156.699</v>
      </c>
      <c r="P738">
        <f t="shared" si="48"/>
        <v>2.23804359274881</v>
      </c>
      <c r="Q738">
        <f t="shared" si="48"/>
        <v>2.19506622495699</v>
      </c>
      <c r="R738">
        <v>71.046</v>
      </c>
      <c r="S738">
        <v>79.442</v>
      </c>
      <c r="T738">
        <v>82.24</v>
      </c>
      <c r="U738">
        <v>2.922</v>
      </c>
      <c r="V738">
        <v>99.317</v>
      </c>
      <c r="W738">
        <v>0.01</v>
      </c>
      <c r="X738" t="s">
        <v>55</v>
      </c>
      <c r="Y738" t="s">
        <v>31</v>
      </c>
      <c r="Z738" s="3">
        <f t="shared" si="49"/>
        <v>0.0429773677918215</v>
      </c>
      <c r="AA738">
        <f t="shared" si="50"/>
        <v>-0.822</v>
      </c>
      <c r="AB738">
        <f t="shared" si="51"/>
        <v>0.373</v>
      </c>
      <c r="AC738" t="s">
        <v>43</v>
      </c>
    </row>
    <row r="739" spans="1:29">
      <c r="A739" t="s">
        <v>72</v>
      </c>
      <c r="B739">
        <v>4136.625</v>
      </c>
      <c r="C739">
        <v>20.361</v>
      </c>
      <c r="D739">
        <v>51.409</v>
      </c>
      <c r="E739">
        <v>178.473</v>
      </c>
      <c r="F739">
        <v>0.251</v>
      </c>
      <c r="G739">
        <v>22.848</v>
      </c>
      <c r="H739">
        <v>1.511</v>
      </c>
      <c r="I739">
        <v>2.806</v>
      </c>
      <c r="J739">
        <v>0.937</v>
      </c>
      <c r="K739">
        <v>7.197</v>
      </c>
      <c r="L739">
        <v>0.102</v>
      </c>
      <c r="M739">
        <v>3.651</v>
      </c>
      <c r="N739">
        <v>216.962</v>
      </c>
      <c r="O739">
        <v>196.266</v>
      </c>
      <c r="P739">
        <f t="shared" si="48"/>
        <v>2.3363836756206</v>
      </c>
      <c r="Q739">
        <f t="shared" si="48"/>
        <v>2.29284507142221</v>
      </c>
      <c r="R739">
        <v>66.31</v>
      </c>
      <c r="S739">
        <v>74.213</v>
      </c>
      <c r="T739">
        <v>76.847</v>
      </c>
      <c r="U739">
        <v>2.776</v>
      </c>
      <c r="V739">
        <v>100</v>
      </c>
      <c r="W739">
        <v>0.01</v>
      </c>
      <c r="X739" t="s">
        <v>55</v>
      </c>
      <c r="Y739" t="s">
        <v>31</v>
      </c>
      <c r="Z739" s="3">
        <f t="shared" si="49"/>
        <v>0.0435386041983858</v>
      </c>
      <c r="AA739">
        <f t="shared" si="50"/>
        <v>-0.835</v>
      </c>
      <c r="AB739">
        <f t="shared" si="51"/>
        <v>0.353</v>
      </c>
      <c r="AC739" t="s">
        <v>43</v>
      </c>
    </row>
    <row r="740" spans="1:29">
      <c r="A740" t="s">
        <v>72</v>
      </c>
      <c r="B740">
        <v>4136.75</v>
      </c>
      <c r="C740">
        <v>21.545</v>
      </c>
      <c r="D740">
        <v>51.514</v>
      </c>
      <c r="E740">
        <v>175.425</v>
      </c>
      <c r="F740">
        <v>0.219</v>
      </c>
      <c r="G740">
        <v>23.105</v>
      </c>
      <c r="H740">
        <v>1.712</v>
      </c>
      <c r="I740">
        <v>2.8</v>
      </c>
      <c r="J740">
        <v>0.928</v>
      </c>
      <c r="K740">
        <v>7.279</v>
      </c>
      <c r="L740">
        <v>0.108</v>
      </c>
      <c r="M740">
        <v>3.633</v>
      </c>
      <c r="N740">
        <v>232.727</v>
      </c>
      <c r="O740">
        <v>210.455</v>
      </c>
      <c r="P740">
        <f t="shared" si="48"/>
        <v>2.36684677121448</v>
      </c>
      <c r="Q740">
        <f t="shared" si="48"/>
        <v>2.32315924819577</v>
      </c>
      <c r="R740">
        <v>65.366</v>
      </c>
      <c r="S740">
        <v>73.201</v>
      </c>
      <c r="T740">
        <v>75.813</v>
      </c>
      <c r="U740">
        <v>2.82</v>
      </c>
      <c r="V740">
        <v>100</v>
      </c>
      <c r="W740">
        <v>0.01</v>
      </c>
      <c r="X740" t="s">
        <v>55</v>
      </c>
      <c r="Y740" t="s">
        <v>31</v>
      </c>
      <c r="Z740" s="3">
        <f t="shared" si="49"/>
        <v>0.0436875230187059</v>
      </c>
      <c r="AA740">
        <f t="shared" si="50"/>
        <v>-0.82</v>
      </c>
      <c r="AB740">
        <f t="shared" si="51"/>
        <v>0.327</v>
      </c>
      <c r="AC740" t="s">
        <v>43</v>
      </c>
    </row>
    <row r="741" spans="1:29">
      <c r="A741" t="s">
        <v>72</v>
      </c>
      <c r="B741">
        <v>4136.875</v>
      </c>
      <c r="C741">
        <v>22.858</v>
      </c>
      <c r="D741">
        <v>51.619</v>
      </c>
      <c r="E741">
        <v>172.761</v>
      </c>
      <c r="F741">
        <v>0.19</v>
      </c>
      <c r="G741">
        <v>23.322</v>
      </c>
      <c r="H741">
        <v>1.979</v>
      </c>
      <c r="I741">
        <v>2.788</v>
      </c>
      <c r="J741">
        <v>0.911</v>
      </c>
      <c r="K741">
        <v>7.429</v>
      </c>
      <c r="L741">
        <v>0.119</v>
      </c>
      <c r="M741">
        <v>3.597</v>
      </c>
      <c r="N741">
        <v>237.125</v>
      </c>
      <c r="O741">
        <v>214.412</v>
      </c>
      <c r="P741">
        <f t="shared" si="48"/>
        <v>2.37497734389672</v>
      </c>
      <c r="Q741">
        <f t="shared" si="48"/>
        <v>2.33124908786748</v>
      </c>
      <c r="R741">
        <v>68.951</v>
      </c>
      <c r="S741">
        <v>77.253</v>
      </c>
      <c r="T741">
        <v>80.021</v>
      </c>
      <c r="U741">
        <v>2.931</v>
      </c>
      <c r="V741">
        <v>100</v>
      </c>
      <c r="W741">
        <v>0.01</v>
      </c>
      <c r="X741" t="s">
        <v>55</v>
      </c>
      <c r="Y741" t="s">
        <v>31</v>
      </c>
      <c r="Z741" s="3">
        <f t="shared" si="49"/>
        <v>0.0437282560292371</v>
      </c>
      <c r="AA741">
        <f t="shared" si="50"/>
        <v>-0.792</v>
      </c>
      <c r="AB741">
        <f t="shared" si="51"/>
        <v>0.309</v>
      </c>
      <c r="AC741" t="s">
        <v>43</v>
      </c>
    </row>
    <row r="742" spans="1:29">
      <c r="A742" t="s">
        <v>72</v>
      </c>
      <c r="B742">
        <v>4137</v>
      </c>
      <c r="C742">
        <v>23.952</v>
      </c>
      <c r="D742">
        <v>51.769</v>
      </c>
      <c r="E742">
        <v>171.451</v>
      </c>
      <c r="F742">
        <v>0.176</v>
      </c>
      <c r="G742">
        <v>23.589</v>
      </c>
      <c r="H742">
        <v>2.497</v>
      </c>
      <c r="I742">
        <v>2.773</v>
      </c>
      <c r="J742">
        <v>0.89</v>
      </c>
      <c r="K742">
        <v>7.769</v>
      </c>
      <c r="L742">
        <v>0.144</v>
      </c>
      <c r="M742">
        <v>3.531</v>
      </c>
      <c r="N742">
        <v>216.699</v>
      </c>
      <c r="O742">
        <v>196.029</v>
      </c>
      <c r="P742">
        <f t="shared" si="48"/>
        <v>2.33585690718745</v>
      </c>
      <c r="Q742">
        <f t="shared" si="48"/>
        <v>2.29232032446019</v>
      </c>
      <c r="R742">
        <v>66.239</v>
      </c>
      <c r="S742">
        <v>74.224</v>
      </c>
      <c r="T742">
        <v>76.885</v>
      </c>
      <c r="U742">
        <v>3.107</v>
      </c>
      <c r="V742">
        <v>98.073</v>
      </c>
      <c r="W742">
        <v>0.01</v>
      </c>
      <c r="X742" t="s">
        <v>55</v>
      </c>
      <c r="Y742" t="s">
        <v>31</v>
      </c>
      <c r="Z742" s="3">
        <f t="shared" si="49"/>
        <v>0.0435365827272594</v>
      </c>
      <c r="AA742">
        <f t="shared" si="50"/>
        <v>-0.746</v>
      </c>
      <c r="AB742">
        <f t="shared" si="51"/>
        <v>0.32</v>
      </c>
      <c r="AC742" t="s">
        <v>43</v>
      </c>
    </row>
    <row r="743" spans="1:29">
      <c r="A743" t="s">
        <v>72</v>
      </c>
      <c r="B743">
        <v>4137.125</v>
      </c>
      <c r="C743">
        <v>24.336</v>
      </c>
      <c r="D743">
        <v>51.988</v>
      </c>
      <c r="E743">
        <v>171.606</v>
      </c>
      <c r="F743">
        <v>0.178</v>
      </c>
      <c r="G743">
        <v>23.892</v>
      </c>
      <c r="H743">
        <v>3.176</v>
      </c>
      <c r="I743">
        <v>2.761</v>
      </c>
      <c r="J743">
        <v>0.872</v>
      </c>
      <c r="K743">
        <v>8.268</v>
      </c>
      <c r="L743">
        <v>0.181</v>
      </c>
      <c r="M743">
        <v>3.455</v>
      </c>
      <c r="N743">
        <v>173.859</v>
      </c>
      <c r="O743">
        <v>157.473</v>
      </c>
      <c r="P743">
        <f t="shared" si="48"/>
        <v>2.24019717732683</v>
      </c>
      <c r="Q743">
        <f t="shared" si="48"/>
        <v>2.19720610126081</v>
      </c>
      <c r="R743">
        <v>65.374</v>
      </c>
      <c r="S743">
        <v>73.257</v>
      </c>
      <c r="T743">
        <v>75.884</v>
      </c>
      <c r="U743">
        <v>3.572</v>
      </c>
      <c r="V743">
        <v>89.64</v>
      </c>
      <c r="W743">
        <v>0.01</v>
      </c>
      <c r="X743" t="s">
        <v>55</v>
      </c>
      <c r="Y743" t="s">
        <v>31</v>
      </c>
      <c r="Z743" s="3">
        <f t="shared" si="49"/>
        <v>0.0429910760660195</v>
      </c>
      <c r="AA743">
        <f t="shared" si="50"/>
        <v>-0.691</v>
      </c>
      <c r="AB743">
        <f t="shared" si="51"/>
        <v>0.359</v>
      </c>
      <c r="AC743" t="s">
        <v>43</v>
      </c>
    </row>
    <row r="744" spans="1:29">
      <c r="A744" t="s">
        <v>72</v>
      </c>
      <c r="B744">
        <v>4137.25</v>
      </c>
      <c r="C744">
        <v>23.981</v>
      </c>
      <c r="D744">
        <v>52.123</v>
      </c>
      <c r="E744">
        <v>172.304</v>
      </c>
      <c r="F744">
        <v>0.185</v>
      </c>
      <c r="G744">
        <v>24.069</v>
      </c>
      <c r="H744">
        <v>3.579</v>
      </c>
      <c r="I744">
        <v>2.76</v>
      </c>
      <c r="J744">
        <v>0.871</v>
      </c>
      <c r="K744">
        <v>8.668</v>
      </c>
      <c r="L744">
        <v>0.21</v>
      </c>
      <c r="M744">
        <v>3.415</v>
      </c>
      <c r="N744">
        <v>145.243</v>
      </c>
      <c r="O744">
        <v>131.719</v>
      </c>
      <c r="P744">
        <f t="shared" si="48"/>
        <v>2.16209521070347</v>
      </c>
      <c r="Q744">
        <f t="shared" si="48"/>
        <v>2.11964842492379</v>
      </c>
      <c r="R744">
        <v>55.458</v>
      </c>
      <c r="S744">
        <v>62.172</v>
      </c>
      <c r="T744">
        <v>64.41</v>
      </c>
      <c r="U744">
        <v>4.066</v>
      </c>
      <c r="V744">
        <v>80.875</v>
      </c>
      <c r="W744">
        <v>0.01</v>
      </c>
      <c r="X744" t="s">
        <v>55</v>
      </c>
      <c r="Y744" t="s">
        <v>31</v>
      </c>
      <c r="Z744" s="3">
        <f t="shared" si="49"/>
        <v>0.0424467857796818</v>
      </c>
      <c r="AA744">
        <f t="shared" si="50"/>
        <v>-0.661</v>
      </c>
      <c r="AB744">
        <f t="shared" si="51"/>
        <v>0.395</v>
      </c>
      <c r="AC744" t="s">
        <v>43</v>
      </c>
    </row>
    <row r="745" spans="1:29">
      <c r="A745" t="s">
        <v>72</v>
      </c>
      <c r="B745">
        <v>4137.375</v>
      </c>
      <c r="C745">
        <v>23.681</v>
      </c>
      <c r="D745">
        <v>52.178</v>
      </c>
      <c r="E745">
        <v>172.92</v>
      </c>
      <c r="F745">
        <v>0.192</v>
      </c>
      <c r="G745">
        <v>24.201</v>
      </c>
      <c r="H745">
        <v>3.897</v>
      </c>
      <c r="I745">
        <v>2.76</v>
      </c>
      <c r="J745">
        <v>0.871</v>
      </c>
      <c r="K745">
        <v>9.079</v>
      </c>
      <c r="L745">
        <v>0.241</v>
      </c>
      <c r="M745">
        <v>3.383</v>
      </c>
      <c r="N745">
        <v>131.158</v>
      </c>
      <c r="O745">
        <v>119.042</v>
      </c>
      <c r="P745">
        <f t="shared" si="48"/>
        <v>2.11779478558511</v>
      </c>
      <c r="Q745">
        <f t="shared" si="48"/>
        <v>2.07570021475479</v>
      </c>
      <c r="R745">
        <v>56.44</v>
      </c>
      <c r="S745">
        <v>63.331</v>
      </c>
      <c r="T745">
        <v>65.628</v>
      </c>
      <c r="U745">
        <v>4.373</v>
      </c>
      <c r="V745">
        <v>73.93</v>
      </c>
      <c r="W745">
        <v>0.013</v>
      </c>
      <c r="X745" t="s">
        <v>55</v>
      </c>
      <c r="Y745" t="s">
        <v>31</v>
      </c>
      <c r="Z745" s="3">
        <f t="shared" si="49"/>
        <v>0.0420945708303235</v>
      </c>
      <c r="AA745">
        <f t="shared" si="50"/>
        <v>-0.63</v>
      </c>
      <c r="AB745">
        <f t="shared" si="51"/>
        <v>0.433</v>
      </c>
      <c r="AC745" t="s">
        <v>43</v>
      </c>
    </row>
    <row r="746" spans="1:29">
      <c r="A746" t="s">
        <v>72</v>
      </c>
      <c r="B746">
        <v>4137.5</v>
      </c>
      <c r="C746">
        <v>23.974</v>
      </c>
      <c r="D746">
        <v>52.568</v>
      </c>
      <c r="E746">
        <v>174.338</v>
      </c>
      <c r="F746">
        <v>0.207</v>
      </c>
      <c r="G746">
        <v>24.287</v>
      </c>
      <c r="H746">
        <v>4.176</v>
      </c>
      <c r="I746">
        <v>2.761</v>
      </c>
      <c r="J746">
        <v>0.872</v>
      </c>
      <c r="K746">
        <v>9.469</v>
      </c>
      <c r="L746">
        <v>0.269</v>
      </c>
      <c r="M746">
        <v>3.346</v>
      </c>
      <c r="N746">
        <v>120.453</v>
      </c>
      <c r="O746">
        <v>109.408</v>
      </c>
      <c r="P746">
        <f t="shared" si="48"/>
        <v>2.08081762099871</v>
      </c>
      <c r="Q746">
        <f t="shared" si="48"/>
        <v>2.0390490791165</v>
      </c>
      <c r="R746">
        <v>60.867</v>
      </c>
      <c r="S746">
        <v>68.332</v>
      </c>
      <c r="T746">
        <v>70.82</v>
      </c>
      <c r="U746">
        <v>4.811</v>
      </c>
      <c r="V746">
        <v>63.505</v>
      </c>
      <c r="W746">
        <v>0.017</v>
      </c>
      <c r="X746" t="s">
        <v>55</v>
      </c>
      <c r="Y746" t="s">
        <v>31</v>
      </c>
      <c r="Z746" s="3">
        <f t="shared" si="49"/>
        <v>0.04176854188221</v>
      </c>
      <c r="AA746">
        <f t="shared" si="50"/>
        <v>-0.603</v>
      </c>
      <c r="AB746">
        <f t="shared" si="51"/>
        <v>0.476</v>
      </c>
      <c r="AC746" t="s">
        <v>43</v>
      </c>
    </row>
    <row r="747" spans="1:29">
      <c r="A747" t="s">
        <v>72</v>
      </c>
      <c r="B747">
        <v>4137.625</v>
      </c>
      <c r="C747">
        <v>24.717</v>
      </c>
      <c r="D747">
        <v>53.201</v>
      </c>
      <c r="E747">
        <v>176.893</v>
      </c>
      <c r="F747">
        <v>0.235</v>
      </c>
      <c r="G747">
        <v>24.332</v>
      </c>
      <c r="H747">
        <v>4.351</v>
      </c>
      <c r="I747">
        <v>2.76</v>
      </c>
      <c r="J747">
        <v>0.871</v>
      </c>
      <c r="K747">
        <v>9.706</v>
      </c>
      <c r="L747">
        <v>0.287</v>
      </c>
      <c r="M747">
        <v>3.306</v>
      </c>
      <c r="N747">
        <v>110.028</v>
      </c>
      <c r="O747">
        <v>100.025</v>
      </c>
      <c r="P747">
        <f t="shared" si="48"/>
        <v>2.04150321877721</v>
      </c>
      <c r="Q747">
        <f t="shared" si="48"/>
        <v>2.00010856005103</v>
      </c>
      <c r="R747">
        <v>66.344</v>
      </c>
      <c r="S747">
        <v>74.522</v>
      </c>
      <c r="T747">
        <v>77.248</v>
      </c>
      <c r="U747">
        <v>4.791</v>
      </c>
      <c r="V747">
        <v>61.336</v>
      </c>
      <c r="W747">
        <v>0.017</v>
      </c>
      <c r="X747" t="s">
        <v>55</v>
      </c>
      <c r="Y747" t="s">
        <v>31</v>
      </c>
      <c r="Z747" s="3">
        <f t="shared" si="49"/>
        <v>0.0413946587261744</v>
      </c>
      <c r="AA747">
        <f t="shared" si="50"/>
        <v>-0.584</v>
      </c>
      <c r="AB747">
        <f t="shared" si="51"/>
        <v>0.522</v>
      </c>
      <c r="AC747" t="s">
        <v>43</v>
      </c>
    </row>
    <row r="748" spans="1:29">
      <c r="A748" t="s">
        <v>72</v>
      </c>
      <c r="B748">
        <v>4137.75</v>
      </c>
      <c r="C748">
        <v>25.023</v>
      </c>
      <c r="D748">
        <v>53.645</v>
      </c>
      <c r="E748">
        <v>179.191</v>
      </c>
      <c r="F748">
        <v>0.259</v>
      </c>
      <c r="G748">
        <v>24.364</v>
      </c>
      <c r="H748">
        <v>4.302</v>
      </c>
      <c r="I748">
        <v>2.758</v>
      </c>
      <c r="J748">
        <v>0.868</v>
      </c>
      <c r="K748">
        <v>9.686</v>
      </c>
      <c r="L748">
        <v>0.285</v>
      </c>
      <c r="M748">
        <v>3.28</v>
      </c>
      <c r="N748">
        <v>105.125</v>
      </c>
      <c r="O748">
        <v>95.613</v>
      </c>
      <c r="P748">
        <f t="shared" si="48"/>
        <v>2.02170600880597</v>
      </c>
      <c r="Q748">
        <f t="shared" si="48"/>
        <v>1.98051694504211</v>
      </c>
      <c r="R748">
        <v>70.782</v>
      </c>
      <c r="S748">
        <v>79.561</v>
      </c>
      <c r="T748">
        <v>82.488</v>
      </c>
      <c r="U748">
        <v>4.808</v>
      </c>
      <c r="V748">
        <v>60.314</v>
      </c>
      <c r="W748">
        <v>0.017</v>
      </c>
      <c r="X748" t="s">
        <v>55</v>
      </c>
      <c r="Y748" t="s">
        <v>31</v>
      </c>
      <c r="Z748" s="3">
        <f t="shared" si="49"/>
        <v>0.0411890637638592</v>
      </c>
      <c r="AA748">
        <f t="shared" si="50"/>
        <v>-0.583</v>
      </c>
      <c r="AB748">
        <f t="shared" si="51"/>
        <v>0.544</v>
      </c>
      <c r="AC748" t="s">
        <v>43</v>
      </c>
    </row>
    <row r="749" spans="1:29">
      <c r="A749" t="s">
        <v>72</v>
      </c>
      <c r="B749">
        <v>4137.875</v>
      </c>
      <c r="C749">
        <v>24.825</v>
      </c>
      <c r="D749">
        <v>54.181</v>
      </c>
      <c r="E749">
        <v>180.835</v>
      </c>
      <c r="F749">
        <v>0.277</v>
      </c>
      <c r="G749">
        <v>24.451</v>
      </c>
      <c r="H749">
        <v>4.156</v>
      </c>
      <c r="I749">
        <v>2.754</v>
      </c>
      <c r="J749">
        <v>0.862</v>
      </c>
      <c r="K749">
        <v>9.554</v>
      </c>
      <c r="L749">
        <v>0.275</v>
      </c>
      <c r="M749">
        <v>3.252</v>
      </c>
      <c r="N749">
        <v>102.134</v>
      </c>
      <c r="O749">
        <v>92.92</v>
      </c>
      <c r="P749">
        <f t="shared" si="48"/>
        <v>2.00917034105203</v>
      </c>
      <c r="Q749">
        <f t="shared" si="48"/>
        <v>1.9681092011282</v>
      </c>
      <c r="R749">
        <v>68.194</v>
      </c>
      <c r="S749">
        <v>76.794</v>
      </c>
      <c r="T749">
        <v>79.66</v>
      </c>
      <c r="U749">
        <v>4.876</v>
      </c>
      <c r="V749">
        <v>60.713</v>
      </c>
      <c r="W749">
        <v>0.018</v>
      </c>
      <c r="X749" t="s">
        <v>55</v>
      </c>
      <c r="Y749" t="s">
        <v>31</v>
      </c>
      <c r="Z749" s="3">
        <f t="shared" si="49"/>
        <v>0.0410611399238321</v>
      </c>
      <c r="AA749">
        <f t="shared" si="50"/>
        <v>-0.587</v>
      </c>
      <c r="AB749">
        <f t="shared" si="51"/>
        <v>0.552</v>
      </c>
      <c r="AC749" t="s">
        <v>43</v>
      </c>
    </row>
    <row r="750" spans="1:29">
      <c r="A750" t="s">
        <v>72</v>
      </c>
      <c r="B750">
        <v>4138</v>
      </c>
      <c r="C750">
        <v>23.652</v>
      </c>
      <c r="D750">
        <v>55.106</v>
      </c>
      <c r="E750">
        <v>179.333</v>
      </c>
      <c r="F750">
        <v>0.261</v>
      </c>
      <c r="G750">
        <v>24.685</v>
      </c>
      <c r="H750">
        <v>3.636</v>
      </c>
      <c r="I750">
        <v>2.746</v>
      </c>
      <c r="J750">
        <v>0.851</v>
      </c>
      <c r="K750">
        <v>9.08</v>
      </c>
      <c r="L750">
        <v>0.241</v>
      </c>
      <c r="M750">
        <v>3.211</v>
      </c>
      <c r="N750">
        <v>102.538</v>
      </c>
      <c r="O750">
        <v>93.285</v>
      </c>
      <c r="P750">
        <f t="shared" si="48"/>
        <v>2.01088484228875</v>
      </c>
      <c r="Q750">
        <f t="shared" si="48"/>
        <v>1.9698118158692</v>
      </c>
      <c r="R750">
        <v>64.388</v>
      </c>
      <c r="S750">
        <v>72.589</v>
      </c>
      <c r="T750">
        <v>75.323</v>
      </c>
      <c r="U750">
        <v>4.743</v>
      </c>
      <c r="V750">
        <v>63.802</v>
      </c>
      <c r="W750">
        <v>0.016</v>
      </c>
      <c r="X750" t="s">
        <v>55</v>
      </c>
      <c r="Y750" t="s">
        <v>31</v>
      </c>
      <c r="Z750" s="3">
        <f t="shared" si="49"/>
        <v>0.0410730264195465</v>
      </c>
      <c r="AA750">
        <f t="shared" si="50"/>
        <v>-0.61</v>
      </c>
      <c r="AB750">
        <f t="shared" si="51"/>
        <v>0.502</v>
      </c>
      <c r="AC750" t="s">
        <v>43</v>
      </c>
    </row>
    <row r="751" spans="1:29">
      <c r="A751" t="s">
        <v>72</v>
      </c>
      <c r="B751">
        <v>4138.125</v>
      </c>
      <c r="C751">
        <v>22.041</v>
      </c>
      <c r="D751">
        <v>56.308</v>
      </c>
      <c r="E751">
        <v>174.392</v>
      </c>
      <c r="F751">
        <v>0.208</v>
      </c>
      <c r="G751">
        <v>24.98</v>
      </c>
      <c r="H751">
        <v>2.825</v>
      </c>
      <c r="I751">
        <v>2.738</v>
      </c>
      <c r="J751">
        <v>0.84</v>
      </c>
      <c r="K751">
        <v>8.386</v>
      </c>
      <c r="L751">
        <v>0.19</v>
      </c>
      <c r="M751">
        <v>3.165</v>
      </c>
      <c r="N751">
        <v>108.113</v>
      </c>
      <c r="O751">
        <v>98.302</v>
      </c>
      <c r="P751">
        <f t="shared" si="48"/>
        <v>2.03387791864166</v>
      </c>
      <c r="Q751">
        <f t="shared" si="48"/>
        <v>1.99256235384564</v>
      </c>
      <c r="R751">
        <v>64.278</v>
      </c>
      <c r="S751">
        <v>72.536</v>
      </c>
      <c r="T751">
        <v>75.289</v>
      </c>
      <c r="U751">
        <v>4.475</v>
      </c>
      <c r="V751">
        <v>67.547</v>
      </c>
      <c r="W751">
        <v>0.012</v>
      </c>
      <c r="X751" t="s">
        <v>55</v>
      </c>
      <c r="Y751" t="s">
        <v>31</v>
      </c>
      <c r="Z751" s="3">
        <f t="shared" si="49"/>
        <v>0.0413155647960208</v>
      </c>
      <c r="AA751">
        <f t="shared" si="50"/>
        <v>-0.65</v>
      </c>
      <c r="AB751">
        <f t="shared" si="51"/>
        <v>0.398</v>
      </c>
      <c r="AC751" t="s">
        <v>43</v>
      </c>
    </row>
    <row r="752" spans="1:29">
      <c r="A752" t="s">
        <v>72</v>
      </c>
      <c r="B752">
        <v>4138.25</v>
      </c>
      <c r="C752">
        <v>21.352</v>
      </c>
      <c r="D752">
        <v>57.223</v>
      </c>
      <c r="E752">
        <v>169.598</v>
      </c>
      <c r="F752">
        <v>0.157</v>
      </c>
      <c r="G752">
        <v>25.068</v>
      </c>
      <c r="H752">
        <v>2.298</v>
      </c>
      <c r="I752">
        <v>2.737</v>
      </c>
      <c r="J752">
        <v>0.838</v>
      </c>
      <c r="K752">
        <v>7.955</v>
      </c>
      <c r="L752">
        <v>0.158</v>
      </c>
      <c r="M752">
        <v>3.138</v>
      </c>
      <c r="N752">
        <v>117.28</v>
      </c>
      <c r="O752">
        <v>106.552</v>
      </c>
      <c r="P752">
        <f t="shared" si="48"/>
        <v>2.06922395729705</v>
      </c>
      <c r="Q752">
        <f t="shared" si="48"/>
        <v>2.02756160591143</v>
      </c>
      <c r="R752">
        <v>65.157</v>
      </c>
      <c r="S752">
        <v>73.538</v>
      </c>
      <c r="T752">
        <v>76.332</v>
      </c>
      <c r="U752">
        <v>4.216</v>
      </c>
      <c r="V752">
        <v>66.188</v>
      </c>
      <c r="W752">
        <v>0.012</v>
      </c>
      <c r="X752" t="s">
        <v>55</v>
      </c>
      <c r="Y752" t="s">
        <v>31</v>
      </c>
      <c r="Z752" s="3">
        <f t="shared" si="49"/>
        <v>0.0416623513856216</v>
      </c>
      <c r="AA752">
        <f t="shared" si="50"/>
        <v>-0.68</v>
      </c>
      <c r="AB752">
        <f t="shared" si="51"/>
        <v>0.315</v>
      </c>
      <c r="AC752" t="s">
        <v>43</v>
      </c>
    </row>
    <row r="753" spans="1:29">
      <c r="A753" t="s">
        <v>72</v>
      </c>
      <c r="B753">
        <v>4138.375</v>
      </c>
      <c r="C753">
        <v>21.072</v>
      </c>
      <c r="D753">
        <v>58.252</v>
      </c>
      <c r="E753">
        <v>165.367</v>
      </c>
      <c r="F753">
        <v>0.111</v>
      </c>
      <c r="G753">
        <v>25.005</v>
      </c>
      <c r="H753">
        <v>1.889</v>
      </c>
      <c r="I753">
        <v>2.738</v>
      </c>
      <c r="J753">
        <v>0.84</v>
      </c>
      <c r="K753">
        <v>7.583</v>
      </c>
      <c r="L753">
        <v>0.131</v>
      </c>
      <c r="M753">
        <v>3.111</v>
      </c>
      <c r="N753">
        <v>127.705</v>
      </c>
      <c r="O753">
        <v>115.935</v>
      </c>
      <c r="P753">
        <f t="shared" si="48"/>
        <v>2.10620790141298</v>
      </c>
      <c r="Q753">
        <f t="shared" si="48"/>
        <v>2.06421456635359</v>
      </c>
      <c r="R753">
        <v>99.421</v>
      </c>
      <c r="S753">
        <v>112.371</v>
      </c>
      <c r="T753">
        <v>116.688</v>
      </c>
      <c r="U753">
        <v>3.748</v>
      </c>
      <c r="V753">
        <v>64.04</v>
      </c>
      <c r="W753">
        <v>0.01</v>
      </c>
      <c r="X753" t="s">
        <v>55</v>
      </c>
      <c r="Y753" t="s">
        <v>31</v>
      </c>
      <c r="Z753" s="3">
        <f t="shared" si="49"/>
        <v>0.0419933350593906</v>
      </c>
      <c r="AA753">
        <f t="shared" si="50"/>
        <v>-0.709</v>
      </c>
      <c r="AB753">
        <f t="shared" si="51"/>
        <v>0.242</v>
      </c>
      <c r="AC753" t="s">
        <v>43</v>
      </c>
    </row>
    <row r="754" spans="1:29">
      <c r="A754" t="s">
        <v>72</v>
      </c>
      <c r="B754">
        <v>4138.5</v>
      </c>
      <c r="C754">
        <v>21.2</v>
      </c>
      <c r="D754">
        <v>59.916</v>
      </c>
      <c r="E754">
        <v>162.707</v>
      </c>
      <c r="F754">
        <v>0.083</v>
      </c>
      <c r="G754">
        <v>24.709</v>
      </c>
      <c r="H754">
        <v>1.498</v>
      </c>
      <c r="I754">
        <v>2.739</v>
      </c>
      <c r="J754">
        <v>0.841</v>
      </c>
      <c r="K754">
        <v>7.233</v>
      </c>
      <c r="L754">
        <v>0.105</v>
      </c>
      <c r="M754">
        <v>3.067</v>
      </c>
      <c r="N754">
        <v>154.64</v>
      </c>
      <c r="O754">
        <v>140.176</v>
      </c>
      <c r="P754">
        <f t="shared" si="48"/>
        <v>2.1893218410205</v>
      </c>
      <c r="Q754">
        <f t="shared" si="48"/>
        <v>2.14667366299013</v>
      </c>
      <c r="R754">
        <v>114.369</v>
      </c>
      <c r="S754">
        <v>129.27</v>
      </c>
      <c r="T754">
        <v>134.237</v>
      </c>
      <c r="U754">
        <v>3.736</v>
      </c>
      <c r="V754">
        <v>60.407</v>
      </c>
      <c r="W754">
        <v>0.01</v>
      </c>
      <c r="X754" t="s">
        <v>55</v>
      </c>
      <c r="Y754" t="s">
        <v>31</v>
      </c>
      <c r="Z754" s="3">
        <f t="shared" si="49"/>
        <v>0.0426481780303618</v>
      </c>
      <c r="AA754">
        <f t="shared" si="50"/>
        <v>-0.736</v>
      </c>
      <c r="AB754">
        <f t="shared" si="51"/>
        <v>0.188</v>
      </c>
      <c r="AC754" t="s">
        <v>43</v>
      </c>
    </row>
    <row r="755" spans="1:29">
      <c r="A755" t="s">
        <v>72</v>
      </c>
      <c r="B755">
        <v>4138.625</v>
      </c>
      <c r="C755">
        <v>21.979</v>
      </c>
      <c r="D755">
        <v>61.987</v>
      </c>
      <c r="E755">
        <v>162.593</v>
      </c>
      <c r="F755">
        <v>0.082</v>
      </c>
      <c r="G755">
        <v>24.315</v>
      </c>
      <c r="H755">
        <v>1.228</v>
      </c>
      <c r="I755">
        <v>2.734</v>
      </c>
      <c r="J755">
        <v>0.834</v>
      </c>
      <c r="K755">
        <v>7.009</v>
      </c>
      <c r="L755">
        <v>0.088</v>
      </c>
      <c r="M755">
        <v>3.014</v>
      </c>
      <c r="N755">
        <v>205.511</v>
      </c>
      <c r="O755">
        <v>185.96</v>
      </c>
      <c r="P755">
        <f t="shared" si="48"/>
        <v>2.3128350724965</v>
      </c>
      <c r="Q755">
        <f t="shared" si="48"/>
        <v>2.26941953751105</v>
      </c>
      <c r="R755">
        <v>126.271</v>
      </c>
      <c r="S755">
        <v>142.684</v>
      </c>
      <c r="T755">
        <v>148.155</v>
      </c>
      <c r="U755">
        <v>3.464</v>
      </c>
      <c r="V755">
        <v>63.184</v>
      </c>
      <c r="W755">
        <v>0.01</v>
      </c>
      <c r="X755" t="s">
        <v>55</v>
      </c>
      <c r="Y755" t="s">
        <v>31</v>
      </c>
      <c r="Z755" s="3">
        <f t="shared" si="49"/>
        <v>0.0434155349854546</v>
      </c>
      <c r="AA755">
        <f t="shared" si="50"/>
        <v>-0.746</v>
      </c>
      <c r="AB755">
        <f t="shared" si="51"/>
        <v>0.17</v>
      </c>
      <c r="AC755" t="s">
        <v>43</v>
      </c>
    </row>
    <row r="756" spans="1:29">
      <c r="A756" t="s">
        <v>72</v>
      </c>
      <c r="B756">
        <v>4138.75</v>
      </c>
      <c r="C756">
        <v>24.113</v>
      </c>
      <c r="D756">
        <v>63.412</v>
      </c>
      <c r="E756">
        <v>164.886</v>
      </c>
      <c r="F756">
        <v>0.106</v>
      </c>
      <c r="G756">
        <v>24.134</v>
      </c>
      <c r="H756">
        <v>1.226</v>
      </c>
      <c r="I756">
        <v>2.727</v>
      </c>
      <c r="J756">
        <v>0.824</v>
      </c>
      <c r="K756">
        <v>7.053</v>
      </c>
      <c r="L756">
        <v>0.092</v>
      </c>
      <c r="M756">
        <v>2.98</v>
      </c>
      <c r="N756">
        <v>265.191</v>
      </c>
      <c r="O756">
        <v>239.672</v>
      </c>
      <c r="P756">
        <f t="shared" si="48"/>
        <v>2.42355878098212</v>
      </c>
      <c r="Q756">
        <f t="shared" si="48"/>
        <v>2.37961729996697</v>
      </c>
      <c r="R756">
        <v>136.947</v>
      </c>
      <c r="S756">
        <v>154.647</v>
      </c>
      <c r="T756">
        <v>160.547</v>
      </c>
      <c r="U756">
        <v>3.03</v>
      </c>
      <c r="V756">
        <v>68.79</v>
      </c>
      <c r="W756">
        <v>0.01</v>
      </c>
      <c r="X756" t="s">
        <v>55</v>
      </c>
      <c r="Y756" t="s">
        <v>31</v>
      </c>
      <c r="Z756" s="3">
        <f t="shared" si="49"/>
        <v>0.0439414810151546</v>
      </c>
      <c r="AA756">
        <f t="shared" si="50"/>
        <v>-0.732</v>
      </c>
      <c r="AB756">
        <f t="shared" si="51"/>
        <v>0.198</v>
      </c>
      <c r="AC756" t="s">
        <v>43</v>
      </c>
    </row>
    <row r="757" spans="1:29">
      <c r="A757" t="s">
        <v>72</v>
      </c>
      <c r="B757">
        <v>4138.875</v>
      </c>
      <c r="C757">
        <v>28.458</v>
      </c>
      <c r="D757">
        <v>64.895</v>
      </c>
      <c r="E757">
        <v>168.039</v>
      </c>
      <c r="F757">
        <v>0.14</v>
      </c>
      <c r="G757">
        <v>23.997</v>
      </c>
      <c r="H757">
        <v>1.232</v>
      </c>
      <c r="I757">
        <v>2.72</v>
      </c>
      <c r="J757">
        <v>0.814</v>
      </c>
      <c r="K757">
        <v>7.197</v>
      </c>
      <c r="L757">
        <v>0.102</v>
      </c>
      <c r="M757">
        <v>2.951</v>
      </c>
      <c r="N757">
        <v>328.667</v>
      </c>
      <c r="O757">
        <v>296.801</v>
      </c>
      <c r="P757">
        <f t="shared" si="48"/>
        <v>2.51675610068226</v>
      </c>
      <c r="Q757">
        <f t="shared" si="48"/>
        <v>2.47246535986087</v>
      </c>
      <c r="R757">
        <v>156.191</v>
      </c>
      <c r="S757">
        <v>175.93</v>
      </c>
      <c r="T757">
        <v>182.51</v>
      </c>
      <c r="U757">
        <v>1.82</v>
      </c>
      <c r="V757">
        <v>79.791</v>
      </c>
      <c r="W757">
        <v>0.006</v>
      </c>
      <c r="X757" t="s">
        <v>55</v>
      </c>
      <c r="Y757" t="s">
        <v>31</v>
      </c>
      <c r="Z757" s="3">
        <f t="shared" si="49"/>
        <v>0.0442907408213951</v>
      </c>
      <c r="AA757">
        <f t="shared" si="50"/>
        <v>-0.712</v>
      </c>
      <c r="AB757">
        <f t="shared" si="51"/>
        <v>0.242</v>
      </c>
      <c r="AC757" t="s">
        <v>43</v>
      </c>
    </row>
    <row r="758" spans="1:29">
      <c r="A758" t="s">
        <v>72</v>
      </c>
      <c r="B758">
        <v>4139</v>
      </c>
      <c r="C758">
        <v>39.973</v>
      </c>
      <c r="D758">
        <v>67.013</v>
      </c>
      <c r="E758">
        <v>172.516</v>
      </c>
      <c r="F758">
        <v>0.188</v>
      </c>
      <c r="G758">
        <v>23.851</v>
      </c>
      <c r="H758">
        <v>1.306</v>
      </c>
      <c r="I758">
        <v>2.713</v>
      </c>
      <c r="J758">
        <v>0.804</v>
      </c>
      <c r="K758">
        <v>7.495</v>
      </c>
      <c r="L758">
        <v>0.124</v>
      </c>
      <c r="M758">
        <v>2.93</v>
      </c>
      <c r="N758">
        <v>354.031</v>
      </c>
      <c r="O758">
        <v>319.628</v>
      </c>
      <c r="P758">
        <f t="shared" si="48"/>
        <v>2.54904129179835</v>
      </c>
      <c r="Q758">
        <f t="shared" si="48"/>
        <v>2.50464481730293</v>
      </c>
      <c r="R758">
        <v>153.734</v>
      </c>
      <c r="S758">
        <v>172.934</v>
      </c>
      <c r="T758">
        <v>179.334</v>
      </c>
      <c r="U758">
        <v>0.01</v>
      </c>
      <c r="V758">
        <v>100</v>
      </c>
      <c r="W758">
        <v>0.001</v>
      </c>
      <c r="X758" t="s">
        <v>55</v>
      </c>
      <c r="Y758" t="s">
        <v>31</v>
      </c>
      <c r="Z758" s="3">
        <f t="shared" si="49"/>
        <v>0.0443964744954184</v>
      </c>
      <c r="AA758">
        <f t="shared" si="50"/>
        <v>-0.68</v>
      </c>
      <c r="AB758">
        <f t="shared" si="51"/>
        <v>0.312</v>
      </c>
      <c r="AC758" t="s">
        <v>43</v>
      </c>
    </row>
    <row r="759" spans="1:29">
      <c r="A759" t="s">
        <v>73</v>
      </c>
      <c r="B759">
        <v>4258</v>
      </c>
      <c r="C759">
        <v>30.304</v>
      </c>
      <c r="D759">
        <v>83.654</v>
      </c>
      <c r="E759">
        <v>180.086</v>
      </c>
      <c r="F759">
        <v>0.435</v>
      </c>
      <c r="G759">
        <v>22.001</v>
      </c>
      <c r="H759">
        <v>0.92</v>
      </c>
      <c r="I759">
        <v>2.772</v>
      </c>
      <c r="J759">
        <v>0.751</v>
      </c>
      <c r="K759">
        <v>7.795</v>
      </c>
      <c r="L759">
        <v>0.292</v>
      </c>
      <c r="M759">
        <v>3.178</v>
      </c>
      <c r="N759">
        <v>76.845</v>
      </c>
      <c r="O759">
        <v>69.929</v>
      </c>
      <c r="P759">
        <f t="shared" si="48"/>
        <v>1.88561561493202</v>
      </c>
      <c r="Q759">
        <f t="shared" si="48"/>
        <v>1.84465731777853</v>
      </c>
      <c r="R759">
        <v>25.32</v>
      </c>
      <c r="S759">
        <v>-9999</v>
      </c>
      <c r="T759">
        <v>76.845</v>
      </c>
      <c r="U759">
        <v>4.69</v>
      </c>
      <c r="V759">
        <v>24.322</v>
      </c>
      <c r="W759">
        <v>0.1</v>
      </c>
      <c r="X759" t="s">
        <v>55</v>
      </c>
      <c r="Y759" t="s">
        <v>31</v>
      </c>
      <c r="Z759" s="3">
        <f t="shared" si="49"/>
        <v>0.0409582971534896</v>
      </c>
      <c r="AA759">
        <f t="shared" si="50"/>
        <v>-0.459</v>
      </c>
      <c r="AB759">
        <f t="shared" si="51"/>
        <v>0.727</v>
      </c>
      <c r="AC759" t="s">
        <v>43</v>
      </c>
    </row>
    <row r="760" spans="1:29">
      <c r="A760" t="s">
        <v>73</v>
      </c>
      <c r="B760">
        <v>4258.125</v>
      </c>
      <c r="C760">
        <v>29.875</v>
      </c>
      <c r="D760">
        <v>83.582</v>
      </c>
      <c r="E760">
        <v>179.129</v>
      </c>
      <c r="F760">
        <v>0.419</v>
      </c>
      <c r="G760">
        <v>21.968</v>
      </c>
      <c r="H760">
        <v>0.998</v>
      </c>
      <c r="I760">
        <v>2.771</v>
      </c>
      <c r="J760">
        <v>0.747</v>
      </c>
      <c r="K760">
        <v>8.207</v>
      </c>
      <c r="L760">
        <v>0.318</v>
      </c>
      <c r="M760">
        <v>3.194</v>
      </c>
      <c r="N760">
        <v>74.73</v>
      </c>
      <c r="O760">
        <v>68.004</v>
      </c>
      <c r="P760">
        <f t="shared" si="48"/>
        <v>1.87349498225617</v>
      </c>
      <c r="Q760">
        <f t="shared" si="48"/>
        <v>1.83253445868912</v>
      </c>
      <c r="R760">
        <v>25.211</v>
      </c>
      <c r="S760">
        <v>-9999</v>
      </c>
      <c r="T760">
        <v>74.73</v>
      </c>
      <c r="U760">
        <v>4.943</v>
      </c>
      <c r="V760">
        <v>23.407</v>
      </c>
      <c r="W760">
        <v>0.126</v>
      </c>
      <c r="X760" t="s">
        <v>55</v>
      </c>
      <c r="Y760" t="s">
        <v>31</v>
      </c>
      <c r="Z760" s="3">
        <f t="shared" si="49"/>
        <v>0.0409605235670483</v>
      </c>
      <c r="AA760">
        <f t="shared" si="50"/>
        <v>-0.429</v>
      </c>
      <c r="AB760">
        <f t="shared" si="51"/>
        <v>0.737</v>
      </c>
      <c r="AC760" t="s">
        <v>43</v>
      </c>
    </row>
    <row r="761" spans="1:29">
      <c r="A761" t="s">
        <v>73</v>
      </c>
      <c r="B761">
        <v>4258.25</v>
      </c>
      <c r="C761">
        <v>29.638</v>
      </c>
      <c r="D761">
        <v>83.505</v>
      </c>
      <c r="E761">
        <v>178.846</v>
      </c>
      <c r="F761">
        <v>0.415</v>
      </c>
      <c r="G761">
        <v>21.929</v>
      </c>
      <c r="H761">
        <v>1.103</v>
      </c>
      <c r="I761">
        <v>2.766</v>
      </c>
      <c r="J761">
        <v>0.73</v>
      </c>
      <c r="K761">
        <v>8.396</v>
      </c>
      <c r="L761">
        <v>0.33</v>
      </c>
      <c r="M761">
        <v>3.217</v>
      </c>
      <c r="N761">
        <v>73.751</v>
      </c>
      <c r="O761">
        <v>67.113</v>
      </c>
      <c r="P761">
        <f t="shared" si="48"/>
        <v>1.86776791334902</v>
      </c>
      <c r="Q761">
        <f t="shared" si="48"/>
        <v>1.82680665252998</v>
      </c>
      <c r="R761">
        <v>25.882</v>
      </c>
      <c r="S761">
        <v>-9999</v>
      </c>
      <c r="T761">
        <v>73.751</v>
      </c>
      <c r="U761">
        <v>5.176</v>
      </c>
      <c r="V761">
        <v>22.502</v>
      </c>
      <c r="W761">
        <v>0.154</v>
      </c>
      <c r="X761" t="s">
        <v>55</v>
      </c>
      <c r="Y761" t="s">
        <v>31</v>
      </c>
      <c r="Z761" s="3">
        <f t="shared" si="49"/>
        <v>0.0409612608190386</v>
      </c>
      <c r="AA761">
        <f t="shared" si="50"/>
        <v>-0.4</v>
      </c>
      <c r="AB761">
        <f t="shared" si="51"/>
        <v>0.745</v>
      </c>
      <c r="AC761" t="s">
        <v>43</v>
      </c>
    </row>
    <row r="762" spans="1:29">
      <c r="A762" t="s">
        <v>73</v>
      </c>
      <c r="B762">
        <v>4258.375</v>
      </c>
      <c r="C762">
        <v>30.234</v>
      </c>
      <c r="D762">
        <v>83.416</v>
      </c>
      <c r="E762">
        <v>179.068</v>
      </c>
      <c r="F762">
        <v>0.418</v>
      </c>
      <c r="G762">
        <v>21.872</v>
      </c>
      <c r="H762">
        <v>1.266</v>
      </c>
      <c r="I762">
        <v>2.759</v>
      </c>
      <c r="J762">
        <v>0.705</v>
      </c>
      <c r="K762">
        <v>8.591</v>
      </c>
      <c r="L762">
        <v>0.343</v>
      </c>
      <c r="M762">
        <v>3.223</v>
      </c>
      <c r="N762">
        <v>73.679</v>
      </c>
      <c r="O762">
        <v>67.048</v>
      </c>
      <c r="P762">
        <f t="shared" si="48"/>
        <v>1.86734372281543</v>
      </c>
      <c r="Q762">
        <f t="shared" si="48"/>
        <v>1.82638582764745</v>
      </c>
      <c r="R762">
        <v>24.653</v>
      </c>
      <c r="S762">
        <v>-9999</v>
      </c>
      <c r="T762">
        <v>73.68</v>
      </c>
      <c r="U762">
        <v>5.393</v>
      </c>
      <c r="V762">
        <v>21.608</v>
      </c>
      <c r="W762">
        <v>0.185</v>
      </c>
      <c r="X762" t="s">
        <v>55</v>
      </c>
      <c r="Y762" t="s">
        <v>31</v>
      </c>
      <c r="Z762" s="3">
        <f t="shared" si="49"/>
        <v>0.0409578951679859</v>
      </c>
      <c r="AA762">
        <f t="shared" si="50"/>
        <v>-0.362</v>
      </c>
      <c r="AB762">
        <f t="shared" si="51"/>
        <v>0.761</v>
      </c>
      <c r="AC762" t="s">
        <v>43</v>
      </c>
    </row>
    <row r="763" spans="1:29">
      <c r="A763" t="s">
        <v>73</v>
      </c>
      <c r="B763">
        <v>4258.5</v>
      </c>
      <c r="C763">
        <v>31.45</v>
      </c>
      <c r="D763">
        <v>83.309</v>
      </c>
      <c r="E763">
        <v>179.349</v>
      </c>
      <c r="F763">
        <v>0.423</v>
      </c>
      <c r="G763">
        <v>21.821</v>
      </c>
      <c r="H763">
        <v>1.427</v>
      </c>
      <c r="I763">
        <v>2.753</v>
      </c>
      <c r="J763">
        <v>0.684</v>
      </c>
      <c r="K763">
        <v>9.02</v>
      </c>
      <c r="L763">
        <v>0.37</v>
      </c>
      <c r="M763">
        <v>3.209</v>
      </c>
      <c r="N763">
        <v>74.899</v>
      </c>
      <c r="O763">
        <v>68.158</v>
      </c>
      <c r="P763">
        <f t="shared" si="48"/>
        <v>1.87447601933657</v>
      </c>
      <c r="Q763">
        <f t="shared" si="48"/>
        <v>1.83351683818899</v>
      </c>
      <c r="R763">
        <v>21.613</v>
      </c>
      <c r="S763">
        <v>-9999</v>
      </c>
      <c r="T763">
        <v>74.899</v>
      </c>
      <c r="U763">
        <v>5.709</v>
      </c>
      <c r="V763">
        <v>20.239</v>
      </c>
      <c r="W763">
        <v>0.237</v>
      </c>
      <c r="X763" t="s">
        <v>55</v>
      </c>
      <c r="Y763" t="s">
        <v>31</v>
      </c>
      <c r="Z763" s="3">
        <f t="shared" si="49"/>
        <v>0.0409591811475758</v>
      </c>
      <c r="AA763">
        <f t="shared" si="50"/>
        <v>-0.314</v>
      </c>
      <c r="AB763">
        <f t="shared" si="51"/>
        <v>0.793</v>
      </c>
      <c r="AC763" t="s">
        <v>43</v>
      </c>
    </row>
    <row r="764" spans="1:29">
      <c r="A764" t="s">
        <v>73</v>
      </c>
      <c r="B764">
        <v>4258.625</v>
      </c>
      <c r="C764">
        <v>32.639</v>
      </c>
      <c r="D764">
        <v>83.179</v>
      </c>
      <c r="E764">
        <v>179.033</v>
      </c>
      <c r="F764">
        <v>0.418</v>
      </c>
      <c r="G764">
        <v>21.812</v>
      </c>
      <c r="H764">
        <v>1.518</v>
      </c>
      <c r="I764">
        <v>2.745</v>
      </c>
      <c r="J764">
        <v>0.656</v>
      </c>
      <c r="K764">
        <v>9.549</v>
      </c>
      <c r="L764">
        <v>0.403</v>
      </c>
      <c r="M764">
        <v>3.195</v>
      </c>
      <c r="N764">
        <v>77.384</v>
      </c>
      <c r="O764">
        <v>70.419</v>
      </c>
      <c r="P764">
        <f t="shared" si="48"/>
        <v>1.88865117476529</v>
      </c>
      <c r="Q764">
        <f t="shared" si="48"/>
        <v>1.84768985348671</v>
      </c>
      <c r="R764">
        <v>19.612</v>
      </c>
      <c r="S764">
        <v>-9999</v>
      </c>
      <c r="T764">
        <v>77.384</v>
      </c>
      <c r="U764">
        <v>6.063</v>
      </c>
      <c r="V764">
        <v>18.767</v>
      </c>
      <c r="W764">
        <v>0.31</v>
      </c>
      <c r="X764" t="s">
        <v>55</v>
      </c>
      <c r="Y764" t="s">
        <v>31</v>
      </c>
      <c r="Z764" s="3">
        <f t="shared" si="49"/>
        <v>0.0409613212785749</v>
      </c>
      <c r="AA764">
        <f t="shared" si="50"/>
        <v>-0.253</v>
      </c>
      <c r="AB764">
        <f t="shared" si="51"/>
        <v>0.821</v>
      </c>
      <c r="AC764" t="s">
        <v>43</v>
      </c>
    </row>
    <row r="765" spans="1:29">
      <c r="A765" t="s">
        <v>73</v>
      </c>
      <c r="B765">
        <v>4258.75</v>
      </c>
      <c r="C765">
        <v>33.076</v>
      </c>
      <c r="D765">
        <v>83.026</v>
      </c>
      <c r="E765">
        <v>177.87</v>
      </c>
      <c r="F765">
        <v>0.398</v>
      </c>
      <c r="G765">
        <v>21.818</v>
      </c>
      <c r="H765">
        <v>1.593</v>
      </c>
      <c r="I765">
        <v>2.733</v>
      </c>
      <c r="J765">
        <v>0.614</v>
      </c>
      <c r="K765">
        <v>9.95</v>
      </c>
      <c r="L765">
        <v>0.429</v>
      </c>
      <c r="M765">
        <v>3.168</v>
      </c>
      <c r="N765">
        <v>79.051</v>
      </c>
      <c r="O765">
        <v>71.936</v>
      </c>
      <c r="P765">
        <f t="shared" si="48"/>
        <v>1.89790736815482</v>
      </c>
      <c r="Q765">
        <f t="shared" si="48"/>
        <v>1.85694628521693</v>
      </c>
      <c r="R765">
        <v>19.559</v>
      </c>
      <c r="S765">
        <v>-9999</v>
      </c>
      <c r="T765">
        <v>79.051</v>
      </c>
      <c r="U765">
        <v>6.536</v>
      </c>
      <c r="V765">
        <v>17.223</v>
      </c>
      <c r="W765">
        <v>0.432</v>
      </c>
      <c r="X765" t="s">
        <v>55</v>
      </c>
      <c r="Y765" t="s">
        <v>31</v>
      </c>
      <c r="Z765" s="3">
        <f t="shared" si="49"/>
        <v>0.0409610829378888</v>
      </c>
      <c r="AA765">
        <f t="shared" si="50"/>
        <v>-0.185</v>
      </c>
      <c r="AB765">
        <f t="shared" si="51"/>
        <v>0.827</v>
      </c>
      <c r="AC765" t="s">
        <v>43</v>
      </c>
    </row>
    <row r="766" spans="1:29">
      <c r="A766" t="s">
        <v>73</v>
      </c>
      <c r="B766">
        <v>4258.875</v>
      </c>
      <c r="C766">
        <v>32.409</v>
      </c>
      <c r="D766">
        <v>82.852</v>
      </c>
      <c r="E766">
        <v>175.877</v>
      </c>
      <c r="F766">
        <v>0.365</v>
      </c>
      <c r="G766">
        <v>21.85</v>
      </c>
      <c r="H766">
        <v>1.723</v>
      </c>
      <c r="I766">
        <v>2.724</v>
      </c>
      <c r="J766">
        <v>0.582</v>
      </c>
      <c r="K766">
        <v>10.059</v>
      </c>
      <c r="L766">
        <v>0.436</v>
      </c>
      <c r="M766">
        <v>3.137</v>
      </c>
      <c r="N766">
        <v>79.295</v>
      </c>
      <c r="O766">
        <v>72.159</v>
      </c>
      <c r="P766">
        <f t="shared" si="48"/>
        <v>1.89924580344787</v>
      </c>
      <c r="Q766">
        <f t="shared" si="48"/>
        <v>1.85829050599881</v>
      </c>
      <c r="R766">
        <v>20.831</v>
      </c>
      <c r="S766">
        <v>-9999</v>
      </c>
      <c r="T766">
        <v>79.295</v>
      </c>
      <c r="U766">
        <v>6.827</v>
      </c>
      <c r="V766">
        <v>16.452</v>
      </c>
      <c r="W766">
        <v>0.52</v>
      </c>
      <c r="X766" t="s">
        <v>55</v>
      </c>
      <c r="Y766" t="s">
        <v>31</v>
      </c>
      <c r="Z766" s="3">
        <f t="shared" si="49"/>
        <v>0.0409552974490619</v>
      </c>
      <c r="AA766">
        <f t="shared" si="50"/>
        <v>-0.146</v>
      </c>
      <c r="AB766">
        <f t="shared" si="51"/>
        <v>0.801</v>
      </c>
      <c r="AC766" t="s">
        <v>43</v>
      </c>
    </row>
    <row r="767" spans="1:29">
      <c r="A767" t="s">
        <v>73</v>
      </c>
      <c r="B767">
        <v>4259</v>
      </c>
      <c r="C767">
        <v>30.786</v>
      </c>
      <c r="D767">
        <v>82.658</v>
      </c>
      <c r="E767">
        <v>173.282</v>
      </c>
      <c r="F767">
        <v>0.322</v>
      </c>
      <c r="G767">
        <v>21.889</v>
      </c>
      <c r="H767">
        <v>1.825</v>
      </c>
      <c r="I767">
        <v>2.72</v>
      </c>
      <c r="J767">
        <v>0.568</v>
      </c>
      <c r="K767">
        <v>9.828</v>
      </c>
      <c r="L767">
        <v>0.421</v>
      </c>
      <c r="M767">
        <v>3.125</v>
      </c>
      <c r="N767">
        <v>78.908</v>
      </c>
      <c r="O767">
        <v>71.807</v>
      </c>
      <c r="P767">
        <f t="shared" si="48"/>
        <v>1.89712103590559</v>
      </c>
      <c r="Q767">
        <f t="shared" si="48"/>
        <v>1.85616678286612</v>
      </c>
      <c r="R767">
        <v>23.085</v>
      </c>
      <c r="S767">
        <v>-9999</v>
      </c>
      <c r="T767">
        <v>78.908</v>
      </c>
      <c r="U767">
        <v>6.893</v>
      </c>
      <c r="V767">
        <v>16.333</v>
      </c>
      <c r="W767">
        <v>0.542</v>
      </c>
      <c r="X767" t="s">
        <v>55</v>
      </c>
      <c r="Y767" t="s">
        <v>31</v>
      </c>
      <c r="Z767" s="3">
        <f t="shared" si="49"/>
        <v>0.0409542530394611</v>
      </c>
      <c r="AA767">
        <f t="shared" si="50"/>
        <v>-0.147</v>
      </c>
      <c r="AB767">
        <f t="shared" si="51"/>
        <v>0.743</v>
      </c>
      <c r="AC767" t="s">
        <v>43</v>
      </c>
    </row>
    <row r="768" spans="1:29">
      <c r="A768" t="s">
        <v>73</v>
      </c>
      <c r="B768">
        <v>4259.125</v>
      </c>
      <c r="C768">
        <v>29.063</v>
      </c>
      <c r="D768">
        <v>82.452</v>
      </c>
      <c r="E768">
        <v>170.434</v>
      </c>
      <c r="F768">
        <v>0.275</v>
      </c>
      <c r="G768">
        <v>21.897</v>
      </c>
      <c r="H768">
        <v>1.827</v>
      </c>
      <c r="I768">
        <v>2.72</v>
      </c>
      <c r="J768">
        <v>0.568</v>
      </c>
      <c r="K768">
        <v>9.376</v>
      </c>
      <c r="L768">
        <v>0.392</v>
      </c>
      <c r="M768">
        <v>3.128</v>
      </c>
      <c r="N768">
        <v>79.485</v>
      </c>
      <c r="O768">
        <v>72.332</v>
      </c>
      <c r="P768">
        <f t="shared" si="48"/>
        <v>1.90028517857001</v>
      </c>
      <c r="Q768">
        <f t="shared" si="48"/>
        <v>1.85933047362685</v>
      </c>
      <c r="R768">
        <v>29.083</v>
      </c>
      <c r="S768">
        <v>-9999</v>
      </c>
      <c r="T768">
        <v>79.485</v>
      </c>
      <c r="U768">
        <v>6.773</v>
      </c>
      <c r="V768">
        <v>16.562</v>
      </c>
      <c r="W768">
        <v>0.503</v>
      </c>
      <c r="X768" t="s">
        <v>55</v>
      </c>
      <c r="Y768" t="s">
        <v>31</v>
      </c>
      <c r="Z768" s="3">
        <f t="shared" si="49"/>
        <v>0.0409547049431653</v>
      </c>
      <c r="AA768">
        <f t="shared" si="50"/>
        <v>-0.176</v>
      </c>
      <c r="AB768">
        <f t="shared" si="51"/>
        <v>0.667</v>
      </c>
      <c r="AC768" t="s">
        <v>43</v>
      </c>
    </row>
    <row r="769" spans="1:29">
      <c r="A769" t="s">
        <v>73</v>
      </c>
      <c r="B769">
        <v>4259.25</v>
      </c>
      <c r="C769">
        <v>27.894</v>
      </c>
      <c r="D769">
        <v>82.242</v>
      </c>
      <c r="E769">
        <v>167.634</v>
      </c>
      <c r="F769">
        <v>0.228</v>
      </c>
      <c r="G769">
        <v>21.897</v>
      </c>
      <c r="H769">
        <v>1.747</v>
      </c>
      <c r="I769">
        <v>2.724</v>
      </c>
      <c r="J769">
        <v>0.582</v>
      </c>
      <c r="K769">
        <v>8.933</v>
      </c>
      <c r="L769">
        <v>0.364</v>
      </c>
      <c r="M769">
        <v>3.149</v>
      </c>
      <c r="N769">
        <v>83.897</v>
      </c>
      <c r="O769">
        <v>76.346</v>
      </c>
      <c r="P769">
        <f t="shared" si="48"/>
        <v>1.92374643154694</v>
      </c>
      <c r="Q769">
        <f t="shared" si="48"/>
        <v>1.88278628797483</v>
      </c>
      <c r="R769">
        <v>30.699</v>
      </c>
      <c r="S769">
        <v>-9999</v>
      </c>
      <c r="T769">
        <v>83.897</v>
      </c>
      <c r="U769">
        <v>6.514</v>
      </c>
      <c r="V769">
        <v>16.77</v>
      </c>
      <c r="W769">
        <v>0.424</v>
      </c>
      <c r="X769" t="s">
        <v>55</v>
      </c>
      <c r="Y769" t="s">
        <v>31</v>
      </c>
      <c r="Z769" s="3">
        <f t="shared" si="49"/>
        <v>0.0409601435721132</v>
      </c>
      <c r="AA769">
        <f t="shared" si="50"/>
        <v>-0.218</v>
      </c>
      <c r="AB769">
        <f t="shared" si="51"/>
        <v>0.592</v>
      </c>
      <c r="AC769" t="s">
        <v>43</v>
      </c>
    </row>
    <row r="770" spans="1:29">
      <c r="A770" t="s">
        <v>73</v>
      </c>
      <c r="B770">
        <v>4259.375</v>
      </c>
      <c r="C770">
        <v>27.243</v>
      </c>
      <c r="D770">
        <v>82.037</v>
      </c>
      <c r="E770">
        <v>164.983</v>
      </c>
      <c r="F770">
        <v>0.184</v>
      </c>
      <c r="G770">
        <v>21.896</v>
      </c>
      <c r="H770">
        <v>1.666</v>
      </c>
      <c r="I770">
        <v>2.739</v>
      </c>
      <c r="J770">
        <v>0.635</v>
      </c>
      <c r="K770">
        <v>8.7</v>
      </c>
      <c r="L770">
        <v>0.35</v>
      </c>
      <c r="M770">
        <v>3.183</v>
      </c>
      <c r="N770">
        <v>94.615</v>
      </c>
      <c r="O770">
        <v>86.099</v>
      </c>
      <c r="P770">
        <f t="shared" si="48"/>
        <v>1.97595999370425</v>
      </c>
      <c r="Q770">
        <f t="shared" si="48"/>
        <v>1.93499810735373</v>
      </c>
      <c r="R770">
        <v>30.275</v>
      </c>
      <c r="S770">
        <v>-9999</v>
      </c>
      <c r="T770">
        <v>94.652</v>
      </c>
      <c r="U770">
        <v>6.094</v>
      </c>
      <c r="V770">
        <v>16.886</v>
      </c>
      <c r="W770">
        <v>0.317</v>
      </c>
      <c r="X770" t="s">
        <v>55</v>
      </c>
      <c r="Y770" t="s">
        <v>31</v>
      </c>
      <c r="Z770" s="3">
        <f t="shared" si="49"/>
        <v>0.0409618863505246</v>
      </c>
      <c r="AA770">
        <f t="shared" si="50"/>
        <v>-0.285</v>
      </c>
      <c r="AB770">
        <f t="shared" si="51"/>
        <v>0.534</v>
      </c>
      <c r="AC770" t="s">
        <v>43</v>
      </c>
    </row>
    <row r="771" spans="1:29">
      <c r="A771" t="s">
        <v>73</v>
      </c>
      <c r="B771">
        <v>4259.5</v>
      </c>
      <c r="C771">
        <v>27.223</v>
      </c>
      <c r="D771">
        <v>81.846</v>
      </c>
      <c r="E771">
        <v>162.501</v>
      </c>
      <c r="F771">
        <v>0.142</v>
      </c>
      <c r="G771">
        <v>21.884</v>
      </c>
      <c r="H771">
        <v>1.611</v>
      </c>
      <c r="I771">
        <v>2.754</v>
      </c>
      <c r="J771">
        <v>0.688</v>
      </c>
      <c r="K771">
        <v>8.534</v>
      </c>
      <c r="L771">
        <v>0.339</v>
      </c>
      <c r="M771">
        <v>3.231</v>
      </c>
      <c r="N771">
        <v>109.925</v>
      </c>
      <c r="O771">
        <v>100.031</v>
      </c>
      <c r="P771">
        <f t="shared" si="48"/>
        <v>2.04109647429174</v>
      </c>
      <c r="Q771">
        <f t="shared" si="48"/>
        <v>2.00013461042585</v>
      </c>
      <c r="R771">
        <v>30.343</v>
      </c>
      <c r="S771">
        <v>-9999</v>
      </c>
      <c r="T771">
        <v>109.925</v>
      </c>
      <c r="U771">
        <v>5.686</v>
      </c>
      <c r="V771">
        <v>16.775</v>
      </c>
      <c r="W771">
        <v>0.233</v>
      </c>
      <c r="X771" t="s">
        <v>55</v>
      </c>
      <c r="Y771" t="s">
        <v>31</v>
      </c>
      <c r="Z771" s="3">
        <f t="shared" si="49"/>
        <v>0.040961863865892</v>
      </c>
      <c r="AA771">
        <f t="shared" si="50"/>
        <v>-0.349</v>
      </c>
      <c r="AB771">
        <f t="shared" si="51"/>
        <v>0.481</v>
      </c>
      <c r="AC771" t="s">
        <v>43</v>
      </c>
    </row>
    <row r="772" spans="1:29">
      <c r="A772" t="s">
        <v>73</v>
      </c>
      <c r="B772">
        <v>4259.625</v>
      </c>
      <c r="C772">
        <v>28.573</v>
      </c>
      <c r="D772">
        <v>81.683</v>
      </c>
      <c r="E772">
        <v>160.325</v>
      </c>
      <c r="F772">
        <v>0.106</v>
      </c>
      <c r="G772">
        <v>21.862</v>
      </c>
      <c r="H772">
        <v>1.555</v>
      </c>
      <c r="I772">
        <v>2.762</v>
      </c>
      <c r="J772">
        <v>0.716</v>
      </c>
      <c r="K772">
        <v>8.26</v>
      </c>
      <c r="L772">
        <v>0.322</v>
      </c>
      <c r="M772">
        <v>3.28</v>
      </c>
      <c r="N772">
        <v>129.066</v>
      </c>
      <c r="O772">
        <v>117.45</v>
      </c>
      <c r="P772">
        <f t="shared" si="48"/>
        <v>2.11081185065428</v>
      </c>
      <c r="Q772">
        <f t="shared" si="48"/>
        <v>2.06985302111362</v>
      </c>
      <c r="R772">
        <v>35.448</v>
      </c>
      <c r="S772">
        <v>-9999</v>
      </c>
      <c r="T772">
        <v>129.066</v>
      </c>
      <c r="U772">
        <v>5.251</v>
      </c>
      <c r="V772">
        <v>16.789</v>
      </c>
      <c r="W772">
        <v>0.165</v>
      </c>
      <c r="X772" t="s">
        <v>55</v>
      </c>
      <c r="Y772" t="s">
        <v>31</v>
      </c>
      <c r="Z772" s="3">
        <f t="shared" si="49"/>
        <v>0.0409588295406538</v>
      </c>
      <c r="AA772">
        <f t="shared" si="50"/>
        <v>-0.394</v>
      </c>
      <c r="AB772">
        <f t="shared" si="51"/>
        <v>0.428</v>
      </c>
      <c r="AC772" t="s">
        <v>43</v>
      </c>
    </row>
    <row r="773" spans="1:29">
      <c r="A773" t="s">
        <v>73</v>
      </c>
      <c r="B773">
        <v>4259.75</v>
      </c>
      <c r="C773">
        <v>31.094</v>
      </c>
      <c r="D773">
        <v>81.551</v>
      </c>
      <c r="E773">
        <v>158.596</v>
      </c>
      <c r="F773">
        <v>0.077</v>
      </c>
      <c r="G773">
        <v>21.854</v>
      </c>
      <c r="H773">
        <v>1.49</v>
      </c>
      <c r="I773">
        <v>2.768</v>
      </c>
      <c r="J773">
        <v>0.737</v>
      </c>
      <c r="K773">
        <v>7.822</v>
      </c>
      <c r="L773">
        <v>0.294</v>
      </c>
      <c r="M773">
        <v>3.303</v>
      </c>
      <c r="N773">
        <v>154.205</v>
      </c>
      <c r="O773">
        <v>140.327</v>
      </c>
      <c r="P773">
        <f t="shared" si="48"/>
        <v>2.18809845566828</v>
      </c>
      <c r="Q773">
        <f t="shared" si="48"/>
        <v>2.14714124068522</v>
      </c>
      <c r="R773">
        <v>48.853</v>
      </c>
      <c r="S773">
        <v>-9999</v>
      </c>
      <c r="T773">
        <v>154.205</v>
      </c>
      <c r="U773">
        <v>4.739</v>
      </c>
      <c r="V773">
        <v>17.034</v>
      </c>
      <c r="W773">
        <v>0.106</v>
      </c>
      <c r="X773" t="s">
        <v>55</v>
      </c>
      <c r="Y773" t="s">
        <v>31</v>
      </c>
      <c r="Z773" s="3">
        <f t="shared" si="49"/>
        <v>0.040957214983059</v>
      </c>
      <c r="AA773">
        <f t="shared" si="50"/>
        <v>-0.443</v>
      </c>
      <c r="AB773">
        <f t="shared" si="51"/>
        <v>0.371</v>
      </c>
      <c r="AC773" t="s">
        <v>43</v>
      </c>
    </row>
    <row r="774" spans="1:29">
      <c r="A774" t="s">
        <v>73</v>
      </c>
      <c r="B774">
        <v>4259.875</v>
      </c>
      <c r="C774">
        <v>33.271</v>
      </c>
      <c r="D774">
        <v>81.456</v>
      </c>
      <c r="E774">
        <v>157.54</v>
      </c>
      <c r="F774">
        <v>0.06</v>
      </c>
      <c r="G774">
        <v>21.862</v>
      </c>
      <c r="H774">
        <v>1.413</v>
      </c>
      <c r="I774">
        <v>2.774</v>
      </c>
      <c r="J774">
        <v>0.758</v>
      </c>
      <c r="K774">
        <v>7.224</v>
      </c>
      <c r="L774">
        <v>0.256</v>
      </c>
      <c r="M774">
        <v>3.307</v>
      </c>
      <c r="N774">
        <v>182.745</v>
      </c>
      <c r="O774">
        <v>166.298</v>
      </c>
      <c r="P774">
        <f t="shared" ref="P774:Q800" si="52">LOG(N774)</f>
        <v>2.26184550326538</v>
      </c>
      <c r="Q774">
        <f t="shared" si="52"/>
        <v>2.22088702616367</v>
      </c>
      <c r="R774">
        <v>76.287</v>
      </c>
      <c r="S774">
        <v>-9999</v>
      </c>
      <c r="T774">
        <v>182.829</v>
      </c>
      <c r="U774">
        <v>4.178</v>
      </c>
      <c r="V774">
        <v>17.741</v>
      </c>
      <c r="W774">
        <v>0.061</v>
      </c>
      <c r="X774" t="s">
        <v>55</v>
      </c>
      <c r="Y774" t="s">
        <v>31</v>
      </c>
      <c r="Z774" s="3">
        <f t="shared" si="49"/>
        <v>0.0409584771017055</v>
      </c>
      <c r="AA774">
        <f t="shared" si="50"/>
        <v>-0.502</v>
      </c>
      <c r="AB774">
        <f t="shared" si="51"/>
        <v>0.316</v>
      </c>
      <c r="AC774" t="s">
        <v>43</v>
      </c>
    </row>
    <row r="775" spans="1:29">
      <c r="A775" t="s">
        <v>73</v>
      </c>
      <c r="B775">
        <v>4260</v>
      </c>
      <c r="C775">
        <v>33.587</v>
      </c>
      <c r="D775">
        <v>81.4</v>
      </c>
      <c r="E775">
        <v>157.298</v>
      </c>
      <c r="F775">
        <v>0.056</v>
      </c>
      <c r="G775">
        <v>21.886</v>
      </c>
      <c r="H775">
        <v>1.367</v>
      </c>
      <c r="I775">
        <v>2.783</v>
      </c>
      <c r="J775">
        <v>0.789</v>
      </c>
      <c r="K775">
        <v>6.624</v>
      </c>
      <c r="L775">
        <v>0.218</v>
      </c>
      <c r="M775">
        <v>3.3</v>
      </c>
      <c r="N775">
        <v>207.781</v>
      </c>
      <c r="O775">
        <v>189.081</v>
      </c>
      <c r="P775">
        <f t="shared" si="52"/>
        <v>2.31760583209307</v>
      </c>
      <c r="Q775">
        <f t="shared" si="52"/>
        <v>2.27664789050698</v>
      </c>
      <c r="R775">
        <v>121.735</v>
      </c>
      <c r="S775">
        <v>-9999</v>
      </c>
      <c r="T775">
        <v>207.781</v>
      </c>
      <c r="U775">
        <v>3.713</v>
      </c>
      <c r="V775">
        <v>18.686</v>
      </c>
      <c r="W775">
        <v>0.036</v>
      </c>
      <c r="X775" t="s">
        <v>55</v>
      </c>
      <c r="Y775" t="s">
        <v>31</v>
      </c>
      <c r="Z775" s="3">
        <f t="shared" si="49"/>
        <v>0.040957941586087</v>
      </c>
      <c r="AA775">
        <f t="shared" si="50"/>
        <v>-0.571</v>
      </c>
      <c r="AB775">
        <f t="shared" si="51"/>
        <v>0.274</v>
      </c>
      <c r="AC775" t="s">
        <v>43</v>
      </c>
    </row>
    <row r="776" spans="1:29">
      <c r="A776" t="s">
        <v>73</v>
      </c>
      <c r="B776">
        <v>4260.125</v>
      </c>
      <c r="C776">
        <v>32.244</v>
      </c>
      <c r="D776">
        <v>81.39</v>
      </c>
      <c r="E776">
        <v>157.859</v>
      </c>
      <c r="F776">
        <v>0.065</v>
      </c>
      <c r="G776">
        <v>21.881</v>
      </c>
      <c r="H776">
        <v>1.435</v>
      </c>
      <c r="I776">
        <v>2.79</v>
      </c>
      <c r="J776">
        <v>0.814</v>
      </c>
      <c r="K776">
        <v>6.146</v>
      </c>
      <c r="L776">
        <v>0.188</v>
      </c>
      <c r="M776">
        <v>3.272</v>
      </c>
      <c r="N776">
        <v>221.65</v>
      </c>
      <c r="O776">
        <v>201.701</v>
      </c>
      <c r="P776">
        <f t="shared" si="52"/>
        <v>2.34566773563535</v>
      </c>
      <c r="Q776">
        <f t="shared" si="52"/>
        <v>2.30470805137789</v>
      </c>
      <c r="R776">
        <v>180.807</v>
      </c>
      <c r="S776">
        <v>-9999</v>
      </c>
      <c r="T776">
        <v>221.65</v>
      </c>
      <c r="U776">
        <v>3.425</v>
      </c>
      <c r="V776">
        <v>19.617</v>
      </c>
      <c r="W776">
        <v>0.025</v>
      </c>
      <c r="X776" t="s">
        <v>55</v>
      </c>
      <c r="Y776" t="s">
        <v>31</v>
      </c>
      <c r="Z776" s="3">
        <f t="shared" si="49"/>
        <v>0.0409596842574649</v>
      </c>
      <c r="AA776">
        <f t="shared" si="50"/>
        <v>-0.626</v>
      </c>
      <c r="AB776">
        <f t="shared" si="51"/>
        <v>0.253</v>
      </c>
      <c r="AC776" t="s">
        <v>43</v>
      </c>
    </row>
    <row r="777" spans="1:29">
      <c r="A777" t="s">
        <v>73</v>
      </c>
      <c r="B777">
        <v>4260.25</v>
      </c>
      <c r="C777">
        <v>31.467</v>
      </c>
      <c r="D777">
        <v>81.417</v>
      </c>
      <c r="E777">
        <v>158.664</v>
      </c>
      <c r="F777">
        <v>0.078</v>
      </c>
      <c r="G777">
        <v>21.849</v>
      </c>
      <c r="H777">
        <v>1.648</v>
      </c>
      <c r="I777">
        <v>2.792</v>
      </c>
      <c r="J777">
        <v>0.821</v>
      </c>
      <c r="K777">
        <v>5.657</v>
      </c>
      <c r="L777">
        <v>0.157</v>
      </c>
      <c r="M777">
        <v>3.229</v>
      </c>
      <c r="N777">
        <v>228.062</v>
      </c>
      <c r="O777">
        <v>207.537</v>
      </c>
      <c r="P777">
        <f t="shared" si="52"/>
        <v>2.3580529285685</v>
      </c>
      <c r="Q777">
        <f t="shared" si="52"/>
        <v>2.31709553460644</v>
      </c>
      <c r="R777">
        <v>169.723</v>
      </c>
      <c r="S777">
        <v>-9999</v>
      </c>
      <c r="T777">
        <v>228.062</v>
      </c>
      <c r="U777">
        <v>3.233</v>
      </c>
      <c r="V777">
        <v>20.493</v>
      </c>
      <c r="W777">
        <v>0.019</v>
      </c>
      <c r="X777" t="s">
        <v>55</v>
      </c>
      <c r="Y777" t="s">
        <v>31</v>
      </c>
      <c r="Z777" s="3">
        <f t="shared" si="49"/>
        <v>0.040957393962068</v>
      </c>
      <c r="AA777">
        <f t="shared" si="50"/>
        <v>-0.664</v>
      </c>
      <c r="AB777">
        <f t="shared" si="51"/>
        <v>0.235</v>
      </c>
      <c r="AC777" t="s">
        <v>43</v>
      </c>
    </row>
    <row r="778" spans="1:29">
      <c r="A778" t="s">
        <v>73</v>
      </c>
      <c r="B778">
        <v>4260.375</v>
      </c>
      <c r="C778">
        <v>31.792</v>
      </c>
      <c r="D778">
        <v>81.477</v>
      </c>
      <c r="E778">
        <v>159.198</v>
      </c>
      <c r="F778">
        <v>0.087</v>
      </c>
      <c r="G778">
        <v>21.822</v>
      </c>
      <c r="H778">
        <v>1.936</v>
      </c>
      <c r="I778">
        <v>2.789</v>
      </c>
      <c r="J778">
        <v>0.811</v>
      </c>
      <c r="K778">
        <v>5.1</v>
      </c>
      <c r="L778">
        <v>0.122</v>
      </c>
      <c r="M778">
        <v>3.17</v>
      </c>
      <c r="N778">
        <v>238.667</v>
      </c>
      <c r="O778">
        <v>217.187</v>
      </c>
      <c r="P778">
        <f t="shared" si="52"/>
        <v>2.37779237414431</v>
      </c>
      <c r="Q778">
        <f t="shared" si="52"/>
        <v>2.33683382645442</v>
      </c>
      <c r="R778">
        <v>164.446</v>
      </c>
      <c r="S778">
        <v>-9999</v>
      </c>
      <c r="T778">
        <v>238.71</v>
      </c>
      <c r="U778">
        <v>3.037</v>
      </c>
      <c r="V778">
        <v>21.322</v>
      </c>
      <c r="W778">
        <v>0.015</v>
      </c>
      <c r="X778" t="s">
        <v>55</v>
      </c>
      <c r="Y778" t="s">
        <v>31</v>
      </c>
      <c r="Z778" s="3">
        <f t="shared" si="49"/>
        <v>0.0409585476898857</v>
      </c>
      <c r="AA778">
        <f t="shared" si="50"/>
        <v>-0.689</v>
      </c>
      <c r="AB778">
        <f t="shared" si="51"/>
        <v>0.209</v>
      </c>
      <c r="AC778" t="s">
        <v>43</v>
      </c>
    </row>
    <row r="779" spans="1:29">
      <c r="A779" t="s">
        <v>73</v>
      </c>
      <c r="B779">
        <v>4260.5</v>
      </c>
      <c r="C779">
        <v>32.338</v>
      </c>
      <c r="D779">
        <v>81.564</v>
      </c>
      <c r="E779">
        <v>159.083</v>
      </c>
      <c r="F779">
        <v>0.085</v>
      </c>
      <c r="G779">
        <v>21.795</v>
      </c>
      <c r="H779">
        <v>2.23</v>
      </c>
      <c r="I779">
        <v>2.784</v>
      </c>
      <c r="J779">
        <v>0.793</v>
      </c>
      <c r="K779">
        <v>4.817</v>
      </c>
      <c r="L779">
        <v>0.104</v>
      </c>
      <c r="M779">
        <v>3.112</v>
      </c>
      <c r="N779">
        <v>268.585</v>
      </c>
      <c r="O779">
        <v>244.412</v>
      </c>
      <c r="P779">
        <f t="shared" si="52"/>
        <v>2.42908175442676</v>
      </c>
      <c r="Q779">
        <f t="shared" si="52"/>
        <v>2.38812252483502</v>
      </c>
      <c r="R779">
        <v>187.827</v>
      </c>
      <c r="S779">
        <v>-9999</v>
      </c>
      <c r="T779">
        <v>268.585</v>
      </c>
      <c r="U779">
        <v>2.984</v>
      </c>
      <c r="V779">
        <v>20.445</v>
      </c>
      <c r="W779">
        <v>0.014</v>
      </c>
      <c r="X779" t="s">
        <v>55</v>
      </c>
      <c r="Y779" t="s">
        <v>31</v>
      </c>
      <c r="Z779" s="3">
        <f t="shared" si="49"/>
        <v>0.0409592295917416</v>
      </c>
      <c r="AA779">
        <f t="shared" si="50"/>
        <v>-0.689</v>
      </c>
      <c r="AB779">
        <f t="shared" si="51"/>
        <v>0.189</v>
      </c>
      <c r="AC779" t="s">
        <v>43</v>
      </c>
    </row>
    <row r="780" spans="1:29">
      <c r="A780" t="s">
        <v>73</v>
      </c>
      <c r="B780">
        <v>4260.625</v>
      </c>
      <c r="C780">
        <v>32.432</v>
      </c>
      <c r="D780">
        <v>81.673</v>
      </c>
      <c r="E780">
        <v>158.261</v>
      </c>
      <c r="F780">
        <v>0.072</v>
      </c>
      <c r="G780">
        <v>21.739</v>
      </c>
      <c r="H780">
        <v>2.45</v>
      </c>
      <c r="I780">
        <v>2.778</v>
      </c>
      <c r="J780">
        <v>0.772</v>
      </c>
      <c r="K780">
        <v>5.099</v>
      </c>
      <c r="L780">
        <v>0.122</v>
      </c>
      <c r="M780">
        <v>3.062</v>
      </c>
      <c r="N780">
        <v>317.343</v>
      </c>
      <c r="O780">
        <v>288.782</v>
      </c>
      <c r="P780">
        <f t="shared" si="52"/>
        <v>2.50152892302211</v>
      </c>
      <c r="Q780">
        <f t="shared" si="52"/>
        <v>2.4605701198384</v>
      </c>
      <c r="R780">
        <v>243.007</v>
      </c>
      <c r="S780">
        <v>-9999</v>
      </c>
      <c r="T780">
        <v>317.343</v>
      </c>
      <c r="U780">
        <v>3.188</v>
      </c>
      <c r="V780">
        <v>17.648</v>
      </c>
      <c r="W780">
        <v>0.018</v>
      </c>
      <c r="X780" t="s">
        <v>55</v>
      </c>
      <c r="Y780" t="s">
        <v>31</v>
      </c>
      <c r="Z780" s="3">
        <f t="shared" si="49"/>
        <v>0.0409588031837163</v>
      </c>
      <c r="AA780">
        <f t="shared" si="50"/>
        <v>-0.65</v>
      </c>
      <c r="AB780">
        <f t="shared" si="51"/>
        <v>0.194</v>
      </c>
      <c r="AC780" t="s">
        <v>43</v>
      </c>
    </row>
    <row r="781" spans="1:29">
      <c r="A781" t="s">
        <v>73</v>
      </c>
      <c r="B781">
        <v>4260.75</v>
      </c>
      <c r="C781">
        <v>33.275</v>
      </c>
      <c r="D781">
        <v>81.794</v>
      </c>
      <c r="E781">
        <v>157.421</v>
      </c>
      <c r="F781">
        <v>0.058</v>
      </c>
      <c r="G781">
        <v>21.711</v>
      </c>
      <c r="H781">
        <v>2.579</v>
      </c>
      <c r="I781">
        <v>2.778</v>
      </c>
      <c r="J781">
        <v>0.772</v>
      </c>
      <c r="K781">
        <v>5.466</v>
      </c>
      <c r="L781">
        <v>0.145</v>
      </c>
      <c r="M781">
        <v>3.004</v>
      </c>
      <c r="N781">
        <v>378.023</v>
      </c>
      <c r="O781">
        <v>344.001</v>
      </c>
      <c r="P781">
        <f t="shared" si="52"/>
        <v>2.57751822435893</v>
      </c>
      <c r="Q781">
        <f t="shared" si="52"/>
        <v>2.53655970505365</v>
      </c>
      <c r="R781">
        <v>305.483</v>
      </c>
      <c r="S781">
        <v>-9999</v>
      </c>
      <c r="T781">
        <v>378.023</v>
      </c>
      <c r="U781">
        <v>3.294</v>
      </c>
      <c r="V781">
        <v>15.646</v>
      </c>
      <c r="W781">
        <v>0.021</v>
      </c>
      <c r="X781" t="s">
        <v>55</v>
      </c>
      <c r="Y781" t="s">
        <v>31</v>
      </c>
      <c r="Z781" s="3">
        <f t="shared" si="49"/>
        <v>0.0409585193052773</v>
      </c>
      <c r="AA781">
        <f t="shared" si="50"/>
        <v>-0.627</v>
      </c>
      <c r="AB781">
        <f t="shared" si="51"/>
        <v>0.203</v>
      </c>
      <c r="AC781" t="s">
        <v>43</v>
      </c>
    </row>
    <row r="782" spans="1:29">
      <c r="A782" t="s">
        <v>73</v>
      </c>
      <c r="B782">
        <v>4260.875</v>
      </c>
      <c r="C782">
        <v>35.081</v>
      </c>
      <c r="D782">
        <v>81.919</v>
      </c>
      <c r="E782">
        <v>157.363</v>
      </c>
      <c r="F782">
        <v>0.057</v>
      </c>
      <c r="G782">
        <v>21.737</v>
      </c>
      <c r="H782">
        <v>2.658</v>
      </c>
      <c r="I782">
        <v>2.78</v>
      </c>
      <c r="J782">
        <v>0.779</v>
      </c>
      <c r="K782">
        <v>5.602</v>
      </c>
      <c r="L782">
        <v>0.154</v>
      </c>
      <c r="M782">
        <v>2.951</v>
      </c>
      <c r="N782">
        <v>489.632</v>
      </c>
      <c r="O782">
        <v>445.565</v>
      </c>
      <c r="P782">
        <f t="shared" si="52"/>
        <v>2.68986979347018</v>
      </c>
      <c r="Q782">
        <f t="shared" si="52"/>
        <v>2.64891106882667</v>
      </c>
      <c r="R782">
        <v>351.8</v>
      </c>
      <c r="S782">
        <v>-9999</v>
      </c>
      <c r="T782">
        <v>490.045</v>
      </c>
      <c r="U782">
        <v>3.243</v>
      </c>
      <c r="V782">
        <v>13.989</v>
      </c>
      <c r="W782">
        <v>0.02</v>
      </c>
      <c r="X782" t="s">
        <v>55</v>
      </c>
      <c r="Y782" t="s">
        <v>31</v>
      </c>
      <c r="Z782" s="3">
        <f t="shared" si="49"/>
        <v>0.0409587246435037</v>
      </c>
      <c r="AA782">
        <f t="shared" si="50"/>
        <v>-0.625</v>
      </c>
      <c r="AB782">
        <f t="shared" si="51"/>
        <v>0.211</v>
      </c>
      <c r="AC782" t="s">
        <v>43</v>
      </c>
    </row>
    <row r="783" spans="1:29">
      <c r="A783" t="s">
        <v>73</v>
      </c>
      <c r="B783">
        <v>4261</v>
      </c>
      <c r="C783">
        <v>37.206</v>
      </c>
      <c r="D783">
        <v>82.043</v>
      </c>
      <c r="E783">
        <v>158.803</v>
      </c>
      <c r="F783">
        <v>0.081</v>
      </c>
      <c r="G783">
        <v>21.8</v>
      </c>
      <c r="H783">
        <v>2.874</v>
      </c>
      <c r="I783">
        <v>2.775</v>
      </c>
      <c r="J783">
        <v>0.761</v>
      </c>
      <c r="K783">
        <v>5.7</v>
      </c>
      <c r="L783">
        <v>0.16</v>
      </c>
      <c r="M783">
        <v>2.908</v>
      </c>
      <c r="N783">
        <v>588.01</v>
      </c>
      <c r="O783">
        <v>535.089</v>
      </c>
      <c r="P783">
        <f t="shared" si="52"/>
        <v>2.76938471197391</v>
      </c>
      <c r="Q783">
        <f t="shared" si="52"/>
        <v>2.72842602313197</v>
      </c>
      <c r="R783">
        <v>371.083</v>
      </c>
      <c r="S783">
        <v>-9999</v>
      </c>
      <c r="T783">
        <v>588.01</v>
      </c>
      <c r="U783">
        <v>3.242</v>
      </c>
      <c r="V783">
        <v>12.72</v>
      </c>
      <c r="W783">
        <v>0.02</v>
      </c>
      <c r="X783" t="s">
        <v>55</v>
      </c>
      <c r="Y783" t="s">
        <v>31</v>
      </c>
      <c r="Z783" s="3">
        <f t="shared" ref="Z783:Z846" si="53">P783-Q783</f>
        <v>0.0409586888419358</v>
      </c>
      <c r="AA783">
        <f t="shared" ref="AA783:AA846" si="54">L783-J783</f>
        <v>-0.601</v>
      </c>
      <c r="AB783">
        <f t="shared" ref="AB783:AB846" si="55">L783+F783</f>
        <v>0.241</v>
      </c>
      <c r="AC783" t="s">
        <v>43</v>
      </c>
    </row>
    <row r="784" spans="1:29">
      <c r="A784" t="s">
        <v>74</v>
      </c>
      <c r="B784">
        <v>4290</v>
      </c>
      <c r="C784">
        <v>17.515</v>
      </c>
      <c r="D784">
        <v>74.654</v>
      </c>
      <c r="E784">
        <v>162.32</v>
      </c>
      <c r="F784">
        <v>0.042</v>
      </c>
      <c r="G784">
        <v>22.026</v>
      </c>
      <c r="H784">
        <v>0.697</v>
      </c>
      <c r="I784">
        <v>2.768</v>
      </c>
      <c r="J784">
        <v>0.634</v>
      </c>
      <c r="K784">
        <v>6.176</v>
      </c>
      <c r="L784">
        <v>0.12</v>
      </c>
      <c r="M784">
        <v>3.293</v>
      </c>
      <c r="N784">
        <v>243.156</v>
      </c>
      <c r="O784">
        <v>211.812</v>
      </c>
      <c r="P784">
        <f t="shared" si="52"/>
        <v>2.38588499047727</v>
      </c>
      <c r="Q784">
        <f t="shared" si="52"/>
        <v>2.3259505609941</v>
      </c>
      <c r="R784">
        <v>135.005</v>
      </c>
      <c r="S784">
        <v>146.682</v>
      </c>
      <c r="T784">
        <v>158.358</v>
      </c>
      <c r="U784">
        <v>5.463</v>
      </c>
      <c r="V784">
        <v>26.249</v>
      </c>
      <c r="W784">
        <v>0.149</v>
      </c>
      <c r="X784" t="s">
        <v>55</v>
      </c>
      <c r="Y784" t="s">
        <v>31</v>
      </c>
      <c r="Z784" s="3">
        <f t="shared" si="53"/>
        <v>0.0599344294831701</v>
      </c>
      <c r="AA784">
        <f t="shared" si="54"/>
        <v>-0.514</v>
      </c>
      <c r="AB784">
        <f t="shared" si="55"/>
        <v>0.162</v>
      </c>
      <c r="AC784" t="s">
        <v>43</v>
      </c>
    </row>
    <row r="785" spans="1:29">
      <c r="A785" t="s">
        <v>74</v>
      </c>
      <c r="B785">
        <v>4290.125</v>
      </c>
      <c r="C785">
        <v>17.325</v>
      </c>
      <c r="D785">
        <v>74.501</v>
      </c>
      <c r="E785">
        <v>162.429</v>
      </c>
      <c r="F785">
        <v>0.044</v>
      </c>
      <c r="G785">
        <v>22.079</v>
      </c>
      <c r="H785">
        <v>0.591</v>
      </c>
      <c r="I785">
        <v>2.771</v>
      </c>
      <c r="J785">
        <v>0.65</v>
      </c>
      <c r="K785">
        <v>6.076</v>
      </c>
      <c r="L785">
        <v>0.11</v>
      </c>
      <c r="M785">
        <v>3.218</v>
      </c>
      <c r="N785">
        <v>241.016</v>
      </c>
      <c r="O785">
        <v>210.092</v>
      </c>
      <c r="P785">
        <f t="shared" si="52"/>
        <v>2.38204587444648</v>
      </c>
      <c r="Q785">
        <f t="shared" si="52"/>
        <v>2.32240951541403</v>
      </c>
      <c r="R785">
        <v>132.56</v>
      </c>
      <c r="S785">
        <v>144.021</v>
      </c>
      <c r="T785">
        <v>155.482</v>
      </c>
      <c r="U785">
        <v>5.439</v>
      </c>
      <c r="V785">
        <v>26.48</v>
      </c>
      <c r="W785">
        <v>0.146</v>
      </c>
      <c r="X785" t="s">
        <v>55</v>
      </c>
      <c r="Y785" t="s">
        <v>31</v>
      </c>
      <c r="Z785" s="3">
        <f t="shared" si="53"/>
        <v>0.0596363590324516</v>
      </c>
      <c r="AA785">
        <f t="shared" si="54"/>
        <v>-0.54</v>
      </c>
      <c r="AB785">
        <f t="shared" si="55"/>
        <v>0.154</v>
      </c>
      <c r="AC785" t="s">
        <v>43</v>
      </c>
    </row>
    <row r="786" spans="1:29">
      <c r="A786" t="s">
        <v>74</v>
      </c>
      <c r="B786">
        <v>4290.25</v>
      </c>
      <c r="C786">
        <v>17.165</v>
      </c>
      <c r="D786">
        <v>74.354</v>
      </c>
      <c r="E786">
        <v>162.551</v>
      </c>
      <c r="F786">
        <v>0.047</v>
      </c>
      <c r="G786">
        <v>22.101</v>
      </c>
      <c r="H786">
        <v>0.643</v>
      </c>
      <c r="I786">
        <v>2.775</v>
      </c>
      <c r="J786">
        <v>0.672</v>
      </c>
      <c r="K786">
        <v>5.977</v>
      </c>
      <c r="L786">
        <v>0.099</v>
      </c>
      <c r="M786">
        <v>3.162</v>
      </c>
      <c r="N786">
        <v>241.892</v>
      </c>
      <c r="O786">
        <v>210.976</v>
      </c>
      <c r="P786">
        <f t="shared" si="52"/>
        <v>2.38362150534697</v>
      </c>
      <c r="Q786">
        <f t="shared" si="52"/>
        <v>2.32423305406361</v>
      </c>
      <c r="R786">
        <v>129.293</v>
      </c>
      <c r="S786">
        <v>140.466</v>
      </c>
      <c r="T786">
        <v>151.639</v>
      </c>
      <c r="U786">
        <v>5.416</v>
      </c>
      <c r="V786">
        <v>26.551</v>
      </c>
      <c r="W786">
        <v>0.144</v>
      </c>
      <c r="X786" t="s">
        <v>55</v>
      </c>
      <c r="Y786" t="s">
        <v>31</v>
      </c>
      <c r="Z786" s="3">
        <f t="shared" si="53"/>
        <v>0.0593884512833576</v>
      </c>
      <c r="AA786">
        <f t="shared" si="54"/>
        <v>-0.573</v>
      </c>
      <c r="AB786">
        <f t="shared" si="55"/>
        <v>0.146</v>
      </c>
      <c r="AC786" t="s">
        <v>43</v>
      </c>
    </row>
    <row r="787" spans="1:29">
      <c r="A787" t="s">
        <v>74</v>
      </c>
      <c r="B787">
        <v>4290.375</v>
      </c>
      <c r="C787">
        <v>16.866</v>
      </c>
      <c r="D787">
        <v>74.212</v>
      </c>
      <c r="E787">
        <v>162.469</v>
      </c>
      <c r="F787">
        <v>0.045</v>
      </c>
      <c r="G787">
        <v>22.083</v>
      </c>
      <c r="H787">
        <v>0.843</v>
      </c>
      <c r="I787">
        <v>2.778</v>
      </c>
      <c r="J787">
        <v>0.689</v>
      </c>
      <c r="K787">
        <v>5.886</v>
      </c>
      <c r="L787">
        <v>0.089</v>
      </c>
      <c r="M787">
        <v>3.13</v>
      </c>
      <c r="N787">
        <v>252.326</v>
      </c>
      <c r="O787">
        <v>220.225</v>
      </c>
      <c r="P787">
        <f t="shared" si="52"/>
        <v>2.40196200309291</v>
      </c>
      <c r="Q787">
        <f t="shared" si="52"/>
        <v>2.34286661865825</v>
      </c>
      <c r="R787">
        <v>127.532</v>
      </c>
      <c r="S787">
        <v>138.55</v>
      </c>
      <c r="T787">
        <v>149.567</v>
      </c>
      <c r="U787">
        <v>5.398</v>
      </c>
      <c r="V787">
        <v>26.1</v>
      </c>
      <c r="W787">
        <v>0.142</v>
      </c>
      <c r="X787" t="s">
        <v>55</v>
      </c>
      <c r="Y787" t="s">
        <v>31</v>
      </c>
      <c r="Z787" s="3">
        <f t="shared" si="53"/>
        <v>0.0590953844346522</v>
      </c>
      <c r="AA787">
        <f t="shared" si="54"/>
        <v>-0.6</v>
      </c>
      <c r="AB787">
        <f t="shared" si="55"/>
        <v>0.134</v>
      </c>
      <c r="AC787" t="s">
        <v>43</v>
      </c>
    </row>
    <row r="788" spans="1:29">
      <c r="A788" t="s">
        <v>74</v>
      </c>
      <c r="B788">
        <v>4290.5</v>
      </c>
      <c r="C788">
        <v>16.417</v>
      </c>
      <c r="D788">
        <v>74.077</v>
      </c>
      <c r="E788">
        <v>162.122</v>
      </c>
      <c r="F788">
        <v>0.038</v>
      </c>
      <c r="G788">
        <v>22.087</v>
      </c>
      <c r="H788">
        <v>1.073</v>
      </c>
      <c r="I788">
        <v>2.78</v>
      </c>
      <c r="J788">
        <v>0.699</v>
      </c>
      <c r="K788">
        <v>5.817</v>
      </c>
      <c r="L788">
        <v>0.082</v>
      </c>
      <c r="M788">
        <v>3.12</v>
      </c>
      <c r="N788">
        <v>275.827</v>
      </c>
      <c r="O788">
        <v>240.967</v>
      </c>
      <c r="P788">
        <f t="shared" si="52"/>
        <v>2.44063677589741</v>
      </c>
      <c r="Q788">
        <f t="shared" si="52"/>
        <v>2.38195757079392</v>
      </c>
      <c r="R788">
        <v>127.045</v>
      </c>
      <c r="S788">
        <v>138.019</v>
      </c>
      <c r="T788">
        <v>148.994</v>
      </c>
      <c r="U788">
        <v>5.39</v>
      </c>
      <c r="V788">
        <v>25.01</v>
      </c>
      <c r="W788">
        <v>0.141</v>
      </c>
      <c r="X788" t="s">
        <v>55</v>
      </c>
      <c r="Y788" t="s">
        <v>31</v>
      </c>
      <c r="Z788" s="3">
        <f t="shared" si="53"/>
        <v>0.058679205103497</v>
      </c>
      <c r="AA788">
        <f t="shared" si="54"/>
        <v>-0.617</v>
      </c>
      <c r="AB788">
        <f t="shared" si="55"/>
        <v>0.12</v>
      </c>
      <c r="AC788" t="s">
        <v>43</v>
      </c>
    </row>
    <row r="789" spans="1:29">
      <c r="A789" t="s">
        <v>74</v>
      </c>
      <c r="B789">
        <v>4290.625</v>
      </c>
      <c r="C789">
        <v>16.38</v>
      </c>
      <c r="D789">
        <v>73.949</v>
      </c>
      <c r="E789">
        <v>161.575</v>
      </c>
      <c r="F789">
        <v>0.027</v>
      </c>
      <c r="G789">
        <v>22.098</v>
      </c>
      <c r="H789">
        <v>1.32</v>
      </c>
      <c r="I789">
        <v>2.778</v>
      </c>
      <c r="J789">
        <v>0.689</v>
      </c>
      <c r="K789">
        <v>5.776</v>
      </c>
      <c r="L789">
        <v>0.077</v>
      </c>
      <c r="M789">
        <v>3.126</v>
      </c>
      <c r="N789">
        <v>304.164</v>
      </c>
      <c r="O789">
        <v>266.063</v>
      </c>
      <c r="P789">
        <f t="shared" si="52"/>
        <v>2.48310781087889</v>
      </c>
      <c r="Q789">
        <f t="shared" si="52"/>
        <v>2.42498448367169</v>
      </c>
      <c r="R789">
        <v>125.287</v>
      </c>
      <c r="S789">
        <v>136.106</v>
      </c>
      <c r="T789">
        <v>146.926</v>
      </c>
      <c r="U789">
        <v>5.375</v>
      </c>
      <c r="V789">
        <v>23.87</v>
      </c>
      <c r="W789">
        <v>0.139</v>
      </c>
      <c r="X789" t="s">
        <v>55</v>
      </c>
      <c r="Y789" t="s">
        <v>31</v>
      </c>
      <c r="Z789" s="3">
        <f t="shared" si="53"/>
        <v>0.0581233272072024</v>
      </c>
      <c r="AA789">
        <f t="shared" si="54"/>
        <v>-0.612</v>
      </c>
      <c r="AB789">
        <f t="shared" si="55"/>
        <v>0.104</v>
      </c>
      <c r="AC789" t="s">
        <v>43</v>
      </c>
    </row>
    <row r="790" spans="1:29">
      <c r="A790" t="s">
        <v>74</v>
      </c>
      <c r="B790">
        <v>4290.75</v>
      </c>
      <c r="C790">
        <v>16.808</v>
      </c>
      <c r="D790">
        <v>73.829</v>
      </c>
      <c r="E790">
        <v>161.024</v>
      </c>
      <c r="F790">
        <v>0.016</v>
      </c>
      <c r="G790">
        <v>22.072</v>
      </c>
      <c r="H790">
        <v>1.574</v>
      </c>
      <c r="I790">
        <v>2.775</v>
      </c>
      <c r="J790">
        <v>0.672</v>
      </c>
      <c r="K790">
        <v>5.764</v>
      </c>
      <c r="L790">
        <v>0.076</v>
      </c>
      <c r="M790">
        <v>3.14</v>
      </c>
      <c r="N790">
        <v>326.941</v>
      </c>
      <c r="O790">
        <v>286.349</v>
      </c>
      <c r="P790">
        <f t="shared" si="52"/>
        <v>2.51446938664714</v>
      </c>
      <c r="Q790">
        <f t="shared" si="52"/>
        <v>2.45689567079057</v>
      </c>
      <c r="R790">
        <v>121.077</v>
      </c>
      <c r="S790">
        <v>131.526</v>
      </c>
      <c r="T790">
        <v>141.974</v>
      </c>
      <c r="U790">
        <v>5.352</v>
      </c>
      <c r="V790">
        <v>23.107</v>
      </c>
      <c r="W790">
        <v>0.137</v>
      </c>
      <c r="X790" t="s">
        <v>55</v>
      </c>
      <c r="Y790" t="s">
        <v>31</v>
      </c>
      <c r="Z790" s="3">
        <f t="shared" si="53"/>
        <v>0.0575737158565657</v>
      </c>
      <c r="AA790">
        <f t="shared" si="54"/>
        <v>-0.596</v>
      </c>
      <c r="AB790">
        <f t="shared" si="55"/>
        <v>0.092</v>
      </c>
      <c r="AC790" t="s">
        <v>43</v>
      </c>
    </row>
    <row r="791" spans="1:29">
      <c r="A791" t="s">
        <v>74</v>
      </c>
      <c r="B791">
        <v>4290.875</v>
      </c>
      <c r="C791">
        <v>17.03</v>
      </c>
      <c r="D791">
        <v>73.718</v>
      </c>
      <c r="E791">
        <v>160.751</v>
      </c>
      <c r="F791">
        <v>0.011</v>
      </c>
      <c r="G791">
        <v>22.097</v>
      </c>
      <c r="H791">
        <v>1.759</v>
      </c>
      <c r="I791">
        <v>2.772</v>
      </c>
      <c r="J791">
        <v>0.656</v>
      </c>
      <c r="K791">
        <v>5.761</v>
      </c>
      <c r="L791">
        <v>0.075</v>
      </c>
      <c r="M791">
        <v>3.16</v>
      </c>
      <c r="N791">
        <v>338.866</v>
      </c>
      <c r="O791">
        <v>296.978</v>
      </c>
      <c r="P791">
        <f t="shared" si="52"/>
        <v>2.53002799624035</v>
      </c>
      <c r="Q791">
        <f t="shared" si="52"/>
        <v>2.47272427816405</v>
      </c>
      <c r="R791">
        <v>116.226</v>
      </c>
      <c r="S791">
        <v>126.246</v>
      </c>
      <c r="T791">
        <v>136.266</v>
      </c>
      <c r="U791">
        <v>5.344</v>
      </c>
      <c r="V791">
        <v>22.732</v>
      </c>
      <c r="W791">
        <v>0.136</v>
      </c>
      <c r="X791" t="s">
        <v>55</v>
      </c>
      <c r="Y791" t="s">
        <v>31</v>
      </c>
      <c r="Z791" s="3">
        <f t="shared" si="53"/>
        <v>0.0573037180763039</v>
      </c>
      <c r="AA791">
        <f t="shared" si="54"/>
        <v>-0.581</v>
      </c>
      <c r="AB791">
        <f t="shared" si="55"/>
        <v>0.086</v>
      </c>
      <c r="AC791" t="s">
        <v>43</v>
      </c>
    </row>
    <row r="792" spans="1:29">
      <c r="A792" t="s">
        <v>74</v>
      </c>
      <c r="B792">
        <v>4291</v>
      </c>
      <c r="C792">
        <v>16.958</v>
      </c>
      <c r="D792">
        <v>73.617</v>
      </c>
      <c r="E792">
        <v>160.89</v>
      </c>
      <c r="F792">
        <v>0.013</v>
      </c>
      <c r="G792">
        <v>22.099</v>
      </c>
      <c r="H792">
        <v>1.806</v>
      </c>
      <c r="I792">
        <v>2.77</v>
      </c>
      <c r="J792">
        <v>0.645</v>
      </c>
      <c r="K792">
        <v>5.745</v>
      </c>
      <c r="L792">
        <v>0.074</v>
      </c>
      <c r="M792">
        <v>3.183</v>
      </c>
      <c r="N792">
        <v>345.582</v>
      </c>
      <c r="O792">
        <v>302.696</v>
      </c>
      <c r="P792">
        <f t="shared" si="52"/>
        <v>2.53855111371352</v>
      </c>
      <c r="Q792">
        <f t="shared" si="52"/>
        <v>2.48100668197605</v>
      </c>
      <c r="R792">
        <v>112.679</v>
      </c>
      <c r="S792">
        <v>122.386</v>
      </c>
      <c r="T792">
        <v>132.094</v>
      </c>
      <c r="U792">
        <v>5.344</v>
      </c>
      <c r="V792">
        <v>22.511</v>
      </c>
      <c r="W792">
        <v>0.135</v>
      </c>
      <c r="X792" t="s">
        <v>55</v>
      </c>
      <c r="Y792" t="s">
        <v>31</v>
      </c>
      <c r="Z792" s="3">
        <f t="shared" si="53"/>
        <v>0.0575444317374743</v>
      </c>
      <c r="AA792">
        <f t="shared" si="54"/>
        <v>-0.571</v>
      </c>
      <c r="AB792">
        <f t="shared" si="55"/>
        <v>0.087</v>
      </c>
      <c r="AC792" t="s">
        <v>43</v>
      </c>
    </row>
    <row r="793" spans="1:29">
      <c r="A793" t="s">
        <v>74</v>
      </c>
      <c r="B793">
        <v>4291.125</v>
      </c>
      <c r="C793">
        <v>16.68</v>
      </c>
      <c r="D793">
        <v>73.525</v>
      </c>
      <c r="E793">
        <v>161.407</v>
      </c>
      <c r="F793">
        <v>0.024</v>
      </c>
      <c r="G793">
        <v>22.055</v>
      </c>
      <c r="H793">
        <v>1.925</v>
      </c>
      <c r="I793">
        <v>2.769</v>
      </c>
      <c r="J793">
        <v>0.639</v>
      </c>
      <c r="K793">
        <v>5.714</v>
      </c>
      <c r="L793">
        <v>0.07</v>
      </c>
      <c r="M793">
        <v>3.206</v>
      </c>
      <c r="N793">
        <v>356.269</v>
      </c>
      <c r="O793">
        <v>311.636</v>
      </c>
      <c r="P793">
        <f t="shared" si="52"/>
        <v>2.55177803477129</v>
      </c>
      <c r="Q793">
        <f t="shared" si="52"/>
        <v>2.49364762133128</v>
      </c>
      <c r="R793">
        <v>109.82</v>
      </c>
      <c r="S793">
        <v>119.274</v>
      </c>
      <c r="T793">
        <v>128.729</v>
      </c>
      <c r="U793">
        <v>5.346</v>
      </c>
      <c r="V793">
        <v>22.161</v>
      </c>
      <c r="W793">
        <v>0.136</v>
      </c>
      <c r="X793" t="s">
        <v>55</v>
      </c>
      <c r="Y793" t="s">
        <v>31</v>
      </c>
      <c r="Z793" s="3">
        <f t="shared" si="53"/>
        <v>0.0581304134400096</v>
      </c>
      <c r="AA793">
        <f t="shared" si="54"/>
        <v>-0.569</v>
      </c>
      <c r="AB793">
        <f t="shared" si="55"/>
        <v>0.094</v>
      </c>
      <c r="AC793" t="s">
        <v>43</v>
      </c>
    </row>
    <row r="794" spans="1:29">
      <c r="A794" t="s">
        <v>74</v>
      </c>
      <c r="B794">
        <v>4291.25</v>
      </c>
      <c r="C794">
        <v>16.495</v>
      </c>
      <c r="D794">
        <v>73.444</v>
      </c>
      <c r="E794">
        <v>162.057</v>
      </c>
      <c r="F794">
        <v>0.037</v>
      </c>
      <c r="G794">
        <v>22.028</v>
      </c>
      <c r="H794">
        <v>2.149</v>
      </c>
      <c r="I794">
        <v>2.769</v>
      </c>
      <c r="J794">
        <v>0.639</v>
      </c>
      <c r="K794">
        <v>5.663</v>
      </c>
      <c r="L794">
        <v>0.065</v>
      </c>
      <c r="M794">
        <v>3.227</v>
      </c>
      <c r="N794">
        <v>373.621</v>
      </c>
      <c r="O794">
        <v>326.393</v>
      </c>
      <c r="P794">
        <f t="shared" si="52"/>
        <v>2.57243127849972</v>
      </c>
      <c r="Q794">
        <f t="shared" si="52"/>
        <v>2.51374083606843</v>
      </c>
      <c r="R794">
        <v>107.074</v>
      </c>
      <c r="S794">
        <v>116.287</v>
      </c>
      <c r="T794">
        <v>125.499</v>
      </c>
      <c r="U794">
        <v>5.341</v>
      </c>
      <c r="V794">
        <v>21.662</v>
      </c>
      <c r="W794">
        <v>0.135</v>
      </c>
      <c r="X794" t="s">
        <v>55</v>
      </c>
      <c r="Y794" t="s">
        <v>31</v>
      </c>
      <c r="Z794" s="3">
        <f t="shared" si="53"/>
        <v>0.0586904424312973</v>
      </c>
      <c r="AA794">
        <f t="shared" si="54"/>
        <v>-0.574</v>
      </c>
      <c r="AB794">
        <f t="shared" si="55"/>
        <v>0.102</v>
      </c>
      <c r="AC794" t="s">
        <v>43</v>
      </c>
    </row>
    <row r="795" spans="1:29">
      <c r="A795" t="s">
        <v>74</v>
      </c>
      <c r="B795">
        <v>4291.375</v>
      </c>
      <c r="C795">
        <v>16.918</v>
      </c>
      <c r="D795">
        <v>73.374</v>
      </c>
      <c r="E795">
        <v>162.446</v>
      </c>
      <c r="F795">
        <v>0.045</v>
      </c>
      <c r="G795">
        <v>22.036</v>
      </c>
      <c r="H795">
        <v>2.2</v>
      </c>
      <c r="I795">
        <v>2.772</v>
      </c>
      <c r="J795">
        <v>0.656</v>
      </c>
      <c r="K795">
        <v>5.579</v>
      </c>
      <c r="L795">
        <v>0.056</v>
      </c>
      <c r="M795">
        <v>3.24</v>
      </c>
      <c r="N795">
        <v>393.649</v>
      </c>
      <c r="O795">
        <v>343.639</v>
      </c>
      <c r="P795">
        <f t="shared" si="52"/>
        <v>2.59510915252633</v>
      </c>
      <c r="Q795">
        <f t="shared" si="52"/>
        <v>2.5361024465551</v>
      </c>
      <c r="R795">
        <v>106.9</v>
      </c>
      <c r="S795">
        <v>116.097</v>
      </c>
      <c r="T795">
        <v>125.294</v>
      </c>
      <c r="U795">
        <v>5.304</v>
      </c>
      <c r="V795">
        <v>21.25</v>
      </c>
      <c r="W795">
        <v>0.131</v>
      </c>
      <c r="X795" t="s">
        <v>55</v>
      </c>
      <c r="Y795" t="s">
        <v>31</v>
      </c>
      <c r="Z795" s="3">
        <f t="shared" si="53"/>
        <v>0.0590067059712318</v>
      </c>
      <c r="AA795">
        <f t="shared" si="54"/>
        <v>-0.6</v>
      </c>
      <c r="AB795">
        <f t="shared" si="55"/>
        <v>0.101</v>
      </c>
      <c r="AC795" t="s">
        <v>43</v>
      </c>
    </row>
    <row r="796" spans="1:29">
      <c r="A796" t="s">
        <v>74</v>
      </c>
      <c r="B796">
        <v>4291.5</v>
      </c>
      <c r="C796">
        <v>17.557</v>
      </c>
      <c r="D796">
        <v>73.314</v>
      </c>
      <c r="E796">
        <v>162.321</v>
      </c>
      <c r="F796">
        <v>0.042</v>
      </c>
      <c r="G796">
        <v>22.061</v>
      </c>
      <c r="H796">
        <v>2.047</v>
      </c>
      <c r="I796">
        <v>2.775</v>
      </c>
      <c r="J796">
        <v>0.672</v>
      </c>
      <c r="K796">
        <v>5.461</v>
      </c>
      <c r="L796">
        <v>0.043</v>
      </c>
      <c r="M796">
        <v>3.245</v>
      </c>
      <c r="N796">
        <v>406.741</v>
      </c>
      <c r="O796">
        <v>355.077</v>
      </c>
      <c r="P796">
        <f t="shared" si="52"/>
        <v>2.60931795203648</v>
      </c>
      <c r="Q796">
        <f t="shared" si="52"/>
        <v>2.55032254192542</v>
      </c>
      <c r="R796">
        <v>111.819</v>
      </c>
      <c r="S796">
        <v>121.45</v>
      </c>
      <c r="T796">
        <v>131.081</v>
      </c>
      <c r="U796">
        <v>5.249</v>
      </c>
      <c r="V796">
        <v>21.125</v>
      </c>
      <c r="W796">
        <v>0.126</v>
      </c>
      <c r="X796" t="s">
        <v>55</v>
      </c>
      <c r="Y796" t="s">
        <v>31</v>
      </c>
      <c r="Z796" s="3">
        <f t="shared" si="53"/>
        <v>0.0589954101110588</v>
      </c>
      <c r="AA796">
        <f t="shared" si="54"/>
        <v>-0.629</v>
      </c>
      <c r="AB796">
        <f t="shared" si="55"/>
        <v>0.085</v>
      </c>
      <c r="AC796" t="s">
        <v>43</v>
      </c>
    </row>
    <row r="797" spans="1:29">
      <c r="A797" t="s">
        <v>74</v>
      </c>
      <c r="B797">
        <v>4291.625</v>
      </c>
      <c r="C797">
        <v>18.202</v>
      </c>
      <c r="D797">
        <v>73.265</v>
      </c>
      <c r="E797">
        <v>161.69</v>
      </c>
      <c r="F797">
        <v>0.03</v>
      </c>
      <c r="G797">
        <v>22.058</v>
      </c>
      <c r="H797">
        <v>1.832</v>
      </c>
      <c r="I797">
        <v>2.777</v>
      </c>
      <c r="J797">
        <v>0.683</v>
      </c>
      <c r="K797">
        <v>5.326</v>
      </c>
      <c r="L797">
        <v>0.029</v>
      </c>
      <c r="M797">
        <v>3.245</v>
      </c>
      <c r="N797">
        <v>412.345</v>
      </c>
      <c r="O797">
        <v>360.02</v>
      </c>
      <c r="P797">
        <f t="shared" si="52"/>
        <v>2.61526073277674</v>
      </c>
      <c r="Q797">
        <f t="shared" si="52"/>
        <v>2.55632662756832</v>
      </c>
      <c r="R797">
        <v>120.238</v>
      </c>
      <c r="S797">
        <v>130.612</v>
      </c>
      <c r="T797">
        <v>140.986</v>
      </c>
      <c r="U797">
        <v>5.185</v>
      </c>
      <c r="V797">
        <v>21.237</v>
      </c>
      <c r="W797">
        <v>0.119</v>
      </c>
      <c r="X797" t="s">
        <v>55</v>
      </c>
      <c r="Y797" t="s">
        <v>31</v>
      </c>
      <c r="Z797" s="3">
        <f t="shared" si="53"/>
        <v>0.0589341052084209</v>
      </c>
      <c r="AA797">
        <f t="shared" si="54"/>
        <v>-0.654</v>
      </c>
      <c r="AB797">
        <f t="shared" si="55"/>
        <v>0.059</v>
      </c>
      <c r="AC797" t="s">
        <v>43</v>
      </c>
    </row>
    <row r="798" spans="1:29">
      <c r="A798" t="s">
        <v>74</v>
      </c>
      <c r="B798">
        <v>4291.75</v>
      </c>
      <c r="C798">
        <v>18.861</v>
      </c>
      <c r="D798">
        <v>73.228</v>
      </c>
      <c r="E798">
        <v>160.824</v>
      </c>
      <c r="F798">
        <v>0.012</v>
      </c>
      <c r="G798">
        <v>22.082</v>
      </c>
      <c r="H798">
        <v>1.649</v>
      </c>
      <c r="I798">
        <v>2.775</v>
      </c>
      <c r="J798">
        <v>0.672</v>
      </c>
      <c r="K798">
        <v>5.22</v>
      </c>
      <c r="L798">
        <v>0.017</v>
      </c>
      <c r="M798">
        <v>3.246</v>
      </c>
      <c r="N798">
        <v>415.201</v>
      </c>
      <c r="O798">
        <v>362.469</v>
      </c>
      <c r="P798">
        <f t="shared" si="52"/>
        <v>2.61825839082778</v>
      </c>
      <c r="Q798">
        <f t="shared" si="52"/>
        <v>2.55927086965284</v>
      </c>
      <c r="R798">
        <v>128.239</v>
      </c>
      <c r="S798">
        <v>139.318</v>
      </c>
      <c r="T798">
        <v>150.397</v>
      </c>
      <c r="U798">
        <v>5.123</v>
      </c>
      <c r="V798">
        <v>21.423</v>
      </c>
      <c r="W798">
        <v>0.113</v>
      </c>
      <c r="X798" t="s">
        <v>55</v>
      </c>
      <c r="Y798" t="s">
        <v>31</v>
      </c>
      <c r="Z798" s="3">
        <f t="shared" si="53"/>
        <v>0.0589875211749362</v>
      </c>
      <c r="AA798">
        <f t="shared" si="54"/>
        <v>-0.655</v>
      </c>
      <c r="AB798">
        <f t="shared" si="55"/>
        <v>0.029</v>
      </c>
      <c r="AC798" t="s">
        <v>43</v>
      </c>
    </row>
    <row r="799" spans="1:29">
      <c r="A799" t="s">
        <v>74</v>
      </c>
      <c r="B799">
        <v>4291.875</v>
      </c>
      <c r="C799">
        <v>20.192</v>
      </c>
      <c r="D799">
        <v>73.203</v>
      </c>
      <c r="E799">
        <v>160.217</v>
      </c>
      <c r="F799">
        <v>0</v>
      </c>
      <c r="G799">
        <v>22.171</v>
      </c>
      <c r="H799">
        <v>1.525</v>
      </c>
      <c r="I799">
        <v>2.766</v>
      </c>
      <c r="J799">
        <v>0.623</v>
      </c>
      <c r="K799">
        <v>5.183</v>
      </c>
      <c r="L799">
        <v>0.013</v>
      </c>
      <c r="M799">
        <v>3.252</v>
      </c>
      <c r="N799">
        <v>411.458</v>
      </c>
      <c r="O799">
        <v>359.133</v>
      </c>
      <c r="P799">
        <f t="shared" si="52"/>
        <v>2.61432551075324</v>
      </c>
      <c r="Q799">
        <f t="shared" si="52"/>
        <v>2.55525531339515</v>
      </c>
      <c r="R799">
        <v>132.773</v>
      </c>
      <c r="S799">
        <v>144.253</v>
      </c>
      <c r="T799">
        <v>155.732</v>
      </c>
      <c r="U799">
        <v>5.052</v>
      </c>
      <c r="V799">
        <v>21.824</v>
      </c>
      <c r="W799">
        <v>0.106</v>
      </c>
      <c r="X799" t="s">
        <v>55</v>
      </c>
      <c r="Y799" t="s">
        <v>31</v>
      </c>
      <c r="Z799" s="3">
        <f t="shared" si="53"/>
        <v>0.0590701973580923</v>
      </c>
      <c r="AA799">
        <f t="shared" si="54"/>
        <v>-0.61</v>
      </c>
      <c r="AB799">
        <f t="shared" si="55"/>
        <v>0.013</v>
      </c>
      <c r="AC799" t="s">
        <v>43</v>
      </c>
    </row>
    <row r="800" spans="1:29">
      <c r="A800" t="s">
        <v>74</v>
      </c>
      <c r="B800">
        <v>4292</v>
      </c>
      <c r="C800">
        <v>21.28</v>
      </c>
      <c r="D800">
        <v>73.189</v>
      </c>
      <c r="E800">
        <v>160.317</v>
      </c>
      <c r="F800">
        <v>0.002</v>
      </c>
      <c r="G800">
        <v>22.239</v>
      </c>
      <c r="H800">
        <v>1.528</v>
      </c>
      <c r="I800">
        <v>2.751</v>
      </c>
      <c r="J800">
        <v>0.541</v>
      </c>
      <c r="K800">
        <v>5.254</v>
      </c>
      <c r="L800">
        <v>0.021</v>
      </c>
      <c r="M800">
        <v>3.265</v>
      </c>
      <c r="N800">
        <v>399.599</v>
      </c>
      <c r="O800">
        <v>348.561</v>
      </c>
      <c r="P800">
        <f t="shared" si="52"/>
        <v>2.60162439272956</v>
      </c>
      <c r="Q800">
        <f t="shared" si="52"/>
        <v>2.54227879289355</v>
      </c>
      <c r="R800">
        <v>134.824</v>
      </c>
      <c r="S800">
        <v>146.484</v>
      </c>
      <c r="T800">
        <v>158.145</v>
      </c>
      <c r="U800">
        <v>5.018</v>
      </c>
      <c r="V800">
        <v>22.295</v>
      </c>
      <c r="W800">
        <v>0.103</v>
      </c>
      <c r="X800" t="s">
        <v>55</v>
      </c>
      <c r="Y800" t="s">
        <v>31</v>
      </c>
      <c r="Z800" s="3">
        <f t="shared" si="53"/>
        <v>0.0593455998360031</v>
      </c>
      <c r="AA800">
        <f t="shared" si="54"/>
        <v>-0.52</v>
      </c>
      <c r="AB800">
        <f t="shared" si="55"/>
        <v>0.023</v>
      </c>
      <c r="AC800" t="s">
        <v>43</v>
      </c>
    </row>
    <row r="801" spans="1:29">
      <c r="A801" t="s">
        <v>75</v>
      </c>
      <c r="B801">
        <v>4128</v>
      </c>
      <c r="C801">
        <v>17.598</v>
      </c>
      <c r="D801">
        <v>77.438</v>
      </c>
      <c r="E801">
        <v>167.83</v>
      </c>
      <c r="F801">
        <v>0.193</v>
      </c>
      <c r="G801">
        <v>21.982</v>
      </c>
      <c r="H801">
        <v>1.161</v>
      </c>
      <c r="I801">
        <v>2.774</v>
      </c>
      <c r="J801">
        <v>0.434</v>
      </c>
      <c r="K801">
        <v>7.214</v>
      </c>
      <c r="L801">
        <v>0.124</v>
      </c>
      <c r="M801">
        <v>2.807</v>
      </c>
      <c r="N801">
        <v>1189.596</v>
      </c>
      <c r="O801">
        <v>1051.733</v>
      </c>
      <c r="P801">
        <f t="shared" ref="P801:Q864" si="56">LOG(N801)</f>
        <v>3.0753994952072</v>
      </c>
      <c r="Q801">
        <f t="shared" si="56"/>
        <v>3.02190550089739</v>
      </c>
      <c r="R801">
        <v>72.73</v>
      </c>
      <c r="S801">
        <v>74.979</v>
      </c>
      <c r="T801">
        <v>77.298</v>
      </c>
      <c r="U801">
        <v>3.501</v>
      </c>
      <c r="V801">
        <v>61.01</v>
      </c>
      <c r="W801">
        <v>0.022</v>
      </c>
      <c r="X801" t="s">
        <v>55</v>
      </c>
      <c r="Y801" t="s">
        <v>31</v>
      </c>
      <c r="Z801" s="3">
        <f t="shared" si="53"/>
        <v>0.0534939943098092</v>
      </c>
      <c r="AA801">
        <f t="shared" si="54"/>
        <v>-0.31</v>
      </c>
      <c r="AB801">
        <f t="shared" si="55"/>
        <v>0.317</v>
      </c>
      <c r="AC801" t="s">
        <v>43</v>
      </c>
    </row>
    <row r="802" spans="1:29">
      <c r="A802" t="s">
        <v>75</v>
      </c>
      <c r="B802">
        <v>4128.125</v>
      </c>
      <c r="C802">
        <v>16.972</v>
      </c>
      <c r="D802">
        <v>76.865</v>
      </c>
      <c r="E802">
        <v>167.127</v>
      </c>
      <c r="F802">
        <v>0.182</v>
      </c>
      <c r="G802">
        <v>21.974</v>
      </c>
      <c r="H802">
        <v>1.164</v>
      </c>
      <c r="I802">
        <v>2.765</v>
      </c>
      <c r="J802">
        <v>0.382</v>
      </c>
      <c r="K802">
        <v>7.314</v>
      </c>
      <c r="L802">
        <v>0.132</v>
      </c>
      <c r="M802">
        <v>2.807</v>
      </c>
      <c r="N802">
        <v>1276.682</v>
      </c>
      <c r="O802">
        <v>1121.787</v>
      </c>
      <c r="P802">
        <f t="shared" si="56"/>
        <v>3.10608273528713</v>
      </c>
      <c r="Q802">
        <f t="shared" si="56"/>
        <v>3.04991040281472</v>
      </c>
      <c r="R802">
        <v>73.374</v>
      </c>
      <c r="S802">
        <v>75.643</v>
      </c>
      <c r="T802">
        <v>77.983</v>
      </c>
      <c r="U802">
        <v>3.998</v>
      </c>
      <c r="V802">
        <v>55.739</v>
      </c>
      <c r="W802">
        <v>0.022</v>
      </c>
      <c r="X802" t="s">
        <v>55</v>
      </c>
      <c r="Y802" t="s">
        <v>31</v>
      </c>
      <c r="Z802" s="3">
        <f t="shared" si="53"/>
        <v>0.0561723324724133</v>
      </c>
      <c r="AA802">
        <f t="shared" si="54"/>
        <v>-0.25</v>
      </c>
      <c r="AB802">
        <f t="shared" si="55"/>
        <v>0.314</v>
      </c>
      <c r="AC802" t="s">
        <v>43</v>
      </c>
    </row>
    <row r="803" spans="1:29">
      <c r="A803" t="s">
        <v>75</v>
      </c>
      <c r="B803">
        <v>4128.25</v>
      </c>
      <c r="C803">
        <v>16.481</v>
      </c>
      <c r="D803">
        <v>76.667</v>
      </c>
      <c r="E803">
        <v>166.224</v>
      </c>
      <c r="F803">
        <v>0.166</v>
      </c>
      <c r="G803">
        <v>21.966</v>
      </c>
      <c r="H803">
        <v>1.174</v>
      </c>
      <c r="I803">
        <v>2.76</v>
      </c>
      <c r="J803">
        <v>0.353</v>
      </c>
      <c r="K803">
        <v>7.402</v>
      </c>
      <c r="L803">
        <v>0.139</v>
      </c>
      <c r="M803">
        <v>2.852</v>
      </c>
      <c r="N803">
        <v>1370.817</v>
      </c>
      <c r="O803">
        <v>1198.399</v>
      </c>
      <c r="P803">
        <f t="shared" si="56"/>
        <v>3.13697948163499</v>
      </c>
      <c r="Q803">
        <f t="shared" si="56"/>
        <v>3.07860143795998</v>
      </c>
      <c r="R803">
        <v>75.326</v>
      </c>
      <c r="S803">
        <v>77.655</v>
      </c>
      <c r="T803">
        <v>80.057</v>
      </c>
      <c r="U803">
        <v>4.458</v>
      </c>
      <c r="V803">
        <v>50.047</v>
      </c>
      <c r="W803">
        <v>0.025</v>
      </c>
      <c r="X803" t="s">
        <v>55</v>
      </c>
      <c r="Y803" t="s">
        <v>31</v>
      </c>
      <c r="Z803" s="3">
        <f t="shared" si="53"/>
        <v>0.0583780436750123</v>
      </c>
      <c r="AA803">
        <f t="shared" si="54"/>
        <v>-0.214</v>
      </c>
      <c r="AB803">
        <f t="shared" si="55"/>
        <v>0.305</v>
      </c>
      <c r="AC803" t="s">
        <v>43</v>
      </c>
    </row>
    <row r="804" spans="1:29">
      <c r="A804" t="s">
        <v>75</v>
      </c>
      <c r="B804">
        <v>4128.375</v>
      </c>
      <c r="C804">
        <v>16.054</v>
      </c>
      <c r="D804">
        <v>76.667</v>
      </c>
      <c r="E804">
        <v>165.611</v>
      </c>
      <c r="F804">
        <v>0.156</v>
      </c>
      <c r="G804">
        <v>21.969</v>
      </c>
      <c r="H804">
        <v>1.186</v>
      </c>
      <c r="I804">
        <v>2.76</v>
      </c>
      <c r="J804">
        <v>0.353</v>
      </c>
      <c r="K804">
        <v>7.51</v>
      </c>
      <c r="L804">
        <v>0.147</v>
      </c>
      <c r="M804">
        <v>2.895</v>
      </c>
      <c r="N804">
        <v>1462.583</v>
      </c>
      <c r="O804">
        <v>1274.011</v>
      </c>
      <c r="P804">
        <f t="shared" si="56"/>
        <v>3.16512052119468</v>
      </c>
      <c r="Q804">
        <f t="shared" si="56"/>
        <v>3.10517317777851</v>
      </c>
      <c r="R804">
        <v>78.307</v>
      </c>
      <c r="S804">
        <v>80.729</v>
      </c>
      <c r="T804">
        <v>83.226</v>
      </c>
      <c r="U804">
        <v>4.51</v>
      </c>
      <c r="V804">
        <v>46.731</v>
      </c>
      <c r="W804">
        <v>0.027</v>
      </c>
      <c r="X804" t="s">
        <v>55</v>
      </c>
      <c r="Y804" t="s">
        <v>31</v>
      </c>
      <c r="Z804" s="3">
        <f t="shared" si="53"/>
        <v>0.0599473434161704</v>
      </c>
      <c r="AA804">
        <f t="shared" si="54"/>
        <v>-0.206</v>
      </c>
      <c r="AB804">
        <f t="shared" si="55"/>
        <v>0.303</v>
      </c>
      <c r="AC804" t="s">
        <v>43</v>
      </c>
    </row>
    <row r="805" spans="1:29">
      <c r="A805" t="s">
        <v>75</v>
      </c>
      <c r="B805">
        <v>4128.5</v>
      </c>
      <c r="C805">
        <v>15.486</v>
      </c>
      <c r="D805">
        <v>77.127</v>
      </c>
      <c r="E805">
        <v>165.623</v>
      </c>
      <c r="F805">
        <v>0.156</v>
      </c>
      <c r="G805">
        <v>21.975</v>
      </c>
      <c r="H805">
        <v>1.201</v>
      </c>
      <c r="I805">
        <v>2.762</v>
      </c>
      <c r="J805">
        <v>0.364</v>
      </c>
      <c r="K805">
        <v>7.658</v>
      </c>
      <c r="L805">
        <v>0.159</v>
      </c>
      <c r="M805">
        <v>2.895</v>
      </c>
      <c r="N805">
        <v>1535.764</v>
      </c>
      <c r="O805">
        <v>1334.86</v>
      </c>
      <c r="P805">
        <f t="shared" si="56"/>
        <v>3.18632448303118</v>
      </c>
      <c r="Q805">
        <f t="shared" si="56"/>
        <v>3.12543571932174</v>
      </c>
      <c r="R805">
        <v>82.451</v>
      </c>
      <c r="S805">
        <v>85</v>
      </c>
      <c r="T805">
        <v>87.629</v>
      </c>
      <c r="U805">
        <v>4.504</v>
      </c>
      <c r="V805">
        <v>45.654</v>
      </c>
      <c r="W805">
        <v>0.029</v>
      </c>
      <c r="X805" t="s">
        <v>55</v>
      </c>
      <c r="Y805" t="s">
        <v>31</v>
      </c>
      <c r="Z805" s="3">
        <f t="shared" si="53"/>
        <v>0.0608887637094386</v>
      </c>
      <c r="AA805">
        <f t="shared" si="54"/>
        <v>-0.205</v>
      </c>
      <c r="AB805">
        <f t="shared" si="55"/>
        <v>0.315</v>
      </c>
      <c r="AC805" t="s">
        <v>43</v>
      </c>
    </row>
    <row r="806" spans="1:29">
      <c r="A806" t="s">
        <v>75</v>
      </c>
      <c r="B806">
        <v>4128.625</v>
      </c>
      <c r="C806">
        <v>14.777</v>
      </c>
      <c r="D806">
        <v>77.498</v>
      </c>
      <c r="E806">
        <v>165.781</v>
      </c>
      <c r="F806">
        <v>0.159</v>
      </c>
      <c r="G806">
        <v>21.975</v>
      </c>
      <c r="H806">
        <v>1.216</v>
      </c>
      <c r="I806">
        <v>2.762</v>
      </c>
      <c r="J806">
        <v>0.364</v>
      </c>
      <c r="K806">
        <v>7.771</v>
      </c>
      <c r="L806">
        <v>0.168</v>
      </c>
      <c r="M806">
        <v>2.895</v>
      </c>
      <c r="N806">
        <v>1573.736</v>
      </c>
      <c r="O806">
        <v>1366.17</v>
      </c>
      <c r="P806">
        <f t="shared" si="56"/>
        <v>3.1969318796371</v>
      </c>
      <c r="Q806">
        <f t="shared" si="56"/>
        <v>3.13550474434419</v>
      </c>
      <c r="R806">
        <v>87.083</v>
      </c>
      <c r="S806">
        <v>89.776</v>
      </c>
      <c r="T806">
        <v>92.553</v>
      </c>
      <c r="U806">
        <v>4.48</v>
      </c>
      <c r="V806">
        <v>44.711</v>
      </c>
      <c r="W806">
        <v>0.028</v>
      </c>
      <c r="X806" t="s">
        <v>55</v>
      </c>
      <c r="Y806" t="s">
        <v>31</v>
      </c>
      <c r="Z806" s="3">
        <f t="shared" si="53"/>
        <v>0.0614271352929086</v>
      </c>
      <c r="AA806">
        <f t="shared" si="54"/>
        <v>-0.196</v>
      </c>
      <c r="AB806">
        <f t="shared" si="55"/>
        <v>0.327</v>
      </c>
      <c r="AC806" t="s">
        <v>43</v>
      </c>
    </row>
    <row r="807" spans="1:29">
      <c r="A807" t="s">
        <v>75</v>
      </c>
      <c r="B807">
        <v>4128.75</v>
      </c>
      <c r="C807">
        <v>14.205</v>
      </c>
      <c r="D807">
        <v>77.685</v>
      </c>
      <c r="E807">
        <v>165.628</v>
      </c>
      <c r="F807">
        <v>0.156</v>
      </c>
      <c r="G807">
        <v>21.971</v>
      </c>
      <c r="H807">
        <v>1.222</v>
      </c>
      <c r="I807">
        <v>2.764</v>
      </c>
      <c r="J807">
        <v>0.376</v>
      </c>
      <c r="K807">
        <v>7.752</v>
      </c>
      <c r="L807">
        <v>0.166</v>
      </c>
      <c r="M807">
        <v>2.895</v>
      </c>
      <c r="N807">
        <v>1575.431</v>
      </c>
      <c r="O807">
        <v>1366.076</v>
      </c>
      <c r="P807">
        <f t="shared" si="56"/>
        <v>3.19739938689722</v>
      </c>
      <c r="Q807">
        <f t="shared" si="56"/>
        <v>3.13547486147031</v>
      </c>
      <c r="R807">
        <v>90.544</v>
      </c>
      <c r="S807">
        <v>93.345</v>
      </c>
      <c r="T807">
        <v>96.232</v>
      </c>
      <c r="U807">
        <v>4.456</v>
      </c>
      <c r="V807">
        <v>44.036</v>
      </c>
      <c r="W807">
        <v>0.026</v>
      </c>
      <c r="X807" t="s">
        <v>55</v>
      </c>
      <c r="Y807" t="s">
        <v>31</v>
      </c>
      <c r="Z807" s="3">
        <f t="shared" si="53"/>
        <v>0.0619245254269072</v>
      </c>
      <c r="AA807">
        <f t="shared" si="54"/>
        <v>-0.21</v>
      </c>
      <c r="AB807">
        <f t="shared" si="55"/>
        <v>0.322</v>
      </c>
      <c r="AC807" t="s">
        <v>43</v>
      </c>
    </row>
    <row r="808" spans="1:29">
      <c r="A808" t="s">
        <v>75</v>
      </c>
      <c r="B808">
        <v>4128.875</v>
      </c>
      <c r="C808">
        <v>14.303</v>
      </c>
      <c r="D808">
        <v>78.357</v>
      </c>
      <c r="E808">
        <v>165.134</v>
      </c>
      <c r="F808">
        <v>0.148</v>
      </c>
      <c r="G808">
        <v>21.976</v>
      </c>
      <c r="H808">
        <v>1.204</v>
      </c>
      <c r="I808">
        <v>2.768</v>
      </c>
      <c r="J808">
        <v>0.399</v>
      </c>
      <c r="K808">
        <v>7.558</v>
      </c>
      <c r="L808">
        <v>0.151</v>
      </c>
      <c r="M808">
        <v>2.895</v>
      </c>
      <c r="N808">
        <v>1557.685</v>
      </c>
      <c r="O808">
        <v>1347.331</v>
      </c>
      <c r="P808">
        <f t="shared" si="56"/>
        <v>3.19247963780817</v>
      </c>
      <c r="Q808">
        <f t="shared" si="56"/>
        <v>3.12947430234087</v>
      </c>
      <c r="R808">
        <v>95.78</v>
      </c>
      <c r="S808">
        <v>98.743</v>
      </c>
      <c r="T808">
        <v>101.797</v>
      </c>
      <c r="U808">
        <v>4.386</v>
      </c>
      <c r="V808">
        <v>43.743</v>
      </c>
      <c r="W808">
        <v>0.022</v>
      </c>
      <c r="X808" t="s">
        <v>55</v>
      </c>
      <c r="Y808" t="s">
        <v>31</v>
      </c>
      <c r="Z808" s="3">
        <f t="shared" si="53"/>
        <v>0.0630053354673006</v>
      </c>
      <c r="AA808">
        <f t="shared" si="54"/>
        <v>-0.248</v>
      </c>
      <c r="AB808">
        <f t="shared" si="55"/>
        <v>0.299</v>
      </c>
      <c r="AC808" t="s">
        <v>43</v>
      </c>
    </row>
    <row r="809" spans="1:29">
      <c r="A809" t="s">
        <v>75</v>
      </c>
      <c r="B809">
        <v>4129</v>
      </c>
      <c r="C809">
        <v>14.83</v>
      </c>
      <c r="D809">
        <v>78.898</v>
      </c>
      <c r="E809">
        <v>164.724</v>
      </c>
      <c r="F809">
        <v>0.141</v>
      </c>
      <c r="G809">
        <v>21.993</v>
      </c>
      <c r="H809">
        <v>1.18</v>
      </c>
      <c r="I809">
        <v>2.775</v>
      </c>
      <c r="J809">
        <v>0.439</v>
      </c>
      <c r="K809">
        <v>7.289</v>
      </c>
      <c r="L809">
        <v>0.13</v>
      </c>
      <c r="M809">
        <v>2.895</v>
      </c>
      <c r="N809">
        <v>1564.137</v>
      </c>
      <c r="O809">
        <v>1345.649</v>
      </c>
      <c r="P809">
        <f t="shared" si="56"/>
        <v>3.1942747894772</v>
      </c>
      <c r="Q809">
        <f t="shared" si="56"/>
        <v>3.12893179299171</v>
      </c>
      <c r="R809">
        <v>97.882</v>
      </c>
      <c r="S809">
        <v>100.909</v>
      </c>
      <c r="T809">
        <v>104.03</v>
      </c>
      <c r="U809">
        <v>4.298</v>
      </c>
      <c r="V809">
        <v>46.165</v>
      </c>
      <c r="W809">
        <v>0.018</v>
      </c>
      <c r="X809" t="s">
        <v>55</v>
      </c>
      <c r="Y809" t="s">
        <v>31</v>
      </c>
      <c r="Z809" s="3">
        <f t="shared" si="53"/>
        <v>0.065342996485489</v>
      </c>
      <c r="AA809">
        <f t="shared" si="54"/>
        <v>-0.309</v>
      </c>
      <c r="AB809">
        <f t="shared" si="55"/>
        <v>0.271</v>
      </c>
      <c r="AC809" t="s">
        <v>43</v>
      </c>
    </row>
    <row r="810" spans="1:29">
      <c r="A810" t="s">
        <v>76</v>
      </c>
      <c r="B810">
        <v>3950</v>
      </c>
      <c r="C810">
        <v>39.777</v>
      </c>
      <c r="D810">
        <v>72.606</v>
      </c>
      <c r="E810">
        <v>163.491</v>
      </c>
      <c r="F810">
        <v>0.117</v>
      </c>
      <c r="G810">
        <v>21.905</v>
      </c>
      <c r="H810">
        <v>1.545</v>
      </c>
      <c r="I810">
        <v>2.725</v>
      </c>
      <c r="J810">
        <v>0.479</v>
      </c>
      <c r="K810">
        <v>3.294</v>
      </c>
      <c r="L810">
        <v>0.041</v>
      </c>
      <c r="M810">
        <v>4.795</v>
      </c>
      <c r="N810">
        <v>2136.799</v>
      </c>
      <c r="O810">
        <v>2052.931</v>
      </c>
      <c r="P810">
        <f t="shared" si="56"/>
        <v>3.329763671768</v>
      </c>
      <c r="Q810">
        <f t="shared" si="56"/>
        <v>3.31237435276911</v>
      </c>
      <c r="R810">
        <v>81.056</v>
      </c>
      <c r="S810">
        <v>85.322</v>
      </c>
      <c r="T810">
        <v>89.588</v>
      </c>
      <c r="U810">
        <v>0.01</v>
      </c>
      <c r="V810">
        <v>100</v>
      </c>
      <c r="W810">
        <v>0.001</v>
      </c>
      <c r="X810" t="s">
        <v>55</v>
      </c>
      <c r="Y810" t="s">
        <v>31</v>
      </c>
      <c r="Z810" s="3">
        <f t="shared" si="53"/>
        <v>0.0173893189988914</v>
      </c>
      <c r="AA810">
        <f t="shared" si="54"/>
        <v>-0.438</v>
      </c>
      <c r="AB810">
        <f t="shared" si="55"/>
        <v>0.158</v>
      </c>
      <c r="AC810" t="s">
        <v>43</v>
      </c>
    </row>
    <row r="811" spans="1:29">
      <c r="A811" t="s">
        <v>76</v>
      </c>
      <c r="B811">
        <v>3950.125</v>
      </c>
      <c r="C811">
        <v>33.304</v>
      </c>
      <c r="D811">
        <v>72.302</v>
      </c>
      <c r="E811">
        <v>162.735</v>
      </c>
      <c r="F811">
        <v>0.102</v>
      </c>
      <c r="G811">
        <v>21.882</v>
      </c>
      <c r="H811">
        <v>1.266</v>
      </c>
      <c r="I811">
        <v>2.728</v>
      </c>
      <c r="J811">
        <v>0.497</v>
      </c>
      <c r="K811">
        <v>3.038</v>
      </c>
      <c r="L811">
        <v>0.018</v>
      </c>
      <c r="M811">
        <v>4.652</v>
      </c>
      <c r="N811">
        <v>2245.158</v>
      </c>
      <c r="O811">
        <v>2169.615</v>
      </c>
      <c r="P811">
        <f t="shared" si="56"/>
        <v>3.35124690930977</v>
      </c>
      <c r="Q811">
        <f t="shared" si="56"/>
        <v>3.33638267476565</v>
      </c>
      <c r="R811">
        <v>82.859</v>
      </c>
      <c r="S811">
        <v>87.22</v>
      </c>
      <c r="T811">
        <v>91.581</v>
      </c>
      <c r="U811">
        <v>0.01</v>
      </c>
      <c r="V811">
        <v>100</v>
      </c>
      <c r="W811">
        <v>0.001</v>
      </c>
      <c r="X811" t="s">
        <v>55</v>
      </c>
      <c r="Y811" t="s">
        <v>31</v>
      </c>
      <c r="Z811" s="3">
        <f t="shared" si="53"/>
        <v>0.0148642345441203</v>
      </c>
      <c r="AA811">
        <f t="shared" si="54"/>
        <v>-0.479</v>
      </c>
      <c r="AB811">
        <f t="shared" si="55"/>
        <v>0.12</v>
      </c>
      <c r="AC811" t="s">
        <v>43</v>
      </c>
    </row>
    <row r="812" spans="1:29">
      <c r="A812" t="s">
        <v>76</v>
      </c>
      <c r="B812">
        <v>3950.25</v>
      </c>
      <c r="C812">
        <v>28.48</v>
      </c>
      <c r="D812">
        <v>72.144</v>
      </c>
      <c r="E812">
        <v>162.154</v>
      </c>
      <c r="F812">
        <v>0.09</v>
      </c>
      <c r="G812">
        <v>21.865</v>
      </c>
      <c r="H812">
        <v>0.927</v>
      </c>
      <c r="I812">
        <v>2.731</v>
      </c>
      <c r="J812">
        <v>0.515</v>
      </c>
      <c r="K812">
        <v>2.938</v>
      </c>
      <c r="L812">
        <v>0.009</v>
      </c>
      <c r="M812">
        <v>4.536</v>
      </c>
      <c r="N812">
        <v>2256.364</v>
      </c>
      <c r="O812">
        <v>2194.402</v>
      </c>
      <c r="P812">
        <f t="shared" si="56"/>
        <v>3.35340916199553</v>
      </c>
      <c r="Q812">
        <f t="shared" si="56"/>
        <v>3.341316190417</v>
      </c>
      <c r="R812">
        <v>85.018</v>
      </c>
      <c r="S812">
        <v>89.493</v>
      </c>
      <c r="T812">
        <v>93.968</v>
      </c>
      <c r="U812">
        <v>0.01</v>
      </c>
      <c r="V812">
        <v>100</v>
      </c>
      <c r="W812">
        <v>0.001</v>
      </c>
      <c r="X812" t="s">
        <v>55</v>
      </c>
      <c r="Y812" t="s">
        <v>31</v>
      </c>
      <c r="Z812" s="3">
        <f t="shared" si="53"/>
        <v>0.0120929715785314</v>
      </c>
      <c r="AA812">
        <f t="shared" si="54"/>
        <v>-0.506</v>
      </c>
      <c r="AB812">
        <f t="shared" si="55"/>
        <v>0.099</v>
      </c>
      <c r="AC812" t="s">
        <v>43</v>
      </c>
    </row>
    <row r="813" spans="1:29">
      <c r="A813" t="s">
        <v>76</v>
      </c>
      <c r="B813">
        <v>3950.375</v>
      </c>
      <c r="C813">
        <v>27.132</v>
      </c>
      <c r="D813">
        <v>72.209</v>
      </c>
      <c r="E813">
        <v>161.815</v>
      </c>
      <c r="F813">
        <v>0.083</v>
      </c>
      <c r="G813">
        <v>21.854</v>
      </c>
      <c r="H813">
        <v>0.647</v>
      </c>
      <c r="I813">
        <v>2.736</v>
      </c>
      <c r="J813">
        <v>0.544</v>
      </c>
      <c r="K813">
        <v>2.988</v>
      </c>
      <c r="L813">
        <v>0.013</v>
      </c>
      <c r="M813">
        <v>4.438</v>
      </c>
      <c r="N813">
        <v>2128.349</v>
      </c>
      <c r="O813">
        <v>2080.375</v>
      </c>
      <c r="P813">
        <f t="shared" si="56"/>
        <v>3.32804284371071</v>
      </c>
      <c r="Q813">
        <f t="shared" si="56"/>
        <v>3.31814162618947</v>
      </c>
      <c r="R813">
        <v>87.174</v>
      </c>
      <c r="S813">
        <v>91.763</v>
      </c>
      <c r="T813">
        <v>96.351</v>
      </c>
      <c r="U813">
        <v>0.01</v>
      </c>
      <c r="V813">
        <v>100</v>
      </c>
      <c r="W813">
        <v>0.001</v>
      </c>
      <c r="X813" t="s">
        <v>55</v>
      </c>
      <c r="Y813" t="s">
        <v>31</v>
      </c>
      <c r="Z813" s="3">
        <f t="shared" si="53"/>
        <v>0.0099012175212394</v>
      </c>
      <c r="AA813">
        <f t="shared" si="54"/>
        <v>-0.531</v>
      </c>
      <c r="AB813">
        <f t="shared" si="55"/>
        <v>0.096</v>
      </c>
      <c r="AC813" t="s">
        <v>43</v>
      </c>
    </row>
    <row r="814" spans="1:29">
      <c r="A814" t="s">
        <v>76</v>
      </c>
      <c r="B814">
        <v>3950.5</v>
      </c>
      <c r="C814">
        <v>26.398</v>
      </c>
      <c r="D814">
        <v>72.273</v>
      </c>
      <c r="E814">
        <v>161.783</v>
      </c>
      <c r="F814">
        <v>0.082</v>
      </c>
      <c r="G814">
        <v>21.853</v>
      </c>
      <c r="H814">
        <v>0.451</v>
      </c>
      <c r="I814">
        <v>2.74</v>
      </c>
      <c r="J814">
        <v>0.568</v>
      </c>
      <c r="K814">
        <v>3.108</v>
      </c>
      <c r="L814">
        <v>0.024</v>
      </c>
      <c r="M814">
        <v>4.357</v>
      </c>
      <c r="N814">
        <v>1952.637</v>
      </c>
      <c r="O814">
        <v>1912.1</v>
      </c>
      <c r="P814">
        <f t="shared" si="56"/>
        <v>3.29062151438377</v>
      </c>
      <c r="Q814">
        <f t="shared" si="56"/>
        <v>3.28151060149266</v>
      </c>
      <c r="R814">
        <v>89.123</v>
      </c>
      <c r="S814">
        <v>93.814</v>
      </c>
      <c r="T814">
        <v>98.504</v>
      </c>
      <c r="U814">
        <v>0.01</v>
      </c>
      <c r="V814">
        <v>100</v>
      </c>
      <c r="W814">
        <v>0.001</v>
      </c>
      <c r="X814" t="s">
        <v>55</v>
      </c>
      <c r="Y814" t="s">
        <v>31</v>
      </c>
      <c r="Z814" s="3">
        <f t="shared" si="53"/>
        <v>0.00911091289111221</v>
      </c>
      <c r="AA814">
        <f t="shared" si="54"/>
        <v>-0.544</v>
      </c>
      <c r="AB814">
        <f t="shared" si="55"/>
        <v>0.106</v>
      </c>
      <c r="AC814" t="s">
        <v>43</v>
      </c>
    </row>
    <row r="815" spans="1:29">
      <c r="A815" t="s">
        <v>76</v>
      </c>
      <c r="B815">
        <v>3950.625</v>
      </c>
      <c r="C815">
        <v>26.212</v>
      </c>
      <c r="D815">
        <v>72.256</v>
      </c>
      <c r="E815">
        <v>162.104</v>
      </c>
      <c r="F815">
        <v>0.089</v>
      </c>
      <c r="G815">
        <v>21.863</v>
      </c>
      <c r="H815">
        <v>0.432</v>
      </c>
      <c r="I815">
        <v>2.741</v>
      </c>
      <c r="J815">
        <v>0.574</v>
      </c>
      <c r="K815">
        <v>3.259</v>
      </c>
      <c r="L815">
        <v>0.038</v>
      </c>
      <c r="M815">
        <v>4.297</v>
      </c>
      <c r="N815">
        <v>1813.061</v>
      </c>
      <c r="O815">
        <v>1791.326</v>
      </c>
      <c r="P815">
        <f t="shared" si="56"/>
        <v>3.2584124160744</v>
      </c>
      <c r="Q815">
        <f t="shared" si="56"/>
        <v>3.25317462946566</v>
      </c>
      <c r="R815">
        <v>90.419</v>
      </c>
      <c r="S815">
        <v>95.178</v>
      </c>
      <c r="T815">
        <v>99.937</v>
      </c>
      <c r="U815">
        <v>0.01</v>
      </c>
      <c r="V815">
        <v>100</v>
      </c>
      <c r="W815">
        <v>0.001</v>
      </c>
      <c r="X815" t="s">
        <v>55</v>
      </c>
      <c r="Y815" t="s">
        <v>31</v>
      </c>
      <c r="Z815" s="3">
        <f t="shared" si="53"/>
        <v>0.00523778660874186</v>
      </c>
      <c r="AA815">
        <f t="shared" si="54"/>
        <v>-0.536</v>
      </c>
      <c r="AB815">
        <f t="shared" si="55"/>
        <v>0.127</v>
      </c>
      <c r="AC815" t="s">
        <v>43</v>
      </c>
    </row>
    <row r="816" spans="1:29">
      <c r="A816" t="s">
        <v>76</v>
      </c>
      <c r="B816">
        <v>3950.75</v>
      </c>
      <c r="C816">
        <v>25.766</v>
      </c>
      <c r="D816">
        <v>72.182</v>
      </c>
      <c r="E816">
        <v>162.628</v>
      </c>
      <c r="F816">
        <v>0.1</v>
      </c>
      <c r="G816">
        <v>21.879</v>
      </c>
      <c r="H816">
        <v>0.466</v>
      </c>
      <c r="I816">
        <v>2.74</v>
      </c>
      <c r="J816">
        <v>0.568</v>
      </c>
      <c r="K816">
        <v>3.415</v>
      </c>
      <c r="L816">
        <v>0.052</v>
      </c>
      <c r="M816">
        <v>4.266</v>
      </c>
      <c r="N816">
        <v>1666.16</v>
      </c>
      <c r="O816">
        <v>1667.323</v>
      </c>
      <c r="P816">
        <f t="shared" si="56"/>
        <v>3.22171670402191</v>
      </c>
      <c r="Q816">
        <f t="shared" si="56"/>
        <v>3.22201974111731</v>
      </c>
      <c r="R816">
        <v>90.643</v>
      </c>
      <c r="S816">
        <v>95.413</v>
      </c>
      <c r="T816">
        <v>100.184</v>
      </c>
      <c r="U816">
        <v>0.01</v>
      </c>
      <c r="V816">
        <v>100</v>
      </c>
      <c r="W816">
        <v>0.001</v>
      </c>
      <c r="X816" t="s">
        <v>55</v>
      </c>
      <c r="Y816" t="s">
        <v>31</v>
      </c>
      <c r="Z816" s="3">
        <f t="shared" si="53"/>
        <v>-0.00030303709540247</v>
      </c>
      <c r="AA816">
        <f t="shared" si="54"/>
        <v>-0.516</v>
      </c>
      <c r="AB816">
        <f t="shared" si="55"/>
        <v>0.152</v>
      </c>
      <c r="AC816" t="s">
        <v>43</v>
      </c>
    </row>
    <row r="817" spans="1:29">
      <c r="A817" t="s">
        <v>76</v>
      </c>
      <c r="B817">
        <v>3950.875</v>
      </c>
      <c r="C817">
        <v>24.613</v>
      </c>
      <c r="D817">
        <v>72.063</v>
      </c>
      <c r="E817">
        <v>163.222</v>
      </c>
      <c r="F817">
        <v>0.112</v>
      </c>
      <c r="G817">
        <v>21.897</v>
      </c>
      <c r="H817">
        <v>0.484</v>
      </c>
      <c r="I817">
        <v>2.739</v>
      </c>
      <c r="J817">
        <v>0.562</v>
      </c>
      <c r="K817">
        <v>3.527</v>
      </c>
      <c r="L817">
        <v>0.062</v>
      </c>
      <c r="M817">
        <v>4.255</v>
      </c>
      <c r="N817">
        <v>1485.773</v>
      </c>
      <c r="O817">
        <v>1516.511</v>
      </c>
      <c r="P817">
        <f t="shared" si="56"/>
        <v>3.17195246192925</v>
      </c>
      <c r="Q817">
        <f t="shared" si="56"/>
        <v>3.18084556480954</v>
      </c>
      <c r="R817">
        <v>89.488</v>
      </c>
      <c r="S817">
        <v>94.198</v>
      </c>
      <c r="T817">
        <v>98.908</v>
      </c>
      <c r="U817">
        <v>0.01</v>
      </c>
      <c r="V817">
        <v>100</v>
      </c>
      <c r="W817">
        <v>0.001</v>
      </c>
      <c r="X817" t="s">
        <v>55</v>
      </c>
      <c r="Y817" t="s">
        <v>31</v>
      </c>
      <c r="Z817" s="3">
        <f t="shared" si="53"/>
        <v>-0.00889310288029055</v>
      </c>
      <c r="AA817">
        <f t="shared" si="54"/>
        <v>-0.5</v>
      </c>
      <c r="AB817">
        <f t="shared" si="55"/>
        <v>0.174</v>
      </c>
      <c r="AC817" t="s">
        <v>43</v>
      </c>
    </row>
    <row r="818" spans="1:29">
      <c r="A818" t="s">
        <v>76</v>
      </c>
      <c r="B818">
        <v>3951</v>
      </c>
      <c r="C818">
        <v>24.086</v>
      </c>
      <c r="D818">
        <v>72.035</v>
      </c>
      <c r="E818">
        <v>163.782</v>
      </c>
      <c r="F818">
        <v>0.123</v>
      </c>
      <c r="G818">
        <v>21.913</v>
      </c>
      <c r="H818">
        <v>0.453</v>
      </c>
      <c r="I818">
        <v>2.739</v>
      </c>
      <c r="J818">
        <v>0.562</v>
      </c>
      <c r="K818">
        <v>3.534</v>
      </c>
      <c r="L818">
        <v>0.063</v>
      </c>
      <c r="M818">
        <v>4.267</v>
      </c>
      <c r="N818">
        <v>1313.998</v>
      </c>
      <c r="O818">
        <v>1375.76</v>
      </c>
      <c r="P818">
        <f t="shared" si="56"/>
        <v>3.11859470419665</v>
      </c>
      <c r="Q818">
        <f t="shared" si="56"/>
        <v>3.13854267825516</v>
      </c>
      <c r="R818">
        <v>87.004</v>
      </c>
      <c r="S818">
        <v>91.583</v>
      </c>
      <c r="T818">
        <v>96.162</v>
      </c>
      <c r="U818">
        <v>0.01</v>
      </c>
      <c r="V818">
        <v>100</v>
      </c>
      <c r="W818">
        <v>0.001</v>
      </c>
      <c r="X818" t="s">
        <v>55</v>
      </c>
      <c r="Y818" t="s">
        <v>31</v>
      </c>
      <c r="Z818" s="3">
        <f t="shared" si="53"/>
        <v>-0.0199479740585122</v>
      </c>
      <c r="AA818">
        <f t="shared" si="54"/>
        <v>-0.499</v>
      </c>
      <c r="AB818">
        <f t="shared" si="55"/>
        <v>0.186</v>
      </c>
      <c r="AC818" t="s">
        <v>43</v>
      </c>
    </row>
    <row r="819" spans="1:29">
      <c r="A819" t="s">
        <v>76</v>
      </c>
      <c r="B819">
        <v>3951.125</v>
      </c>
      <c r="C819">
        <v>23.418</v>
      </c>
      <c r="D819">
        <v>71.971</v>
      </c>
      <c r="E819">
        <v>164.256</v>
      </c>
      <c r="F819">
        <v>0.133</v>
      </c>
      <c r="G819">
        <v>21.928</v>
      </c>
      <c r="H819">
        <v>0.46</v>
      </c>
      <c r="I819">
        <v>2.739</v>
      </c>
      <c r="J819">
        <v>0.562</v>
      </c>
      <c r="K819">
        <v>3.402</v>
      </c>
      <c r="L819">
        <v>0.051</v>
      </c>
      <c r="M819">
        <v>4.323</v>
      </c>
      <c r="N819">
        <v>1223.176</v>
      </c>
      <c r="O819">
        <v>1309.51</v>
      </c>
      <c r="P819">
        <f t="shared" si="56"/>
        <v>3.08748895117321</v>
      </c>
      <c r="Q819">
        <f t="shared" si="56"/>
        <v>3.11710881923948</v>
      </c>
      <c r="R819">
        <v>83.541</v>
      </c>
      <c r="S819">
        <v>87.938</v>
      </c>
      <c r="T819">
        <v>92.334</v>
      </c>
      <c r="U819">
        <v>0.01</v>
      </c>
      <c r="V819">
        <v>100</v>
      </c>
      <c r="W819">
        <v>0.001</v>
      </c>
      <c r="X819" t="s">
        <v>55</v>
      </c>
      <c r="Y819" t="s">
        <v>31</v>
      </c>
      <c r="Z819" s="3">
        <f t="shared" si="53"/>
        <v>-0.0296198680662632</v>
      </c>
      <c r="AA819">
        <f t="shared" si="54"/>
        <v>-0.511</v>
      </c>
      <c r="AB819">
        <f t="shared" si="55"/>
        <v>0.184</v>
      </c>
      <c r="AC819" t="s">
        <v>43</v>
      </c>
    </row>
    <row r="820" spans="1:29">
      <c r="A820" t="s">
        <v>76</v>
      </c>
      <c r="B820">
        <v>3951.25</v>
      </c>
      <c r="C820">
        <v>23.093</v>
      </c>
      <c r="D820">
        <v>71.903</v>
      </c>
      <c r="E820">
        <v>164.688</v>
      </c>
      <c r="F820">
        <v>0.142</v>
      </c>
      <c r="G820">
        <v>21.941</v>
      </c>
      <c r="H820">
        <v>0.52</v>
      </c>
      <c r="I820">
        <v>2.737</v>
      </c>
      <c r="J820">
        <v>0.55</v>
      </c>
      <c r="K820">
        <v>3.196</v>
      </c>
      <c r="L820">
        <v>0.032</v>
      </c>
      <c r="M820">
        <v>4.44</v>
      </c>
      <c r="N820">
        <v>1197.825</v>
      </c>
      <c r="O820">
        <v>1301.855</v>
      </c>
      <c r="P820">
        <f t="shared" si="56"/>
        <v>3.07839337307341</v>
      </c>
      <c r="Q820">
        <f t="shared" si="56"/>
        <v>3.11456261540984</v>
      </c>
      <c r="R820">
        <v>80.066</v>
      </c>
      <c r="S820">
        <v>84.28</v>
      </c>
      <c r="T820">
        <v>88.494</v>
      </c>
      <c r="U820">
        <v>0.01</v>
      </c>
      <c r="V820">
        <v>100</v>
      </c>
      <c r="W820">
        <v>0.001</v>
      </c>
      <c r="X820" t="s">
        <v>55</v>
      </c>
      <c r="Y820" t="s">
        <v>31</v>
      </c>
      <c r="Z820" s="3">
        <f t="shared" si="53"/>
        <v>-0.0361692423364315</v>
      </c>
      <c r="AA820">
        <f t="shared" si="54"/>
        <v>-0.518</v>
      </c>
      <c r="AB820">
        <f t="shared" si="55"/>
        <v>0.174</v>
      </c>
      <c r="AC820" t="s">
        <v>43</v>
      </c>
    </row>
    <row r="821" spans="1:29">
      <c r="A821" t="s">
        <v>76</v>
      </c>
      <c r="B821">
        <v>3951.375</v>
      </c>
      <c r="C821">
        <v>24.225</v>
      </c>
      <c r="D821">
        <v>71.952</v>
      </c>
      <c r="E821">
        <v>165.133</v>
      </c>
      <c r="F821">
        <v>0.151</v>
      </c>
      <c r="G821">
        <v>21.954</v>
      </c>
      <c r="H821">
        <v>0.574</v>
      </c>
      <c r="I821">
        <v>2.731</v>
      </c>
      <c r="J821">
        <v>0.515</v>
      </c>
      <c r="K821">
        <v>2.989</v>
      </c>
      <c r="L821">
        <v>0.013</v>
      </c>
      <c r="M821">
        <v>4.622</v>
      </c>
      <c r="N821">
        <v>1130.23</v>
      </c>
      <c r="O821">
        <v>1243.443</v>
      </c>
      <c r="P821">
        <f t="shared" si="56"/>
        <v>3.05316683071054</v>
      </c>
      <c r="Q821">
        <f t="shared" si="56"/>
        <v>3.0946258818031</v>
      </c>
      <c r="R821">
        <v>77.513</v>
      </c>
      <c r="S821">
        <v>81.593</v>
      </c>
      <c r="T821">
        <v>85.672</v>
      </c>
      <c r="U821">
        <v>0.01</v>
      </c>
      <c r="V821">
        <v>100</v>
      </c>
      <c r="W821">
        <v>0.001</v>
      </c>
      <c r="X821" t="s">
        <v>55</v>
      </c>
      <c r="Y821" t="s">
        <v>31</v>
      </c>
      <c r="Z821" s="3">
        <f t="shared" si="53"/>
        <v>-0.0414590510925588</v>
      </c>
      <c r="AA821">
        <f t="shared" si="54"/>
        <v>-0.502</v>
      </c>
      <c r="AB821">
        <f t="shared" si="55"/>
        <v>0.164</v>
      </c>
      <c r="AC821" t="s">
        <v>43</v>
      </c>
    </row>
    <row r="822" spans="1:29">
      <c r="A822" t="s">
        <v>76</v>
      </c>
      <c r="B822">
        <v>3951.5</v>
      </c>
      <c r="C822">
        <v>24.969</v>
      </c>
      <c r="D822">
        <v>71.945</v>
      </c>
      <c r="E822">
        <v>165.628</v>
      </c>
      <c r="F822">
        <v>0.161</v>
      </c>
      <c r="G822">
        <v>21.969</v>
      </c>
      <c r="H822">
        <v>0.658</v>
      </c>
      <c r="I822">
        <v>2.723</v>
      </c>
      <c r="J822">
        <v>0.467</v>
      </c>
      <c r="K822">
        <v>2.859</v>
      </c>
      <c r="L822">
        <v>0.001</v>
      </c>
      <c r="M822">
        <v>4.823</v>
      </c>
      <c r="N822">
        <v>888.122</v>
      </c>
      <c r="O822">
        <v>988.565</v>
      </c>
      <c r="P822">
        <f t="shared" si="56"/>
        <v>2.94847262826448</v>
      </c>
      <c r="Q822">
        <f t="shared" si="56"/>
        <v>2.995005230264</v>
      </c>
      <c r="R822">
        <v>76.789</v>
      </c>
      <c r="S822">
        <v>80.83</v>
      </c>
      <c r="T822">
        <v>84.872</v>
      </c>
      <c r="U822">
        <v>0.01</v>
      </c>
      <c r="V822">
        <v>100</v>
      </c>
      <c r="W822">
        <v>0.001</v>
      </c>
      <c r="X822" t="s">
        <v>55</v>
      </c>
      <c r="Y822" t="s">
        <v>31</v>
      </c>
      <c r="Z822" s="3">
        <f t="shared" si="53"/>
        <v>-0.046532601999516</v>
      </c>
      <c r="AA822">
        <f t="shared" si="54"/>
        <v>-0.466</v>
      </c>
      <c r="AB822">
        <f t="shared" si="55"/>
        <v>0.162</v>
      </c>
      <c r="AC822" t="s">
        <v>43</v>
      </c>
    </row>
    <row r="823" spans="1:29">
      <c r="A823" t="s">
        <v>76</v>
      </c>
      <c r="B823">
        <v>3951.625</v>
      </c>
      <c r="C823">
        <v>26.712</v>
      </c>
      <c r="D823">
        <v>71.97</v>
      </c>
      <c r="E823">
        <v>166.113</v>
      </c>
      <c r="F823">
        <v>0.171</v>
      </c>
      <c r="G823">
        <v>21.983</v>
      </c>
      <c r="H823">
        <v>0.792</v>
      </c>
      <c r="I823">
        <v>2.716</v>
      </c>
      <c r="J823">
        <v>0.426</v>
      </c>
      <c r="K823">
        <v>2.843</v>
      </c>
      <c r="L823">
        <v>0</v>
      </c>
      <c r="M823">
        <v>4.977</v>
      </c>
      <c r="N823">
        <v>577.109</v>
      </c>
      <c r="O823">
        <v>649.04</v>
      </c>
      <c r="P823">
        <f t="shared" si="56"/>
        <v>2.76125784717274</v>
      </c>
      <c r="Q823">
        <f t="shared" si="56"/>
        <v>2.8122714629698</v>
      </c>
      <c r="R823">
        <v>78.958</v>
      </c>
      <c r="S823">
        <v>83.113</v>
      </c>
      <c r="T823">
        <v>87.269</v>
      </c>
      <c r="U823">
        <v>0.01</v>
      </c>
      <c r="V823">
        <v>100</v>
      </c>
      <c r="W823">
        <v>0.001</v>
      </c>
      <c r="X823" t="s">
        <v>55</v>
      </c>
      <c r="Y823" t="s">
        <v>31</v>
      </c>
      <c r="Z823" s="3">
        <f t="shared" si="53"/>
        <v>-0.0510136157970558</v>
      </c>
      <c r="AA823">
        <f t="shared" si="54"/>
        <v>-0.426</v>
      </c>
      <c r="AB823">
        <f t="shared" si="55"/>
        <v>0.171</v>
      </c>
      <c r="AC823" t="s">
        <v>43</v>
      </c>
    </row>
    <row r="824" spans="1:29">
      <c r="A824" t="s">
        <v>76</v>
      </c>
      <c r="B824">
        <v>3951.75</v>
      </c>
      <c r="C824">
        <v>28.329</v>
      </c>
      <c r="D824">
        <v>72.017</v>
      </c>
      <c r="E824">
        <v>166.41</v>
      </c>
      <c r="F824">
        <v>0.177</v>
      </c>
      <c r="G824">
        <v>21.992</v>
      </c>
      <c r="H824">
        <v>0.873</v>
      </c>
      <c r="I824">
        <v>2.712</v>
      </c>
      <c r="J824">
        <v>0.402</v>
      </c>
      <c r="K824">
        <v>2.973</v>
      </c>
      <c r="L824">
        <v>0.012</v>
      </c>
      <c r="M824">
        <v>5.023</v>
      </c>
      <c r="N824">
        <v>341.414</v>
      </c>
      <c r="O824">
        <v>386.177</v>
      </c>
      <c r="P824">
        <f t="shared" si="56"/>
        <v>2.53328132579478</v>
      </c>
      <c r="Q824">
        <f t="shared" si="56"/>
        <v>2.58678640442387</v>
      </c>
      <c r="R824">
        <v>83.812</v>
      </c>
      <c r="S824">
        <v>88.223</v>
      </c>
      <c r="T824">
        <v>92.635</v>
      </c>
      <c r="U824">
        <v>0.01</v>
      </c>
      <c r="V824">
        <v>100</v>
      </c>
      <c r="W824">
        <v>0.001</v>
      </c>
      <c r="X824" t="s">
        <v>55</v>
      </c>
      <c r="Y824" t="s">
        <v>31</v>
      </c>
      <c r="Z824" s="3">
        <f t="shared" si="53"/>
        <v>-0.0535050786290876</v>
      </c>
      <c r="AA824">
        <f t="shared" si="54"/>
        <v>-0.39</v>
      </c>
      <c r="AB824">
        <f t="shared" si="55"/>
        <v>0.189</v>
      </c>
      <c r="AC824" t="s">
        <v>43</v>
      </c>
    </row>
    <row r="825" spans="1:29">
      <c r="A825" t="s">
        <v>76</v>
      </c>
      <c r="B825">
        <v>3951.875</v>
      </c>
      <c r="C825">
        <v>28.401</v>
      </c>
      <c r="D825">
        <v>71.953</v>
      </c>
      <c r="E825">
        <v>166.326</v>
      </c>
      <c r="F825">
        <v>0.175</v>
      </c>
      <c r="G825">
        <v>21.99</v>
      </c>
      <c r="H825">
        <v>0.945</v>
      </c>
      <c r="I825">
        <v>2.712</v>
      </c>
      <c r="J825">
        <v>0.402</v>
      </c>
      <c r="K825">
        <v>3.237</v>
      </c>
      <c r="L825">
        <v>0.036</v>
      </c>
      <c r="M825">
        <v>4.943</v>
      </c>
      <c r="N825">
        <v>225.11</v>
      </c>
      <c r="O825">
        <v>252.515</v>
      </c>
      <c r="P825">
        <f t="shared" si="56"/>
        <v>2.35239478797411</v>
      </c>
      <c r="Q825">
        <f t="shared" si="56"/>
        <v>2.40228718136058</v>
      </c>
      <c r="R825">
        <v>91.245</v>
      </c>
      <c r="S825">
        <v>96.048</v>
      </c>
      <c r="T825">
        <v>100.85</v>
      </c>
      <c r="U825">
        <v>0.01</v>
      </c>
      <c r="V825">
        <v>100</v>
      </c>
      <c r="W825">
        <v>0.001</v>
      </c>
      <c r="X825" t="s">
        <v>55</v>
      </c>
      <c r="Y825" t="s">
        <v>31</v>
      </c>
      <c r="Z825" s="3">
        <f t="shared" si="53"/>
        <v>-0.0498923933864668</v>
      </c>
      <c r="AA825">
        <f t="shared" si="54"/>
        <v>-0.366</v>
      </c>
      <c r="AB825">
        <f t="shared" si="55"/>
        <v>0.211</v>
      </c>
      <c r="AC825" t="s">
        <v>43</v>
      </c>
    </row>
    <row r="826" spans="1:29">
      <c r="A826" t="s">
        <v>76</v>
      </c>
      <c r="B826">
        <v>3952</v>
      </c>
      <c r="C826">
        <v>29.506</v>
      </c>
      <c r="D826">
        <v>71.976</v>
      </c>
      <c r="E826">
        <v>165.763</v>
      </c>
      <c r="F826">
        <v>0.164</v>
      </c>
      <c r="G826">
        <v>21.973</v>
      </c>
      <c r="H826">
        <v>0.993</v>
      </c>
      <c r="I826">
        <v>2.715</v>
      </c>
      <c r="J826">
        <v>0.42</v>
      </c>
      <c r="K826">
        <v>3.602</v>
      </c>
      <c r="L826">
        <v>0.069</v>
      </c>
      <c r="M826">
        <v>4.754</v>
      </c>
      <c r="N826">
        <v>159.269</v>
      </c>
      <c r="O826">
        <v>176.89</v>
      </c>
      <c r="P826">
        <f t="shared" si="56"/>
        <v>2.20213125327081</v>
      </c>
      <c r="Q826">
        <f t="shared" si="56"/>
        <v>2.24770328193417</v>
      </c>
      <c r="R826">
        <v>100.67</v>
      </c>
      <c r="S826">
        <v>105.968</v>
      </c>
      <c r="T826">
        <v>111.267</v>
      </c>
      <c r="U826">
        <v>0.01</v>
      </c>
      <c r="V826">
        <v>100</v>
      </c>
      <c r="W826">
        <v>0.001</v>
      </c>
      <c r="X826" t="s">
        <v>55</v>
      </c>
      <c r="Y826" t="s">
        <v>31</v>
      </c>
      <c r="Z826" s="3">
        <f t="shared" si="53"/>
        <v>-0.0455720286633645</v>
      </c>
      <c r="AA826">
        <f t="shared" si="54"/>
        <v>-0.351</v>
      </c>
      <c r="AB826">
        <f t="shared" si="55"/>
        <v>0.233</v>
      </c>
      <c r="AC826" t="s">
        <v>43</v>
      </c>
    </row>
    <row r="827" spans="1:29">
      <c r="A827" t="s">
        <v>77</v>
      </c>
      <c r="B827">
        <v>3975</v>
      </c>
      <c r="C827">
        <v>15.985</v>
      </c>
      <c r="D827">
        <v>74.922</v>
      </c>
      <c r="E827">
        <v>180.651</v>
      </c>
      <c r="F827">
        <v>0.31</v>
      </c>
      <c r="G827">
        <v>22.671</v>
      </c>
      <c r="H827">
        <v>1.993</v>
      </c>
      <c r="I827">
        <v>2.697</v>
      </c>
      <c r="J827">
        <v>0.553</v>
      </c>
      <c r="K827">
        <v>10.558</v>
      </c>
      <c r="L827">
        <v>0.541</v>
      </c>
      <c r="M827">
        <v>2.8</v>
      </c>
      <c r="N827">
        <v>75.207</v>
      </c>
      <c r="O827">
        <v>70.873</v>
      </c>
      <c r="P827">
        <f t="shared" si="56"/>
        <v>1.87625826505826</v>
      </c>
      <c r="Q827">
        <f t="shared" si="56"/>
        <v>1.85048081650457</v>
      </c>
      <c r="R827">
        <v>30.796</v>
      </c>
      <c r="S827">
        <v>32.413</v>
      </c>
      <c r="T827">
        <v>33.154</v>
      </c>
      <c r="U827">
        <v>8.842</v>
      </c>
      <c r="V827">
        <v>31</v>
      </c>
      <c r="W827">
        <v>3.286</v>
      </c>
      <c r="X827" t="s">
        <v>78</v>
      </c>
      <c r="Y827" t="s">
        <v>31</v>
      </c>
      <c r="Z827" s="3">
        <f t="shared" si="53"/>
        <v>0.0257774485536917</v>
      </c>
      <c r="AA827">
        <f t="shared" si="54"/>
        <v>-0.012</v>
      </c>
      <c r="AB827">
        <f t="shared" si="55"/>
        <v>0.851</v>
      </c>
      <c r="AC827" t="s">
        <v>43</v>
      </c>
    </row>
    <row r="828" spans="1:29">
      <c r="A828" t="s">
        <v>77</v>
      </c>
      <c r="B828">
        <v>3975.125</v>
      </c>
      <c r="C828">
        <v>16.052</v>
      </c>
      <c r="D828">
        <v>74.832</v>
      </c>
      <c r="E828">
        <v>182.704</v>
      </c>
      <c r="F828">
        <v>0.334</v>
      </c>
      <c r="G828">
        <v>22.654</v>
      </c>
      <c r="H828">
        <v>2.049</v>
      </c>
      <c r="I828">
        <v>2.674</v>
      </c>
      <c r="J828">
        <v>0.477</v>
      </c>
      <c r="K828">
        <v>10.783</v>
      </c>
      <c r="L828">
        <v>0.567</v>
      </c>
      <c r="M828">
        <v>2.813</v>
      </c>
      <c r="N828">
        <v>62.371</v>
      </c>
      <c r="O828">
        <v>58.601</v>
      </c>
      <c r="P828">
        <f t="shared" si="56"/>
        <v>1.79498270719047</v>
      </c>
      <c r="Q828">
        <f t="shared" si="56"/>
        <v>1.76790502712349</v>
      </c>
      <c r="R828">
        <v>28.165</v>
      </c>
      <c r="S828">
        <v>29.555</v>
      </c>
      <c r="T828">
        <v>30.177</v>
      </c>
      <c r="U828">
        <v>9.533</v>
      </c>
      <c r="V828">
        <v>30.827</v>
      </c>
      <c r="W828">
        <v>5.152</v>
      </c>
      <c r="X828" t="s">
        <v>78</v>
      </c>
      <c r="Y828" t="s">
        <v>31</v>
      </c>
      <c r="Z828" s="3">
        <f t="shared" si="53"/>
        <v>0.0270776800669776</v>
      </c>
      <c r="AA828">
        <f t="shared" si="54"/>
        <v>0.09</v>
      </c>
      <c r="AB828">
        <f t="shared" si="55"/>
        <v>0.901</v>
      </c>
      <c r="AC828" t="s">
        <v>43</v>
      </c>
    </row>
    <row r="829" spans="1:29">
      <c r="A829" t="s">
        <v>77</v>
      </c>
      <c r="B829">
        <v>3975.25</v>
      </c>
      <c r="C829">
        <v>17.099</v>
      </c>
      <c r="D829">
        <v>74.746</v>
      </c>
      <c r="E829">
        <v>183.864</v>
      </c>
      <c r="F829">
        <v>0.347</v>
      </c>
      <c r="G829">
        <v>22.587</v>
      </c>
      <c r="H829">
        <v>2.114</v>
      </c>
      <c r="I829">
        <v>2.653</v>
      </c>
      <c r="J829">
        <v>0.407</v>
      </c>
      <c r="K829">
        <v>11.044</v>
      </c>
      <c r="L829">
        <v>0.598</v>
      </c>
      <c r="M829">
        <v>2.822</v>
      </c>
      <c r="N829">
        <v>53.653</v>
      </c>
      <c r="O829">
        <v>50.281</v>
      </c>
      <c r="P829">
        <f t="shared" si="56"/>
        <v>1.72959401049619</v>
      </c>
      <c r="Q829">
        <f t="shared" si="56"/>
        <v>1.70140390644756</v>
      </c>
      <c r="R829">
        <v>25.363</v>
      </c>
      <c r="S829">
        <v>26.535</v>
      </c>
      <c r="T829">
        <v>27.044</v>
      </c>
      <c r="U829">
        <v>9.844</v>
      </c>
      <c r="V829">
        <v>31.895</v>
      </c>
      <c r="W829">
        <v>6.32</v>
      </c>
      <c r="X829" t="s">
        <v>78</v>
      </c>
      <c r="Y829" t="s">
        <v>31</v>
      </c>
      <c r="Z829" s="3">
        <f t="shared" si="53"/>
        <v>0.0281901040486314</v>
      </c>
      <c r="AA829">
        <f t="shared" si="54"/>
        <v>0.191</v>
      </c>
      <c r="AB829">
        <f t="shared" si="55"/>
        <v>0.945</v>
      </c>
      <c r="AC829" t="s">
        <v>43</v>
      </c>
    </row>
    <row r="830" spans="1:29">
      <c r="A830" t="s">
        <v>77</v>
      </c>
      <c r="B830">
        <v>3975.375</v>
      </c>
      <c r="C830">
        <v>18.179</v>
      </c>
      <c r="D830">
        <v>74.664</v>
      </c>
      <c r="E830">
        <v>185.2</v>
      </c>
      <c r="F830">
        <v>0.363</v>
      </c>
      <c r="G830">
        <v>22.521</v>
      </c>
      <c r="H830">
        <v>2.12</v>
      </c>
      <c r="I830">
        <v>2.637</v>
      </c>
      <c r="J830">
        <v>0.353</v>
      </c>
      <c r="K830">
        <v>11.546</v>
      </c>
      <c r="L830">
        <v>0.656</v>
      </c>
      <c r="M830">
        <v>2.83</v>
      </c>
      <c r="N830">
        <v>48.049</v>
      </c>
      <c r="O830">
        <v>45.025</v>
      </c>
      <c r="P830">
        <f t="shared" si="56"/>
        <v>1.68168435352379</v>
      </c>
      <c r="Q830">
        <f t="shared" si="56"/>
        <v>1.65345372149157</v>
      </c>
      <c r="R830">
        <v>22.662</v>
      </c>
      <c r="S830">
        <v>23.654</v>
      </c>
      <c r="T830">
        <v>24.083</v>
      </c>
      <c r="U830">
        <v>10.211</v>
      </c>
      <c r="V830">
        <v>32.197</v>
      </c>
      <c r="W830">
        <v>7.959</v>
      </c>
      <c r="X830" t="s">
        <v>78</v>
      </c>
      <c r="Y830" t="s">
        <v>31</v>
      </c>
      <c r="Z830" s="3">
        <f t="shared" si="53"/>
        <v>0.0282306320322199</v>
      </c>
      <c r="AA830">
        <f t="shared" si="54"/>
        <v>0.303</v>
      </c>
      <c r="AB830">
        <f t="shared" si="55"/>
        <v>1.019</v>
      </c>
      <c r="AC830" t="s">
        <v>43</v>
      </c>
    </row>
    <row r="831" spans="1:29">
      <c r="A831" t="s">
        <v>77</v>
      </c>
      <c r="B831">
        <v>3975.5</v>
      </c>
      <c r="C831">
        <v>18.319</v>
      </c>
      <c r="D831">
        <v>74.587</v>
      </c>
      <c r="E831">
        <v>187.281</v>
      </c>
      <c r="F831">
        <v>0.387</v>
      </c>
      <c r="G831">
        <v>22.497</v>
      </c>
      <c r="H831">
        <v>2.061</v>
      </c>
      <c r="I831">
        <v>2.624</v>
      </c>
      <c r="J831">
        <v>0.31</v>
      </c>
      <c r="K831">
        <v>12.385</v>
      </c>
      <c r="L831">
        <v>0.753</v>
      </c>
      <c r="M831">
        <v>2.933</v>
      </c>
      <c r="N831">
        <v>44.971</v>
      </c>
      <c r="O831">
        <v>42.209</v>
      </c>
      <c r="P831">
        <f t="shared" si="56"/>
        <v>1.65293254488734</v>
      </c>
      <c r="Q831">
        <f t="shared" si="56"/>
        <v>1.62540506313222</v>
      </c>
      <c r="R831">
        <v>20.417</v>
      </c>
      <c r="S831">
        <v>21.267</v>
      </c>
      <c r="T831">
        <v>21.635</v>
      </c>
      <c r="U831">
        <v>10.907</v>
      </c>
      <c r="V831">
        <v>30.72</v>
      </c>
      <c r="W831">
        <v>11.826</v>
      </c>
      <c r="X831" t="s">
        <v>78</v>
      </c>
      <c r="Y831" t="s">
        <v>31</v>
      </c>
      <c r="Z831" s="3">
        <f t="shared" si="53"/>
        <v>0.0275274817551154</v>
      </c>
      <c r="AA831">
        <f t="shared" si="54"/>
        <v>0.443</v>
      </c>
      <c r="AB831">
        <f t="shared" si="55"/>
        <v>1.14</v>
      </c>
      <c r="AC831" t="s">
        <v>43</v>
      </c>
    </row>
    <row r="832" spans="1:29">
      <c r="A832" t="s">
        <v>77</v>
      </c>
      <c r="B832">
        <v>3975.625</v>
      </c>
      <c r="C832">
        <v>17.659</v>
      </c>
      <c r="D832">
        <v>74.513</v>
      </c>
      <c r="E832">
        <v>189.622</v>
      </c>
      <c r="F832">
        <v>0.414</v>
      </c>
      <c r="G832">
        <v>22.475</v>
      </c>
      <c r="H832">
        <v>1.992</v>
      </c>
      <c r="I832">
        <v>2.614</v>
      </c>
      <c r="J832">
        <v>0.277</v>
      </c>
      <c r="K832">
        <v>13.368</v>
      </c>
      <c r="L832">
        <v>0.867</v>
      </c>
      <c r="M832">
        <v>3.185</v>
      </c>
      <c r="N832">
        <v>43.988</v>
      </c>
      <c r="O832">
        <v>41.368</v>
      </c>
      <c r="P832">
        <f t="shared" si="56"/>
        <v>1.64333421638219</v>
      </c>
      <c r="Q832">
        <f t="shared" si="56"/>
        <v>1.61666452476401</v>
      </c>
      <c r="R832">
        <v>18.804</v>
      </c>
      <c r="S832">
        <v>19.553</v>
      </c>
      <c r="T832">
        <v>19.877</v>
      </c>
      <c r="U832">
        <v>11.626</v>
      </c>
      <c r="V832">
        <v>28.722</v>
      </c>
      <c r="W832">
        <v>16.996</v>
      </c>
      <c r="X832" t="s">
        <v>78</v>
      </c>
      <c r="Y832" t="s">
        <v>31</v>
      </c>
      <c r="Z832" s="3">
        <f t="shared" si="53"/>
        <v>0.026669691618179</v>
      </c>
      <c r="AA832">
        <f t="shared" si="54"/>
        <v>0.59</v>
      </c>
      <c r="AB832">
        <f t="shared" si="55"/>
        <v>1.281</v>
      </c>
      <c r="AC832" t="s">
        <v>43</v>
      </c>
    </row>
    <row r="833" spans="1:29">
      <c r="A833" t="s">
        <v>77</v>
      </c>
      <c r="B833">
        <v>3975.75</v>
      </c>
      <c r="C833">
        <v>17.122</v>
      </c>
      <c r="D833">
        <v>74.444</v>
      </c>
      <c r="E833">
        <v>191.404</v>
      </c>
      <c r="F833">
        <v>0.434</v>
      </c>
      <c r="G833">
        <v>22.525</v>
      </c>
      <c r="H833">
        <v>1.932</v>
      </c>
      <c r="I833">
        <v>2.607</v>
      </c>
      <c r="J833">
        <v>0.253</v>
      </c>
      <c r="K833">
        <v>14.124</v>
      </c>
      <c r="L833">
        <v>0.954</v>
      </c>
      <c r="M833">
        <v>3.328</v>
      </c>
      <c r="N833">
        <v>44.502</v>
      </c>
      <c r="O833">
        <v>41.942</v>
      </c>
      <c r="P833">
        <f t="shared" si="56"/>
        <v>1.64837952939544</v>
      </c>
      <c r="Q833">
        <f t="shared" si="56"/>
        <v>1.62264913591126</v>
      </c>
      <c r="R833">
        <v>17.811</v>
      </c>
      <c r="S833">
        <v>18.496</v>
      </c>
      <c r="T833">
        <v>18.789</v>
      </c>
      <c r="U833">
        <v>11.924</v>
      </c>
      <c r="V833">
        <v>27.697</v>
      </c>
      <c r="W833">
        <v>19.633</v>
      </c>
      <c r="X833" t="s">
        <v>78</v>
      </c>
      <c r="Y833" t="s">
        <v>31</v>
      </c>
      <c r="Z833" s="3">
        <f t="shared" si="53"/>
        <v>0.0257303934841822</v>
      </c>
      <c r="AA833">
        <f t="shared" si="54"/>
        <v>0.701</v>
      </c>
      <c r="AB833">
        <f t="shared" si="55"/>
        <v>1.388</v>
      </c>
      <c r="AC833" t="s">
        <v>43</v>
      </c>
    </row>
    <row r="834" spans="1:29">
      <c r="A834" t="s">
        <v>77</v>
      </c>
      <c r="B834">
        <v>3975.875</v>
      </c>
      <c r="C834">
        <v>17.583</v>
      </c>
      <c r="D834">
        <v>74.381</v>
      </c>
      <c r="E834">
        <v>191.817</v>
      </c>
      <c r="F834">
        <v>0.439</v>
      </c>
      <c r="G834">
        <v>22.558</v>
      </c>
      <c r="H834">
        <v>1.884</v>
      </c>
      <c r="I834">
        <v>2.604</v>
      </c>
      <c r="J834">
        <v>0.243</v>
      </c>
      <c r="K834">
        <v>14.429</v>
      </c>
      <c r="L834">
        <v>0.99</v>
      </c>
      <c r="M834">
        <v>3.328</v>
      </c>
      <c r="N834">
        <v>45.846</v>
      </c>
      <c r="O834">
        <v>43.309</v>
      </c>
      <c r="P834">
        <f t="shared" si="56"/>
        <v>1.66130145006692</v>
      </c>
      <c r="Q834">
        <f t="shared" si="56"/>
        <v>1.63657815603426</v>
      </c>
      <c r="R834">
        <v>17.211</v>
      </c>
      <c r="S834">
        <v>17.853</v>
      </c>
      <c r="T834">
        <v>18.125</v>
      </c>
      <c r="U834">
        <v>11.887</v>
      </c>
      <c r="V834">
        <v>27.388</v>
      </c>
      <c r="W834">
        <v>18.853</v>
      </c>
      <c r="X834" t="s">
        <v>78</v>
      </c>
      <c r="Y834" t="s">
        <v>31</v>
      </c>
      <c r="Z834" s="3">
        <f t="shared" si="53"/>
        <v>0.0247232940326636</v>
      </c>
      <c r="AA834">
        <f t="shared" si="54"/>
        <v>0.747</v>
      </c>
      <c r="AB834">
        <f t="shared" si="55"/>
        <v>1.429</v>
      </c>
      <c r="AC834" t="s">
        <v>43</v>
      </c>
    </row>
    <row r="835" spans="1:29">
      <c r="A835" t="s">
        <v>77</v>
      </c>
      <c r="B835">
        <v>3976</v>
      </c>
      <c r="C835">
        <v>19.098</v>
      </c>
      <c r="D835">
        <v>74.322</v>
      </c>
      <c r="E835">
        <v>190.429</v>
      </c>
      <c r="F835">
        <v>0.423</v>
      </c>
      <c r="G835">
        <v>22.627</v>
      </c>
      <c r="H835">
        <v>1.864</v>
      </c>
      <c r="I835">
        <v>2.605</v>
      </c>
      <c r="J835">
        <v>0.247</v>
      </c>
      <c r="K835">
        <v>14.288</v>
      </c>
      <c r="L835">
        <v>0.973</v>
      </c>
      <c r="M835">
        <v>3.329</v>
      </c>
      <c r="N835">
        <v>47.129</v>
      </c>
      <c r="O835">
        <v>44.633</v>
      </c>
      <c r="P835">
        <f t="shared" si="56"/>
        <v>1.67328822484155</v>
      </c>
      <c r="Q835">
        <f t="shared" si="56"/>
        <v>1.64965607885617</v>
      </c>
      <c r="R835">
        <v>16.775</v>
      </c>
      <c r="S835">
        <v>17.385</v>
      </c>
      <c r="T835">
        <v>17.642</v>
      </c>
      <c r="U835">
        <v>11.613</v>
      </c>
      <c r="V835">
        <v>27.791</v>
      </c>
      <c r="W835">
        <v>15.878</v>
      </c>
      <c r="X835" t="s">
        <v>78</v>
      </c>
      <c r="Y835" t="s">
        <v>31</v>
      </c>
      <c r="Z835" s="3">
        <f t="shared" si="53"/>
        <v>0.023632145985377</v>
      </c>
      <c r="AA835">
        <f t="shared" si="54"/>
        <v>0.726</v>
      </c>
      <c r="AB835">
        <f t="shared" si="55"/>
        <v>1.396</v>
      </c>
      <c r="AC835" t="s">
        <v>43</v>
      </c>
    </row>
    <row r="836" spans="1:29">
      <c r="A836" t="s">
        <v>77</v>
      </c>
      <c r="B836">
        <v>3976.125</v>
      </c>
      <c r="C836">
        <v>20.992</v>
      </c>
      <c r="D836">
        <v>74.267</v>
      </c>
      <c r="E836">
        <v>187.402</v>
      </c>
      <c r="F836">
        <v>0.388</v>
      </c>
      <c r="G836">
        <v>22.833</v>
      </c>
      <c r="H836">
        <v>1.875</v>
      </c>
      <c r="I836">
        <v>2.612</v>
      </c>
      <c r="J836">
        <v>0.27</v>
      </c>
      <c r="K836">
        <v>13.851</v>
      </c>
      <c r="L836">
        <v>0.923</v>
      </c>
      <c r="M836">
        <v>3.329</v>
      </c>
      <c r="N836">
        <v>47.507</v>
      </c>
      <c r="O836">
        <v>45.114</v>
      </c>
      <c r="P836">
        <f t="shared" si="56"/>
        <v>1.67675760620152</v>
      </c>
      <c r="Q836">
        <f t="shared" si="56"/>
        <v>1.65431133520927</v>
      </c>
      <c r="R836">
        <v>16.329</v>
      </c>
      <c r="S836">
        <v>16.911</v>
      </c>
      <c r="T836">
        <v>17.154</v>
      </c>
      <c r="U836">
        <v>10.734</v>
      </c>
      <c r="V836">
        <v>30.616</v>
      </c>
      <c r="W836">
        <v>10.191</v>
      </c>
      <c r="X836" t="s">
        <v>78</v>
      </c>
      <c r="Y836" t="s">
        <v>31</v>
      </c>
      <c r="Z836" s="3">
        <f t="shared" si="53"/>
        <v>0.0224462709922433</v>
      </c>
      <c r="AA836">
        <f t="shared" si="54"/>
        <v>0.653</v>
      </c>
      <c r="AB836">
        <f t="shared" si="55"/>
        <v>1.311</v>
      </c>
      <c r="AC836" t="s">
        <v>43</v>
      </c>
    </row>
    <row r="837" spans="1:29">
      <c r="A837" t="s">
        <v>77</v>
      </c>
      <c r="B837">
        <v>3976.25</v>
      </c>
      <c r="C837">
        <v>22.319</v>
      </c>
      <c r="D837">
        <v>74.218</v>
      </c>
      <c r="E837">
        <v>183.113</v>
      </c>
      <c r="F837">
        <v>0.339</v>
      </c>
      <c r="G837">
        <v>22.959</v>
      </c>
      <c r="H837">
        <v>1.886</v>
      </c>
      <c r="I837">
        <v>2.626</v>
      </c>
      <c r="J837">
        <v>0.317</v>
      </c>
      <c r="K837">
        <v>13.358</v>
      </c>
      <c r="L837">
        <v>0.866</v>
      </c>
      <c r="M837">
        <v>3.33</v>
      </c>
      <c r="N837">
        <v>46.048</v>
      </c>
      <c r="O837">
        <v>43.852</v>
      </c>
      <c r="P837">
        <f t="shared" si="56"/>
        <v>1.66321077225651</v>
      </c>
      <c r="Q837">
        <f t="shared" si="56"/>
        <v>1.64198940543652</v>
      </c>
      <c r="R837">
        <v>15.859</v>
      </c>
      <c r="S837">
        <v>16.415</v>
      </c>
      <c r="T837">
        <v>16.644</v>
      </c>
      <c r="U837">
        <v>9.173</v>
      </c>
      <c r="V837">
        <v>38.366</v>
      </c>
      <c r="W837">
        <v>4.538</v>
      </c>
      <c r="X837" t="s">
        <v>78</v>
      </c>
      <c r="Y837" t="s">
        <v>31</v>
      </c>
      <c r="Z837" s="3">
        <f t="shared" si="53"/>
        <v>0.0212213668199885</v>
      </c>
      <c r="AA837">
        <f t="shared" si="54"/>
        <v>0.549</v>
      </c>
      <c r="AB837">
        <f t="shared" si="55"/>
        <v>1.205</v>
      </c>
      <c r="AC837" t="s">
        <v>43</v>
      </c>
    </row>
    <row r="838" spans="1:29">
      <c r="A838" t="s">
        <v>77</v>
      </c>
      <c r="B838">
        <v>3976.375</v>
      </c>
      <c r="C838">
        <v>22.7</v>
      </c>
      <c r="D838">
        <v>74.166</v>
      </c>
      <c r="E838">
        <v>179.257</v>
      </c>
      <c r="F838">
        <v>0.294</v>
      </c>
      <c r="G838">
        <v>23.071</v>
      </c>
      <c r="H838">
        <v>1.882</v>
      </c>
      <c r="I838">
        <v>2.644</v>
      </c>
      <c r="J838">
        <v>0.377</v>
      </c>
      <c r="K838">
        <v>13.19</v>
      </c>
      <c r="L838">
        <v>0.846</v>
      </c>
      <c r="M838">
        <v>3.33</v>
      </c>
      <c r="N838">
        <v>43.473</v>
      </c>
      <c r="O838">
        <v>41.473</v>
      </c>
      <c r="P838">
        <f t="shared" si="56"/>
        <v>1.63821961117059</v>
      </c>
      <c r="Q838">
        <f t="shared" si="56"/>
        <v>1.61776545172094</v>
      </c>
      <c r="R838">
        <v>15.478</v>
      </c>
      <c r="S838">
        <v>16.014</v>
      </c>
      <c r="T838">
        <v>16.233</v>
      </c>
      <c r="U838">
        <v>7.835</v>
      </c>
      <c r="V838">
        <v>47.802</v>
      </c>
      <c r="W838">
        <v>1.911</v>
      </c>
      <c r="X838" t="s">
        <v>78</v>
      </c>
      <c r="Y838" t="s">
        <v>31</v>
      </c>
      <c r="Z838" s="3">
        <f t="shared" si="53"/>
        <v>0.0204541594496432</v>
      </c>
      <c r="AA838">
        <f t="shared" si="54"/>
        <v>0.469</v>
      </c>
      <c r="AB838">
        <f t="shared" si="55"/>
        <v>1.14</v>
      </c>
      <c r="AC838" t="s">
        <v>43</v>
      </c>
    </row>
    <row r="839" spans="1:29">
      <c r="A839" t="s">
        <v>77</v>
      </c>
      <c r="B839">
        <v>3976.5</v>
      </c>
      <c r="C839">
        <v>22.283</v>
      </c>
      <c r="D839">
        <v>74.117</v>
      </c>
      <c r="E839">
        <v>178.236</v>
      </c>
      <c r="F839">
        <v>0.282</v>
      </c>
      <c r="G839">
        <v>23.141</v>
      </c>
      <c r="H839">
        <v>1.873</v>
      </c>
      <c r="I839">
        <v>2.654</v>
      </c>
      <c r="J839">
        <v>0.41</v>
      </c>
      <c r="K839">
        <v>13.576</v>
      </c>
      <c r="L839">
        <v>0.891</v>
      </c>
      <c r="M839">
        <v>3.328</v>
      </c>
      <c r="N839">
        <v>42.419</v>
      </c>
      <c r="O839">
        <v>40.423</v>
      </c>
      <c r="P839">
        <f t="shared" si="56"/>
        <v>1.62756042609471</v>
      </c>
      <c r="Q839">
        <f t="shared" si="56"/>
        <v>1.60662854161614</v>
      </c>
      <c r="R839">
        <v>15.321</v>
      </c>
      <c r="S839">
        <v>15.846</v>
      </c>
      <c r="T839">
        <v>16.06</v>
      </c>
      <c r="U839">
        <v>7.521</v>
      </c>
      <c r="V839">
        <v>51.086</v>
      </c>
      <c r="W839">
        <v>1.589</v>
      </c>
      <c r="X839" t="s">
        <v>78</v>
      </c>
      <c r="Y839" t="s">
        <v>31</v>
      </c>
      <c r="Z839" s="3">
        <f t="shared" si="53"/>
        <v>0.0209318844785722</v>
      </c>
      <c r="AA839">
        <f t="shared" si="54"/>
        <v>0.481</v>
      </c>
      <c r="AB839">
        <f t="shared" si="55"/>
        <v>1.173</v>
      </c>
      <c r="AC839" t="s">
        <v>43</v>
      </c>
    </row>
    <row r="840" spans="1:29">
      <c r="A840" t="s">
        <v>77</v>
      </c>
      <c r="B840">
        <v>3976.625</v>
      </c>
      <c r="C840">
        <v>21.528</v>
      </c>
      <c r="D840">
        <v>74.088</v>
      </c>
      <c r="E840">
        <v>178.001</v>
      </c>
      <c r="F840">
        <v>0.28</v>
      </c>
      <c r="G840">
        <v>23.152</v>
      </c>
      <c r="H840">
        <v>1.862</v>
      </c>
      <c r="I840">
        <v>2.658</v>
      </c>
      <c r="J840">
        <v>0.423</v>
      </c>
      <c r="K840">
        <v>14.145</v>
      </c>
      <c r="L840">
        <v>0.957</v>
      </c>
      <c r="M840">
        <v>3.327</v>
      </c>
      <c r="N840">
        <v>42.979</v>
      </c>
      <c r="O840">
        <v>40.851</v>
      </c>
      <c r="P840">
        <f t="shared" si="56"/>
        <v>1.6332563064664</v>
      </c>
      <c r="Q840">
        <f t="shared" si="56"/>
        <v>1.61120269218217</v>
      </c>
      <c r="R840">
        <v>15.446</v>
      </c>
      <c r="S840">
        <v>15.976</v>
      </c>
      <c r="T840">
        <v>16.189</v>
      </c>
      <c r="U840">
        <v>7.502</v>
      </c>
      <c r="V840">
        <v>50.941</v>
      </c>
      <c r="W840">
        <v>1.566</v>
      </c>
      <c r="X840" t="s">
        <v>78</v>
      </c>
      <c r="Y840" t="s">
        <v>31</v>
      </c>
      <c r="Z840" s="3">
        <f t="shared" si="53"/>
        <v>0.022053614284226</v>
      </c>
      <c r="AA840">
        <f t="shared" si="54"/>
        <v>0.534</v>
      </c>
      <c r="AB840">
        <f t="shared" si="55"/>
        <v>1.237</v>
      </c>
      <c r="AC840" t="s">
        <v>43</v>
      </c>
    </row>
    <row r="841" spans="1:29">
      <c r="A841" t="s">
        <v>77</v>
      </c>
      <c r="B841">
        <v>3976.75</v>
      </c>
      <c r="C841">
        <v>20.982</v>
      </c>
      <c r="D841">
        <v>74.064</v>
      </c>
      <c r="E841">
        <v>178.019</v>
      </c>
      <c r="F841">
        <v>0.28</v>
      </c>
      <c r="G841">
        <v>23.175</v>
      </c>
      <c r="H841">
        <v>1.853</v>
      </c>
      <c r="I841">
        <v>2.659</v>
      </c>
      <c r="J841">
        <v>0.427</v>
      </c>
      <c r="K841">
        <v>14.519</v>
      </c>
      <c r="L841">
        <v>1</v>
      </c>
      <c r="M841">
        <v>3.326</v>
      </c>
      <c r="N841">
        <v>44.956</v>
      </c>
      <c r="O841">
        <v>42.609</v>
      </c>
      <c r="P841">
        <f t="shared" si="56"/>
        <v>1.65278766254302</v>
      </c>
      <c r="Q841">
        <f t="shared" si="56"/>
        <v>1.62950134176727</v>
      </c>
      <c r="R841">
        <v>15.85</v>
      </c>
      <c r="S841">
        <v>16.4</v>
      </c>
      <c r="T841">
        <v>16.618</v>
      </c>
      <c r="U841">
        <v>7.551</v>
      </c>
      <c r="V841">
        <v>49.368</v>
      </c>
      <c r="W841">
        <v>1.57</v>
      </c>
      <c r="X841" t="s">
        <v>78</v>
      </c>
      <c r="Y841" t="s">
        <v>31</v>
      </c>
      <c r="Z841" s="3">
        <f t="shared" si="53"/>
        <v>0.0232863207757503</v>
      </c>
      <c r="AA841">
        <f t="shared" si="54"/>
        <v>0.573</v>
      </c>
      <c r="AB841">
        <f t="shared" si="55"/>
        <v>1.28</v>
      </c>
      <c r="AC841" t="s">
        <v>43</v>
      </c>
    </row>
    <row r="842" spans="1:29">
      <c r="A842" t="s">
        <v>77</v>
      </c>
      <c r="B842">
        <v>3976.875</v>
      </c>
      <c r="C842">
        <v>20.584</v>
      </c>
      <c r="D842">
        <v>74.047</v>
      </c>
      <c r="E842">
        <v>178.123</v>
      </c>
      <c r="F842">
        <v>0.281</v>
      </c>
      <c r="G842">
        <v>23.253</v>
      </c>
      <c r="H842">
        <v>1.857</v>
      </c>
      <c r="I842">
        <v>2.659</v>
      </c>
      <c r="J842">
        <v>0.427</v>
      </c>
      <c r="K842">
        <v>14.484</v>
      </c>
      <c r="L842">
        <v>0.996</v>
      </c>
      <c r="M842">
        <v>3.324</v>
      </c>
      <c r="N842">
        <v>47.817</v>
      </c>
      <c r="O842">
        <v>45.218</v>
      </c>
      <c r="P842">
        <f t="shared" si="56"/>
        <v>1.67958232534906</v>
      </c>
      <c r="Q842">
        <f t="shared" si="56"/>
        <v>1.65531134951371</v>
      </c>
      <c r="R842">
        <v>16.444</v>
      </c>
      <c r="S842">
        <v>17.026</v>
      </c>
      <c r="T842">
        <v>17.254</v>
      </c>
      <c r="U842">
        <v>7.618</v>
      </c>
      <c r="V842">
        <v>47.293</v>
      </c>
      <c r="W842">
        <v>1.574</v>
      </c>
      <c r="X842" t="s">
        <v>78</v>
      </c>
      <c r="Y842" t="s">
        <v>31</v>
      </c>
      <c r="Z842" s="3">
        <f t="shared" si="53"/>
        <v>0.0242709758353523</v>
      </c>
      <c r="AA842">
        <f t="shared" si="54"/>
        <v>0.569</v>
      </c>
      <c r="AB842">
        <f t="shared" si="55"/>
        <v>1.277</v>
      </c>
      <c r="AC842" t="s">
        <v>43</v>
      </c>
    </row>
    <row r="843" spans="1:29">
      <c r="A843" t="s">
        <v>77</v>
      </c>
      <c r="B843">
        <v>3977</v>
      </c>
      <c r="C843">
        <v>20.417</v>
      </c>
      <c r="D843">
        <v>74.035</v>
      </c>
      <c r="E843">
        <v>178.158</v>
      </c>
      <c r="F843">
        <v>0.281</v>
      </c>
      <c r="G843">
        <v>23.397</v>
      </c>
      <c r="H843">
        <v>1.875</v>
      </c>
      <c r="I843">
        <v>2.66</v>
      </c>
      <c r="J843">
        <v>0.43</v>
      </c>
      <c r="K843">
        <v>14.092</v>
      </c>
      <c r="L843">
        <v>0.951</v>
      </c>
      <c r="M843">
        <v>3.322</v>
      </c>
      <c r="N843">
        <v>51.125</v>
      </c>
      <c r="O843">
        <v>48.272</v>
      </c>
      <c r="P843">
        <f t="shared" si="56"/>
        <v>1.7086333210154</v>
      </c>
      <c r="Q843">
        <f t="shared" si="56"/>
        <v>1.68369529283091</v>
      </c>
      <c r="R843">
        <v>17.127</v>
      </c>
      <c r="S843">
        <v>17.751</v>
      </c>
      <c r="T843">
        <v>17.995</v>
      </c>
      <c r="U843">
        <v>7.643</v>
      </c>
      <c r="V843">
        <v>45.524</v>
      </c>
      <c r="W843">
        <v>1.532</v>
      </c>
      <c r="X843" t="s">
        <v>78</v>
      </c>
      <c r="Y843" t="s">
        <v>31</v>
      </c>
      <c r="Z843" s="3">
        <f t="shared" si="53"/>
        <v>0.0249380281844849</v>
      </c>
      <c r="AA843">
        <f t="shared" si="54"/>
        <v>0.521</v>
      </c>
      <c r="AB843">
        <f t="shared" si="55"/>
        <v>1.232</v>
      </c>
      <c r="AC843" t="s">
        <v>43</v>
      </c>
    </row>
    <row r="844" spans="1:29">
      <c r="A844" t="s">
        <v>79</v>
      </c>
      <c r="B844">
        <v>4358</v>
      </c>
      <c r="C844">
        <v>28.881</v>
      </c>
      <c r="D844">
        <v>62.076</v>
      </c>
      <c r="E844">
        <v>172.766</v>
      </c>
      <c r="F844">
        <v>0.271</v>
      </c>
      <c r="G844">
        <v>22.183</v>
      </c>
      <c r="H844">
        <v>1.03</v>
      </c>
      <c r="I844">
        <v>2.688</v>
      </c>
      <c r="J844">
        <v>0.135</v>
      </c>
      <c r="K844">
        <v>6.997</v>
      </c>
      <c r="L844">
        <v>0.389</v>
      </c>
      <c r="M844">
        <v>3.026</v>
      </c>
      <c r="N844">
        <v>329.647</v>
      </c>
      <c r="O844">
        <v>297.148</v>
      </c>
      <c r="P844">
        <f t="shared" si="56"/>
        <v>2.51804912773823</v>
      </c>
      <c r="Q844">
        <f t="shared" si="56"/>
        <v>2.47297281151872</v>
      </c>
      <c r="R844">
        <v>39.531</v>
      </c>
      <c r="S844">
        <v>42.506</v>
      </c>
      <c r="T844">
        <v>45.481</v>
      </c>
      <c r="U844">
        <v>2.709</v>
      </c>
      <c r="V844">
        <v>92.362</v>
      </c>
      <c r="W844">
        <v>0.01</v>
      </c>
      <c r="X844" t="s">
        <v>78</v>
      </c>
      <c r="Y844" t="s">
        <v>31</v>
      </c>
      <c r="Z844" s="3">
        <f t="shared" si="53"/>
        <v>0.0450763162195038</v>
      </c>
      <c r="AA844">
        <f t="shared" si="54"/>
        <v>0.254</v>
      </c>
      <c r="AB844">
        <f t="shared" si="55"/>
        <v>0.66</v>
      </c>
      <c r="AC844" t="s">
        <v>43</v>
      </c>
    </row>
    <row r="845" spans="1:29">
      <c r="A845" t="s">
        <v>79</v>
      </c>
      <c r="B845">
        <v>4358.125</v>
      </c>
      <c r="C845">
        <v>29.19</v>
      </c>
      <c r="D845">
        <v>62.071</v>
      </c>
      <c r="E845">
        <v>174.547</v>
      </c>
      <c r="F845">
        <v>0.299</v>
      </c>
      <c r="G845">
        <v>22.236</v>
      </c>
      <c r="H845">
        <v>0.996</v>
      </c>
      <c r="I845">
        <v>2.699</v>
      </c>
      <c r="J845">
        <v>0.192</v>
      </c>
      <c r="K845">
        <v>7.61</v>
      </c>
      <c r="L845">
        <v>0.471</v>
      </c>
      <c r="M845">
        <v>2.978</v>
      </c>
      <c r="N845">
        <v>241.016</v>
      </c>
      <c r="O845">
        <v>218.207</v>
      </c>
      <c r="P845">
        <f t="shared" si="56"/>
        <v>2.38204587444648</v>
      </c>
      <c r="Q845">
        <f t="shared" si="56"/>
        <v>2.33886867848244</v>
      </c>
      <c r="R845">
        <v>37.95</v>
      </c>
      <c r="S845">
        <v>40.806</v>
      </c>
      <c r="T845">
        <v>43.663</v>
      </c>
      <c r="U845">
        <v>3.547</v>
      </c>
      <c r="V845">
        <v>75.349</v>
      </c>
      <c r="W845">
        <v>0.01</v>
      </c>
      <c r="X845" t="s">
        <v>78</v>
      </c>
      <c r="Y845" t="s">
        <v>31</v>
      </c>
      <c r="Z845" s="3">
        <f t="shared" si="53"/>
        <v>0.0431771959640419</v>
      </c>
      <c r="AA845">
        <f t="shared" si="54"/>
        <v>0.279</v>
      </c>
      <c r="AB845">
        <f t="shared" si="55"/>
        <v>0.77</v>
      </c>
      <c r="AC845" t="s">
        <v>43</v>
      </c>
    </row>
    <row r="846" spans="1:29">
      <c r="A846" t="s">
        <v>79</v>
      </c>
      <c r="B846">
        <v>4358.25</v>
      </c>
      <c r="C846">
        <v>29.54</v>
      </c>
      <c r="D846">
        <v>62.077</v>
      </c>
      <c r="E846">
        <v>176.059</v>
      </c>
      <c r="F846">
        <v>0.323</v>
      </c>
      <c r="G846">
        <v>22.282</v>
      </c>
      <c r="H846">
        <v>0.983</v>
      </c>
      <c r="I846">
        <v>2.707</v>
      </c>
      <c r="J846">
        <v>0.233</v>
      </c>
      <c r="K846">
        <v>8.26</v>
      </c>
      <c r="L846">
        <v>0.558</v>
      </c>
      <c r="M846">
        <v>2.955</v>
      </c>
      <c r="N846">
        <v>187.744</v>
      </c>
      <c r="O846">
        <v>170.525</v>
      </c>
      <c r="P846">
        <f t="shared" si="56"/>
        <v>2.27356606653624</v>
      </c>
      <c r="Q846">
        <f t="shared" si="56"/>
        <v>2.23178805820319</v>
      </c>
      <c r="R846">
        <v>37.702</v>
      </c>
      <c r="S846">
        <v>40.54</v>
      </c>
      <c r="T846">
        <v>43.378</v>
      </c>
      <c r="U846">
        <v>3.878</v>
      </c>
      <c r="V846">
        <v>66.906</v>
      </c>
      <c r="W846">
        <v>0.01</v>
      </c>
      <c r="X846" t="s">
        <v>78</v>
      </c>
      <c r="Y846" t="s">
        <v>31</v>
      </c>
      <c r="Z846" s="3">
        <f t="shared" si="53"/>
        <v>0.0417780083330519</v>
      </c>
      <c r="AA846">
        <f t="shared" si="54"/>
        <v>0.325</v>
      </c>
      <c r="AB846">
        <f t="shared" si="55"/>
        <v>0.881</v>
      </c>
      <c r="AC846" t="s">
        <v>43</v>
      </c>
    </row>
    <row r="847" spans="1:29">
      <c r="A847" t="s">
        <v>79</v>
      </c>
      <c r="B847">
        <v>4358.375</v>
      </c>
      <c r="C847">
        <v>29.701</v>
      </c>
      <c r="D847">
        <v>62.079</v>
      </c>
      <c r="E847">
        <v>176.876</v>
      </c>
      <c r="F847">
        <v>0.336</v>
      </c>
      <c r="G847">
        <v>22.306</v>
      </c>
      <c r="H847">
        <v>0.964</v>
      </c>
      <c r="I847">
        <v>2.711</v>
      </c>
      <c r="J847">
        <v>0.254</v>
      </c>
      <c r="K847">
        <v>8.76</v>
      </c>
      <c r="L847">
        <v>0.625</v>
      </c>
      <c r="M847">
        <v>2.968</v>
      </c>
      <c r="N847">
        <v>160.17</v>
      </c>
      <c r="O847">
        <v>145.881</v>
      </c>
      <c r="P847">
        <f t="shared" si="56"/>
        <v>2.20458117557757</v>
      </c>
      <c r="Q847">
        <f t="shared" si="56"/>
        <v>2.16399873169818</v>
      </c>
      <c r="R847">
        <v>39.152</v>
      </c>
      <c r="S847">
        <v>42.099</v>
      </c>
      <c r="T847">
        <v>45.046</v>
      </c>
      <c r="U847">
        <v>4.433</v>
      </c>
      <c r="V847">
        <v>57.686</v>
      </c>
      <c r="W847">
        <v>0.014</v>
      </c>
      <c r="X847" t="s">
        <v>78</v>
      </c>
      <c r="Y847" t="s">
        <v>31</v>
      </c>
      <c r="Z847" s="3">
        <f t="shared" ref="Z847:Z910" si="57">P847-Q847</f>
        <v>0.040582443879388</v>
      </c>
      <c r="AA847">
        <f t="shared" ref="AA847:AA910" si="58">L847-J847</f>
        <v>0.371</v>
      </c>
      <c r="AB847">
        <f t="shared" ref="AB847:AB910" si="59">L847+F847</f>
        <v>0.961</v>
      </c>
      <c r="AC847" t="s">
        <v>43</v>
      </c>
    </row>
    <row r="848" spans="1:29">
      <c r="A848" t="s">
        <v>79</v>
      </c>
      <c r="B848">
        <v>4358.5</v>
      </c>
      <c r="C848">
        <v>28.401</v>
      </c>
      <c r="D848">
        <v>61.95</v>
      </c>
      <c r="E848">
        <v>176.962</v>
      </c>
      <c r="F848">
        <v>0.338</v>
      </c>
      <c r="G848">
        <v>22.309</v>
      </c>
      <c r="H848">
        <v>0.969</v>
      </c>
      <c r="I848">
        <v>2.712</v>
      </c>
      <c r="J848">
        <v>0.259</v>
      </c>
      <c r="K848">
        <v>9.044</v>
      </c>
      <c r="L848">
        <v>0.663</v>
      </c>
      <c r="M848">
        <v>3.003</v>
      </c>
      <c r="N848">
        <v>141.835</v>
      </c>
      <c r="O848">
        <v>129.518</v>
      </c>
      <c r="P848">
        <f t="shared" si="56"/>
        <v>2.15178341301387</v>
      </c>
      <c r="Q848">
        <f t="shared" si="56"/>
        <v>2.11233012947856</v>
      </c>
      <c r="R848">
        <v>42.27</v>
      </c>
      <c r="S848">
        <v>45.452</v>
      </c>
      <c r="T848">
        <v>48.633</v>
      </c>
      <c r="U848">
        <v>4.884</v>
      </c>
      <c r="V848">
        <v>48.725</v>
      </c>
      <c r="W848">
        <v>0.018</v>
      </c>
      <c r="X848" t="s">
        <v>78</v>
      </c>
      <c r="Y848" t="s">
        <v>31</v>
      </c>
      <c r="Z848" s="3">
        <f t="shared" si="57"/>
        <v>0.0394532835353107</v>
      </c>
      <c r="AA848">
        <f t="shared" si="58"/>
        <v>0.404</v>
      </c>
      <c r="AB848">
        <f t="shared" si="59"/>
        <v>1.001</v>
      </c>
      <c r="AC848" t="s">
        <v>43</v>
      </c>
    </row>
    <row r="849" spans="1:29">
      <c r="A849" t="s">
        <v>79</v>
      </c>
      <c r="B849">
        <v>4358.625</v>
      </c>
      <c r="C849">
        <v>26.243</v>
      </c>
      <c r="D849">
        <v>61.749</v>
      </c>
      <c r="E849">
        <v>176.485</v>
      </c>
      <c r="F849">
        <v>0.33</v>
      </c>
      <c r="G849">
        <v>22.294</v>
      </c>
      <c r="H849">
        <v>0.983</v>
      </c>
      <c r="I849">
        <v>2.71</v>
      </c>
      <c r="J849">
        <v>0.249</v>
      </c>
      <c r="K849">
        <v>9.17</v>
      </c>
      <c r="L849">
        <v>0.68</v>
      </c>
      <c r="M849">
        <v>3.043</v>
      </c>
      <c r="N849">
        <v>130.282</v>
      </c>
      <c r="O849">
        <v>119.204</v>
      </c>
      <c r="P849">
        <f t="shared" si="56"/>
        <v>2.11488441693533</v>
      </c>
      <c r="Q849">
        <f t="shared" si="56"/>
        <v>2.07629082880003</v>
      </c>
      <c r="R849">
        <v>46.45</v>
      </c>
      <c r="S849">
        <v>49.947</v>
      </c>
      <c r="T849">
        <v>53.443</v>
      </c>
      <c r="U849">
        <v>4.966</v>
      </c>
      <c r="V849">
        <v>45.516</v>
      </c>
      <c r="W849">
        <v>0.02</v>
      </c>
      <c r="X849" t="s">
        <v>78</v>
      </c>
      <c r="Y849" t="s">
        <v>31</v>
      </c>
      <c r="Z849" s="3">
        <f t="shared" si="57"/>
        <v>0.0385935881353037</v>
      </c>
      <c r="AA849">
        <f t="shared" si="58"/>
        <v>0.431</v>
      </c>
      <c r="AB849">
        <f t="shared" si="59"/>
        <v>1.01</v>
      </c>
      <c r="AC849" t="s">
        <v>43</v>
      </c>
    </row>
    <row r="850" spans="1:29">
      <c r="A850" t="s">
        <v>79</v>
      </c>
      <c r="B850">
        <v>4358.75</v>
      </c>
      <c r="C850">
        <v>24.305</v>
      </c>
      <c r="D850">
        <v>61.582</v>
      </c>
      <c r="E850">
        <v>175.608</v>
      </c>
      <c r="F850">
        <v>0.316</v>
      </c>
      <c r="G850">
        <v>22.268</v>
      </c>
      <c r="H850">
        <v>0.976</v>
      </c>
      <c r="I850">
        <v>2.707</v>
      </c>
      <c r="J850">
        <v>0.233</v>
      </c>
      <c r="K850">
        <v>9.271</v>
      </c>
      <c r="L850">
        <v>0.693</v>
      </c>
      <c r="M850">
        <v>3.083</v>
      </c>
      <c r="N850">
        <v>126.24</v>
      </c>
      <c r="O850">
        <v>115.723</v>
      </c>
      <c r="P850">
        <f t="shared" si="56"/>
        <v>2.10119698586535</v>
      </c>
      <c r="Q850">
        <f t="shared" si="56"/>
        <v>2.06341968376058</v>
      </c>
      <c r="R850">
        <v>50.711</v>
      </c>
      <c r="S850">
        <v>54.528</v>
      </c>
      <c r="T850">
        <v>58.345</v>
      </c>
      <c r="U850">
        <v>5.034</v>
      </c>
      <c r="V850">
        <v>43.775</v>
      </c>
      <c r="W850">
        <v>0.021</v>
      </c>
      <c r="X850" t="s">
        <v>78</v>
      </c>
      <c r="Y850" t="s">
        <v>31</v>
      </c>
      <c r="Z850" s="3">
        <f t="shared" si="57"/>
        <v>0.037777302104768</v>
      </c>
      <c r="AA850">
        <f t="shared" si="58"/>
        <v>0.46</v>
      </c>
      <c r="AB850">
        <f t="shared" si="59"/>
        <v>1.009</v>
      </c>
      <c r="AC850" t="s">
        <v>43</v>
      </c>
    </row>
    <row r="851" spans="1:29">
      <c r="A851" t="s">
        <v>79</v>
      </c>
      <c r="B851">
        <v>4358.875</v>
      </c>
      <c r="C851">
        <v>21.986</v>
      </c>
      <c r="D851">
        <v>61.385</v>
      </c>
      <c r="E851">
        <v>174.715</v>
      </c>
      <c r="F851">
        <v>0.302</v>
      </c>
      <c r="G851">
        <v>22.242</v>
      </c>
      <c r="H851">
        <v>0.987</v>
      </c>
      <c r="I851">
        <v>2.705</v>
      </c>
      <c r="J851">
        <v>0.223</v>
      </c>
      <c r="K851">
        <v>9.424</v>
      </c>
      <c r="L851">
        <v>0.714</v>
      </c>
      <c r="M851">
        <v>3.123</v>
      </c>
      <c r="N851">
        <v>127.49</v>
      </c>
      <c r="O851">
        <v>117.151</v>
      </c>
      <c r="P851">
        <f t="shared" si="56"/>
        <v>2.10547612112182</v>
      </c>
      <c r="Q851">
        <f t="shared" si="56"/>
        <v>2.06874600008303</v>
      </c>
      <c r="R851">
        <v>53.923</v>
      </c>
      <c r="S851">
        <v>57.982</v>
      </c>
      <c r="T851">
        <v>62.041</v>
      </c>
      <c r="U851">
        <v>5.625</v>
      </c>
      <c r="V851">
        <v>38.844</v>
      </c>
      <c r="W851">
        <v>0.035</v>
      </c>
      <c r="X851" t="s">
        <v>78</v>
      </c>
      <c r="Y851" t="s">
        <v>31</v>
      </c>
      <c r="Z851" s="3">
        <f t="shared" si="57"/>
        <v>0.0367301210387896</v>
      </c>
      <c r="AA851">
        <f t="shared" si="58"/>
        <v>0.491</v>
      </c>
      <c r="AB851">
        <f t="shared" si="59"/>
        <v>1.016</v>
      </c>
      <c r="AC851" t="s">
        <v>43</v>
      </c>
    </row>
    <row r="852" spans="1:29">
      <c r="A852" t="s">
        <v>79</v>
      </c>
      <c r="B852">
        <v>4359</v>
      </c>
      <c r="C852">
        <v>21.006</v>
      </c>
      <c r="D852">
        <v>61.292</v>
      </c>
      <c r="E852">
        <v>174.2</v>
      </c>
      <c r="F852">
        <v>0.294</v>
      </c>
      <c r="G852">
        <v>22.226</v>
      </c>
      <c r="H852">
        <v>0.985</v>
      </c>
      <c r="I852">
        <v>2.703</v>
      </c>
      <c r="J852">
        <v>0.212</v>
      </c>
      <c r="K852">
        <v>9.574</v>
      </c>
      <c r="L852">
        <v>0.734</v>
      </c>
      <c r="M852">
        <v>3.147</v>
      </c>
      <c r="N852">
        <v>131.514</v>
      </c>
      <c r="O852">
        <v>121.137</v>
      </c>
      <c r="P852">
        <f t="shared" si="56"/>
        <v>2.11897198703956</v>
      </c>
      <c r="Q852">
        <f t="shared" si="56"/>
        <v>2.08327681400634</v>
      </c>
      <c r="R852">
        <v>55.816</v>
      </c>
      <c r="S852">
        <v>60.017</v>
      </c>
      <c r="T852">
        <v>64.218</v>
      </c>
      <c r="U852">
        <v>6.009</v>
      </c>
      <c r="V852">
        <v>35.562</v>
      </c>
      <c r="W852">
        <v>0.045</v>
      </c>
      <c r="X852" t="s">
        <v>78</v>
      </c>
      <c r="Y852" t="s">
        <v>31</v>
      </c>
      <c r="Z852" s="3">
        <f t="shared" si="57"/>
        <v>0.0356951730332211</v>
      </c>
      <c r="AA852">
        <f t="shared" si="58"/>
        <v>0.522</v>
      </c>
      <c r="AB852">
        <f t="shared" si="59"/>
        <v>1.028</v>
      </c>
      <c r="AC852" t="s">
        <v>43</v>
      </c>
    </row>
    <row r="853" spans="1:29">
      <c r="A853" t="s">
        <v>79</v>
      </c>
      <c r="B853">
        <v>4359.125</v>
      </c>
      <c r="C853">
        <v>21.285</v>
      </c>
      <c r="D853">
        <v>61.273</v>
      </c>
      <c r="E853">
        <v>174.195</v>
      </c>
      <c r="F853">
        <v>0.293</v>
      </c>
      <c r="G853">
        <v>22.226</v>
      </c>
      <c r="H853">
        <v>0.998</v>
      </c>
      <c r="I853">
        <v>2.698</v>
      </c>
      <c r="J853">
        <v>0.187</v>
      </c>
      <c r="K853">
        <v>9.637</v>
      </c>
      <c r="L853">
        <v>0.742</v>
      </c>
      <c r="M853">
        <v>3.133</v>
      </c>
      <c r="N853">
        <v>136.905</v>
      </c>
      <c r="O853">
        <v>126.357</v>
      </c>
      <c r="P853">
        <f t="shared" si="56"/>
        <v>2.13641930958582</v>
      </c>
      <c r="Q853">
        <f t="shared" si="56"/>
        <v>2.10159930622557</v>
      </c>
      <c r="R853">
        <v>57.12</v>
      </c>
      <c r="S853">
        <v>61.419</v>
      </c>
      <c r="T853">
        <v>65.718</v>
      </c>
      <c r="U853">
        <v>6.034</v>
      </c>
      <c r="V853">
        <v>34.803</v>
      </c>
      <c r="W853">
        <v>0.046</v>
      </c>
      <c r="X853" t="s">
        <v>78</v>
      </c>
      <c r="Y853" t="s">
        <v>31</v>
      </c>
      <c r="Z853" s="3">
        <f t="shared" si="57"/>
        <v>0.0348200033602497</v>
      </c>
      <c r="AA853">
        <f t="shared" si="58"/>
        <v>0.555</v>
      </c>
      <c r="AB853">
        <f t="shared" si="59"/>
        <v>1.035</v>
      </c>
      <c r="AC853" t="s">
        <v>43</v>
      </c>
    </row>
    <row r="854" spans="1:29">
      <c r="A854" t="s">
        <v>79</v>
      </c>
      <c r="B854">
        <v>4359.25</v>
      </c>
      <c r="C854">
        <v>21.82</v>
      </c>
      <c r="D854">
        <v>61.229</v>
      </c>
      <c r="E854">
        <v>174.621</v>
      </c>
      <c r="F854">
        <v>0.3</v>
      </c>
      <c r="G854">
        <v>22.238</v>
      </c>
      <c r="H854">
        <v>1.072</v>
      </c>
      <c r="I854">
        <v>2.69</v>
      </c>
      <c r="J854">
        <v>0.145</v>
      </c>
      <c r="K854">
        <v>9.642</v>
      </c>
      <c r="L854">
        <v>0.743</v>
      </c>
      <c r="M854">
        <v>3.1</v>
      </c>
      <c r="N854">
        <v>139.982</v>
      </c>
      <c r="O854">
        <v>129.474</v>
      </c>
      <c r="P854">
        <f t="shared" si="56"/>
        <v>2.14607219422639</v>
      </c>
      <c r="Q854">
        <f t="shared" si="56"/>
        <v>2.11218256540409</v>
      </c>
      <c r="R854">
        <v>59.036</v>
      </c>
      <c r="S854">
        <v>63.48</v>
      </c>
      <c r="T854">
        <v>67.923</v>
      </c>
      <c r="U854">
        <v>6.068</v>
      </c>
      <c r="V854">
        <v>33.802</v>
      </c>
      <c r="W854">
        <v>0.047</v>
      </c>
      <c r="X854" t="s">
        <v>78</v>
      </c>
      <c r="Y854" t="s">
        <v>31</v>
      </c>
      <c r="Z854" s="3">
        <f t="shared" si="57"/>
        <v>0.0338896288223021</v>
      </c>
      <c r="AA854">
        <f t="shared" si="58"/>
        <v>0.598</v>
      </c>
      <c r="AB854">
        <f t="shared" si="59"/>
        <v>1.043</v>
      </c>
      <c r="AC854" t="s">
        <v>43</v>
      </c>
    </row>
    <row r="855" spans="1:29">
      <c r="A855" t="s">
        <v>79</v>
      </c>
      <c r="B855">
        <v>4359.375</v>
      </c>
      <c r="C855">
        <v>22.558</v>
      </c>
      <c r="D855">
        <v>61.179</v>
      </c>
      <c r="E855">
        <v>175.344</v>
      </c>
      <c r="F855">
        <v>0.312</v>
      </c>
      <c r="G855">
        <v>22.26</v>
      </c>
      <c r="H855">
        <v>1.183</v>
      </c>
      <c r="I855">
        <v>2.679</v>
      </c>
      <c r="J855">
        <v>0.088</v>
      </c>
      <c r="K855">
        <v>9.623</v>
      </c>
      <c r="L855">
        <v>0.74</v>
      </c>
      <c r="M855">
        <v>3.092</v>
      </c>
      <c r="N855">
        <v>137.944</v>
      </c>
      <c r="O855">
        <v>127.845</v>
      </c>
      <c r="P855">
        <f t="shared" si="56"/>
        <v>2.13970281519171</v>
      </c>
      <c r="Q855">
        <f t="shared" si="56"/>
        <v>2.10668374749828</v>
      </c>
      <c r="R855">
        <v>62.654</v>
      </c>
      <c r="S855">
        <v>67.37</v>
      </c>
      <c r="T855">
        <v>72.085</v>
      </c>
      <c r="U855">
        <v>6.111</v>
      </c>
      <c r="V855">
        <v>32.558</v>
      </c>
      <c r="W855">
        <v>0.048</v>
      </c>
      <c r="X855" t="s">
        <v>78</v>
      </c>
      <c r="Y855" t="s">
        <v>31</v>
      </c>
      <c r="Z855" s="3">
        <f t="shared" si="57"/>
        <v>0.033019067693433</v>
      </c>
      <c r="AA855">
        <f t="shared" si="58"/>
        <v>0.652</v>
      </c>
      <c r="AB855">
        <f t="shared" si="59"/>
        <v>1.052</v>
      </c>
      <c r="AC855" t="s">
        <v>43</v>
      </c>
    </row>
    <row r="856" spans="1:29">
      <c r="A856" t="s">
        <v>79</v>
      </c>
      <c r="B856">
        <v>4359.5</v>
      </c>
      <c r="C856">
        <v>23.369</v>
      </c>
      <c r="D856">
        <v>61.102</v>
      </c>
      <c r="E856">
        <v>176.253</v>
      </c>
      <c r="F856">
        <v>0.326</v>
      </c>
      <c r="G856">
        <v>22.287</v>
      </c>
      <c r="H856">
        <v>1.336</v>
      </c>
      <c r="I856">
        <v>2.668</v>
      </c>
      <c r="J856">
        <v>0.031</v>
      </c>
      <c r="K856">
        <v>9.574</v>
      </c>
      <c r="L856">
        <v>0.734</v>
      </c>
      <c r="M856">
        <v>3.115</v>
      </c>
      <c r="N856">
        <v>132.73</v>
      </c>
      <c r="O856">
        <v>123.163</v>
      </c>
      <c r="P856">
        <f t="shared" si="56"/>
        <v>2.12296909439375</v>
      </c>
      <c r="Q856">
        <f t="shared" si="56"/>
        <v>2.09048025888964</v>
      </c>
      <c r="R856">
        <v>67.578</v>
      </c>
      <c r="S856">
        <v>72.665</v>
      </c>
      <c r="T856">
        <v>77.752</v>
      </c>
      <c r="U856">
        <v>5.602</v>
      </c>
      <c r="V856">
        <v>34.11</v>
      </c>
      <c r="W856">
        <v>0.035</v>
      </c>
      <c r="X856" t="s">
        <v>78</v>
      </c>
      <c r="Y856" t="s">
        <v>31</v>
      </c>
      <c r="Z856" s="3">
        <f t="shared" si="57"/>
        <v>0.0324888355041115</v>
      </c>
      <c r="AA856">
        <f t="shared" si="58"/>
        <v>0.703</v>
      </c>
      <c r="AB856">
        <f t="shared" si="59"/>
        <v>1.06</v>
      </c>
      <c r="AC856" t="s">
        <v>43</v>
      </c>
    </row>
    <row r="857" spans="1:29">
      <c r="A857" t="s">
        <v>79</v>
      </c>
      <c r="B857">
        <v>4359.625</v>
      </c>
      <c r="C857">
        <v>24.041</v>
      </c>
      <c r="D857">
        <v>61.011</v>
      </c>
      <c r="E857">
        <v>177.274</v>
      </c>
      <c r="F857">
        <v>0.342</v>
      </c>
      <c r="G857">
        <v>22.318</v>
      </c>
      <c r="H857">
        <v>1.489</v>
      </c>
      <c r="I857">
        <v>2.662</v>
      </c>
      <c r="J857">
        <v>0</v>
      </c>
      <c r="K857">
        <v>9.467</v>
      </c>
      <c r="L857">
        <v>0.719</v>
      </c>
      <c r="M857">
        <v>3.147</v>
      </c>
      <c r="N857">
        <v>127.983</v>
      </c>
      <c r="O857">
        <v>118.801</v>
      </c>
      <c r="P857">
        <f t="shared" si="56"/>
        <v>2.10715228608136</v>
      </c>
      <c r="Q857">
        <f t="shared" si="56"/>
        <v>2.07482009630725</v>
      </c>
      <c r="R857">
        <v>72.424</v>
      </c>
      <c r="S857">
        <v>77.875</v>
      </c>
      <c r="T857">
        <v>83.326</v>
      </c>
      <c r="U857">
        <v>5.256</v>
      </c>
      <c r="V857">
        <v>35.127</v>
      </c>
      <c r="W857">
        <v>0.025</v>
      </c>
      <c r="X857" t="s">
        <v>78</v>
      </c>
      <c r="Y857" t="s">
        <v>31</v>
      </c>
      <c r="Z857" s="3">
        <f t="shared" si="57"/>
        <v>0.0323321897741105</v>
      </c>
      <c r="AA857">
        <f t="shared" si="58"/>
        <v>0.719</v>
      </c>
      <c r="AB857">
        <f t="shared" si="59"/>
        <v>1.061</v>
      </c>
      <c r="AC857" t="s">
        <v>43</v>
      </c>
    </row>
    <row r="858" spans="1:29">
      <c r="A858" t="s">
        <v>79</v>
      </c>
      <c r="B858">
        <v>4359.75</v>
      </c>
      <c r="C858">
        <v>24.101</v>
      </c>
      <c r="D858">
        <v>60.914</v>
      </c>
      <c r="E858">
        <v>178.276</v>
      </c>
      <c r="F858">
        <v>0.358</v>
      </c>
      <c r="G858">
        <v>22.348</v>
      </c>
      <c r="H858">
        <v>1.603</v>
      </c>
      <c r="I858">
        <v>2.662</v>
      </c>
      <c r="J858">
        <v>0.003</v>
      </c>
      <c r="K858">
        <v>9.299</v>
      </c>
      <c r="L858">
        <v>0.697</v>
      </c>
      <c r="M858">
        <v>3.179</v>
      </c>
      <c r="N858">
        <v>125.057</v>
      </c>
      <c r="O858">
        <v>116.04</v>
      </c>
      <c r="P858">
        <f t="shared" si="56"/>
        <v>2.0971080061528</v>
      </c>
      <c r="Q858">
        <f t="shared" si="56"/>
        <v>2.06460772013063</v>
      </c>
      <c r="R858">
        <v>76.192</v>
      </c>
      <c r="S858">
        <v>81.927</v>
      </c>
      <c r="T858">
        <v>87.662</v>
      </c>
      <c r="U858">
        <v>5.244</v>
      </c>
      <c r="V858">
        <v>34.743</v>
      </c>
      <c r="W858">
        <v>0.024</v>
      </c>
      <c r="X858" t="s">
        <v>78</v>
      </c>
      <c r="Y858" t="s">
        <v>31</v>
      </c>
      <c r="Z858" s="3">
        <f t="shared" si="57"/>
        <v>0.032500286022171</v>
      </c>
      <c r="AA858">
        <f t="shared" si="58"/>
        <v>0.694</v>
      </c>
      <c r="AB858">
        <f t="shared" si="59"/>
        <v>1.055</v>
      </c>
      <c r="AC858" t="s">
        <v>43</v>
      </c>
    </row>
    <row r="859" spans="1:29">
      <c r="A859" t="s">
        <v>79</v>
      </c>
      <c r="B859">
        <v>4359.875</v>
      </c>
      <c r="C859">
        <v>23.854</v>
      </c>
      <c r="D859">
        <v>60.851</v>
      </c>
      <c r="E859">
        <v>178.778</v>
      </c>
      <c r="F859">
        <v>0.366</v>
      </c>
      <c r="G859">
        <v>22.364</v>
      </c>
      <c r="H859">
        <v>1.642</v>
      </c>
      <c r="I859">
        <v>2.668</v>
      </c>
      <c r="J859">
        <v>0.031</v>
      </c>
      <c r="K859">
        <v>9.092</v>
      </c>
      <c r="L859">
        <v>0.669</v>
      </c>
      <c r="M859">
        <v>3.184</v>
      </c>
      <c r="N859">
        <v>124.047</v>
      </c>
      <c r="O859">
        <v>114.901</v>
      </c>
      <c r="P859">
        <f t="shared" si="56"/>
        <v>2.0935862655917</v>
      </c>
      <c r="Q859">
        <f t="shared" si="56"/>
        <v>2.06032380843234</v>
      </c>
      <c r="R859">
        <v>78.822</v>
      </c>
      <c r="S859">
        <v>84.756</v>
      </c>
      <c r="T859">
        <v>90.689</v>
      </c>
      <c r="U859">
        <v>5.21</v>
      </c>
      <c r="V859">
        <v>34.583</v>
      </c>
      <c r="W859">
        <v>0.024</v>
      </c>
      <c r="X859" t="s">
        <v>78</v>
      </c>
      <c r="Y859" t="s">
        <v>31</v>
      </c>
      <c r="Z859" s="3">
        <f t="shared" si="57"/>
        <v>0.0332624571593589</v>
      </c>
      <c r="AA859">
        <f t="shared" si="58"/>
        <v>0.638</v>
      </c>
      <c r="AB859">
        <f t="shared" si="59"/>
        <v>1.035</v>
      </c>
      <c r="AC859" t="s">
        <v>43</v>
      </c>
    </row>
    <row r="860" spans="1:29">
      <c r="A860" t="s">
        <v>79</v>
      </c>
      <c r="B860">
        <v>4360</v>
      </c>
      <c r="C860">
        <v>23.134</v>
      </c>
      <c r="D860">
        <v>60.824</v>
      </c>
      <c r="E860">
        <v>178.468</v>
      </c>
      <c r="F860">
        <v>0.361</v>
      </c>
      <c r="G860">
        <v>22.354</v>
      </c>
      <c r="H860">
        <v>1.617</v>
      </c>
      <c r="I860">
        <v>2.681</v>
      </c>
      <c r="J860">
        <v>0.098</v>
      </c>
      <c r="K860">
        <v>8.858</v>
      </c>
      <c r="L860">
        <v>0.638</v>
      </c>
      <c r="M860">
        <v>3.143</v>
      </c>
      <c r="N860">
        <v>124.924</v>
      </c>
      <c r="O860">
        <v>115.399</v>
      </c>
      <c r="P860">
        <f t="shared" si="56"/>
        <v>2.09664588165899</v>
      </c>
      <c r="Q860">
        <f t="shared" si="56"/>
        <v>2.06220204541968</v>
      </c>
      <c r="R860">
        <v>81.137</v>
      </c>
      <c r="S860">
        <v>87.245</v>
      </c>
      <c r="T860">
        <v>93.352</v>
      </c>
      <c r="U860">
        <v>5.134</v>
      </c>
      <c r="V860">
        <v>34.321</v>
      </c>
      <c r="W860">
        <v>0.023</v>
      </c>
      <c r="X860" t="s">
        <v>78</v>
      </c>
      <c r="Y860" t="s">
        <v>31</v>
      </c>
      <c r="Z860" s="3">
        <f t="shared" si="57"/>
        <v>0.0344438362393085</v>
      </c>
      <c r="AA860">
        <f t="shared" si="58"/>
        <v>0.54</v>
      </c>
      <c r="AB860">
        <f t="shared" si="59"/>
        <v>0.999</v>
      </c>
      <c r="AC860" t="s">
        <v>43</v>
      </c>
    </row>
    <row r="861" spans="1:29">
      <c r="A861" t="s">
        <v>80</v>
      </c>
      <c r="B861">
        <v>3406</v>
      </c>
      <c r="C861">
        <v>36.357</v>
      </c>
      <c r="D861">
        <v>47.649</v>
      </c>
      <c r="E861">
        <v>174.325</v>
      </c>
      <c r="F861">
        <v>0.391</v>
      </c>
      <c r="G861">
        <v>21.988</v>
      </c>
      <c r="H861">
        <v>3.869</v>
      </c>
      <c r="I861">
        <v>2.759</v>
      </c>
      <c r="J861">
        <v>0.615</v>
      </c>
      <c r="K861">
        <v>1.428</v>
      </c>
      <c r="L861">
        <v>0.006</v>
      </c>
      <c r="M861">
        <v>3.411</v>
      </c>
      <c r="N861">
        <v>875.889</v>
      </c>
      <c r="O861">
        <v>833.091</v>
      </c>
      <c r="P861">
        <f t="shared" si="56"/>
        <v>2.94244907221609</v>
      </c>
      <c r="Q861">
        <f t="shared" si="56"/>
        <v>2.9206924427505</v>
      </c>
      <c r="R861">
        <v>91.864</v>
      </c>
      <c r="S861">
        <v>95.517</v>
      </c>
      <c r="T861">
        <v>101.139</v>
      </c>
      <c r="U861">
        <v>0</v>
      </c>
      <c r="V861">
        <v>100</v>
      </c>
      <c r="W861">
        <v>0</v>
      </c>
      <c r="X861" t="s">
        <v>78</v>
      </c>
      <c r="Y861" t="s">
        <v>31</v>
      </c>
      <c r="Z861" s="3">
        <f t="shared" si="57"/>
        <v>0.0217566294655955</v>
      </c>
      <c r="AA861">
        <f t="shared" si="58"/>
        <v>-0.609</v>
      </c>
      <c r="AB861">
        <f t="shared" si="59"/>
        <v>0.397</v>
      </c>
      <c r="AC861" t="s">
        <v>43</v>
      </c>
    </row>
    <row r="862" spans="1:29">
      <c r="A862" t="s">
        <v>80</v>
      </c>
      <c r="B862">
        <v>3406.125</v>
      </c>
      <c r="C862">
        <v>30.681</v>
      </c>
      <c r="D862">
        <v>47.529</v>
      </c>
      <c r="E862">
        <v>175.212</v>
      </c>
      <c r="F862">
        <v>0.412</v>
      </c>
      <c r="G862">
        <v>21.988</v>
      </c>
      <c r="H862">
        <v>3.532</v>
      </c>
      <c r="I862">
        <v>2.775</v>
      </c>
      <c r="J862">
        <v>0.663</v>
      </c>
      <c r="K862">
        <v>1.282</v>
      </c>
      <c r="L862">
        <v>0</v>
      </c>
      <c r="M862">
        <v>3.557</v>
      </c>
      <c r="N862">
        <v>853.901</v>
      </c>
      <c r="O862">
        <v>812.184</v>
      </c>
      <c r="P862">
        <f t="shared" si="56"/>
        <v>2.93140752215738</v>
      </c>
      <c r="Q862">
        <f t="shared" si="56"/>
        <v>2.90965442965026</v>
      </c>
      <c r="R862">
        <v>101.966</v>
      </c>
      <c r="S862">
        <v>106.034</v>
      </c>
      <c r="T862">
        <v>112.309</v>
      </c>
      <c r="U862">
        <v>0</v>
      </c>
      <c r="V862">
        <v>100</v>
      </c>
      <c r="W862">
        <v>0</v>
      </c>
      <c r="X862" t="s">
        <v>78</v>
      </c>
      <c r="Y862" t="s">
        <v>31</v>
      </c>
      <c r="Z862" s="3">
        <f t="shared" si="57"/>
        <v>0.0217530925071219</v>
      </c>
      <c r="AA862">
        <f t="shared" si="58"/>
        <v>-0.663</v>
      </c>
      <c r="AB862">
        <f t="shared" si="59"/>
        <v>0.412</v>
      </c>
      <c r="AC862" t="s">
        <v>43</v>
      </c>
    </row>
    <row r="863" spans="1:29">
      <c r="A863" t="s">
        <v>80</v>
      </c>
      <c r="B863">
        <v>3406.25</v>
      </c>
      <c r="C863">
        <v>28.306</v>
      </c>
      <c r="D863">
        <v>47.412</v>
      </c>
      <c r="E863">
        <v>175.889</v>
      </c>
      <c r="F863">
        <v>0.429</v>
      </c>
      <c r="G863">
        <v>22.015</v>
      </c>
      <c r="H863">
        <v>3.405</v>
      </c>
      <c r="I863">
        <v>2.786</v>
      </c>
      <c r="J863">
        <v>0.695</v>
      </c>
      <c r="K863">
        <v>1.554</v>
      </c>
      <c r="L863">
        <v>0.011</v>
      </c>
      <c r="M863">
        <v>3.574</v>
      </c>
      <c r="N863">
        <v>726.516</v>
      </c>
      <c r="O863">
        <v>691.067</v>
      </c>
      <c r="P863">
        <f t="shared" si="56"/>
        <v>2.86124518316975</v>
      </c>
      <c r="Q863">
        <f t="shared" si="56"/>
        <v>2.83952015492804</v>
      </c>
      <c r="R863">
        <v>112.021</v>
      </c>
      <c r="S863">
        <v>116.501</v>
      </c>
      <c r="T863">
        <v>123.427</v>
      </c>
      <c r="U863">
        <v>0</v>
      </c>
      <c r="V863">
        <v>100</v>
      </c>
      <c r="W863">
        <v>0</v>
      </c>
      <c r="X863" t="s">
        <v>78</v>
      </c>
      <c r="Y863" t="s">
        <v>31</v>
      </c>
      <c r="Z863" s="3">
        <f t="shared" si="57"/>
        <v>0.0217250282417081</v>
      </c>
      <c r="AA863">
        <f t="shared" si="58"/>
        <v>-0.684</v>
      </c>
      <c r="AB863">
        <f t="shared" si="59"/>
        <v>0.44</v>
      </c>
      <c r="AC863" t="s">
        <v>43</v>
      </c>
    </row>
    <row r="864" spans="1:29">
      <c r="A864" t="s">
        <v>80</v>
      </c>
      <c r="B864">
        <v>3406.375</v>
      </c>
      <c r="C864">
        <v>27.377</v>
      </c>
      <c r="D864">
        <v>47.296</v>
      </c>
      <c r="E864">
        <v>176.607</v>
      </c>
      <c r="F864">
        <v>0.446</v>
      </c>
      <c r="G864">
        <v>22.047</v>
      </c>
      <c r="H864">
        <v>3.281</v>
      </c>
      <c r="I864">
        <v>2.794</v>
      </c>
      <c r="J864">
        <v>0.719</v>
      </c>
      <c r="K864">
        <v>2.037</v>
      </c>
      <c r="L864">
        <v>0.03</v>
      </c>
      <c r="M864">
        <v>3.574</v>
      </c>
      <c r="N864">
        <v>578.136</v>
      </c>
      <c r="O864">
        <v>549.988</v>
      </c>
      <c r="P864">
        <f t="shared" si="56"/>
        <v>2.76203001333734</v>
      </c>
      <c r="Q864">
        <f t="shared" si="56"/>
        <v>2.7403532138749</v>
      </c>
      <c r="R864">
        <v>121.136</v>
      </c>
      <c r="S864">
        <v>125.99</v>
      </c>
      <c r="T864">
        <v>133.505</v>
      </c>
      <c r="U864">
        <v>0</v>
      </c>
      <c r="V864">
        <v>100</v>
      </c>
      <c r="W864">
        <v>0</v>
      </c>
      <c r="X864" t="s">
        <v>78</v>
      </c>
      <c r="Y864" t="s">
        <v>31</v>
      </c>
      <c r="Z864" s="3">
        <f t="shared" si="57"/>
        <v>0.0216767994624361</v>
      </c>
      <c r="AA864">
        <f t="shared" si="58"/>
        <v>-0.689</v>
      </c>
      <c r="AB864">
        <f t="shared" si="59"/>
        <v>0.476</v>
      </c>
      <c r="AC864" t="s">
        <v>43</v>
      </c>
    </row>
    <row r="865" spans="1:29">
      <c r="A865" t="s">
        <v>80</v>
      </c>
      <c r="B865">
        <v>3406.5</v>
      </c>
      <c r="C865">
        <v>26.957</v>
      </c>
      <c r="D865">
        <v>47.184</v>
      </c>
      <c r="E865">
        <v>176.718</v>
      </c>
      <c r="F865">
        <v>0.449</v>
      </c>
      <c r="G865">
        <v>22.066</v>
      </c>
      <c r="H865">
        <v>3.165</v>
      </c>
      <c r="I865">
        <v>2.787</v>
      </c>
      <c r="J865">
        <v>0.698</v>
      </c>
      <c r="K865">
        <v>2.548</v>
      </c>
      <c r="L865">
        <v>0.051</v>
      </c>
      <c r="M865">
        <v>3.553</v>
      </c>
      <c r="N865">
        <v>467.924</v>
      </c>
      <c r="O865">
        <v>445.2</v>
      </c>
      <c r="P865">
        <f t="shared" ref="P865:Q880" si="60">LOG(N865)</f>
        <v>2.67017532089267</v>
      </c>
      <c r="Q865">
        <f t="shared" si="60"/>
        <v>2.64855515566267</v>
      </c>
      <c r="R865">
        <v>126.968</v>
      </c>
      <c r="S865">
        <v>132.061</v>
      </c>
      <c r="T865">
        <v>139.954</v>
      </c>
      <c r="U865">
        <v>0</v>
      </c>
      <c r="V865">
        <v>100</v>
      </c>
      <c r="W865">
        <v>0</v>
      </c>
      <c r="X865" t="s">
        <v>78</v>
      </c>
      <c r="Y865" t="s">
        <v>31</v>
      </c>
      <c r="Z865" s="3">
        <f t="shared" si="57"/>
        <v>0.0216201652299999</v>
      </c>
      <c r="AA865">
        <f t="shared" si="58"/>
        <v>-0.647</v>
      </c>
      <c r="AB865">
        <f t="shared" si="59"/>
        <v>0.5</v>
      </c>
      <c r="AC865" t="s">
        <v>43</v>
      </c>
    </row>
    <row r="866" spans="1:29">
      <c r="A866" t="s">
        <v>80</v>
      </c>
      <c r="B866">
        <v>3406.625</v>
      </c>
      <c r="C866">
        <v>26.578</v>
      </c>
      <c r="D866">
        <v>47.074</v>
      </c>
      <c r="E866">
        <v>176.277</v>
      </c>
      <c r="F866">
        <v>0.438</v>
      </c>
      <c r="G866">
        <v>22.061</v>
      </c>
      <c r="H866">
        <v>3.036</v>
      </c>
      <c r="I866">
        <v>2.775</v>
      </c>
      <c r="J866">
        <v>0.663</v>
      </c>
      <c r="K866">
        <v>2.941</v>
      </c>
      <c r="L866">
        <v>0.067</v>
      </c>
      <c r="M866">
        <v>3.449</v>
      </c>
      <c r="N866">
        <v>399.164</v>
      </c>
      <c r="O866">
        <v>379.823</v>
      </c>
      <c r="P866">
        <f t="shared" si="60"/>
        <v>2.60115136601624</v>
      </c>
      <c r="Q866">
        <f t="shared" si="60"/>
        <v>2.5795812596918</v>
      </c>
      <c r="R866">
        <v>126.803</v>
      </c>
      <c r="S866">
        <v>131.89</v>
      </c>
      <c r="T866">
        <v>139.772</v>
      </c>
      <c r="U866">
        <v>0</v>
      </c>
      <c r="V866">
        <v>100</v>
      </c>
      <c r="W866">
        <v>0</v>
      </c>
      <c r="X866" t="s">
        <v>78</v>
      </c>
      <c r="Y866" t="s">
        <v>31</v>
      </c>
      <c r="Z866" s="3">
        <f t="shared" si="57"/>
        <v>0.021570106324444</v>
      </c>
      <c r="AA866">
        <f t="shared" si="58"/>
        <v>-0.596</v>
      </c>
      <c r="AB866">
        <f t="shared" si="59"/>
        <v>0.505</v>
      </c>
      <c r="AC866" t="s">
        <v>43</v>
      </c>
    </row>
    <row r="867" spans="1:29">
      <c r="A867" t="s">
        <v>80</v>
      </c>
      <c r="B867">
        <v>3406.75</v>
      </c>
      <c r="C867">
        <v>25.876</v>
      </c>
      <c r="D867">
        <v>46.969</v>
      </c>
      <c r="E867">
        <v>175.717</v>
      </c>
      <c r="F867">
        <v>0.425</v>
      </c>
      <c r="G867">
        <v>22.033</v>
      </c>
      <c r="H867">
        <v>2.878</v>
      </c>
      <c r="I867">
        <v>2.773</v>
      </c>
      <c r="J867">
        <v>0.657</v>
      </c>
      <c r="K867">
        <v>3.211</v>
      </c>
      <c r="L867">
        <v>0.077</v>
      </c>
      <c r="M867">
        <v>3.405</v>
      </c>
      <c r="N867">
        <v>352.206</v>
      </c>
      <c r="O867">
        <v>335.175</v>
      </c>
      <c r="P867">
        <f t="shared" si="60"/>
        <v>2.54679675011137</v>
      </c>
      <c r="Q867">
        <f t="shared" si="60"/>
        <v>2.52527161805206</v>
      </c>
      <c r="R867">
        <v>118.708</v>
      </c>
      <c r="S867">
        <v>123.462</v>
      </c>
      <c r="T867">
        <v>130.82</v>
      </c>
      <c r="U867">
        <v>0</v>
      </c>
      <c r="V867">
        <v>100</v>
      </c>
      <c r="W867">
        <v>0</v>
      </c>
      <c r="X867" t="s">
        <v>78</v>
      </c>
      <c r="Y867" t="s">
        <v>31</v>
      </c>
      <c r="Z867" s="3">
        <f t="shared" si="57"/>
        <v>0.0215251320593124</v>
      </c>
      <c r="AA867">
        <f t="shared" si="58"/>
        <v>-0.58</v>
      </c>
      <c r="AB867">
        <f t="shared" si="59"/>
        <v>0.502</v>
      </c>
      <c r="AC867" t="s">
        <v>43</v>
      </c>
    </row>
    <row r="868" spans="1:29">
      <c r="A868" t="s">
        <v>80</v>
      </c>
      <c r="B868">
        <v>3406.875</v>
      </c>
      <c r="C868">
        <v>24.971</v>
      </c>
      <c r="D868">
        <v>46.866</v>
      </c>
      <c r="E868">
        <v>175.546</v>
      </c>
      <c r="F868">
        <v>0.421</v>
      </c>
      <c r="G868">
        <v>22.001</v>
      </c>
      <c r="H868">
        <v>2.741</v>
      </c>
      <c r="I868">
        <v>2.775</v>
      </c>
      <c r="J868">
        <v>0.663</v>
      </c>
      <c r="K868">
        <v>3.471</v>
      </c>
      <c r="L868">
        <v>0.088</v>
      </c>
      <c r="M868">
        <v>3.394</v>
      </c>
      <c r="N868">
        <v>307.285</v>
      </c>
      <c r="O868">
        <v>292.464</v>
      </c>
      <c r="P868">
        <f t="shared" si="60"/>
        <v>2.48754136085441</v>
      </c>
      <c r="Q868">
        <f t="shared" si="60"/>
        <v>2.46607241550006</v>
      </c>
      <c r="R868">
        <v>104.787</v>
      </c>
      <c r="S868">
        <v>108.97</v>
      </c>
      <c r="T868">
        <v>115.428</v>
      </c>
      <c r="U868">
        <v>0</v>
      </c>
      <c r="V868">
        <v>100</v>
      </c>
      <c r="W868">
        <v>0</v>
      </c>
      <c r="X868" t="s">
        <v>78</v>
      </c>
      <c r="Y868" t="s">
        <v>31</v>
      </c>
      <c r="Z868" s="3">
        <f t="shared" si="57"/>
        <v>0.0214689453543517</v>
      </c>
      <c r="AA868">
        <f t="shared" si="58"/>
        <v>-0.575</v>
      </c>
      <c r="AB868">
        <f t="shared" si="59"/>
        <v>0.509</v>
      </c>
      <c r="AC868" t="s">
        <v>43</v>
      </c>
    </row>
    <row r="869" spans="1:29">
      <c r="A869" t="s">
        <v>80</v>
      </c>
      <c r="B869">
        <v>3407</v>
      </c>
      <c r="C869">
        <v>24.16</v>
      </c>
      <c r="D869">
        <v>46.764</v>
      </c>
      <c r="E869">
        <v>175.893</v>
      </c>
      <c r="F869">
        <v>0.429</v>
      </c>
      <c r="G869">
        <v>21.986</v>
      </c>
      <c r="H869">
        <v>2.669</v>
      </c>
      <c r="I869">
        <v>2.779</v>
      </c>
      <c r="J869">
        <v>0.675</v>
      </c>
      <c r="K869">
        <v>3.828</v>
      </c>
      <c r="L869">
        <v>0.102</v>
      </c>
      <c r="M869">
        <v>3.404</v>
      </c>
      <c r="N869">
        <v>253.952</v>
      </c>
      <c r="O869">
        <v>241.755</v>
      </c>
      <c r="P869">
        <f t="shared" si="60"/>
        <v>2.40475163746603</v>
      </c>
      <c r="Q869">
        <f t="shared" si="60"/>
        <v>2.38337546496788</v>
      </c>
      <c r="R869">
        <v>87.854</v>
      </c>
      <c r="S869">
        <v>91.343</v>
      </c>
      <c r="T869">
        <v>96.705</v>
      </c>
      <c r="U869">
        <v>0</v>
      </c>
      <c r="V869">
        <v>100</v>
      </c>
      <c r="W869">
        <v>0</v>
      </c>
      <c r="X869" t="s">
        <v>78</v>
      </c>
      <c r="Y869" t="s">
        <v>31</v>
      </c>
      <c r="Z869" s="3">
        <f t="shared" si="57"/>
        <v>0.0213761724981487</v>
      </c>
      <c r="AA869">
        <f t="shared" si="58"/>
        <v>-0.573</v>
      </c>
      <c r="AB869">
        <f t="shared" si="59"/>
        <v>0.531</v>
      </c>
      <c r="AC869" t="s">
        <v>43</v>
      </c>
    </row>
    <row r="870" spans="1:29">
      <c r="A870" t="s">
        <v>81</v>
      </c>
      <c r="B870">
        <v>3858</v>
      </c>
      <c r="C870">
        <v>27.764</v>
      </c>
      <c r="D870">
        <v>118.407</v>
      </c>
      <c r="E870">
        <v>160.506</v>
      </c>
      <c r="F870">
        <v>0.241</v>
      </c>
      <c r="G870">
        <v>22.731</v>
      </c>
      <c r="H870">
        <v>1.801</v>
      </c>
      <c r="I870">
        <v>2.727</v>
      </c>
      <c r="J870">
        <v>0.948</v>
      </c>
      <c r="K870">
        <v>5.105</v>
      </c>
      <c r="L870">
        <v>0.168</v>
      </c>
      <c r="M870">
        <v>3.007</v>
      </c>
      <c r="N870">
        <v>374.876</v>
      </c>
      <c r="O870">
        <v>312.968</v>
      </c>
      <c r="P870">
        <f t="shared" si="60"/>
        <v>2.57388763727082</v>
      </c>
      <c r="Q870">
        <f t="shared" si="60"/>
        <v>2.4954999345628</v>
      </c>
      <c r="R870">
        <v>176.234</v>
      </c>
      <c r="S870">
        <v>-9999</v>
      </c>
      <c r="T870">
        <v>186.625</v>
      </c>
      <c r="U870">
        <v>3.589</v>
      </c>
      <c r="V870">
        <v>100</v>
      </c>
      <c r="W870">
        <v>0.018</v>
      </c>
      <c r="X870" t="s">
        <v>78</v>
      </c>
      <c r="Y870" t="s">
        <v>31</v>
      </c>
      <c r="Z870" s="3">
        <f t="shared" si="57"/>
        <v>0.0783877027080213</v>
      </c>
      <c r="AA870">
        <f t="shared" si="58"/>
        <v>-0.78</v>
      </c>
      <c r="AB870">
        <f t="shared" si="59"/>
        <v>0.409</v>
      </c>
      <c r="AC870" t="s">
        <v>32</v>
      </c>
    </row>
    <row r="871" spans="1:29">
      <c r="A871" t="s">
        <v>81</v>
      </c>
      <c r="B871">
        <v>3858.125</v>
      </c>
      <c r="C871">
        <v>27.333</v>
      </c>
      <c r="D871">
        <v>118.067</v>
      </c>
      <c r="E871">
        <v>163.402</v>
      </c>
      <c r="F871">
        <v>0.312</v>
      </c>
      <c r="G871">
        <v>22.917</v>
      </c>
      <c r="H871">
        <v>1.607</v>
      </c>
      <c r="I871">
        <v>2.74</v>
      </c>
      <c r="J871">
        <v>0.996</v>
      </c>
      <c r="K871">
        <v>5.018</v>
      </c>
      <c r="L871">
        <v>0.149</v>
      </c>
      <c r="M871">
        <v>2.986</v>
      </c>
      <c r="N871">
        <v>297.035</v>
      </c>
      <c r="O871">
        <v>259.445</v>
      </c>
      <c r="P871">
        <f t="shared" si="60"/>
        <v>2.47280762578622</v>
      </c>
      <c r="Q871">
        <f t="shared" si="60"/>
        <v>2.41404530542858</v>
      </c>
      <c r="R871">
        <v>166.757</v>
      </c>
      <c r="S871">
        <v>-9999</v>
      </c>
      <c r="T871">
        <v>176.757</v>
      </c>
      <c r="U871">
        <v>3.327</v>
      </c>
      <c r="V871">
        <v>100</v>
      </c>
      <c r="W871">
        <v>0.014</v>
      </c>
      <c r="X871" t="s">
        <v>78</v>
      </c>
      <c r="Y871" t="s">
        <v>31</v>
      </c>
      <c r="Z871" s="3">
        <f t="shared" si="57"/>
        <v>0.0587623203576415</v>
      </c>
      <c r="AA871">
        <f t="shared" si="58"/>
        <v>-0.847</v>
      </c>
      <c r="AB871">
        <f t="shared" si="59"/>
        <v>0.461</v>
      </c>
      <c r="AC871" t="s">
        <v>32</v>
      </c>
    </row>
    <row r="872" spans="1:29">
      <c r="A872" t="s">
        <v>81</v>
      </c>
      <c r="B872">
        <v>3858.25</v>
      </c>
      <c r="C872">
        <v>27.915</v>
      </c>
      <c r="D872">
        <v>117.816</v>
      </c>
      <c r="E872">
        <v>166.191</v>
      </c>
      <c r="F872">
        <v>0.381</v>
      </c>
      <c r="G872">
        <v>22.991</v>
      </c>
      <c r="H872">
        <v>1.421</v>
      </c>
      <c r="I872">
        <v>2.741</v>
      </c>
      <c r="J872">
        <v>1</v>
      </c>
      <c r="K872">
        <v>5.09</v>
      </c>
      <c r="L872">
        <v>0.164</v>
      </c>
      <c r="M872">
        <v>2.976</v>
      </c>
      <c r="N872">
        <v>243.359</v>
      </c>
      <c r="O872">
        <v>221.401</v>
      </c>
      <c r="P872">
        <f t="shared" si="60"/>
        <v>2.38624741212898</v>
      </c>
      <c r="Q872">
        <f t="shared" si="60"/>
        <v>2.3451795781213</v>
      </c>
      <c r="R872">
        <v>148.247</v>
      </c>
      <c r="S872">
        <v>-9999</v>
      </c>
      <c r="T872">
        <v>157.484</v>
      </c>
      <c r="U872">
        <v>3.298</v>
      </c>
      <c r="V872">
        <v>100</v>
      </c>
      <c r="W872">
        <v>0.014</v>
      </c>
      <c r="X872" t="s">
        <v>78</v>
      </c>
      <c r="Y872" t="s">
        <v>31</v>
      </c>
      <c r="Z872" s="3">
        <f t="shared" si="57"/>
        <v>0.0410678340076838</v>
      </c>
      <c r="AA872">
        <f t="shared" si="58"/>
        <v>-0.836</v>
      </c>
      <c r="AB872">
        <f t="shared" si="59"/>
        <v>0.545</v>
      </c>
      <c r="AC872" t="s">
        <v>32</v>
      </c>
    </row>
    <row r="873" spans="1:29">
      <c r="A873" t="s">
        <v>81</v>
      </c>
      <c r="B873">
        <v>3858.375</v>
      </c>
      <c r="C873">
        <v>28.877</v>
      </c>
      <c r="D873">
        <v>117.639</v>
      </c>
      <c r="E873">
        <v>168.05</v>
      </c>
      <c r="F873">
        <v>0.426</v>
      </c>
      <c r="G873">
        <v>22.896</v>
      </c>
      <c r="H873">
        <v>1.266</v>
      </c>
      <c r="I873">
        <v>2.735</v>
      </c>
      <c r="J873">
        <v>0.978</v>
      </c>
      <c r="K873">
        <v>5.271</v>
      </c>
      <c r="L873">
        <v>0.203</v>
      </c>
      <c r="M873">
        <v>2.968</v>
      </c>
      <c r="N873">
        <v>207.097</v>
      </c>
      <c r="O873">
        <v>194.842</v>
      </c>
      <c r="P873">
        <f t="shared" si="60"/>
        <v>2.31617380776413</v>
      </c>
      <c r="Q873">
        <f t="shared" si="60"/>
        <v>2.28968257883704</v>
      </c>
      <c r="R873">
        <v>128.655</v>
      </c>
      <c r="S873">
        <v>-9999</v>
      </c>
      <c r="T873">
        <v>137.083</v>
      </c>
      <c r="U873">
        <v>3.392</v>
      </c>
      <c r="V873">
        <v>100</v>
      </c>
      <c r="W873">
        <v>0.015</v>
      </c>
      <c r="X873" t="s">
        <v>78</v>
      </c>
      <c r="Y873" t="s">
        <v>31</v>
      </c>
      <c r="Z873" s="3">
        <f t="shared" si="57"/>
        <v>0.0264912289270867</v>
      </c>
      <c r="AA873">
        <f t="shared" si="58"/>
        <v>-0.775</v>
      </c>
      <c r="AB873">
        <f t="shared" si="59"/>
        <v>0.629</v>
      </c>
      <c r="AC873" t="s">
        <v>32</v>
      </c>
    </row>
    <row r="874" spans="1:29">
      <c r="A874" t="s">
        <v>81</v>
      </c>
      <c r="B874">
        <v>3858.5</v>
      </c>
      <c r="C874">
        <v>29.233</v>
      </c>
      <c r="D874">
        <v>117.494</v>
      </c>
      <c r="E874">
        <v>168.606</v>
      </c>
      <c r="F874">
        <v>0.44</v>
      </c>
      <c r="G874">
        <v>22.734</v>
      </c>
      <c r="H874">
        <v>1.115</v>
      </c>
      <c r="I874">
        <v>2.73</v>
      </c>
      <c r="J874">
        <v>0.959</v>
      </c>
      <c r="K874">
        <v>5.507</v>
      </c>
      <c r="L874">
        <v>0.254</v>
      </c>
      <c r="M874">
        <v>2.959</v>
      </c>
      <c r="N874">
        <v>183.821</v>
      </c>
      <c r="O874">
        <v>177.569</v>
      </c>
      <c r="P874">
        <f t="shared" si="60"/>
        <v>2.26439512436863</v>
      </c>
      <c r="Q874">
        <f t="shared" si="60"/>
        <v>2.24936714891968</v>
      </c>
      <c r="R874">
        <v>112.974</v>
      </c>
      <c r="S874">
        <v>-9999</v>
      </c>
      <c r="T874">
        <v>120.756</v>
      </c>
      <c r="U874">
        <v>3.578</v>
      </c>
      <c r="V874">
        <v>100</v>
      </c>
      <c r="W874">
        <v>0.018</v>
      </c>
      <c r="X874" t="s">
        <v>78</v>
      </c>
      <c r="Y874" t="s">
        <v>31</v>
      </c>
      <c r="Z874" s="3">
        <f t="shared" si="57"/>
        <v>0.0150279754489535</v>
      </c>
      <c r="AA874">
        <f t="shared" si="58"/>
        <v>-0.705</v>
      </c>
      <c r="AB874">
        <f t="shared" si="59"/>
        <v>0.694</v>
      </c>
      <c r="AC874" t="s">
        <v>32</v>
      </c>
    </row>
    <row r="875" spans="1:29">
      <c r="A875" t="s">
        <v>81</v>
      </c>
      <c r="B875">
        <v>3858.625</v>
      </c>
      <c r="C875">
        <v>27.967</v>
      </c>
      <c r="D875">
        <v>117.36</v>
      </c>
      <c r="E875">
        <v>167.9</v>
      </c>
      <c r="F875">
        <v>0.423</v>
      </c>
      <c r="G875">
        <v>22.624</v>
      </c>
      <c r="H875">
        <v>0.997</v>
      </c>
      <c r="I875">
        <v>2.723</v>
      </c>
      <c r="J875">
        <v>0.933</v>
      </c>
      <c r="K875">
        <v>5.775</v>
      </c>
      <c r="L875">
        <v>0.312</v>
      </c>
      <c r="M875">
        <v>2.946</v>
      </c>
      <c r="N875">
        <v>177.389</v>
      </c>
      <c r="O875">
        <v>173.232</v>
      </c>
      <c r="P875">
        <f t="shared" si="60"/>
        <v>2.24892668546517</v>
      </c>
      <c r="Q875">
        <f t="shared" si="60"/>
        <v>2.23862811943509</v>
      </c>
      <c r="R875">
        <v>105.118</v>
      </c>
      <c r="S875">
        <v>-9999</v>
      </c>
      <c r="T875">
        <v>112.576</v>
      </c>
      <c r="U875">
        <v>3.991</v>
      </c>
      <c r="V875">
        <v>100</v>
      </c>
      <c r="W875">
        <v>0.025</v>
      </c>
      <c r="X875" t="s">
        <v>78</v>
      </c>
      <c r="Y875" t="s">
        <v>31</v>
      </c>
      <c r="Z875" s="3">
        <f t="shared" si="57"/>
        <v>0.0102985660300741</v>
      </c>
      <c r="AA875">
        <f t="shared" si="58"/>
        <v>-0.621</v>
      </c>
      <c r="AB875">
        <f t="shared" si="59"/>
        <v>0.735</v>
      </c>
      <c r="AC875" t="s">
        <v>32</v>
      </c>
    </row>
    <row r="876" spans="1:29">
      <c r="A876" t="s">
        <v>81</v>
      </c>
      <c r="B876">
        <v>3858.75</v>
      </c>
      <c r="C876">
        <v>26.655</v>
      </c>
      <c r="D876">
        <v>117.247</v>
      </c>
      <c r="E876">
        <v>166.835</v>
      </c>
      <c r="F876">
        <v>0.397</v>
      </c>
      <c r="G876">
        <v>22.612</v>
      </c>
      <c r="H876">
        <v>0.954</v>
      </c>
      <c r="I876">
        <v>2.711</v>
      </c>
      <c r="J876">
        <v>0.888</v>
      </c>
      <c r="K876">
        <v>6.03</v>
      </c>
      <c r="L876">
        <v>0.367</v>
      </c>
      <c r="M876">
        <v>2.931</v>
      </c>
      <c r="N876">
        <v>179.306</v>
      </c>
      <c r="O876">
        <v>175.547</v>
      </c>
      <c r="P876">
        <f t="shared" si="60"/>
        <v>2.25359482231898</v>
      </c>
      <c r="Q876">
        <f t="shared" si="60"/>
        <v>2.24439341201511</v>
      </c>
      <c r="R876">
        <v>104.153</v>
      </c>
      <c r="S876">
        <v>-9999</v>
      </c>
      <c r="T876">
        <v>111.571</v>
      </c>
      <c r="U876">
        <v>4.541</v>
      </c>
      <c r="V876">
        <v>100</v>
      </c>
      <c r="W876">
        <v>0.037</v>
      </c>
      <c r="X876" t="s">
        <v>78</v>
      </c>
      <c r="Y876" t="s">
        <v>31</v>
      </c>
      <c r="Z876" s="3">
        <f t="shared" si="57"/>
        <v>0.00920141030387089</v>
      </c>
      <c r="AA876">
        <f t="shared" si="58"/>
        <v>-0.521</v>
      </c>
      <c r="AB876">
        <f t="shared" si="59"/>
        <v>0.764</v>
      </c>
      <c r="AC876" t="s">
        <v>32</v>
      </c>
    </row>
    <row r="877" spans="1:29">
      <c r="A877" t="s">
        <v>81</v>
      </c>
      <c r="B877">
        <v>3858.875</v>
      </c>
      <c r="C877">
        <v>25.392</v>
      </c>
      <c r="D877">
        <v>117.161</v>
      </c>
      <c r="E877">
        <v>166.139</v>
      </c>
      <c r="F877">
        <v>0.38</v>
      </c>
      <c r="G877">
        <v>22.707</v>
      </c>
      <c r="H877">
        <v>0.974</v>
      </c>
      <c r="I877">
        <v>2.696</v>
      </c>
      <c r="J877">
        <v>0.831</v>
      </c>
      <c r="K877">
        <v>6.25</v>
      </c>
      <c r="L877">
        <v>0.414</v>
      </c>
      <c r="M877">
        <v>2.918</v>
      </c>
      <c r="N877">
        <v>182.009</v>
      </c>
      <c r="O877">
        <v>178.48</v>
      </c>
      <c r="P877">
        <f t="shared" si="60"/>
        <v>2.26009286355484</v>
      </c>
      <c r="Q877">
        <f t="shared" si="60"/>
        <v>2.25158955727578</v>
      </c>
      <c r="R877">
        <v>108.829</v>
      </c>
      <c r="S877">
        <v>-9999</v>
      </c>
      <c r="T877">
        <v>116.44</v>
      </c>
      <c r="U877">
        <v>5.149</v>
      </c>
      <c r="V877">
        <v>100</v>
      </c>
      <c r="W877">
        <v>0.053</v>
      </c>
      <c r="X877" t="s">
        <v>78</v>
      </c>
      <c r="Y877" t="s">
        <v>31</v>
      </c>
      <c r="Z877" s="3">
        <f t="shared" si="57"/>
        <v>0.00850330627906226</v>
      </c>
      <c r="AA877">
        <f t="shared" si="58"/>
        <v>-0.417</v>
      </c>
      <c r="AB877">
        <f t="shared" si="59"/>
        <v>0.794</v>
      </c>
      <c r="AC877" t="s">
        <v>32</v>
      </c>
    </row>
    <row r="878" spans="1:29">
      <c r="A878" t="s">
        <v>81</v>
      </c>
      <c r="B878">
        <v>3859</v>
      </c>
      <c r="C878">
        <v>24.963</v>
      </c>
      <c r="D878">
        <v>117.088</v>
      </c>
      <c r="E878">
        <v>166.207</v>
      </c>
      <c r="F878">
        <v>0.381</v>
      </c>
      <c r="G878">
        <v>22.817</v>
      </c>
      <c r="H878">
        <v>1.048</v>
      </c>
      <c r="I878">
        <v>2.683</v>
      </c>
      <c r="J878">
        <v>0.783</v>
      </c>
      <c r="K878">
        <v>6.441</v>
      </c>
      <c r="L878">
        <v>0.456</v>
      </c>
      <c r="M878">
        <v>2.911</v>
      </c>
      <c r="N878">
        <v>182.709</v>
      </c>
      <c r="O878">
        <v>179.494</v>
      </c>
      <c r="P878">
        <f t="shared" si="60"/>
        <v>2.26175994064246</v>
      </c>
      <c r="Q878">
        <f t="shared" si="60"/>
        <v>2.25404993586452</v>
      </c>
      <c r="R878">
        <v>116.539</v>
      </c>
      <c r="S878">
        <v>-9999</v>
      </c>
      <c r="T878">
        <v>124.468</v>
      </c>
      <c r="U878">
        <v>5.543</v>
      </c>
      <c r="V878">
        <v>100</v>
      </c>
      <c r="W878">
        <v>0.066</v>
      </c>
      <c r="X878" t="s">
        <v>78</v>
      </c>
      <c r="Y878" t="s">
        <v>31</v>
      </c>
      <c r="Z878" s="3">
        <f t="shared" si="57"/>
        <v>0.00771000477793926</v>
      </c>
      <c r="AA878">
        <f t="shared" si="58"/>
        <v>-0.327</v>
      </c>
      <c r="AB878">
        <f t="shared" si="59"/>
        <v>0.837</v>
      </c>
      <c r="AC878" t="s">
        <v>32</v>
      </c>
    </row>
    <row r="879" spans="1:29">
      <c r="A879" t="s">
        <v>81</v>
      </c>
      <c r="B879">
        <v>3859.125</v>
      </c>
      <c r="C879">
        <v>25.767</v>
      </c>
      <c r="D879">
        <v>117.019</v>
      </c>
      <c r="E879">
        <v>167.016</v>
      </c>
      <c r="F879">
        <v>0.401</v>
      </c>
      <c r="G879">
        <v>22.787</v>
      </c>
      <c r="H879">
        <v>1.15</v>
      </c>
      <c r="I879">
        <v>2.676</v>
      </c>
      <c r="J879">
        <v>0.757</v>
      </c>
      <c r="K879">
        <v>6.578</v>
      </c>
      <c r="L879">
        <v>0.485</v>
      </c>
      <c r="M879">
        <v>2.92</v>
      </c>
      <c r="N879">
        <v>180.319</v>
      </c>
      <c r="O879">
        <v>177.835</v>
      </c>
      <c r="P879">
        <f t="shared" si="60"/>
        <v>2.25604149022995</v>
      </c>
      <c r="Q879">
        <f t="shared" si="60"/>
        <v>2.25001723926057</v>
      </c>
      <c r="R879">
        <v>125.272</v>
      </c>
      <c r="S879">
        <v>-9999</v>
      </c>
      <c r="T879">
        <v>133.561</v>
      </c>
      <c r="U879">
        <v>5.703</v>
      </c>
      <c r="V879">
        <v>100</v>
      </c>
      <c r="W879">
        <v>0.072</v>
      </c>
      <c r="X879" t="s">
        <v>78</v>
      </c>
      <c r="Y879" t="s">
        <v>31</v>
      </c>
      <c r="Z879" s="3">
        <f t="shared" si="57"/>
        <v>0.00602425096937598</v>
      </c>
      <c r="AA879">
        <f t="shared" si="58"/>
        <v>-0.272</v>
      </c>
      <c r="AB879">
        <f t="shared" si="59"/>
        <v>0.886</v>
      </c>
      <c r="AC879" t="s">
        <v>32</v>
      </c>
    </row>
    <row r="880" spans="1:29">
      <c r="A880" t="s">
        <v>81</v>
      </c>
      <c r="B880">
        <v>3859.25</v>
      </c>
      <c r="C880">
        <v>26.481</v>
      </c>
      <c r="D880">
        <v>116.965</v>
      </c>
      <c r="E880">
        <v>168.019</v>
      </c>
      <c r="F880">
        <v>0.426</v>
      </c>
      <c r="G880">
        <v>22.656</v>
      </c>
      <c r="H880">
        <v>1.246</v>
      </c>
      <c r="I880">
        <v>2.675</v>
      </c>
      <c r="J880">
        <v>0.753</v>
      </c>
      <c r="K880">
        <v>6.671</v>
      </c>
      <c r="L880">
        <v>0.505</v>
      </c>
      <c r="M880">
        <v>2.948</v>
      </c>
      <c r="N880">
        <v>175.865</v>
      </c>
      <c r="O880">
        <v>174.331</v>
      </c>
      <c r="P880">
        <f t="shared" si="60"/>
        <v>2.24517941638003</v>
      </c>
      <c r="Q880">
        <f t="shared" si="60"/>
        <v>2.24137462137186</v>
      </c>
      <c r="R880">
        <v>135.136</v>
      </c>
      <c r="S880">
        <v>-9999</v>
      </c>
      <c r="T880">
        <v>143.832</v>
      </c>
      <c r="U880">
        <v>5.721</v>
      </c>
      <c r="V880">
        <v>100</v>
      </c>
      <c r="W880">
        <v>0.072</v>
      </c>
      <c r="X880" t="s">
        <v>78</v>
      </c>
      <c r="Y880" t="s">
        <v>31</v>
      </c>
      <c r="Z880" s="3">
        <f t="shared" si="57"/>
        <v>0.00380479500816699</v>
      </c>
      <c r="AA880">
        <f t="shared" si="58"/>
        <v>-0.248</v>
      </c>
      <c r="AB880">
        <f t="shared" si="59"/>
        <v>0.931</v>
      </c>
      <c r="AC880" t="s">
        <v>32</v>
      </c>
    </row>
    <row r="881" spans="1:29">
      <c r="A881" t="s">
        <v>81</v>
      </c>
      <c r="B881">
        <v>3859.375</v>
      </c>
      <c r="C881">
        <v>27.099</v>
      </c>
      <c r="D881">
        <v>116.94</v>
      </c>
      <c r="E881">
        <v>168.819</v>
      </c>
      <c r="F881">
        <v>0.445</v>
      </c>
      <c r="G881">
        <v>22.493</v>
      </c>
      <c r="H881">
        <v>1.324</v>
      </c>
      <c r="I881">
        <v>2.681</v>
      </c>
      <c r="J881">
        <v>0.775</v>
      </c>
      <c r="K881">
        <v>6.746</v>
      </c>
      <c r="L881">
        <v>0.521</v>
      </c>
      <c r="M881">
        <v>2.994</v>
      </c>
      <c r="N881">
        <v>171.065</v>
      </c>
      <c r="O881">
        <v>170.005</v>
      </c>
      <c r="P881">
        <f t="shared" ref="P881:Q913" si="61">LOG(N881)</f>
        <v>2.23316116172254</v>
      </c>
      <c r="Q881">
        <f t="shared" si="61"/>
        <v>2.23046169455755</v>
      </c>
      <c r="R881">
        <v>146.857</v>
      </c>
      <c r="S881">
        <v>-9999</v>
      </c>
      <c r="T881">
        <v>156.037</v>
      </c>
      <c r="U881">
        <v>5.559</v>
      </c>
      <c r="V881">
        <v>100</v>
      </c>
      <c r="W881">
        <v>0.067</v>
      </c>
      <c r="X881" t="s">
        <v>78</v>
      </c>
      <c r="Y881" t="s">
        <v>31</v>
      </c>
      <c r="Z881" s="3">
        <f t="shared" si="57"/>
        <v>0.00269946716498648</v>
      </c>
      <c r="AA881">
        <f t="shared" si="58"/>
        <v>-0.254</v>
      </c>
      <c r="AB881">
        <f t="shared" si="59"/>
        <v>0.966</v>
      </c>
      <c r="AC881" t="s">
        <v>32</v>
      </c>
    </row>
    <row r="882" spans="1:29">
      <c r="A882" t="s">
        <v>81</v>
      </c>
      <c r="B882">
        <v>3859.5</v>
      </c>
      <c r="C882">
        <v>27.672</v>
      </c>
      <c r="D882">
        <v>116.937</v>
      </c>
      <c r="E882">
        <v>169.122</v>
      </c>
      <c r="F882">
        <v>0.453</v>
      </c>
      <c r="G882">
        <v>22.418</v>
      </c>
      <c r="H882">
        <v>1.404</v>
      </c>
      <c r="I882">
        <v>2.69</v>
      </c>
      <c r="J882">
        <v>0.809</v>
      </c>
      <c r="K882">
        <v>6.805</v>
      </c>
      <c r="L882">
        <v>0.534</v>
      </c>
      <c r="M882">
        <v>3.048</v>
      </c>
      <c r="N882">
        <v>168.045</v>
      </c>
      <c r="O882">
        <v>166.136</v>
      </c>
      <c r="P882">
        <f t="shared" si="61"/>
        <v>2.22542559502796</v>
      </c>
      <c r="Q882">
        <f t="shared" si="61"/>
        <v>2.22046374989448</v>
      </c>
      <c r="R882">
        <v>154.61</v>
      </c>
      <c r="S882">
        <v>-9999</v>
      </c>
      <c r="T882">
        <v>164.109</v>
      </c>
      <c r="U882">
        <v>5.33</v>
      </c>
      <c r="V882">
        <v>100</v>
      </c>
      <c r="W882">
        <v>0.059</v>
      </c>
      <c r="X882" t="s">
        <v>78</v>
      </c>
      <c r="Y882" t="s">
        <v>31</v>
      </c>
      <c r="Z882" s="3">
        <f t="shared" si="57"/>
        <v>0.00496184513348963</v>
      </c>
      <c r="AA882">
        <f t="shared" si="58"/>
        <v>-0.275</v>
      </c>
      <c r="AB882">
        <f t="shared" si="59"/>
        <v>0.987</v>
      </c>
      <c r="AC882" t="s">
        <v>32</v>
      </c>
    </row>
    <row r="883" spans="1:29">
      <c r="A883" t="s">
        <v>81</v>
      </c>
      <c r="B883">
        <v>3859.625</v>
      </c>
      <c r="C883">
        <v>27.853</v>
      </c>
      <c r="D883">
        <v>116.937</v>
      </c>
      <c r="E883">
        <v>168.619</v>
      </c>
      <c r="F883">
        <v>0.44</v>
      </c>
      <c r="G883">
        <v>22.408</v>
      </c>
      <c r="H883">
        <v>1.462</v>
      </c>
      <c r="I883">
        <v>2.695</v>
      </c>
      <c r="J883">
        <v>0.828</v>
      </c>
      <c r="K883">
        <v>6.837</v>
      </c>
      <c r="L883">
        <v>0.541</v>
      </c>
      <c r="M883">
        <v>3.097</v>
      </c>
      <c r="N883">
        <v>170.022</v>
      </c>
      <c r="O883">
        <v>165.07</v>
      </c>
      <c r="P883">
        <f t="shared" si="61"/>
        <v>2.23050512055724</v>
      </c>
      <c r="Q883">
        <f t="shared" si="61"/>
        <v>2.21766815128628</v>
      </c>
      <c r="R883">
        <v>145.467</v>
      </c>
      <c r="S883">
        <v>-9999</v>
      </c>
      <c r="T883">
        <v>154.589</v>
      </c>
      <c r="U883">
        <v>5.214</v>
      </c>
      <c r="V883">
        <v>100</v>
      </c>
      <c r="W883">
        <v>0.055</v>
      </c>
      <c r="X883" t="s">
        <v>78</v>
      </c>
      <c r="Y883" t="s">
        <v>31</v>
      </c>
      <c r="Z883" s="3">
        <f t="shared" si="57"/>
        <v>0.0128369692709613</v>
      </c>
      <c r="AA883">
        <f t="shared" si="58"/>
        <v>-0.287</v>
      </c>
      <c r="AB883">
        <f t="shared" si="59"/>
        <v>0.981</v>
      </c>
      <c r="AC883" t="s">
        <v>32</v>
      </c>
    </row>
    <row r="884" spans="1:29">
      <c r="A884" t="s">
        <v>81</v>
      </c>
      <c r="B884">
        <v>3859.75</v>
      </c>
      <c r="C884">
        <v>27.901</v>
      </c>
      <c r="D884">
        <v>116.937</v>
      </c>
      <c r="E884">
        <v>167.38</v>
      </c>
      <c r="F884">
        <v>0.41</v>
      </c>
      <c r="G884">
        <v>22.381</v>
      </c>
      <c r="H884">
        <v>1.453</v>
      </c>
      <c r="I884">
        <v>2.696</v>
      </c>
      <c r="J884">
        <v>0.831</v>
      </c>
      <c r="K884">
        <v>6.845</v>
      </c>
      <c r="L884">
        <v>0.543</v>
      </c>
      <c r="M884">
        <v>3.128</v>
      </c>
      <c r="N884">
        <v>183.879</v>
      </c>
      <c r="O884">
        <v>171.757</v>
      </c>
      <c r="P884">
        <f t="shared" si="61"/>
        <v>2.26453213323542</v>
      </c>
      <c r="Q884">
        <f t="shared" si="61"/>
        <v>2.23491444587379</v>
      </c>
      <c r="R884">
        <v>127.072</v>
      </c>
      <c r="S884">
        <v>-9999</v>
      </c>
      <c r="T884">
        <v>135.435</v>
      </c>
      <c r="U884">
        <v>5.195</v>
      </c>
      <c r="V884">
        <v>100</v>
      </c>
      <c r="W884">
        <v>0.054</v>
      </c>
      <c r="X884" t="s">
        <v>78</v>
      </c>
      <c r="Y884" t="s">
        <v>31</v>
      </c>
      <c r="Z884" s="3">
        <f t="shared" si="57"/>
        <v>0.0296176873616343</v>
      </c>
      <c r="AA884">
        <f t="shared" si="58"/>
        <v>-0.288</v>
      </c>
      <c r="AB884">
        <f t="shared" si="59"/>
        <v>0.953</v>
      </c>
      <c r="AC884" t="s">
        <v>32</v>
      </c>
    </row>
    <row r="885" spans="1:29">
      <c r="A885" t="s">
        <v>81</v>
      </c>
      <c r="B885">
        <v>3859.875</v>
      </c>
      <c r="C885">
        <v>27.335</v>
      </c>
      <c r="D885">
        <v>116.937</v>
      </c>
      <c r="E885">
        <v>165.482</v>
      </c>
      <c r="F885">
        <v>0.363</v>
      </c>
      <c r="G885">
        <v>22.364</v>
      </c>
      <c r="H885">
        <v>1.4</v>
      </c>
      <c r="I885">
        <v>2.694</v>
      </c>
      <c r="J885">
        <v>0.824</v>
      </c>
      <c r="K885">
        <v>6.849</v>
      </c>
      <c r="L885">
        <v>0.543</v>
      </c>
      <c r="M885">
        <v>3.133</v>
      </c>
      <c r="N885">
        <v>220.787</v>
      </c>
      <c r="O885">
        <v>193.51</v>
      </c>
      <c r="P885">
        <f t="shared" si="61"/>
        <v>2.34397349843001</v>
      </c>
      <c r="Q885">
        <f t="shared" si="61"/>
        <v>2.28670341293427</v>
      </c>
      <c r="R885">
        <v>117.087</v>
      </c>
      <c r="S885">
        <v>-9999</v>
      </c>
      <c r="T885">
        <v>125.039</v>
      </c>
      <c r="U885">
        <v>5.265</v>
      </c>
      <c r="V885">
        <v>100</v>
      </c>
      <c r="W885">
        <v>0.056</v>
      </c>
      <c r="X885" t="s">
        <v>78</v>
      </c>
      <c r="Y885" t="s">
        <v>31</v>
      </c>
      <c r="Z885" s="3">
        <f t="shared" si="57"/>
        <v>0.0572700854957389</v>
      </c>
      <c r="AA885">
        <f t="shared" si="58"/>
        <v>-0.281</v>
      </c>
      <c r="AB885">
        <f t="shared" si="59"/>
        <v>0.906</v>
      </c>
      <c r="AC885" t="s">
        <v>32</v>
      </c>
    </row>
    <row r="886" spans="1:29">
      <c r="A886" t="s">
        <v>81</v>
      </c>
      <c r="B886">
        <v>3860</v>
      </c>
      <c r="C886">
        <v>26.572</v>
      </c>
      <c r="D886">
        <v>116.937</v>
      </c>
      <c r="E886">
        <v>163.134</v>
      </c>
      <c r="F886">
        <v>0.306</v>
      </c>
      <c r="G886">
        <v>22.378</v>
      </c>
      <c r="H886">
        <v>1.284</v>
      </c>
      <c r="I886">
        <v>2.694</v>
      </c>
      <c r="J886">
        <v>0.824</v>
      </c>
      <c r="K886">
        <v>6.866</v>
      </c>
      <c r="L886">
        <v>0.547</v>
      </c>
      <c r="M886">
        <v>3.111</v>
      </c>
      <c r="N886">
        <v>272.988</v>
      </c>
      <c r="O886">
        <v>225.447</v>
      </c>
      <c r="P886">
        <f t="shared" si="61"/>
        <v>2.43614355675385</v>
      </c>
      <c r="Q886">
        <f t="shared" si="61"/>
        <v>2.35304446056912</v>
      </c>
      <c r="R886">
        <v>116.597</v>
      </c>
      <c r="S886">
        <v>-9999</v>
      </c>
      <c r="T886">
        <v>124.528</v>
      </c>
      <c r="U886">
        <v>5.328</v>
      </c>
      <c r="V886">
        <v>100</v>
      </c>
      <c r="W886">
        <v>0.059</v>
      </c>
      <c r="X886" t="s">
        <v>78</v>
      </c>
      <c r="Y886" t="s">
        <v>31</v>
      </c>
      <c r="Z886" s="3">
        <f t="shared" si="57"/>
        <v>0.0830990961847324</v>
      </c>
      <c r="AA886">
        <f t="shared" si="58"/>
        <v>-0.277</v>
      </c>
      <c r="AB886">
        <f t="shared" si="59"/>
        <v>0.853</v>
      </c>
      <c r="AC886" t="s">
        <v>32</v>
      </c>
    </row>
    <row r="887" spans="1:29">
      <c r="A887" t="s">
        <v>81</v>
      </c>
      <c r="B887">
        <v>3860.125</v>
      </c>
      <c r="C887">
        <v>26.514</v>
      </c>
      <c r="D887">
        <v>116.949</v>
      </c>
      <c r="E887">
        <v>160.74</v>
      </c>
      <c r="F887">
        <v>0.247</v>
      </c>
      <c r="G887">
        <v>22.404</v>
      </c>
      <c r="H887">
        <v>1.113</v>
      </c>
      <c r="I887">
        <v>2.697</v>
      </c>
      <c r="J887">
        <v>0.835</v>
      </c>
      <c r="K887">
        <v>6.843</v>
      </c>
      <c r="L887">
        <v>0.542</v>
      </c>
      <c r="M887">
        <v>3.066</v>
      </c>
      <c r="N887">
        <v>314.931</v>
      </c>
      <c r="O887">
        <v>251.367</v>
      </c>
      <c r="P887">
        <f t="shared" si="61"/>
        <v>2.49821541219672</v>
      </c>
      <c r="Q887">
        <f t="shared" si="61"/>
        <v>2.40030826197917</v>
      </c>
      <c r="R887">
        <v>156.798</v>
      </c>
      <c r="S887">
        <v>-9999</v>
      </c>
      <c r="T887">
        <v>166.386</v>
      </c>
      <c r="U887">
        <v>5.208</v>
      </c>
      <c r="V887">
        <v>100</v>
      </c>
      <c r="W887">
        <v>0.055</v>
      </c>
      <c r="X887" t="s">
        <v>78</v>
      </c>
      <c r="Y887" t="s">
        <v>31</v>
      </c>
      <c r="Z887" s="3">
        <f t="shared" si="57"/>
        <v>0.0979071502175528</v>
      </c>
      <c r="AA887">
        <f t="shared" si="58"/>
        <v>-0.293</v>
      </c>
      <c r="AB887">
        <f t="shared" si="59"/>
        <v>0.789</v>
      </c>
      <c r="AC887" t="s">
        <v>32</v>
      </c>
    </row>
    <row r="888" spans="1:29">
      <c r="A888" t="s">
        <v>81</v>
      </c>
      <c r="B888">
        <v>3860.25</v>
      </c>
      <c r="C888">
        <v>26.75</v>
      </c>
      <c r="D888">
        <v>116.992</v>
      </c>
      <c r="E888">
        <v>158.676</v>
      </c>
      <c r="F888">
        <v>0.197</v>
      </c>
      <c r="G888">
        <v>22.444</v>
      </c>
      <c r="H888">
        <v>0.988</v>
      </c>
      <c r="I888">
        <v>2.703</v>
      </c>
      <c r="J888">
        <v>0.858</v>
      </c>
      <c r="K888">
        <v>6.724</v>
      </c>
      <c r="L888">
        <v>0.516</v>
      </c>
      <c r="M888">
        <v>3.016</v>
      </c>
      <c r="N888">
        <v>337.696</v>
      </c>
      <c r="O888">
        <v>265.252</v>
      </c>
      <c r="P888">
        <f t="shared" si="61"/>
        <v>2.52852591645947</v>
      </c>
      <c r="Q888">
        <f t="shared" si="61"/>
        <v>2.42365866716599</v>
      </c>
      <c r="R888">
        <v>202.049</v>
      </c>
      <c r="S888">
        <v>-9999</v>
      </c>
      <c r="T888">
        <v>213.503</v>
      </c>
      <c r="U888">
        <v>4.985</v>
      </c>
      <c r="V888">
        <v>100</v>
      </c>
      <c r="W888">
        <v>0.048</v>
      </c>
      <c r="X888" t="s">
        <v>78</v>
      </c>
      <c r="Y888" t="s">
        <v>31</v>
      </c>
      <c r="Z888" s="3">
        <f t="shared" si="57"/>
        <v>0.104867249293482</v>
      </c>
      <c r="AA888">
        <f t="shared" si="58"/>
        <v>-0.342</v>
      </c>
      <c r="AB888">
        <f t="shared" si="59"/>
        <v>0.713</v>
      </c>
      <c r="AC888" t="s">
        <v>32</v>
      </c>
    </row>
    <row r="889" spans="1:29">
      <c r="A889" t="s">
        <v>81</v>
      </c>
      <c r="B889">
        <v>3860.375</v>
      </c>
      <c r="C889">
        <v>27.349</v>
      </c>
      <c r="D889">
        <v>117.069</v>
      </c>
      <c r="E889">
        <v>156.97</v>
      </c>
      <c r="F889">
        <v>0.155</v>
      </c>
      <c r="G889">
        <v>22.535</v>
      </c>
      <c r="H889">
        <v>0.957</v>
      </c>
      <c r="I889">
        <v>2.711</v>
      </c>
      <c r="J889">
        <v>0.888</v>
      </c>
      <c r="K889">
        <v>6.554</v>
      </c>
      <c r="L889">
        <v>0.48</v>
      </c>
      <c r="M889">
        <v>2.975</v>
      </c>
      <c r="N889">
        <v>352.867</v>
      </c>
      <c r="O889">
        <v>274.418</v>
      </c>
      <c r="P889">
        <f t="shared" si="61"/>
        <v>2.54761104518901</v>
      </c>
      <c r="Q889">
        <f t="shared" si="61"/>
        <v>2.43841259480544</v>
      </c>
      <c r="R889">
        <v>242.048</v>
      </c>
      <c r="S889">
        <v>-9999</v>
      </c>
      <c r="T889">
        <v>255.152</v>
      </c>
      <c r="U889">
        <v>4.656</v>
      </c>
      <c r="V889">
        <v>100</v>
      </c>
      <c r="W889">
        <v>0.039</v>
      </c>
      <c r="X889" t="s">
        <v>78</v>
      </c>
      <c r="Y889" t="s">
        <v>31</v>
      </c>
      <c r="Z889" s="3">
        <f t="shared" si="57"/>
        <v>0.109198450383573</v>
      </c>
      <c r="AA889">
        <f t="shared" si="58"/>
        <v>-0.408</v>
      </c>
      <c r="AB889">
        <f t="shared" si="59"/>
        <v>0.635</v>
      </c>
      <c r="AC889" t="s">
        <v>32</v>
      </c>
    </row>
    <row r="890" spans="1:29">
      <c r="A890" t="s">
        <v>81</v>
      </c>
      <c r="B890">
        <v>3860.5</v>
      </c>
      <c r="C890">
        <v>27.745</v>
      </c>
      <c r="D890">
        <v>117.178</v>
      </c>
      <c r="E890">
        <v>155.565</v>
      </c>
      <c r="F890">
        <v>0.12</v>
      </c>
      <c r="G890">
        <v>22.664</v>
      </c>
      <c r="H890">
        <v>1.023</v>
      </c>
      <c r="I890">
        <v>2.72</v>
      </c>
      <c r="J890">
        <v>0.921</v>
      </c>
      <c r="K890">
        <v>6.412</v>
      </c>
      <c r="L890">
        <v>0.449</v>
      </c>
      <c r="M890">
        <v>2.957</v>
      </c>
      <c r="N890">
        <v>365.48</v>
      </c>
      <c r="O890">
        <v>282.303</v>
      </c>
      <c r="P890">
        <f t="shared" si="61"/>
        <v>2.56286361623973</v>
      </c>
      <c r="Q890">
        <f t="shared" si="61"/>
        <v>2.45071549336662</v>
      </c>
      <c r="R890">
        <v>256.308</v>
      </c>
      <c r="S890">
        <v>-9999</v>
      </c>
      <c r="T890">
        <v>270</v>
      </c>
      <c r="U890">
        <v>4.348</v>
      </c>
      <c r="V890">
        <v>100</v>
      </c>
      <c r="W890">
        <v>0.032</v>
      </c>
      <c r="X890" t="s">
        <v>78</v>
      </c>
      <c r="Y890" t="s">
        <v>31</v>
      </c>
      <c r="Z890" s="3">
        <f t="shared" si="57"/>
        <v>0.112148122873107</v>
      </c>
      <c r="AA890">
        <f t="shared" si="58"/>
        <v>-0.472</v>
      </c>
      <c r="AB890">
        <f t="shared" si="59"/>
        <v>0.569</v>
      </c>
      <c r="AC890" t="s">
        <v>32</v>
      </c>
    </row>
    <row r="891" spans="1:29">
      <c r="A891" t="s">
        <v>81</v>
      </c>
      <c r="B891">
        <v>3860.625</v>
      </c>
      <c r="C891">
        <v>27.49</v>
      </c>
      <c r="D891">
        <v>117.313</v>
      </c>
      <c r="E891">
        <v>154.558</v>
      </c>
      <c r="F891">
        <v>0.096</v>
      </c>
      <c r="G891">
        <v>22.66</v>
      </c>
      <c r="H891">
        <v>1.167</v>
      </c>
      <c r="I891">
        <v>2.727</v>
      </c>
      <c r="J891">
        <v>0.948</v>
      </c>
      <c r="K891">
        <v>6.35</v>
      </c>
      <c r="L891">
        <v>0.436</v>
      </c>
      <c r="M891">
        <v>2.97</v>
      </c>
      <c r="N891">
        <v>368.191</v>
      </c>
      <c r="O891">
        <v>283.384</v>
      </c>
      <c r="P891">
        <f t="shared" si="61"/>
        <v>2.56607316847514</v>
      </c>
      <c r="Q891">
        <f t="shared" si="61"/>
        <v>2.45237532612361</v>
      </c>
      <c r="R891">
        <v>245.286</v>
      </c>
      <c r="S891">
        <v>-9999</v>
      </c>
      <c r="T891">
        <v>258.523</v>
      </c>
      <c r="U891">
        <v>4.193</v>
      </c>
      <c r="V891">
        <v>100</v>
      </c>
      <c r="W891">
        <v>0.029</v>
      </c>
      <c r="X891" t="s">
        <v>78</v>
      </c>
      <c r="Y891" t="s">
        <v>31</v>
      </c>
      <c r="Z891" s="3">
        <f t="shared" si="57"/>
        <v>0.113697842351531</v>
      </c>
      <c r="AA891">
        <f t="shared" si="58"/>
        <v>-0.512</v>
      </c>
      <c r="AB891">
        <f t="shared" si="59"/>
        <v>0.532</v>
      </c>
      <c r="AC891" t="s">
        <v>32</v>
      </c>
    </row>
    <row r="892" spans="1:29">
      <c r="A892" t="s">
        <v>81</v>
      </c>
      <c r="B892">
        <v>3860.75</v>
      </c>
      <c r="C892">
        <v>27.517</v>
      </c>
      <c r="D892">
        <v>117.458</v>
      </c>
      <c r="E892">
        <v>154.163</v>
      </c>
      <c r="F892">
        <v>0.086</v>
      </c>
      <c r="G892">
        <v>22.629</v>
      </c>
      <c r="H892">
        <v>1.322</v>
      </c>
      <c r="I892">
        <v>2.729</v>
      </c>
      <c r="J892">
        <v>0.955</v>
      </c>
      <c r="K892">
        <v>6.363</v>
      </c>
      <c r="L892">
        <v>0.439</v>
      </c>
      <c r="M892">
        <v>3.006</v>
      </c>
      <c r="N892">
        <v>360.897</v>
      </c>
      <c r="O892">
        <v>276.301</v>
      </c>
      <c r="P892">
        <f t="shared" si="61"/>
        <v>2.55738327194906</v>
      </c>
      <c r="Q892">
        <f t="shared" si="61"/>
        <v>2.4413824567359</v>
      </c>
      <c r="R892">
        <v>233.055</v>
      </c>
      <c r="S892">
        <v>-9999</v>
      </c>
      <c r="T892">
        <v>245.788</v>
      </c>
      <c r="U892">
        <v>4.149</v>
      </c>
      <c r="V892">
        <v>100</v>
      </c>
      <c r="W892">
        <v>0.028</v>
      </c>
      <c r="X892" t="s">
        <v>78</v>
      </c>
      <c r="Y892" t="s">
        <v>31</v>
      </c>
      <c r="Z892" s="3">
        <f t="shared" si="57"/>
        <v>0.116000815213162</v>
      </c>
      <c r="AA892">
        <f t="shared" si="58"/>
        <v>-0.516</v>
      </c>
      <c r="AB892">
        <f t="shared" si="59"/>
        <v>0.525</v>
      </c>
      <c r="AC892" t="s">
        <v>32</v>
      </c>
    </row>
    <row r="893" spans="1:29">
      <c r="A893" t="s">
        <v>81</v>
      </c>
      <c r="B893">
        <v>3860.875</v>
      </c>
      <c r="C893">
        <v>27.858</v>
      </c>
      <c r="D893">
        <v>117.621</v>
      </c>
      <c r="E893">
        <v>154.717</v>
      </c>
      <c r="F893">
        <v>0.1</v>
      </c>
      <c r="G893">
        <v>22.76</v>
      </c>
      <c r="H893">
        <v>1.453</v>
      </c>
      <c r="I893">
        <v>2.725</v>
      </c>
      <c r="J893">
        <v>0.94</v>
      </c>
      <c r="K893">
        <v>6.416</v>
      </c>
      <c r="L893">
        <v>0.45</v>
      </c>
      <c r="M893">
        <v>3.054</v>
      </c>
      <c r="N893">
        <v>356.176</v>
      </c>
      <c r="O893">
        <v>269.016</v>
      </c>
      <c r="P893">
        <f t="shared" si="61"/>
        <v>2.55166465230094</v>
      </c>
      <c r="Q893">
        <f t="shared" si="61"/>
        <v>2.42977811087626</v>
      </c>
      <c r="R893">
        <v>223.341</v>
      </c>
      <c r="S893">
        <v>-9999</v>
      </c>
      <c r="T893">
        <v>235.673</v>
      </c>
      <c r="U893">
        <v>4.227</v>
      </c>
      <c r="V893">
        <v>100</v>
      </c>
      <c r="W893">
        <v>0.029</v>
      </c>
      <c r="X893" t="s">
        <v>78</v>
      </c>
      <c r="Y893" t="s">
        <v>31</v>
      </c>
      <c r="Z893" s="3">
        <f t="shared" si="57"/>
        <v>0.12188654142468</v>
      </c>
      <c r="AA893">
        <f t="shared" si="58"/>
        <v>-0.49</v>
      </c>
      <c r="AB893">
        <f t="shared" si="59"/>
        <v>0.55</v>
      </c>
      <c r="AC893" t="s">
        <v>32</v>
      </c>
    </row>
    <row r="894" spans="1:29">
      <c r="A894" t="s">
        <v>81</v>
      </c>
      <c r="B894">
        <v>3861</v>
      </c>
      <c r="C894">
        <v>28.595</v>
      </c>
      <c r="D894">
        <v>117.823</v>
      </c>
      <c r="E894">
        <v>156.388</v>
      </c>
      <c r="F894">
        <v>0.141</v>
      </c>
      <c r="G894">
        <v>22.98</v>
      </c>
      <c r="H894">
        <v>1.592</v>
      </c>
      <c r="I894">
        <v>2.715</v>
      </c>
      <c r="J894">
        <v>0.903</v>
      </c>
      <c r="K894">
        <v>6.476</v>
      </c>
      <c r="L894">
        <v>0.463</v>
      </c>
      <c r="M894">
        <v>3.101</v>
      </c>
      <c r="N894">
        <v>374.893</v>
      </c>
      <c r="O894">
        <v>274.854</v>
      </c>
      <c r="P894">
        <f t="shared" si="61"/>
        <v>2.57390733135312</v>
      </c>
      <c r="Q894">
        <f t="shared" si="61"/>
        <v>2.43910206171393</v>
      </c>
      <c r="R894">
        <v>205.656</v>
      </c>
      <c r="S894">
        <v>-9999</v>
      </c>
      <c r="T894">
        <v>217.259</v>
      </c>
      <c r="U894">
        <v>4.374</v>
      </c>
      <c r="V894">
        <v>100</v>
      </c>
      <c r="W894">
        <v>0.032</v>
      </c>
      <c r="X894" t="s">
        <v>78</v>
      </c>
      <c r="Y894" t="s">
        <v>31</v>
      </c>
      <c r="Z894" s="3">
        <f t="shared" si="57"/>
        <v>0.134805269639193</v>
      </c>
      <c r="AA894">
        <f t="shared" si="58"/>
        <v>-0.44</v>
      </c>
      <c r="AB894">
        <f t="shared" si="59"/>
        <v>0.604</v>
      </c>
      <c r="AC894" t="s">
        <v>32</v>
      </c>
    </row>
    <row r="895" spans="1:29">
      <c r="A895" t="s">
        <v>81</v>
      </c>
      <c r="B895">
        <v>3861.125</v>
      </c>
      <c r="C895">
        <v>29.229</v>
      </c>
      <c r="D895">
        <v>118.119</v>
      </c>
      <c r="E895">
        <v>158.749</v>
      </c>
      <c r="F895">
        <v>0.198</v>
      </c>
      <c r="G895">
        <v>23.177</v>
      </c>
      <c r="H895">
        <v>1.735</v>
      </c>
      <c r="I895">
        <v>2.706</v>
      </c>
      <c r="J895">
        <v>0.869</v>
      </c>
      <c r="K895">
        <v>6.577</v>
      </c>
      <c r="L895">
        <v>0.485</v>
      </c>
      <c r="M895">
        <v>3.133</v>
      </c>
      <c r="N895">
        <v>425.431</v>
      </c>
      <c r="O895">
        <v>299.336</v>
      </c>
      <c r="P895">
        <f t="shared" si="61"/>
        <v>2.62882913257756</v>
      </c>
      <c r="Q895">
        <f t="shared" si="61"/>
        <v>2.47615895092357</v>
      </c>
      <c r="R895">
        <v>182.753</v>
      </c>
      <c r="S895">
        <v>-9999</v>
      </c>
      <c r="T895">
        <v>193.412</v>
      </c>
      <c r="U895">
        <v>4.546</v>
      </c>
      <c r="V895">
        <v>100</v>
      </c>
      <c r="W895">
        <v>0.036</v>
      </c>
      <c r="X895" t="s">
        <v>78</v>
      </c>
      <c r="Y895" t="s">
        <v>31</v>
      </c>
      <c r="Z895" s="3">
        <f t="shared" si="57"/>
        <v>0.152670181653996</v>
      </c>
      <c r="AA895">
        <f t="shared" si="58"/>
        <v>-0.384</v>
      </c>
      <c r="AB895">
        <f t="shared" si="59"/>
        <v>0.683</v>
      </c>
      <c r="AC895" t="s">
        <v>32</v>
      </c>
    </row>
    <row r="896" spans="1:29">
      <c r="A896" t="s">
        <v>81</v>
      </c>
      <c r="B896">
        <v>3861.25</v>
      </c>
      <c r="C896">
        <v>29.332</v>
      </c>
      <c r="D896">
        <v>118.566</v>
      </c>
      <c r="E896">
        <v>160.648</v>
      </c>
      <c r="F896">
        <v>0.245</v>
      </c>
      <c r="G896">
        <v>23.213</v>
      </c>
      <c r="H896">
        <v>1.809</v>
      </c>
      <c r="I896">
        <v>2.703</v>
      </c>
      <c r="J896">
        <v>0.858</v>
      </c>
      <c r="K896">
        <v>6.717</v>
      </c>
      <c r="L896">
        <v>0.515</v>
      </c>
      <c r="M896">
        <v>3.143</v>
      </c>
      <c r="N896">
        <v>484.398</v>
      </c>
      <c r="O896">
        <v>330.544</v>
      </c>
      <c r="P896">
        <f t="shared" si="61"/>
        <v>2.68520234134394</v>
      </c>
      <c r="Q896">
        <f t="shared" si="61"/>
        <v>2.51922927830067</v>
      </c>
      <c r="R896">
        <v>170.878</v>
      </c>
      <c r="S896">
        <v>-9999</v>
      </c>
      <c r="T896">
        <v>181.047</v>
      </c>
      <c r="U896">
        <v>4.661</v>
      </c>
      <c r="V896">
        <v>100</v>
      </c>
      <c r="W896">
        <v>0.039</v>
      </c>
      <c r="X896" t="s">
        <v>78</v>
      </c>
      <c r="Y896" t="s">
        <v>31</v>
      </c>
      <c r="Z896" s="3">
        <f t="shared" si="57"/>
        <v>0.165973063043265</v>
      </c>
      <c r="AA896">
        <f t="shared" si="58"/>
        <v>-0.343</v>
      </c>
      <c r="AB896">
        <f t="shared" si="59"/>
        <v>0.76</v>
      </c>
      <c r="AC896" t="s">
        <v>32</v>
      </c>
    </row>
    <row r="897" spans="1:29">
      <c r="A897" t="s">
        <v>81</v>
      </c>
      <c r="B897">
        <v>3861.375</v>
      </c>
      <c r="C897">
        <v>29.476</v>
      </c>
      <c r="D897">
        <v>119.216</v>
      </c>
      <c r="E897">
        <v>161.233</v>
      </c>
      <c r="F897">
        <v>0.259</v>
      </c>
      <c r="G897">
        <v>23.138</v>
      </c>
      <c r="H897">
        <v>1.801</v>
      </c>
      <c r="I897">
        <v>2.708</v>
      </c>
      <c r="J897">
        <v>0.876</v>
      </c>
      <c r="K897">
        <v>6.815</v>
      </c>
      <c r="L897">
        <v>0.536</v>
      </c>
      <c r="M897">
        <v>3.13</v>
      </c>
      <c r="N897">
        <v>548.305</v>
      </c>
      <c r="O897">
        <v>366.509</v>
      </c>
      <c r="P897">
        <f t="shared" si="61"/>
        <v>2.73902220623823</v>
      </c>
      <c r="Q897">
        <f t="shared" si="61"/>
        <v>2.56408464364931</v>
      </c>
      <c r="R897">
        <v>167.515</v>
      </c>
      <c r="S897">
        <v>-9999</v>
      </c>
      <c r="T897">
        <v>177.546</v>
      </c>
      <c r="U897">
        <v>4.572</v>
      </c>
      <c r="V897">
        <v>100</v>
      </c>
      <c r="W897">
        <v>0.037</v>
      </c>
      <c r="X897" t="s">
        <v>78</v>
      </c>
      <c r="Y897" t="s">
        <v>31</v>
      </c>
      <c r="Z897" s="3">
        <f t="shared" si="57"/>
        <v>0.174937562588924</v>
      </c>
      <c r="AA897">
        <f t="shared" si="58"/>
        <v>-0.34</v>
      </c>
      <c r="AB897">
        <f t="shared" si="59"/>
        <v>0.795</v>
      </c>
      <c r="AC897" t="s">
        <v>32</v>
      </c>
    </row>
    <row r="898" spans="1:29">
      <c r="A898" t="s">
        <v>81</v>
      </c>
      <c r="B898">
        <v>3861.5</v>
      </c>
      <c r="C898">
        <v>29.796</v>
      </c>
      <c r="D898">
        <v>120.061</v>
      </c>
      <c r="E898">
        <v>160.11</v>
      </c>
      <c r="F898">
        <v>0.232</v>
      </c>
      <c r="G898">
        <v>23.164</v>
      </c>
      <c r="H898">
        <v>1.706</v>
      </c>
      <c r="I898">
        <v>2.717</v>
      </c>
      <c r="J898">
        <v>0.91</v>
      </c>
      <c r="K898">
        <v>6.792</v>
      </c>
      <c r="L898">
        <v>0.531</v>
      </c>
      <c r="M898">
        <v>3.098</v>
      </c>
      <c r="N898">
        <v>636.488</v>
      </c>
      <c r="O898">
        <v>418.538</v>
      </c>
      <c r="P898">
        <f t="shared" si="61"/>
        <v>2.80379022011393</v>
      </c>
      <c r="Q898">
        <f t="shared" si="61"/>
        <v>2.62173489468557</v>
      </c>
      <c r="R898">
        <v>159.432</v>
      </c>
      <c r="S898">
        <v>-9999</v>
      </c>
      <c r="T898">
        <v>169.13</v>
      </c>
      <c r="U898">
        <v>4.313</v>
      </c>
      <c r="V898">
        <v>100</v>
      </c>
      <c r="W898">
        <v>0.031</v>
      </c>
      <c r="X898" t="s">
        <v>78</v>
      </c>
      <c r="Y898" t="s">
        <v>31</v>
      </c>
      <c r="Z898" s="3">
        <f t="shared" si="57"/>
        <v>0.182055325428359</v>
      </c>
      <c r="AA898">
        <f t="shared" si="58"/>
        <v>-0.379</v>
      </c>
      <c r="AB898">
        <f t="shared" si="59"/>
        <v>0.763</v>
      </c>
      <c r="AC898" t="s">
        <v>32</v>
      </c>
    </row>
    <row r="899" spans="1:29">
      <c r="A899" t="s">
        <v>81</v>
      </c>
      <c r="B899">
        <v>3861.625</v>
      </c>
      <c r="C899">
        <v>30.186</v>
      </c>
      <c r="D899">
        <v>121.073</v>
      </c>
      <c r="E899">
        <v>157.494</v>
      </c>
      <c r="F899">
        <v>0.168</v>
      </c>
      <c r="G899">
        <v>23.467</v>
      </c>
      <c r="H899">
        <v>1.579</v>
      </c>
      <c r="I899">
        <v>2.726</v>
      </c>
      <c r="J899">
        <v>0.944</v>
      </c>
      <c r="K899">
        <v>6.634</v>
      </c>
      <c r="L899">
        <v>0.497</v>
      </c>
      <c r="M899">
        <v>3.051</v>
      </c>
      <c r="N899">
        <v>732.538</v>
      </c>
      <c r="O899">
        <v>479.805</v>
      </c>
      <c r="P899">
        <f t="shared" si="61"/>
        <v>2.86483015839442</v>
      </c>
      <c r="Q899">
        <f t="shared" si="61"/>
        <v>2.68106476939483</v>
      </c>
      <c r="R899">
        <v>143.545</v>
      </c>
      <c r="S899">
        <v>-9999</v>
      </c>
      <c r="T899">
        <v>152.587</v>
      </c>
      <c r="U899">
        <v>4.014</v>
      </c>
      <c r="V899">
        <v>100</v>
      </c>
      <c r="W899">
        <v>0.025</v>
      </c>
      <c r="X899" t="s">
        <v>78</v>
      </c>
      <c r="Y899" t="s">
        <v>31</v>
      </c>
      <c r="Z899" s="3">
        <f t="shared" si="57"/>
        <v>0.18376538899959</v>
      </c>
      <c r="AA899">
        <f t="shared" si="58"/>
        <v>-0.447</v>
      </c>
      <c r="AB899">
        <f t="shared" si="59"/>
        <v>0.665</v>
      </c>
      <c r="AC899" t="s">
        <v>32</v>
      </c>
    </row>
    <row r="900" spans="1:29">
      <c r="A900" t="s">
        <v>81</v>
      </c>
      <c r="B900">
        <v>3861.75</v>
      </c>
      <c r="C900">
        <v>30.405</v>
      </c>
      <c r="D900">
        <v>122.17</v>
      </c>
      <c r="E900">
        <v>154.926</v>
      </c>
      <c r="F900">
        <v>0.105</v>
      </c>
      <c r="G900">
        <v>23.671</v>
      </c>
      <c r="H900">
        <v>1.564</v>
      </c>
      <c r="I900">
        <v>2.728</v>
      </c>
      <c r="J900">
        <v>0.951</v>
      </c>
      <c r="K900">
        <v>6.454</v>
      </c>
      <c r="L900">
        <v>0.458</v>
      </c>
      <c r="M900">
        <v>2.998</v>
      </c>
      <c r="N900">
        <v>780.146</v>
      </c>
      <c r="O900">
        <v>522.031</v>
      </c>
      <c r="P900">
        <f t="shared" si="61"/>
        <v>2.89217588610183</v>
      </c>
      <c r="Q900">
        <f t="shared" si="61"/>
        <v>2.7176962936712</v>
      </c>
      <c r="R900">
        <v>134.324</v>
      </c>
      <c r="S900">
        <v>-9999</v>
      </c>
      <c r="T900">
        <v>142.987</v>
      </c>
      <c r="U900">
        <v>3.857</v>
      </c>
      <c r="V900">
        <v>100</v>
      </c>
      <c r="W900">
        <v>0.022</v>
      </c>
      <c r="X900" t="s">
        <v>78</v>
      </c>
      <c r="Y900" t="s">
        <v>31</v>
      </c>
      <c r="Z900" s="3">
        <f t="shared" si="57"/>
        <v>0.174479592430627</v>
      </c>
      <c r="AA900">
        <f t="shared" si="58"/>
        <v>-0.493</v>
      </c>
      <c r="AB900">
        <f t="shared" si="59"/>
        <v>0.563</v>
      </c>
      <c r="AC900" t="s">
        <v>32</v>
      </c>
    </row>
    <row r="901" spans="1:29">
      <c r="A901" t="s">
        <v>81</v>
      </c>
      <c r="B901">
        <v>3861.875</v>
      </c>
      <c r="C901">
        <v>30.289</v>
      </c>
      <c r="D901">
        <v>123.231</v>
      </c>
      <c r="E901">
        <v>153.741</v>
      </c>
      <c r="F901">
        <v>0.076</v>
      </c>
      <c r="G901">
        <v>23.55</v>
      </c>
      <c r="H901">
        <v>1.777</v>
      </c>
      <c r="I901">
        <v>2.722</v>
      </c>
      <c r="J901">
        <v>0.929</v>
      </c>
      <c r="K901">
        <v>6.338</v>
      </c>
      <c r="L901">
        <v>0.433</v>
      </c>
      <c r="M901">
        <v>2.946</v>
      </c>
      <c r="N901">
        <v>763.504</v>
      </c>
      <c r="O901">
        <v>532.846</v>
      </c>
      <c r="P901">
        <f t="shared" si="61"/>
        <v>2.88281131666864</v>
      </c>
      <c r="Q901">
        <f t="shared" si="61"/>
        <v>2.72660170993819</v>
      </c>
      <c r="R901">
        <v>141.38</v>
      </c>
      <c r="S901">
        <v>-9999</v>
      </c>
      <c r="T901">
        <v>150.333</v>
      </c>
      <c r="U901">
        <v>3.946</v>
      </c>
      <c r="V901">
        <v>100</v>
      </c>
      <c r="W901">
        <v>0.024</v>
      </c>
      <c r="X901" t="s">
        <v>78</v>
      </c>
      <c r="Y901" t="s">
        <v>31</v>
      </c>
      <c r="Z901" s="3">
        <f t="shared" si="57"/>
        <v>0.156209606730449</v>
      </c>
      <c r="AA901">
        <f t="shared" si="58"/>
        <v>-0.496</v>
      </c>
      <c r="AB901">
        <f t="shared" si="59"/>
        <v>0.509</v>
      </c>
      <c r="AC901" t="s">
        <v>32</v>
      </c>
    </row>
    <row r="902" spans="1:29">
      <c r="A902" t="s">
        <v>81</v>
      </c>
      <c r="B902">
        <v>3862</v>
      </c>
      <c r="C902">
        <v>31.024</v>
      </c>
      <c r="D902">
        <v>124.094</v>
      </c>
      <c r="E902">
        <v>154.733</v>
      </c>
      <c r="F902">
        <v>0.1</v>
      </c>
      <c r="G902">
        <v>23.179</v>
      </c>
      <c r="H902">
        <v>2.194</v>
      </c>
      <c r="I902">
        <v>2.705</v>
      </c>
      <c r="J902">
        <v>0.865</v>
      </c>
      <c r="K902">
        <v>6.292</v>
      </c>
      <c r="L902">
        <v>0.423</v>
      </c>
      <c r="M902">
        <v>2.904</v>
      </c>
      <c r="N902">
        <v>708.729</v>
      </c>
      <c r="O902">
        <v>520.409</v>
      </c>
      <c r="P902">
        <f t="shared" si="61"/>
        <v>2.85048020372567</v>
      </c>
      <c r="Q902">
        <f t="shared" si="61"/>
        <v>2.71634479868228</v>
      </c>
      <c r="R902">
        <v>169.071</v>
      </c>
      <c r="S902">
        <v>-9999</v>
      </c>
      <c r="T902">
        <v>179.166</v>
      </c>
      <c r="U902">
        <v>4.197</v>
      </c>
      <c r="V902">
        <v>100</v>
      </c>
      <c r="W902">
        <v>0.029</v>
      </c>
      <c r="X902" t="s">
        <v>78</v>
      </c>
      <c r="Y902" t="s">
        <v>31</v>
      </c>
      <c r="Z902" s="3">
        <f t="shared" si="57"/>
        <v>0.134135405043391</v>
      </c>
      <c r="AA902">
        <f t="shared" si="58"/>
        <v>-0.442</v>
      </c>
      <c r="AB902">
        <f t="shared" si="59"/>
        <v>0.523</v>
      </c>
      <c r="AC902" t="s">
        <v>32</v>
      </c>
    </row>
    <row r="903" spans="1:29">
      <c r="A903" t="s">
        <v>82</v>
      </c>
      <c r="B903">
        <v>4059</v>
      </c>
      <c r="C903">
        <v>22.632</v>
      </c>
      <c r="D903">
        <v>61.226</v>
      </c>
      <c r="E903">
        <v>155.349</v>
      </c>
      <c r="F903">
        <v>0.072</v>
      </c>
      <c r="G903">
        <v>22.559</v>
      </c>
      <c r="H903">
        <v>1.883</v>
      </c>
      <c r="I903">
        <v>2.736</v>
      </c>
      <c r="J903">
        <v>0.345</v>
      </c>
      <c r="K903">
        <v>3.999</v>
      </c>
      <c r="L903">
        <v>0.357</v>
      </c>
      <c r="M903">
        <v>3.029</v>
      </c>
      <c r="N903">
        <v>160.445</v>
      </c>
      <c r="O903">
        <v>159.85</v>
      </c>
      <c r="P903">
        <f t="shared" si="61"/>
        <v>2.20532618758145</v>
      </c>
      <c r="Q903">
        <f t="shared" si="61"/>
        <v>2.20371264060771</v>
      </c>
      <c r="R903">
        <v>58.412</v>
      </c>
      <c r="S903">
        <v>63.975</v>
      </c>
      <c r="T903">
        <v>69.538</v>
      </c>
      <c r="U903">
        <v>2.75</v>
      </c>
      <c r="V903">
        <v>78.802</v>
      </c>
      <c r="W903">
        <v>0.1</v>
      </c>
      <c r="X903" t="s">
        <v>83</v>
      </c>
      <c r="Y903" t="s">
        <v>31</v>
      </c>
      <c r="Z903" s="3">
        <f t="shared" si="57"/>
        <v>0.00161354697374261</v>
      </c>
      <c r="AA903">
        <f t="shared" si="58"/>
        <v>0.012</v>
      </c>
      <c r="AB903">
        <f t="shared" si="59"/>
        <v>0.429</v>
      </c>
      <c r="AC903" t="s">
        <v>43</v>
      </c>
    </row>
    <row r="904" spans="1:29">
      <c r="A904" t="s">
        <v>82</v>
      </c>
      <c r="B904">
        <v>4059.125</v>
      </c>
      <c r="C904">
        <v>22.778</v>
      </c>
      <c r="D904">
        <v>61.081</v>
      </c>
      <c r="E904">
        <v>155.295</v>
      </c>
      <c r="F904">
        <v>0.07</v>
      </c>
      <c r="G904">
        <v>22.707</v>
      </c>
      <c r="H904">
        <v>2.106</v>
      </c>
      <c r="I904">
        <v>2.724</v>
      </c>
      <c r="J904">
        <v>0.294</v>
      </c>
      <c r="K904">
        <v>3.987</v>
      </c>
      <c r="L904">
        <v>0.355</v>
      </c>
      <c r="M904">
        <v>3.104</v>
      </c>
      <c r="N904">
        <v>147.436</v>
      </c>
      <c r="O904">
        <v>147.363</v>
      </c>
      <c r="P904">
        <f t="shared" si="61"/>
        <v>2.16860353978093</v>
      </c>
      <c r="Q904">
        <f t="shared" si="61"/>
        <v>2.16838845426281</v>
      </c>
      <c r="R904">
        <v>38.347</v>
      </c>
      <c r="S904">
        <v>41.999</v>
      </c>
      <c r="T904">
        <v>45.652</v>
      </c>
      <c r="U904">
        <v>2.879</v>
      </c>
      <c r="V904">
        <v>86.926</v>
      </c>
      <c r="W904">
        <v>0.1</v>
      </c>
      <c r="X904" t="s">
        <v>83</v>
      </c>
      <c r="Y904" t="s">
        <v>31</v>
      </c>
      <c r="Z904" s="3">
        <f t="shared" si="57"/>
        <v>0.000215085518112001</v>
      </c>
      <c r="AA904">
        <f t="shared" si="58"/>
        <v>0.061</v>
      </c>
      <c r="AB904">
        <f t="shared" si="59"/>
        <v>0.425</v>
      </c>
      <c r="AC904" t="s">
        <v>43</v>
      </c>
    </row>
    <row r="905" spans="1:29">
      <c r="A905" t="s">
        <v>82</v>
      </c>
      <c r="B905">
        <v>4059.25</v>
      </c>
      <c r="C905">
        <v>21.967</v>
      </c>
      <c r="D905">
        <v>60.711</v>
      </c>
      <c r="E905">
        <v>156.043</v>
      </c>
      <c r="F905">
        <v>0.097</v>
      </c>
      <c r="G905">
        <v>22.831</v>
      </c>
      <c r="H905">
        <v>2.268</v>
      </c>
      <c r="I905">
        <v>2.713</v>
      </c>
      <c r="J905">
        <v>0.248</v>
      </c>
      <c r="K905">
        <v>4.112</v>
      </c>
      <c r="L905">
        <v>0.376</v>
      </c>
      <c r="M905">
        <v>3.116</v>
      </c>
      <c r="N905">
        <v>140.089</v>
      </c>
      <c r="O905">
        <v>140.367</v>
      </c>
      <c r="P905">
        <f t="shared" si="61"/>
        <v>2.14640403516547</v>
      </c>
      <c r="Q905">
        <f t="shared" si="61"/>
        <v>2.14726501803275</v>
      </c>
      <c r="R905">
        <v>33.874</v>
      </c>
      <c r="S905">
        <v>37.1</v>
      </c>
      <c r="T905">
        <v>40.326</v>
      </c>
      <c r="U905">
        <v>3.051</v>
      </c>
      <c r="V905">
        <v>80.743</v>
      </c>
      <c r="W905">
        <v>0.1</v>
      </c>
      <c r="X905" t="s">
        <v>83</v>
      </c>
      <c r="Y905" t="s">
        <v>31</v>
      </c>
      <c r="Z905" s="3">
        <f t="shared" si="57"/>
        <v>-0.000860982867273208</v>
      </c>
      <c r="AA905">
        <f t="shared" si="58"/>
        <v>0.128</v>
      </c>
      <c r="AB905">
        <f t="shared" si="59"/>
        <v>0.473</v>
      </c>
      <c r="AC905" t="s">
        <v>43</v>
      </c>
    </row>
    <row r="906" spans="1:29">
      <c r="A906" t="s">
        <v>82</v>
      </c>
      <c r="B906">
        <v>4059.375</v>
      </c>
      <c r="C906">
        <v>21.312</v>
      </c>
      <c r="D906">
        <v>60.322</v>
      </c>
      <c r="E906">
        <v>157.622</v>
      </c>
      <c r="F906">
        <v>0.153</v>
      </c>
      <c r="G906">
        <v>22.991</v>
      </c>
      <c r="H906">
        <v>2.359</v>
      </c>
      <c r="I906">
        <v>2.705</v>
      </c>
      <c r="J906">
        <v>0.214</v>
      </c>
      <c r="K906">
        <v>4.297</v>
      </c>
      <c r="L906">
        <v>0.406</v>
      </c>
      <c r="M906">
        <v>3.081</v>
      </c>
      <c r="N906">
        <v>135.389</v>
      </c>
      <c r="O906">
        <v>135.83</v>
      </c>
      <c r="P906">
        <f t="shared" si="61"/>
        <v>2.13158338049857</v>
      </c>
      <c r="Q906">
        <f t="shared" si="61"/>
        <v>2.13299570069227</v>
      </c>
      <c r="R906">
        <v>41.101</v>
      </c>
      <c r="S906">
        <v>45.015</v>
      </c>
      <c r="T906">
        <v>48.93</v>
      </c>
      <c r="U906">
        <v>3.165</v>
      </c>
      <c r="V906">
        <v>67.448</v>
      </c>
      <c r="W906">
        <v>0.1</v>
      </c>
      <c r="X906" t="s">
        <v>83</v>
      </c>
      <c r="Y906" t="s">
        <v>31</v>
      </c>
      <c r="Z906" s="3">
        <f t="shared" si="57"/>
        <v>-0.00141232019369175</v>
      </c>
      <c r="AA906">
        <f t="shared" si="58"/>
        <v>0.192</v>
      </c>
      <c r="AB906">
        <f t="shared" si="59"/>
        <v>0.559</v>
      </c>
      <c r="AC906" t="s">
        <v>43</v>
      </c>
    </row>
    <row r="907" spans="1:29">
      <c r="A907" t="s">
        <v>82</v>
      </c>
      <c r="B907">
        <v>4059.5</v>
      </c>
      <c r="C907">
        <v>21.047</v>
      </c>
      <c r="D907">
        <v>60.056</v>
      </c>
      <c r="E907">
        <v>159.649</v>
      </c>
      <c r="F907">
        <v>0.226</v>
      </c>
      <c r="G907">
        <v>23.132</v>
      </c>
      <c r="H907">
        <v>2.371</v>
      </c>
      <c r="I907">
        <v>2.703</v>
      </c>
      <c r="J907">
        <v>0.206</v>
      </c>
      <c r="K907">
        <v>4.438</v>
      </c>
      <c r="L907">
        <v>0.429</v>
      </c>
      <c r="M907">
        <v>3.033</v>
      </c>
      <c r="N907">
        <v>132.204</v>
      </c>
      <c r="O907">
        <v>132.334</v>
      </c>
      <c r="P907">
        <f t="shared" si="61"/>
        <v>2.12124459547978</v>
      </c>
      <c r="Q907">
        <f t="shared" si="61"/>
        <v>2.12167143991946</v>
      </c>
      <c r="R907">
        <v>55.871</v>
      </c>
      <c r="S907">
        <v>61.192</v>
      </c>
      <c r="T907">
        <v>66.514</v>
      </c>
      <c r="U907">
        <v>3.192</v>
      </c>
      <c r="V907">
        <v>56.764</v>
      </c>
      <c r="W907">
        <v>0.1</v>
      </c>
      <c r="X907" t="s">
        <v>83</v>
      </c>
      <c r="Y907" t="s">
        <v>31</v>
      </c>
      <c r="Z907" s="3">
        <f t="shared" si="57"/>
        <v>-0.000426844439681773</v>
      </c>
      <c r="AA907">
        <f t="shared" si="58"/>
        <v>0.223</v>
      </c>
      <c r="AB907">
        <f t="shared" si="59"/>
        <v>0.655</v>
      </c>
      <c r="AC907" t="s">
        <v>43</v>
      </c>
    </row>
    <row r="908" spans="1:29">
      <c r="A908" t="s">
        <v>82</v>
      </c>
      <c r="B908">
        <v>4059.625</v>
      </c>
      <c r="C908">
        <v>21.691</v>
      </c>
      <c r="D908">
        <v>59.945</v>
      </c>
      <c r="E908">
        <v>161.289</v>
      </c>
      <c r="F908">
        <v>0.285</v>
      </c>
      <c r="G908">
        <v>23.206</v>
      </c>
      <c r="H908">
        <v>2.244</v>
      </c>
      <c r="I908">
        <v>2.709</v>
      </c>
      <c r="J908">
        <v>0.231</v>
      </c>
      <c r="K908">
        <v>4.472</v>
      </c>
      <c r="L908">
        <v>0.435</v>
      </c>
      <c r="M908">
        <v>3.003</v>
      </c>
      <c r="N908">
        <v>132.905</v>
      </c>
      <c r="O908">
        <v>132.411</v>
      </c>
      <c r="P908">
        <f t="shared" si="61"/>
        <v>2.12354131978068</v>
      </c>
      <c r="Q908">
        <f t="shared" si="61"/>
        <v>2.12192406547273</v>
      </c>
      <c r="R908">
        <v>76.58</v>
      </c>
      <c r="S908">
        <v>83.873</v>
      </c>
      <c r="T908">
        <v>91.166</v>
      </c>
      <c r="U908">
        <v>3.106</v>
      </c>
      <c r="V908">
        <v>51.554</v>
      </c>
      <c r="W908">
        <v>0.1</v>
      </c>
      <c r="X908" t="s">
        <v>83</v>
      </c>
      <c r="Y908" t="s">
        <v>31</v>
      </c>
      <c r="Z908" s="3">
        <f t="shared" si="57"/>
        <v>0.0016172543079489</v>
      </c>
      <c r="AA908">
        <f t="shared" si="58"/>
        <v>0.204</v>
      </c>
      <c r="AB908">
        <f t="shared" si="59"/>
        <v>0.72</v>
      </c>
      <c r="AC908" t="s">
        <v>43</v>
      </c>
    </row>
    <row r="909" spans="1:29">
      <c r="A909" t="s">
        <v>82</v>
      </c>
      <c r="B909">
        <v>4059.75</v>
      </c>
      <c r="C909">
        <v>22.811</v>
      </c>
      <c r="D909">
        <v>59.907</v>
      </c>
      <c r="E909">
        <v>162.089</v>
      </c>
      <c r="F909">
        <v>0.314</v>
      </c>
      <c r="G909">
        <v>23.23</v>
      </c>
      <c r="H909">
        <v>2.016</v>
      </c>
      <c r="I909">
        <v>2.723</v>
      </c>
      <c r="J909">
        <v>0.29</v>
      </c>
      <c r="K909">
        <v>4.398</v>
      </c>
      <c r="L909">
        <v>0.423</v>
      </c>
      <c r="M909">
        <v>3.004</v>
      </c>
      <c r="N909">
        <v>138.269</v>
      </c>
      <c r="O909">
        <v>137.146</v>
      </c>
      <c r="P909">
        <f t="shared" si="61"/>
        <v>2.14072482191663</v>
      </c>
      <c r="Q909">
        <f t="shared" si="61"/>
        <v>2.13718314549315</v>
      </c>
      <c r="R909">
        <v>105.665</v>
      </c>
      <c r="S909">
        <v>115.729</v>
      </c>
      <c r="T909">
        <v>125.792</v>
      </c>
      <c r="U909">
        <v>2.89</v>
      </c>
      <c r="V909">
        <v>51.91</v>
      </c>
      <c r="W909">
        <v>0.1</v>
      </c>
      <c r="X909" t="s">
        <v>83</v>
      </c>
      <c r="Y909" t="s">
        <v>31</v>
      </c>
      <c r="Z909" s="3">
        <f t="shared" si="57"/>
        <v>0.00354167642348235</v>
      </c>
      <c r="AA909">
        <f t="shared" si="58"/>
        <v>0.133</v>
      </c>
      <c r="AB909">
        <f t="shared" si="59"/>
        <v>0.737</v>
      </c>
      <c r="AC909" t="s">
        <v>43</v>
      </c>
    </row>
    <row r="910" spans="1:29">
      <c r="A910" t="s">
        <v>82</v>
      </c>
      <c r="B910">
        <v>4059.875</v>
      </c>
      <c r="C910">
        <v>24.167</v>
      </c>
      <c r="D910">
        <v>59.921</v>
      </c>
      <c r="E910">
        <v>161.755</v>
      </c>
      <c r="F910">
        <v>0.302</v>
      </c>
      <c r="G910">
        <v>23.231</v>
      </c>
      <c r="H910">
        <v>1.774</v>
      </c>
      <c r="I910">
        <v>2.744</v>
      </c>
      <c r="J910">
        <v>0.378</v>
      </c>
      <c r="K910">
        <v>4.243</v>
      </c>
      <c r="L910">
        <v>0.397</v>
      </c>
      <c r="M910">
        <v>3.042</v>
      </c>
      <c r="N910">
        <v>147.012</v>
      </c>
      <c r="O910">
        <v>144.87</v>
      </c>
      <c r="P910">
        <f t="shared" si="61"/>
        <v>2.16735278591198</v>
      </c>
      <c r="Q910">
        <f t="shared" si="61"/>
        <v>2.16097846012001</v>
      </c>
      <c r="R910">
        <v>132.101</v>
      </c>
      <c r="S910">
        <v>144.682</v>
      </c>
      <c r="T910">
        <v>157.263</v>
      </c>
      <c r="U910">
        <v>2.606</v>
      </c>
      <c r="V910">
        <v>60.042</v>
      </c>
      <c r="W910">
        <v>0.1</v>
      </c>
      <c r="X910" t="s">
        <v>83</v>
      </c>
      <c r="Y910" t="s">
        <v>31</v>
      </c>
      <c r="Z910" s="3">
        <f t="shared" si="57"/>
        <v>0.00637432579196817</v>
      </c>
      <c r="AA910">
        <f t="shared" si="58"/>
        <v>0.019</v>
      </c>
      <c r="AB910">
        <f t="shared" si="59"/>
        <v>0.699</v>
      </c>
      <c r="AC910" t="s">
        <v>43</v>
      </c>
    </row>
    <row r="911" spans="1:29">
      <c r="A911" t="s">
        <v>82</v>
      </c>
      <c r="B911">
        <v>4060</v>
      </c>
      <c r="C911">
        <v>24.968</v>
      </c>
      <c r="D911">
        <v>59.987</v>
      </c>
      <c r="E911">
        <v>160.232</v>
      </c>
      <c r="F911">
        <v>0.247</v>
      </c>
      <c r="G911">
        <v>23.23</v>
      </c>
      <c r="H911">
        <v>1.61</v>
      </c>
      <c r="I911">
        <v>2.76</v>
      </c>
      <c r="J911">
        <v>0.445</v>
      </c>
      <c r="K911">
        <v>4.028</v>
      </c>
      <c r="L911">
        <v>0.362</v>
      </c>
      <c r="M911">
        <v>3.106</v>
      </c>
      <c r="N911">
        <v>157.311</v>
      </c>
      <c r="O911">
        <v>153.723</v>
      </c>
      <c r="P911">
        <f t="shared" si="61"/>
        <v>2.19675909180493</v>
      </c>
      <c r="Q911">
        <f t="shared" si="61"/>
        <v>2.18673885140207</v>
      </c>
      <c r="R911">
        <v>131.263</v>
      </c>
      <c r="S911">
        <v>143.764</v>
      </c>
      <c r="T911">
        <v>156.265</v>
      </c>
      <c r="U911">
        <v>2.403</v>
      </c>
      <c r="V911">
        <v>74.853</v>
      </c>
      <c r="W911">
        <v>0.1</v>
      </c>
      <c r="X911" t="s">
        <v>83</v>
      </c>
      <c r="Y911" t="s">
        <v>31</v>
      </c>
      <c r="Z911" s="3">
        <f t="shared" ref="Z911:Z974" si="62">P911-Q911</f>
        <v>0.0100202404028584</v>
      </c>
      <c r="AA911">
        <f t="shared" ref="AA911:AA974" si="63">L911-J911</f>
        <v>-0.083</v>
      </c>
      <c r="AB911">
        <f t="shared" ref="AB911:AB974" si="64">L911+F911</f>
        <v>0.609</v>
      </c>
      <c r="AC911" t="s">
        <v>43</v>
      </c>
    </row>
    <row r="912" spans="1:29">
      <c r="A912" t="s">
        <v>84</v>
      </c>
      <c r="B912">
        <v>3679</v>
      </c>
      <c r="C912">
        <v>22.029</v>
      </c>
      <c r="D912">
        <v>46.722</v>
      </c>
      <c r="E912">
        <v>156.545</v>
      </c>
      <c r="F912">
        <v>0.062</v>
      </c>
      <c r="G912">
        <v>22.57</v>
      </c>
      <c r="H912">
        <v>1.421</v>
      </c>
      <c r="I912">
        <v>2.793</v>
      </c>
      <c r="J912">
        <v>0.596</v>
      </c>
      <c r="K912">
        <v>7.555</v>
      </c>
      <c r="L912">
        <v>0.359</v>
      </c>
      <c r="M912">
        <v>3.505</v>
      </c>
      <c r="N912">
        <v>205.712</v>
      </c>
      <c r="O912">
        <v>166.212</v>
      </c>
      <c r="P912">
        <f t="shared" si="61"/>
        <v>2.31325962655994</v>
      </c>
      <c r="Q912">
        <f t="shared" si="61"/>
        <v>2.22066237531843</v>
      </c>
      <c r="R912">
        <v>106.84</v>
      </c>
      <c r="S912">
        <v>114.317</v>
      </c>
      <c r="T912">
        <v>122.633</v>
      </c>
      <c r="U912">
        <v>3.433</v>
      </c>
      <c r="V912">
        <v>83.227</v>
      </c>
      <c r="W912">
        <v>0.139</v>
      </c>
      <c r="X912" t="s">
        <v>83</v>
      </c>
      <c r="Y912" t="s">
        <v>31</v>
      </c>
      <c r="Z912" s="3">
        <f t="shared" si="62"/>
        <v>0.0925972512415125</v>
      </c>
      <c r="AA912">
        <f t="shared" si="63"/>
        <v>-0.237</v>
      </c>
      <c r="AB912">
        <f t="shared" si="64"/>
        <v>0.421</v>
      </c>
      <c r="AC912" t="s">
        <v>43</v>
      </c>
    </row>
    <row r="913" spans="1:29">
      <c r="A913" t="s">
        <v>84</v>
      </c>
      <c r="B913">
        <v>3679.125</v>
      </c>
      <c r="C913">
        <v>21.479</v>
      </c>
      <c r="D913">
        <v>46.365</v>
      </c>
      <c r="E913">
        <v>157.291</v>
      </c>
      <c r="F913">
        <v>0.072</v>
      </c>
      <c r="G913">
        <v>22.605</v>
      </c>
      <c r="H913">
        <v>1.3</v>
      </c>
      <c r="I913">
        <v>2.779</v>
      </c>
      <c r="J913">
        <v>0.551</v>
      </c>
      <c r="K913">
        <v>7.249</v>
      </c>
      <c r="L913">
        <v>0.341</v>
      </c>
      <c r="M913">
        <v>3.381</v>
      </c>
      <c r="N913">
        <v>185.602</v>
      </c>
      <c r="O913">
        <v>151.632</v>
      </c>
      <c r="P913">
        <f t="shared" si="61"/>
        <v>2.26858265175506</v>
      </c>
      <c r="Q913">
        <f t="shared" si="61"/>
        <v>2.18079086328074</v>
      </c>
      <c r="R913">
        <v>102.3</v>
      </c>
      <c r="S913">
        <v>109.736</v>
      </c>
      <c r="T913">
        <v>117.052</v>
      </c>
      <c r="U913">
        <v>3.648</v>
      </c>
      <c r="V913">
        <v>74.942</v>
      </c>
      <c r="W913">
        <v>0.182</v>
      </c>
      <c r="X913" t="s">
        <v>83</v>
      </c>
      <c r="Y913" t="s">
        <v>31</v>
      </c>
      <c r="Z913" s="3">
        <f t="shared" si="62"/>
        <v>0.0877917884743264</v>
      </c>
      <c r="AA913">
        <f t="shared" si="63"/>
        <v>-0.21</v>
      </c>
      <c r="AB913">
        <f t="shared" si="64"/>
        <v>0.413</v>
      </c>
      <c r="AC913" t="s">
        <v>43</v>
      </c>
    </row>
    <row r="914" spans="1:29">
      <c r="A914" t="s">
        <v>84</v>
      </c>
      <c r="B914">
        <v>3679.25</v>
      </c>
      <c r="C914">
        <v>21.32</v>
      </c>
      <c r="D914">
        <v>46.037</v>
      </c>
      <c r="E914">
        <v>157.975</v>
      </c>
      <c r="F914">
        <v>0.082</v>
      </c>
      <c r="G914">
        <v>22.688</v>
      </c>
      <c r="H914">
        <v>1.201</v>
      </c>
      <c r="I914">
        <v>2.76</v>
      </c>
      <c r="J914">
        <v>0.49</v>
      </c>
      <c r="K914">
        <v>7.187</v>
      </c>
      <c r="L914">
        <v>0.338</v>
      </c>
      <c r="M914">
        <v>3.261</v>
      </c>
      <c r="N914">
        <v>169.998</v>
      </c>
      <c r="O914">
        <v>140.08</v>
      </c>
      <c r="P914">
        <f t="shared" ref="P914:Q956" si="65">LOG(N914)</f>
        <v>2.23044381200137</v>
      </c>
      <c r="Q914">
        <f t="shared" si="65"/>
        <v>2.14637613307539</v>
      </c>
      <c r="R914">
        <v>95.975</v>
      </c>
      <c r="S914">
        <v>103.15</v>
      </c>
      <c r="T914">
        <v>110.279</v>
      </c>
      <c r="U914">
        <v>3.912</v>
      </c>
      <c r="V914">
        <v>67.135</v>
      </c>
      <c r="W914">
        <v>0.248</v>
      </c>
      <c r="X914" t="s">
        <v>83</v>
      </c>
      <c r="Y914" t="s">
        <v>31</v>
      </c>
      <c r="Z914" s="3">
        <f t="shared" si="62"/>
        <v>0.0840676789259831</v>
      </c>
      <c r="AA914">
        <f t="shared" si="63"/>
        <v>-0.152</v>
      </c>
      <c r="AB914">
        <f t="shared" si="64"/>
        <v>0.42</v>
      </c>
      <c r="AC914" t="s">
        <v>43</v>
      </c>
    </row>
    <row r="915" spans="1:29">
      <c r="A915" t="s">
        <v>84</v>
      </c>
      <c r="B915">
        <v>3679.375</v>
      </c>
      <c r="C915">
        <v>21.204</v>
      </c>
      <c r="D915">
        <v>45.736</v>
      </c>
      <c r="E915">
        <v>158.566</v>
      </c>
      <c r="F915">
        <v>0.091</v>
      </c>
      <c r="G915">
        <v>22.777</v>
      </c>
      <c r="H915">
        <v>1.164</v>
      </c>
      <c r="I915">
        <v>2.743</v>
      </c>
      <c r="J915">
        <v>0.436</v>
      </c>
      <c r="K915">
        <v>7.283</v>
      </c>
      <c r="L915">
        <v>0.343</v>
      </c>
      <c r="M915">
        <v>3.15</v>
      </c>
      <c r="N915">
        <v>158.436</v>
      </c>
      <c r="O915">
        <v>131.418</v>
      </c>
      <c r="P915">
        <f t="shared" si="65"/>
        <v>2.19985386933023</v>
      </c>
      <c r="Q915">
        <f t="shared" si="65"/>
        <v>2.11865485354409</v>
      </c>
      <c r="R915" s="6">
        <v>89.573</v>
      </c>
      <c r="S915">
        <v>96.431</v>
      </c>
      <c r="T915">
        <v>103.76</v>
      </c>
      <c r="U915">
        <v>4.168</v>
      </c>
      <c r="V915">
        <v>61.262</v>
      </c>
      <c r="W915">
        <v>0.325</v>
      </c>
      <c r="X915" t="s">
        <v>83</v>
      </c>
      <c r="Y915" t="s">
        <v>31</v>
      </c>
      <c r="Z915" s="3">
        <f t="shared" si="62"/>
        <v>0.0811990157861384</v>
      </c>
      <c r="AA915">
        <f t="shared" si="63"/>
        <v>-0.093</v>
      </c>
      <c r="AB915">
        <f t="shared" si="64"/>
        <v>0.434</v>
      </c>
      <c r="AC915" t="s">
        <v>43</v>
      </c>
    </row>
    <row r="916" spans="1:29">
      <c r="A916" t="s">
        <v>84</v>
      </c>
      <c r="B916">
        <v>3679.5</v>
      </c>
      <c r="C916">
        <v>20.929</v>
      </c>
      <c r="D916">
        <v>45.461</v>
      </c>
      <c r="E916">
        <v>159.1</v>
      </c>
      <c r="F916">
        <v>0.098</v>
      </c>
      <c r="G916">
        <v>22.82</v>
      </c>
      <c r="H916">
        <v>1.177</v>
      </c>
      <c r="I916">
        <v>2.732</v>
      </c>
      <c r="J916">
        <v>0.401</v>
      </c>
      <c r="K916">
        <v>7.452</v>
      </c>
      <c r="L916">
        <v>0.353</v>
      </c>
      <c r="M916">
        <v>3.05</v>
      </c>
      <c r="N916">
        <v>149.726</v>
      </c>
      <c r="O916">
        <v>124.762</v>
      </c>
      <c r="P916">
        <f t="shared" si="65"/>
        <v>2.1752972223609</v>
      </c>
      <c r="Q916">
        <f t="shared" si="65"/>
        <v>2.0960823281082</v>
      </c>
      <c r="R916">
        <v>83.955</v>
      </c>
      <c r="S916">
        <v>90.535</v>
      </c>
      <c r="T916">
        <v>98.083</v>
      </c>
      <c r="U916">
        <v>4.332</v>
      </c>
      <c r="V916">
        <v>58.702</v>
      </c>
      <c r="W916">
        <v>0.383</v>
      </c>
      <c r="X916" t="s">
        <v>83</v>
      </c>
      <c r="Y916" t="s">
        <v>31</v>
      </c>
      <c r="Z916" s="3">
        <f t="shared" si="62"/>
        <v>0.079214894252694</v>
      </c>
      <c r="AA916">
        <f t="shared" si="63"/>
        <v>-0.048</v>
      </c>
      <c r="AB916">
        <f t="shared" si="64"/>
        <v>0.451</v>
      </c>
      <c r="AC916" t="s">
        <v>43</v>
      </c>
    </row>
    <row r="917" spans="1:29">
      <c r="A917" t="s">
        <v>84</v>
      </c>
      <c r="B917">
        <v>3679.625</v>
      </c>
      <c r="C917">
        <v>20.682</v>
      </c>
      <c r="D917">
        <v>45.206</v>
      </c>
      <c r="E917">
        <v>159.588</v>
      </c>
      <c r="F917">
        <v>0.105</v>
      </c>
      <c r="G917">
        <v>22.809</v>
      </c>
      <c r="H917">
        <v>1.148</v>
      </c>
      <c r="I917">
        <v>2.731</v>
      </c>
      <c r="J917">
        <v>0.397</v>
      </c>
      <c r="K917">
        <v>7.613</v>
      </c>
      <c r="L917">
        <v>0.362</v>
      </c>
      <c r="M917">
        <v>2.963</v>
      </c>
      <c r="N917">
        <v>143.441</v>
      </c>
      <c r="O917">
        <v>119.83</v>
      </c>
      <c r="P917">
        <f t="shared" si="65"/>
        <v>2.1566733042519</v>
      </c>
      <c r="Q917">
        <f t="shared" si="65"/>
        <v>2.07856555931712</v>
      </c>
      <c r="R917">
        <v>79.256</v>
      </c>
      <c r="S917">
        <v>85.619</v>
      </c>
      <c r="T917">
        <v>93.163</v>
      </c>
      <c r="U917">
        <v>4.359</v>
      </c>
      <c r="V917">
        <v>59.618</v>
      </c>
      <c r="W917">
        <v>0.394</v>
      </c>
      <c r="X917" t="s">
        <v>83</v>
      </c>
      <c r="Y917" t="s">
        <v>31</v>
      </c>
      <c r="Z917" s="3">
        <f t="shared" si="62"/>
        <v>0.0781077449347785</v>
      </c>
      <c r="AA917">
        <f t="shared" si="63"/>
        <v>-0.035</v>
      </c>
      <c r="AB917">
        <f t="shared" si="64"/>
        <v>0.467</v>
      </c>
      <c r="AC917" t="s">
        <v>43</v>
      </c>
    </row>
    <row r="918" spans="1:29">
      <c r="A918" t="s">
        <v>84</v>
      </c>
      <c r="B918">
        <v>3679.75</v>
      </c>
      <c r="C918">
        <v>20.574</v>
      </c>
      <c r="D918">
        <v>44.971</v>
      </c>
      <c r="E918">
        <v>159.97</v>
      </c>
      <c r="F918">
        <v>0.111</v>
      </c>
      <c r="G918">
        <v>22.774</v>
      </c>
      <c r="H918">
        <v>0.999</v>
      </c>
      <c r="I918">
        <v>2.736</v>
      </c>
      <c r="J918">
        <v>0.413</v>
      </c>
      <c r="K918">
        <v>7.699</v>
      </c>
      <c r="L918">
        <v>0.367</v>
      </c>
      <c r="M918">
        <v>2.889</v>
      </c>
      <c r="N918">
        <v>139.095</v>
      </c>
      <c r="O918">
        <v>116.335</v>
      </c>
      <c r="P918">
        <f t="shared" si="65"/>
        <v>2.14331151883865</v>
      </c>
      <c r="Q918">
        <f t="shared" si="65"/>
        <v>2.06571039417893</v>
      </c>
      <c r="R918">
        <v>75.157</v>
      </c>
      <c r="S918">
        <v>81.338</v>
      </c>
      <c r="T918">
        <v>88.616</v>
      </c>
      <c r="U918">
        <v>4.281</v>
      </c>
      <c r="V918">
        <v>63.208</v>
      </c>
      <c r="W918">
        <v>0.364</v>
      </c>
      <c r="X918" t="s">
        <v>83</v>
      </c>
      <c r="Y918" t="s">
        <v>31</v>
      </c>
      <c r="Z918" s="3">
        <f t="shared" si="62"/>
        <v>0.0776011246597195</v>
      </c>
      <c r="AA918">
        <f t="shared" si="63"/>
        <v>-0.046</v>
      </c>
      <c r="AB918">
        <f t="shared" si="64"/>
        <v>0.478</v>
      </c>
      <c r="AC918" t="s">
        <v>43</v>
      </c>
    </row>
    <row r="919" spans="1:29">
      <c r="A919" t="s">
        <v>84</v>
      </c>
      <c r="B919">
        <v>3679.875</v>
      </c>
      <c r="C919">
        <v>20.811</v>
      </c>
      <c r="D919">
        <v>44.757</v>
      </c>
      <c r="E919">
        <v>160.128</v>
      </c>
      <c r="F919">
        <v>0.113</v>
      </c>
      <c r="G919">
        <v>22.739</v>
      </c>
      <c r="H919">
        <v>0.827</v>
      </c>
      <c r="I919">
        <v>2.744</v>
      </c>
      <c r="J919">
        <v>0.439</v>
      </c>
      <c r="K919">
        <v>7.688</v>
      </c>
      <c r="L919">
        <v>0.367</v>
      </c>
      <c r="M919">
        <v>2.838</v>
      </c>
      <c r="N919">
        <v>136.286</v>
      </c>
      <c r="O919">
        <v>114.009</v>
      </c>
      <c r="P919">
        <f t="shared" si="65"/>
        <v>2.1344512451595</v>
      </c>
      <c r="Q919">
        <f t="shared" si="65"/>
        <v>2.0569391363896</v>
      </c>
      <c r="R919">
        <v>71.328</v>
      </c>
      <c r="S919">
        <v>77.316</v>
      </c>
      <c r="T919">
        <v>84.277</v>
      </c>
      <c r="U919">
        <v>4.163</v>
      </c>
      <c r="V919">
        <v>68.229</v>
      </c>
      <c r="W919">
        <v>0.322</v>
      </c>
      <c r="X919" t="s">
        <v>83</v>
      </c>
      <c r="Y919" t="s">
        <v>31</v>
      </c>
      <c r="Z919" s="3">
        <f t="shared" si="62"/>
        <v>0.0775121087698967</v>
      </c>
      <c r="AA919">
        <f t="shared" si="63"/>
        <v>-0.072</v>
      </c>
      <c r="AB919">
        <f t="shared" si="64"/>
        <v>0.48</v>
      </c>
      <c r="AC919" t="s">
        <v>43</v>
      </c>
    </row>
    <row r="920" spans="1:29">
      <c r="A920" t="s">
        <v>84</v>
      </c>
      <c r="B920">
        <v>3680</v>
      </c>
      <c r="C920">
        <v>21.723</v>
      </c>
      <c r="D920">
        <v>44.565</v>
      </c>
      <c r="E920">
        <v>160.02</v>
      </c>
      <c r="F920">
        <v>0.111</v>
      </c>
      <c r="G920">
        <v>22.722</v>
      </c>
      <c r="H920">
        <v>0.815</v>
      </c>
      <c r="I920">
        <v>2.75</v>
      </c>
      <c r="J920">
        <v>0.458</v>
      </c>
      <c r="K920">
        <v>7.63</v>
      </c>
      <c r="L920">
        <v>0.363</v>
      </c>
      <c r="M920">
        <v>2.822</v>
      </c>
      <c r="N920">
        <v>135.56</v>
      </c>
      <c r="O920">
        <v>113.268</v>
      </c>
      <c r="P920">
        <f t="shared" si="65"/>
        <v>2.13213156016534</v>
      </c>
      <c r="Q920">
        <f t="shared" si="65"/>
        <v>2.05410723213739</v>
      </c>
      <c r="R920">
        <v>67.832</v>
      </c>
      <c r="S920">
        <v>73.615</v>
      </c>
      <c r="T920">
        <v>80.519</v>
      </c>
      <c r="U920">
        <v>4.061</v>
      </c>
      <c r="V920">
        <v>73.22</v>
      </c>
      <c r="W920">
        <v>0.288</v>
      </c>
      <c r="X920" t="s">
        <v>83</v>
      </c>
      <c r="Y920" t="s">
        <v>31</v>
      </c>
      <c r="Z920" s="3">
        <f t="shared" si="62"/>
        <v>0.0780243280279533</v>
      </c>
      <c r="AA920">
        <f t="shared" si="63"/>
        <v>-0.095</v>
      </c>
      <c r="AB920">
        <f t="shared" si="64"/>
        <v>0.474</v>
      </c>
      <c r="AC920" t="s">
        <v>43</v>
      </c>
    </row>
    <row r="921" spans="1:29">
      <c r="A921" t="s">
        <v>84</v>
      </c>
      <c r="B921">
        <v>3680.125</v>
      </c>
      <c r="C921">
        <v>22.891</v>
      </c>
      <c r="D921">
        <v>44.395</v>
      </c>
      <c r="E921">
        <v>159.739</v>
      </c>
      <c r="F921">
        <v>0.107</v>
      </c>
      <c r="G921">
        <v>22.746</v>
      </c>
      <c r="H921">
        <v>0.989</v>
      </c>
      <c r="I921">
        <v>2.752</v>
      </c>
      <c r="J921">
        <v>0.465</v>
      </c>
      <c r="K921">
        <v>7.572</v>
      </c>
      <c r="L921">
        <v>0.36</v>
      </c>
      <c r="M921">
        <v>2.848</v>
      </c>
      <c r="N921">
        <v>137.069</v>
      </c>
      <c r="O921">
        <v>114.263</v>
      </c>
      <c r="P921">
        <f t="shared" si="65"/>
        <v>2.13693924434999</v>
      </c>
      <c r="Q921">
        <f t="shared" si="65"/>
        <v>2.05790562237062</v>
      </c>
      <c r="R921">
        <v>65.11</v>
      </c>
      <c r="S921">
        <v>70.741</v>
      </c>
      <c r="T921">
        <v>78.011</v>
      </c>
      <c r="U921">
        <v>4</v>
      </c>
      <c r="V921">
        <v>76.817</v>
      </c>
      <c r="W921">
        <v>0.269</v>
      </c>
      <c r="X921" t="s">
        <v>83</v>
      </c>
      <c r="Y921" t="s">
        <v>31</v>
      </c>
      <c r="Z921" s="3">
        <f t="shared" si="62"/>
        <v>0.0790336219793759</v>
      </c>
      <c r="AA921">
        <f t="shared" si="63"/>
        <v>-0.105</v>
      </c>
      <c r="AB921">
        <f t="shared" si="64"/>
        <v>0.467</v>
      </c>
      <c r="AC921" t="s">
        <v>43</v>
      </c>
    </row>
    <row r="922" spans="1:29">
      <c r="A922" t="s">
        <v>84</v>
      </c>
      <c r="B922">
        <v>3680.25</v>
      </c>
      <c r="C922">
        <v>24.002</v>
      </c>
      <c r="D922">
        <v>44.251</v>
      </c>
      <c r="E922">
        <v>159.464</v>
      </c>
      <c r="F922">
        <v>0.103</v>
      </c>
      <c r="G922">
        <v>22.821</v>
      </c>
      <c r="H922">
        <v>1.216</v>
      </c>
      <c r="I922">
        <v>2.752</v>
      </c>
      <c r="J922">
        <v>0.465</v>
      </c>
      <c r="K922">
        <v>7.534</v>
      </c>
      <c r="L922">
        <v>0.358</v>
      </c>
      <c r="M922">
        <v>2.915</v>
      </c>
      <c r="N922">
        <v>139.623</v>
      </c>
      <c r="O922">
        <v>116.092</v>
      </c>
      <c r="P922">
        <f t="shared" si="65"/>
        <v>2.14495696520918</v>
      </c>
      <c r="Q922">
        <f t="shared" si="65"/>
        <v>2.0648022931618</v>
      </c>
      <c r="R922">
        <v>63.617</v>
      </c>
      <c r="S922">
        <v>69.209</v>
      </c>
      <c r="T922">
        <v>77.23</v>
      </c>
      <c r="U922">
        <v>3.971</v>
      </c>
      <c r="V922">
        <v>78.678</v>
      </c>
      <c r="W922">
        <v>0.261</v>
      </c>
      <c r="X922" t="s">
        <v>83</v>
      </c>
      <c r="Y922" t="s">
        <v>31</v>
      </c>
      <c r="Z922" s="3">
        <f t="shared" si="62"/>
        <v>0.0801546720473776</v>
      </c>
      <c r="AA922">
        <f t="shared" si="63"/>
        <v>-0.107</v>
      </c>
      <c r="AB922">
        <f t="shared" si="64"/>
        <v>0.461</v>
      </c>
      <c r="AC922" t="s">
        <v>43</v>
      </c>
    </row>
    <row r="923" spans="1:29">
      <c r="A923" t="s">
        <v>84</v>
      </c>
      <c r="B923">
        <v>3680.375</v>
      </c>
      <c r="C923">
        <v>24.927</v>
      </c>
      <c r="D923">
        <v>44.135</v>
      </c>
      <c r="E923">
        <v>159.274</v>
      </c>
      <c r="F923">
        <v>0.101</v>
      </c>
      <c r="G923">
        <v>22.905</v>
      </c>
      <c r="H923">
        <v>1.418</v>
      </c>
      <c r="I923">
        <v>2.751</v>
      </c>
      <c r="J923">
        <v>0.462</v>
      </c>
      <c r="K923">
        <v>7.533</v>
      </c>
      <c r="L923">
        <v>0.358</v>
      </c>
      <c r="M923">
        <v>3.01</v>
      </c>
      <c r="N923">
        <v>142.17</v>
      </c>
      <c r="O923">
        <v>117.85</v>
      </c>
      <c r="P923">
        <f t="shared" si="65"/>
        <v>2.15280796341906</v>
      </c>
      <c r="Q923">
        <f t="shared" si="65"/>
        <v>2.07132958686034</v>
      </c>
      <c r="R923">
        <v>63.634</v>
      </c>
      <c r="S923">
        <v>69.334</v>
      </c>
      <c r="T923">
        <v>78.454</v>
      </c>
      <c r="U923">
        <v>3.96</v>
      </c>
      <c r="V923">
        <v>79.003</v>
      </c>
      <c r="W923">
        <v>0.258</v>
      </c>
      <c r="X923" t="s">
        <v>83</v>
      </c>
      <c r="Y923" t="s">
        <v>31</v>
      </c>
      <c r="Z923" s="3">
        <f t="shared" si="62"/>
        <v>0.0814783765587208</v>
      </c>
      <c r="AA923">
        <f t="shared" si="63"/>
        <v>-0.104</v>
      </c>
      <c r="AB923">
        <f t="shared" si="64"/>
        <v>0.459</v>
      </c>
      <c r="AC923" t="s">
        <v>43</v>
      </c>
    </row>
    <row r="924" spans="1:29">
      <c r="A924" t="s">
        <v>84</v>
      </c>
      <c r="B924">
        <v>3680.5</v>
      </c>
      <c r="C924">
        <v>24.811</v>
      </c>
      <c r="D924">
        <v>44.052</v>
      </c>
      <c r="E924">
        <v>159.102</v>
      </c>
      <c r="F924">
        <v>0.098</v>
      </c>
      <c r="G924">
        <v>22.931</v>
      </c>
      <c r="H924">
        <v>1.605</v>
      </c>
      <c r="I924">
        <v>2.75</v>
      </c>
      <c r="J924">
        <v>0.458</v>
      </c>
      <c r="K924">
        <v>7.571</v>
      </c>
      <c r="L924">
        <v>0.36</v>
      </c>
      <c r="M924">
        <v>3.112</v>
      </c>
      <c r="N924">
        <v>145.088</v>
      </c>
      <c r="O924">
        <v>119.746</v>
      </c>
      <c r="P924">
        <f t="shared" si="65"/>
        <v>2.1616314941104</v>
      </c>
      <c r="Q924">
        <f t="shared" si="65"/>
        <v>2.07826101513928</v>
      </c>
      <c r="R924">
        <v>65.449</v>
      </c>
      <c r="S924">
        <v>71.446</v>
      </c>
      <c r="T924">
        <v>81.809</v>
      </c>
      <c r="U924">
        <v>3.976</v>
      </c>
      <c r="V924">
        <v>77.234</v>
      </c>
      <c r="W924">
        <v>0.262</v>
      </c>
      <c r="X924" t="s">
        <v>83</v>
      </c>
      <c r="Y924" t="s">
        <v>31</v>
      </c>
      <c r="Z924" s="3">
        <f t="shared" si="62"/>
        <v>0.0833704789711245</v>
      </c>
      <c r="AA924">
        <f t="shared" si="63"/>
        <v>-0.098</v>
      </c>
      <c r="AB924">
        <f t="shared" si="64"/>
        <v>0.458</v>
      </c>
      <c r="AC924" t="s">
        <v>43</v>
      </c>
    </row>
    <row r="925" spans="1:29">
      <c r="A925" t="s">
        <v>84</v>
      </c>
      <c r="B925">
        <v>3680.625</v>
      </c>
      <c r="C925">
        <v>24.333</v>
      </c>
      <c r="D925">
        <v>44</v>
      </c>
      <c r="E925">
        <v>158.88</v>
      </c>
      <c r="F925">
        <v>0.095</v>
      </c>
      <c r="G925">
        <v>22.887</v>
      </c>
      <c r="H925">
        <v>1.823</v>
      </c>
      <c r="I925">
        <v>2.75</v>
      </c>
      <c r="J925">
        <v>0.458</v>
      </c>
      <c r="K925">
        <v>7.615</v>
      </c>
      <c r="L925">
        <v>0.362</v>
      </c>
      <c r="M925">
        <v>3.198</v>
      </c>
      <c r="N925">
        <v>149.044</v>
      </c>
      <c r="O925">
        <v>122.317</v>
      </c>
      <c r="P925">
        <f t="shared" si="65"/>
        <v>2.17331449751497</v>
      </c>
      <c r="Q925">
        <f t="shared" si="65"/>
        <v>2.08748682083933</v>
      </c>
      <c r="R925">
        <v>69.14</v>
      </c>
      <c r="S925">
        <v>75.62</v>
      </c>
      <c r="T925">
        <v>87.267</v>
      </c>
      <c r="U925">
        <v>3.994</v>
      </c>
      <c r="V925">
        <v>74.493</v>
      </c>
      <c r="W925">
        <v>0.268</v>
      </c>
      <c r="X925" t="s">
        <v>83</v>
      </c>
      <c r="Y925" t="s">
        <v>31</v>
      </c>
      <c r="Z925" s="3">
        <f t="shared" si="62"/>
        <v>0.0858276766756476</v>
      </c>
      <c r="AA925">
        <f t="shared" si="63"/>
        <v>-0.096</v>
      </c>
      <c r="AB925">
        <f t="shared" si="64"/>
        <v>0.457</v>
      </c>
      <c r="AC925" t="s">
        <v>43</v>
      </c>
    </row>
    <row r="926" spans="1:29">
      <c r="A926" t="s">
        <v>84</v>
      </c>
      <c r="B926">
        <v>3680.75</v>
      </c>
      <c r="C926">
        <v>24.512</v>
      </c>
      <c r="D926">
        <v>43.981</v>
      </c>
      <c r="E926">
        <v>158.503</v>
      </c>
      <c r="F926">
        <v>0.09</v>
      </c>
      <c r="G926">
        <v>22.826</v>
      </c>
      <c r="H926">
        <v>2.097</v>
      </c>
      <c r="I926">
        <v>2.75</v>
      </c>
      <c r="J926">
        <v>0.458</v>
      </c>
      <c r="K926">
        <v>7.607</v>
      </c>
      <c r="L926">
        <v>0.362</v>
      </c>
      <c r="M926">
        <v>3.248</v>
      </c>
      <c r="N926">
        <v>155.198</v>
      </c>
      <c r="O926">
        <v>126.434</v>
      </c>
      <c r="P926">
        <f t="shared" si="65"/>
        <v>2.19088612030773</v>
      </c>
      <c r="Q926">
        <f t="shared" si="65"/>
        <v>2.1018638779559</v>
      </c>
      <c r="R926">
        <v>74.821</v>
      </c>
      <c r="S926">
        <v>81.97</v>
      </c>
      <c r="T926">
        <v>94.943</v>
      </c>
      <c r="U926">
        <v>3.982</v>
      </c>
      <c r="V926">
        <v>72.174</v>
      </c>
      <c r="W926">
        <v>0.264</v>
      </c>
      <c r="X926" t="s">
        <v>83</v>
      </c>
      <c r="Y926" t="s">
        <v>31</v>
      </c>
      <c r="Z926" s="3">
        <f t="shared" si="62"/>
        <v>0.0890222423518301</v>
      </c>
      <c r="AA926">
        <f t="shared" si="63"/>
        <v>-0.096</v>
      </c>
      <c r="AB926">
        <f t="shared" si="64"/>
        <v>0.452</v>
      </c>
      <c r="AC926" t="s">
        <v>43</v>
      </c>
    </row>
    <row r="927" spans="1:29">
      <c r="A927" t="s">
        <v>84</v>
      </c>
      <c r="B927">
        <v>3680.875</v>
      </c>
      <c r="C927">
        <v>25.011</v>
      </c>
      <c r="D927">
        <v>43.996</v>
      </c>
      <c r="E927">
        <v>157.804</v>
      </c>
      <c r="F927">
        <v>0.08</v>
      </c>
      <c r="G927">
        <v>22.789</v>
      </c>
      <c r="H927">
        <v>2.416</v>
      </c>
      <c r="I927">
        <v>2.751</v>
      </c>
      <c r="J927">
        <v>0.462</v>
      </c>
      <c r="K927">
        <v>7.48</v>
      </c>
      <c r="L927">
        <v>0.355</v>
      </c>
      <c r="M927">
        <v>3.25</v>
      </c>
      <c r="N927">
        <v>165.99</v>
      </c>
      <c r="O927">
        <v>133.882</v>
      </c>
      <c r="P927">
        <f t="shared" si="65"/>
        <v>2.22008192493381</v>
      </c>
      <c r="Q927">
        <f t="shared" si="65"/>
        <v>2.12672219145446</v>
      </c>
      <c r="R927">
        <v>82.868</v>
      </c>
      <c r="S927">
        <v>90.908</v>
      </c>
      <c r="T927">
        <v>105.264</v>
      </c>
      <c r="U927">
        <v>3.955</v>
      </c>
      <c r="V927">
        <v>69.799</v>
      </c>
      <c r="W927">
        <v>0.256</v>
      </c>
      <c r="X927" t="s">
        <v>83</v>
      </c>
      <c r="Y927" t="s">
        <v>31</v>
      </c>
      <c r="Z927" s="3">
        <f t="shared" si="62"/>
        <v>0.0933597334793568</v>
      </c>
      <c r="AA927">
        <f t="shared" si="63"/>
        <v>-0.107</v>
      </c>
      <c r="AB927">
        <f t="shared" si="64"/>
        <v>0.435</v>
      </c>
      <c r="AC927" t="s">
        <v>43</v>
      </c>
    </row>
    <row r="928" spans="1:29">
      <c r="A928" t="s">
        <v>84</v>
      </c>
      <c r="B928">
        <v>3681</v>
      </c>
      <c r="C928">
        <v>25.992</v>
      </c>
      <c r="D928">
        <v>44.046</v>
      </c>
      <c r="E928">
        <v>156.776</v>
      </c>
      <c r="F928">
        <v>0.065</v>
      </c>
      <c r="G928">
        <v>22.786</v>
      </c>
      <c r="H928">
        <v>2.685</v>
      </c>
      <c r="I928">
        <v>2.752</v>
      </c>
      <c r="J928">
        <v>0.465</v>
      </c>
      <c r="K928">
        <v>7.202</v>
      </c>
      <c r="L928">
        <v>0.339</v>
      </c>
      <c r="M928">
        <v>3.202</v>
      </c>
      <c r="N928">
        <v>183.364</v>
      </c>
      <c r="O928">
        <v>146.203</v>
      </c>
      <c r="P928">
        <f t="shared" si="65"/>
        <v>2.26331407432187</v>
      </c>
      <c r="Q928">
        <f t="shared" si="65"/>
        <v>2.16495628418189</v>
      </c>
      <c r="R928">
        <v>94.195</v>
      </c>
      <c r="S928">
        <v>103.392</v>
      </c>
      <c r="T928">
        <v>119.047</v>
      </c>
      <c r="U928">
        <v>3.934</v>
      </c>
      <c r="V928">
        <v>66.689</v>
      </c>
      <c r="W928">
        <v>0.25</v>
      </c>
      <c r="X928" t="s">
        <v>83</v>
      </c>
      <c r="Y928" t="s">
        <v>31</v>
      </c>
      <c r="Z928" s="3">
        <f t="shared" si="62"/>
        <v>0.098357790139985</v>
      </c>
      <c r="AA928">
        <f t="shared" si="63"/>
        <v>-0.126</v>
      </c>
      <c r="AB928">
        <f t="shared" si="64"/>
        <v>0.404</v>
      </c>
      <c r="AC928" t="s">
        <v>43</v>
      </c>
    </row>
    <row r="929" spans="1:29">
      <c r="A929" t="s">
        <v>85</v>
      </c>
      <c r="B929">
        <v>3958</v>
      </c>
      <c r="C929">
        <v>18.112</v>
      </c>
      <c r="D929">
        <v>127.418</v>
      </c>
      <c r="E929">
        <v>161.821</v>
      </c>
      <c r="F929">
        <v>0.199</v>
      </c>
      <c r="G929">
        <v>21.9</v>
      </c>
      <c r="H929">
        <v>1.554</v>
      </c>
      <c r="I929">
        <v>2.715</v>
      </c>
      <c r="J929">
        <v>0.189</v>
      </c>
      <c r="K929">
        <v>3.402</v>
      </c>
      <c r="L929">
        <v>0.282</v>
      </c>
      <c r="M929">
        <v>3.555</v>
      </c>
      <c r="N929">
        <v>110.984</v>
      </c>
      <c r="O929">
        <v>105.435</v>
      </c>
      <c r="P929">
        <f t="shared" si="65"/>
        <v>2.04526037326804</v>
      </c>
      <c r="Q929">
        <f t="shared" si="65"/>
        <v>2.02298480237231</v>
      </c>
      <c r="R929">
        <v>91.813</v>
      </c>
      <c r="S929">
        <v>-9999</v>
      </c>
      <c r="T929">
        <v>97.404</v>
      </c>
      <c r="U929">
        <v>4.191</v>
      </c>
      <c r="V929">
        <v>94.094</v>
      </c>
      <c r="W929">
        <v>0.038</v>
      </c>
      <c r="X929" t="s">
        <v>83</v>
      </c>
      <c r="Y929" t="s">
        <v>31</v>
      </c>
      <c r="Z929" s="3">
        <f t="shared" si="62"/>
        <v>0.0222755708957325</v>
      </c>
      <c r="AA929">
        <f t="shared" si="63"/>
        <v>0.093</v>
      </c>
      <c r="AB929">
        <f t="shared" si="64"/>
        <v>0.481</v>
      </c>
      <c r="AC929" t="s">
        <v>43</v>
      </c>
    </row>
    <row r="930" spans="1:29">
      <c r="A930" t="s">
        <v>85</v>
      </c>
      <c r="B930">
        <v>3958.125</v>
      </c>
      <c r="C930">
        <v>15.347</v>
      </c>
      <c r="D930">
        <v>126.347</v>
      </c>
      <c r="E930">
        <v>162.762</v>
      </c>
      <c r="F930">
        <v>0.213</v>
      </c>
      <c r="G930">
        <v>21.884</v>
      </c>
      <c r="H930">
        <v>1.41</v>
      </c>
      <c r="I930">
        <v>2.71</v>
      </c>
      <c r="J930">
        <v>0.133</v>
      </c>
      <c r="K930">
        <v>4.013</v>
      </c>
      <c r="L930">
        <v>0.361</v>
      </c>
      <c r="M930">
        <v>3.55</v>
      </c>
      <c r="N930">
        <v>73.035</v>
      </c>
      <c r="O930">
        <v>69.383</v>
      </c>
      <c r="P930">
        <f t="shared" si="65"/>
        <v>1.86353103360158</v>
      </c>
      <c r="Q930">
        <f t="shared" si="65"/>
        <v>1.84125307404853</v>
      </c>
      <c r="R930">
        <v>58.662</v>
      </c>
      <c r="S930">
        <v>-9999</v>
      </c>
      <c r="T930">
        <v>62.234</v>
      </c>
      <c r="U930">
        <v>4.87</v>
      </c>
      <c r="V930">
        <v>99.478</v>
      </c>
      <c r="W930">
        <v>0.055</v>
      </c>
      <c r="X930" t="s">
        <v>83</v>
      </c>
      <c r="Y930" t="s">
        <v>31</v>
      </c>
      <c r="Z930" s="3">
        <f t="shared" si="62"/>
        <v>0.0222779595530425</v>
      </c>
      <c r="AA930">
        <f t="shared" si="63"/>
        <v>0.228</v>
      </c>
      <c r="AB930">
        <f t="shared" si="64"/>
        <v>0.574</v>
      </c>
      <c r="AC930" t="s">
        <v>43</v>
      </c>
    </row>
    <row r="931" spans="1:29">
      <c r="A931" t="s">
        <v>85</v>
      </c>
      <c r="B931">
        <v>3958.25</v>
      </c>
      <c r="C931">
        <v>13.112</v>
      </c>
      <c r="D931">
        <v>125.329</v>
      </c>
      <c r="E931">
        <v>164.79</v>
      </c>
      <c r="F931">
        <v>0.243</v>
      </c>
      <c r="G931">
        <v>21.879</v>
      </c>
      <c r="H931">
        <v>1.263</v>
      </c>
      <c r="I931">
        <v>2.706</v>
      </c>
      <c r="J931">
        <v>0.089</v>
      </c>
      <c r="K931">
        <v>4.685</v>
      </c>
      <c r="L931">
        <v>0.447</v>
      </c>
      <c r="M931">
        <v>3.57</v>
      </c>
      <c r="N931">
        <v>55.192</v>
      </c>
      <c r="O931">
        <v>52.432</v>
      </c>
      <c r="P931">
        <f t="shared" si="65"/>
        <v>1.74187613193854</v>
      </c>
      <c r="Q931">
        <f t="shared" si="65"/>
        <v>1.7195964240383</v>
      </c>
      <c r="R931">
        <v>39.328</v>
      </c>
      <c r="S931">
        <v>-9999</v>
      </c>
      <c r="T931">
        <v>41.723</v>
      </c>
      <c r="U931">
        <v>5.446</v>
      </c>
      <c r="V931">
        <v>100</v>
      </c>
      <c r="W931">
        <v>0.073</v>
      </c>
      <c r="X931" t="s">
        <v>83</v>
      </c>
      <c r="Y931" t="s">
        <v>31</v>
      </c>
      <c r="Z931" s="3">
        <f t="shared" si="62"/>
        <v>0.0222797079002377</v>
      </c>
      <c r="AA931">
        <f t="shared" si="63"/>
        <v>0.358</v>
      </c>
      <c r="AB931">
        <f t="shared" si="64"/>
        <v>0.69</v>
      </c>
      <c r="AC931" t="s">
        <v>43</v>
      </c>
    </row>
    <row r="932" spans="1:29">
      <c r="A932" t="s">
        <v>85</v>
      </c>
      <c r="B932">
        <v>3958.375</v>
      </c>
      <c r="C932">
        <v>12.961</v>
      </c>
      <c r="D932">
        <v>124.387</v>
      </c>
      <c r="E932">
        <v>167.818</v>
      </c>
      <c r="F932">
        <v>0.288</v>
      </c>
      <c r="G932">
        <v>21.855</v>
      </c>
      <c r="H932">
        <v>1.19</v>
      </c>
      <c r="I932">
        <v>2.705</v>
      </c>
      <c r="J932">
        <v>0.078</v>
      </c>
      <c r="K932">
        <v>5.173</v>
      </c>
      <c r="L932">
        <v>0.51</v>
      </c>
      <c r="M932">
        <v>3.635</v>
      </c>
      <c r="N932">
        <v>49.614</v>
      </c>
      <c r="O932">
        <v>47.133</v>
      </c>
      <c r="P932">
        <f t="shared" si="65"/>
        <v>1.69560424231331</v>
      </c>
      <c r="Q932">
        <f t="shared" si="65"/>
        <v>1.67332508334081</v>
      </c>
      <c r="R932">
        <v>29.381</v>
      </c>
      <c r="S932">
        <v>-9999</v>
      </c>
      <c r="T932">
        <v>31.171</v>
      </c>
      <c r="U932">
        <v>5.806</v>
      </c>
      <c r="V932">
        <v>100</v>
      </c>
      <c r="W932">
        <v>0.086</v>
      </c>
      <c r="X932" t="s">
        <v>83</v>
      </c>
      <c r="Y932" t="s">
        <v>31</v>
      </c>
      <c r="Z932" s="3">
        <f t="shared" si="62"/>
        <v>0.0222791589724962</v>
      </c>
      <c r="AA932">
        <f t="shared" si="63"/>
        <v>0.432</v>
      </c>
      <c r="AB932">
        <f t="shared" si="64"/>
        <v>0.798</v>
      </c>
      <c r="AC932" t="s">
        <v>43</v>
      </c>
    </row>
    <row r="933" spans="1:29">
      <c r="A933" t="s">
        <v>85</v>
      </c>
      <c r="B933">
        <v>3958.5</v>
      </c>
      <c r="C933">
        <v>13.804</v>
      </c>
      <c r="D933">
        <v>123.506</v>
      </c>
      <c r="E933">
        <v>168.404</v>
      </c>
      <c r="F933">
        <v>0.297</v>
      </c>
      <c r="G933">
        <v>21.827</v>
      </c>
      <c r="H933">
        <v>1.168</v>
      </c>
      <c r="I933">
        <v>2.71</v>
      </c>
      <c r="J933">
        <v>0.133</v>
      </c>
      <c r="K933">
        <v>5.369</v>
      </c>
      <c r="L933">
        <v>0.536</v>
      </c>
      <c r="M933">
        <v>3.65</v>
      </c>
      <c r="N933">
        <v>47.042</v>
      </c>
      <c r="O933">
        <v>44.69</v>
      </c>
      <c r="P933">
        <f t="shared" si="65"/>
        <v>1.672485777577</v>
      </c>
      <c r="Q933">
        <f t="shared" si="65"/>
        <v>1.65021035466036</v>
      </c>
      <c r="R933">
        <v>24.908</v>
      </c>
      <c r="S933">
        <v>-9999</v>
      </c>
      <c r="T933">
        <v>26.425</v>
      </c>
      <c r="U933">
        <v>5.772</v>
      </c>
      <c r="V933">
        <v>100</v>
      </c>
      <c r="W933">
        <v>0.084</v>
      </c>
      <c r="X933" t="s">
        <v>83</v>
      </c>
      <c r="Y933" t="s">
        <v>31</v>
      </c>
      <c r="Z933" s="3">
        <f t="shared" si="62"/>
        <v>0.0222754229166395</v>
      </c>
      <c r="AA933">
        <f t="shared" si="63"/>
        <v>0.403</v>
      </c>
      <c r="AB933">
        <f t="shared" si="64"/>
        <v>0.833</v>
      </c>
      <c r="AC933" t="s">
        <v>43</v>
      </c>
    </row>
    <row r="934" spans="1:29">
      <c r="A934" t="s">
        <v>85</v>
      </c>
      <c r="B934">
        <v>3958.625</v>
      </c>
      <c r="C934">
        <v>15.862</v>
      </c>
      <c r="D934">
        <v>122.675</v>
      </c>
      <c r="E934">
        <v>167.303</v>
      </c>
      <c r="F934">
        <v>0.281</v>
      </c>
      <c r="G934">
        <v>21.805</v>
      </c>
      <c r="H934">
        <v>1.182</v>
      </c>
      <c r="I934">
        <v>2.719</v>
      </c>
      <c r="J934">
        <v>0.233</v>
      </c>
      <c r="K934">
        <v>5.318</v>
      </c>
      <c r="L934">
        <v>0.529</v>
      </c>
      <c r="M934">
        <v>3.65</v>
      </c>
      <c r="N934">
        <v>46.859</v>
      </c>
      <c r="O934">
        <v>44.516</v>
      </c>
      <c r="P934">
        <f t="shared" si="65"/>
        <v>1.67079301624737</v>
      </c>
      <c r="Q934">
        <f t="shared" si="65"/>
        <v>1.64851613374055</v>
      </c>
      <c r="R934">
        <v>23.58</v>
      </c>
      <c r="S934">
        <v>-9999</v>
      </c>
      <c r="T934">
        <v>25.016</v>
      </c>
      <c r="U934">
        <v>5.434</v>
      </c>
      <c r="V934">
        <v>100</v>
      </c>
      <c r="W934">
        <v>0.072</v>
      </c>
      <c r="X934" t="s">
        <v>83</v>
      </c>
      <c r="Y934" t="s">
        <v>31</v>
      </c>
      <c r="Z934" s="3">
        <f t="shared" si="62"/>
        <v>0.0222768825068189</v>
      </c>
      <c r="AA934">
        <f t="shared" si="63"/>
        <v>0.296</v>
      </c>
      <c r="AB934">
        <f t="shared" si="64"/>
        <v>0.81</v>
      </c>
      <c r="AC934" t="s">
        <v>43</v>
      </c>
    </row>
    <row r="935" spans="1:29">
      <c r="A935" t="s">
        <v>85</v>
      </c>
      <c r="B935">
        <v>3958.75</v>
      </c>
      <c r="C935">
        <v>18.155</v>
      </c>
      <c r="D935">
        <v>121.881</v>
      </c>
      <c r="E935">
        <v>165.622</v>
      </c>
      <c r="F935">
        <v>0.256</v>
      </c>
      <c r="G935">
        <v>21.855</v>
      </c>
      <c r="H935">
        <v>1.227</v>
      </c>
      <c r="I935">
        <v>2.728</v>
      </c>
      <c r="J935">
        <v>0.333</v>
      </c>
      <c r="K935">
        <v>5.164</v>
      </c>
      <c r="L935">
        <v>0.509</v>
      </c>
      <c r="M935">
        <v>3.617</v>
      </c>
      <c r="N935">
        <v>48.816</v>
      </c>
      <c r="O935">
        <v>46.375</v>
      </c>
      <c r="P935">
        <f t="shared" si="65"/>
        <v>1.68856219029833</v>
      </c>
      <c r="Q935">
        <f t="shared" si="65"/>
        <v>1.6662839226231</v>
      </c>
      <c r="R935">
        <v>23.549</v>
      </c>
      <c r="S935">
        <v>-9999</v>
      </c>
      <c r="T935">
        <v>24.983</v>
      </c>
      <c r="U935">
        <v>4.991</v>
      </c>
      <c r="V935">
        <v>100</v>
      </c>
      <c r="W935">
        <v>0.058</v>
      </c>
      <c r="X935" t="s">
        <v>83</v>
      </c>
      <c r="Y935" t="s">
        <v>31</v>
      </c>
      <c r="Z935" s="3">
        <f t="shared" si="62"/>
        <v>0.0222782676752296</v>
      </c>
      <c r="AA935">
        <f t="shared" si="63"/>
        <v>0.176</v>
      </c>
      <c r="AB935">
        <f t="shared" si="64"/>
        <v>0.765</v>
      </c>
      <c r="AC935" t="s">
        <v>43</v>
      </c>
    </row>
    <row r="936" spans="1:29">
      <c r="A936" t="s">
        <v>85</v>
      </c>
      <c r="B936">
        <v>3958.875</v>
      </c>
      <c r="C936">
        <v>19.404</v>
      </c>
      <c r="D936">
        <v>121.126</v>
      </c>
      <c r="E936">
        <v>163.908</v>
      </c>
      <c r="F936">
        <v>0.23</v>
      </c>
      <c r="G936">
        <v>21.848</v>
      </c>
      <c r="H936">
        <v>1.273</v>
      </c>
      <c r="I936">
        <v>2.735</v>
      </c>
      <c r="J936">
        <v>0.411</v>
      </c>
      <c r="K936">
        <v>4.993</v>
      </c>
      <c r="L936">
        <v>0.487</v>
      </c>
      <c r="M936">
        <v>3.535</v>
      </c>
      <c r="N936">
        <v>51.577</v>
      </c>
      <c r="O936">
        <v>48.998</v>
      </c>
      <c r="P936">
        <f t="shared" si="65"/>
        <v>1.71245607759765</v>
      </c>
      <c r="Q936">
        <f t="shared" si="65"/>
        <v>1.69017835336136</v>
      </c>
      <c r="R936">
        <v>23.353</v>
      </c>
      <c r="S936">
        <v>-9999</v>
      </c>
      <c r="T936">
        <v>24.775</v>
      </c>
      <c r="U936">
        <v>4.632</v>
      </c>
      <c r="V936">
        <v>100</v>
      </c>
      <c r="W936">
        <v>0.049</v>
      </c>
      <c r="X936" t="s">
        <v>83</v>
      </c>
      <c r="Y936" t="s">
        <v>31</v>
      </c>
      <c r="Z936" s="3">
        <f t="shared" si="62"/>
        <v>0.0222777242362875</v>
      </c>
      <c r="AA936">
        <f t="shared" si="63"/>
        <v>0.076</v>
      </c>
      <c r="AB936">
        <f t="shared" si="64"/>
        <v>0.717</v>
      </c>
      <c r="AC936" t="s">
        <v>43</v>
      </c>
    </row>
    <row r="937" spans="1:29">
      <c r="A937" t="s">
        <v>85</v>
      </c>
      <c r="B937">
        <v>3959</v>
      </c>
      <c r="C937">
        <v>20.612</v>
      </c>
      <c r="D937">
        <v>120.41</v>
      </c>
      <c r="E937">
        <v>162.098</v>
      </c>
      <c r="F937">
        <v>0.203</v>
      </c>
      <c r="G937">
        <v>21.879</v>
      </c>
      <c r="H937">
        <v>1.326</v>
      </c>
      <c r="I937">
        <v>2.741</v>
      </c>
      <c r="J937">
        <v>0.478</v>
      </c>
      <c r="K937">
        <v>4.86</v>
      </c>
      <c r="L937">
        <v>0.47</v>
      </c>
      <c r="M937">
        <v>3.609</v>
      </c>
      <c r="N937">
        <v>53.832</v>
      </c>
      <c r="O937">
        <v>51.141</v>
      </c>
      <c r="P937">
        <f t="shared" si="65"/>
        <v>1.73104051529457</v>
      </c>
      <c r="Q937">
        <f t="shared" si="65"/>
        <v>1.70876921587326</v>
      </c>
      <c r="R937">
        <v>21.712</v>
      </c>
      <c r="S937">
        <v>-9999</v>
      </c>
      <c r="T937">
        <v>23.034</v>
      </c>
      <c r="U937">
        <v>4.364</v>
      </c>
      <c r="V937">
        <v>100</v>
      </c>
      <c r="W937">
        <v>0.042</v>
      </c>
      <c r="X937" t="s">
        <v>83</v>
      </c>
      <c r="Y937" t="s">
        <v>31</v>
      </c>
      <c r="Z937" s="3">
        <f t="shared" si="62"/>
        <v>0.0222712994213119</v>
      </c>
      <c r="AA937">
        <f t="shared" si="63"/>
        <v>-0.00800000000000001</v>
      </c>
      <c r="AB937">
        <f t="shared" si="64"/>
        <v>0.673</v>
      </c>
      <c r="AC937" t="s">
        <v>43</v>
      </c>
    </row>
    <row r="938" spans="1:29">
      <c r="A938" t="s">
        <v>85</v>
      </c>
      <c r="B938">
        <v>3959.125</v>
      </c>
      <c r="C938">
        <v>21.484</v>
      </c>
      <c r="D938">
        <v>119.747</v>
      </c>
      <c r="E938">
        <v>160.982</v>
      </c>
      <c r="F938">
        <v>0.187</v>
      </c>
      <c r="G938">
        <v>21.914</v>
      </c>
      <c r="H938">
        <v>1.309</v>
      </c>
      <c r="I938">
        <v>2.748</v>
      </c>
      <c r="J938">
        <v>0.556</v>
      </c>
      <c r="K938">
        <v>4.79</v>
      </c>
      <c r="L938">
        <v>0.461</v>
      </c>
      <c r="M938">
        <v>3.643</v>
      </c>
      <c r="N938">
        <v>54.842</v>
      </c>
      <c r="O938">
        <v>52.1</v>
      </c>
      <c r="P938">
        <f t="shared" si="65"/>
        <v>1.73911328443122</v>
      </c>
      <c r="Q938">
        <f t="shared" si="65"/>
        <v>1.71683772329952</v>
      </c>
      <c r="R938">
        <v>18.572</v>
      </c>
      <c r="S938">
        <v>-9999</v>
      </c>
      <c r="T938">
        <v>19.703</v>
      </c>
      <c r="U938">
        <v>4.096</v>
      </c>
      <c r="V938">
        <v>100</v>
      </c>
      <c r="W938">
        <v>0.037</v>
      </c>
      <c r="X938" t="s">
        <v>83</v>
      </c>
      <c r="Y938" t="s">
        <v>31</v>
      </c>
      <c r="Z938" s="3">
        <f t="shared" si="62"/>
        <v>0.0222755611316923</v>
      </c>
      <c r="AA938">
        <f t="shared" si="63"/>
        <v>-0.095</v>
      </c>
      <c r="AB938">
        <f t="shared" si="64"/>
        <v>0.648</v>
      </c>
      <c r="AC938" t="s">
        <v>43</v>
      </c>
    </row>
    <row r="939" spans="1:29">
      <c r="A939" t="s">
        <v>85</v>
      </c>
      <c r="B939">
        <v>3959.25</v>
      </c>
      <c r="C939">
        <v>21.371</v>
      </c>
      <c r="D939">
        <v>119.143</v>
      </c>
      <c r="E939">
        <v>160.615</v>
      </c>
      <c r="F939">
        <v>0.181</v>
      </c>
      <c r="G939">
        <v>21.957</v>
      </c>
      <c r="H939">
        <v>1.259</v>
      </c>
      <c r="I939">
        <v>2.753</v>
      </c>
      <c r="J939">
        <v>0.611</v>
      </c>
      <c r="K939">
        <v>4.811</v>
      </c>
      <c r="L939">
        <v>0.464</v>
      </c>
      <c r="M939">
        <v>3.587</v>
      </c>
      <c r="N939">
        <v>54.982</v>
      </c>
      <c r="O939">
        <v>52.233</v>
      </c>
      <c r="P939">
        <f t="shared" si="65"/>
        <v>1.74022053349155</v>
      </c>
      <c r="Q939">
        <f t="shared" si="65"/>
        <v>1.71794497023733</v>
      </c>
      <c r="R939">
        <v>17.028</v>
      </c>
      <c r="S939">
        <v>-9999</v>
      </c>
      <c r="T939">
        <v>18.065</v>
      </c>
      <c r="U939">
        <v>3.983</v>
      </c>
      <c r="V939">
        <v>100</v>
      </c>
      <c r="W939">
        <v>0.034</v>
      </c>
      <c r="X939" t="s">
        <v>83</v>
      </c>
      <c r="Y939" t="s">
        <v>31</v>
      </c>
      <c r="Z939" s="3">
        <f t="shared" si="62"/>
        <v>0.0222755632542235</v>
      </c>
      <c r="AA939">
        <f t="shared" si="63"/>
        <v>-0.147</v>
      </c>
      <c r="AB939">
        <f t="shared" si="64"/>
        <v>0.645</v>
      </c>
      <c r="AC939" t="s">
        <v>43</v>
      </c>
    </row>
    <row r="940" spans="1:29">
      <c r="A940" t="s">
        <v>85</v>
      </c>
      <c r="B940">
        <v>3959.375</v>
      </c>
      <c r="C940">
        <v>19.219</v>
      </c>
      <c r="D940">
        <v>118.607</v>
      </c>
      <c r="E940">
        <v>160.162</v>
      </c>
      <c r="F940">
        <v>0.175</v>
      </c>
      <c r="G940">
        <v>21.941</v>
      </c>
      <c r="H940">
        <v>1.253</v>
      </c>
      <c r="I940">
        <v>2.754</v>
      </c>
      <c r="J940">
        <v>0.622</v>
      </c>
      <c r="K940">
        <v>4.724</v>
      </c>
      <c r="L940">
        <v>0.452</v>
      </c>
      <c r="M940">
        <v>3.567</v>
      </c>
      <c r="N940">
        <v>54.9</v>
      </c>
      <c r="O940">
        <v>52.155</v>
      </c>
      <c r="P940">
        <f t="shared" si="65"/>
        <v>1.73957234445009</v>
      </c>
      <c r="Q940">
        <f t="shared" si="65"/>
        <v>1.71729594973894</v>
      </c>
      <c r="R940">
        <v>17.19</v>
      </c>
      <c r="S940">
        <v>-9999</v>
      </c>
      <c r="T940">
        <v>18.237</v>
      </c>
      <c r="U940">
        <v>3.985</v>
      </c>
      <c r="V940">
        <v>100</v>
      </c>
      <c r="W940">
        <v>0.034</v>
      </c>
      <c r="X940" t="s">
        <v>83</v>
      </c>
      <c r="Y940" t="s">
        <v>31</v>
      </c>
      <c r="Z940" s="3">
        <f t="shared" si="62"/>
        <v>0.0222763947111522</v>
      </c>
      <c r="AA940">
        <f t="shared" si="63"/>
        <v>-0.17</v>
      </c>
      <c r="AB940">
        <f t="shared" si="64"/>
        <v>0.627</v>
      </c>
      <c r="AC940" t="s">
        <v>43</v>
      </c>
    </row>
    <row r="941" spans="1:29">
      <c r="A941" t="s">
        <v>85</v>
      </c>
      <c r="B941">
        <v>3959.5</v>
      </c>
      <c r="C941">
        <v>16.673</v>
      </c>
      <c r="D941">
        <v>118.13</v>
      </c>
      <c r="E941">
        <v>159.55</v>
      </c>
      <c r="F941">
        <v>0.165</v>
      </c>
      <c r="G941">
        <v>21.948</v>
      </c>
      <c r="H941">
        <v>1.257</v>
      </c>
      <c r="I941">
        <v>2.752</v>
      </c>
      <c r="J941">
        <v>0.6</v>
      </c>
      <c r="K941">
        <v>4.692</v>
      </c>
      <c r="L941">
        <v>0.448</v>
      </c>
      <c r="M941">
        <v>3.672</v>
      </c>
      <c r="N941">
        <v>55.708</v>
      </c>
      <c r="O941">
        <v>52.922</v>
      </c>
      <c r="P941">
        <f t="shared" si="65"/>
        <v>1.74591756692192</v>
      </c>
      <c r="Q941">
        <f t="shared" si="65"/>
        <v>1.72363624845104</v>
      </c>
      <c r="R941">
        <v>18.187</v>
      </c>
      <c r="S941">
        <v>-9999</v>
      </c>
      <c r="T941">
        <v>19.294</v>
      </c>
      <c r="U941">
        <v>4.19</v>
      </c>
      <c r="V941">
        <v>100</v>
      </c>
      <c r="W941">
        <v>0.038</v>
      </c>
      <c r="X941" t="s">
        <v>83</v>
      </c>
      <c r="Y941" t="s">
        <v>31</v>
      </c>
      <c r="Z941" s="3">
        <f t="shared" si="62"/>
        <v>0.0222813184708746</v>
      </c>
      <c r="AA941">
        <f t="shared" si="63"/>
        <v>-0.152</v>
      </c>
      <c r="AB941">
        <f t="shared" si="64"/>
        <v>0.613</v>
      </c>
      <c r="AC941" t="s">
        <v>43</v>
      </c>
    </row>
    <row r="942" spans="1:29">
      <c r="A942" t="s">
        <v>85</v>
      </c>
      <c r="B942">
        <v>3959.625</v>
      </c>
      <c r="C942">
        <v>15.584</v>
      </c>
      <c r="D942">
        <v>117.703</v>
      </c>
      <c r="E942">
        <v>158.279</v>
      </c>
      <c r="F942">
        <v>0.147</v>
      </c>
      <c r="G942">
        <v>21.965</v>
      </c>
      <c r="H942">
        <v>1.23</v>
      </c>
      <c r="I942">
        <v>2.749</v>
      </c>
      <c r="J942">
        <v>0.567</v>
      </c>
      <c r="K942">
        <v>4.267</v>
      </c>
      <c r="L942">
        <v>0.394</v>
      </c>
      <c r="M942">
        <v>3.786</v>
      </c>
      <c r="N942">
        <v>57.487</v>
      </c>
      <c r="O942">
        <v>54.612</v>
      </c>
      <c r="P942">
        <f t="shared" si="65"/>
        <v>1.75956964527076</v>
      </c>
      <c r="Q942">
        <f t="shared" si="65"/>
        <v>1.73728808155402</v>
      </c>
      <c r="R942">
        <v>19.597</v>
      </c>
      <c r="S942">
        <v>-9999</v>
      </c>
      <c r="T942">
        <v>21.05</v>
      </c>
      <c r="U942">
        <v>4.148</v>
      </c>
      <c r="V942">
        <v>100</v>
      </c>
      <c r="W942">
        <v>0.038</v>
      </c>
      <c r="X942" t="s">
        <v>83</v>
      </c>
      <c r="Y942" t="s">
        <v>31</v>
      </c>
      <c r="Z942" s="3">
        <f t="shared" si="62"/>
        <v>0.0222815637167428</v>
      </c>
      <c r="AA942">
        <f t="shared" si="63"/>
        <v>-0.173</v>
      </c>
      <c r="AB942">
        <f t="shared" si="64"/>
        <v>0.541</v>
      </c>
      <c r="AC942" t="s">
        <v>43</v>
      </c>
    </row>
    <row r="943" spans="1:29">
      <c r="A943" t="s">
        <v>85</v>
      </c>
      <c r="B943">
        <v>3959.75</v>
      </c>
      <c r="C943">
        <v>16.6</v>
      </c>
      <c r="D943">
        <v>117.3</v>
      </c>
      <c r="E943">
        <v>157.365</v>
      </c>
      <c r="F943">
        <v>0.133</v>
      </c>
      <c r="G943">
        <v>21.978</v>
      </c>
      <c r="H943">
        <v>1.162</v>
      </c>
      <c r="I943">
        <v>2.748</v>
      </c>
      <c r="J943">
        <v>0.556</v>
      </c>
      <c r="K943">
        <v>3.775</v>
      </c>
      <c r="L943">
        <v>0.33</v>
      </c>
      <c r="M943">
        <v>3.842</v>
      </c>
      <c r="N943">
        <v>61.059</v>
      </c>
      <c r="O943">
        <v>58.006</v>
      </c>
      <c r="P943">
        <f t="shared" si="65"/>
        <v>1.78574968731872</v>
      </c>
      <c r="Q943">
        <f t="shared" si="65"/>
        <v>1.76347291825466</v>
      </c>
      <c r="R943">
        <v>21.524</v>
      </c>
      <c r="S943">
        <v>-9999</v>
      </c>
      <c r="T943">
        <v>23.119</v>
      </c>
      <c r="U943">
        <v>3.899</v>
      </c>
      <c r="V943">
        <v>100</v>
      </c>
      <c r="W943">
        <v>0.033</v>
      </c>
      <c r="X943" t="s">
        <v>83</v>
      </c>
      <c r="Y943" t="s">
        <v>31</v>
      </c>
      <c r="Z943" s="3">
        <f t="shared" si="62"/>
        <v>0.0222767690640593</v>
      </c>
      <c r="AA943">
        <f t="shared" si="63"/>
        <v>-0.226</v>
      </c>
      <c r="AB943">
        <f t="shared" si="64"/>
        <v>0.463</v>
      </c>
      <c r="AC943" t="s">
        <v>43</v>
      </c>
    </row>
    <row r="944" spans="1:29">
      <c r="A944" t="s">
        <v>85</v>
      </c>
      <c r="B944">
        <v>3959.875</v>
      </c>
      <c r="C944">
        <v>18.98</v>
      </c>
      <c r="D944">
        <v>116.887</v>
      </c>
      <c r="E944">
        <v>156.895</v>
      </c>
      <c r="F944">
        <v>0.126</v>
      </c>
      <c r="G944">
        <v>21.993</v>
      </c>
      <c r="H944">
        <v>1.191</v>
      </c>
      <c r="I944">
        <v>2.752</v>
      </c>
      <c r="J944">
        <v>0.6</v>
      </c>
      <c r="K944">
        <v>3.193</v>
      </c>
      <c r="L944">
        <v>0.255</v>
      </c>
      <c r="M944">
        <v>3.801</v>
      </c>
      <c r="N944">
        <v>67.85</v>
      </c>
      <c r="O944">
        <v>64.458</v>
      </c>
      <c r="P944">
        <f t="shared" si="65"/>
        <v>1.83154985199576</v>
      </c>
      <c r="Q944">
        <f t="shared" si="65"/>
        <v>1.80927682611521</v>
      </c>
      <c r="R944">
        <v>24.228</v>
      </c>
      <c r="S944">
        <v>-9999</v>
      </c>
      <c r="T944">
        <v>26.024</v>
      </c>
      <c r="U944">
        <v>3.413</v>
      </c>
      <c r="V944">
        <v>100</v>
      </c>
      <c r="W944">
        <v>0.026</v>
      </c>
      <c r="X944" t="s">
        <v>83</v>
      </c>
      <c r="Y944" t="s">
        <v>31</v>
      </c>
      <c r="Z944" s="3">
        <f t="shared" si="62"/>
        <v>0.0222730258805468</v>
      </c>
      <c r="AA944">
        <f t="shared" si="63"/>
        <v>-0.345</v>
      </c>
      <c r="AB944">
        <f t="shared" si="64"/>
        <v>0.381</v>
      </c>
      <c r="AC944" t="s">
        <v>43</v>
      </c>
    </row>
    <row r="945" spans="1:29">
      <c r="A945" t="s">
        <v>85</v>
      </c>
      <c r="B945">
        <v>3960</v>
      </c>
      <c r="C945">
        <v>21.808</v>
      </c>
      <c r="D945">
        <v>116.459</v>
      </c>
      <c r="E945">
        <v>156.935</v>
      </c>
      <c r="F945">
        <v>0.127</v>
      </c>
      <c r="G945">
        <v>21.992</v>
      </c>
      <c r="H945">
        <v>1.276</v>
      </c>
      <c r="I945">
        <v>2.76</v>
      </c>
      <c r="J945">
        <v>0.689</v>
      </c>
      <c r="K945">
        <v>2.555</v>
      </c>
      <c r="L945">
        <v>0.173</v>
      </c>
      <c r="M945">
        <v>3.734</v>
      </c>
      <c r="N945">
        <v>76.968</v>
      </c>
      <c r="O945">
        <v>73.12</v>
      </c>
      <c r="P945">
        <f t="shared" si="65"/>
        <v>1.88631020164005</v>
      </c>
      <c r="Q945">
        <f t="shared" si="65"/>
        <v>1.86403618272577</v>
      </c>
      <c r="R945">
        <v>28.055</v>
      </c>
      <c r="S945">
        <v>-9999</v>
      </c>
      <c r="T945">
        <v>30.135</v>
      </c>
      <c r="U945">
        <v>2.841</v>
      </c>
      <c r="V945">
        <v>100</v>
      </c>
      <c r="W945">
        <v>0.019</v>
      </c>
      <c r="X945" t="s">
        <v>83</v>
      </c>
      <c r="Y945" t="s">
        <v>31</v>
      </c>
      <c r="Z945" s="3">
        <f t="shared" si="62"/>
        <v>0.0222740189142716</v>
      </c>
      <c r="AA945">
        <f t="shared" si="63"/>
        <v>-0.516</v>
      </c>
      <c r="AB945">
        <f t="shared" si="64"/>
        <v>0.3</v>
      </c>
      <c r="AC945" t="s">
        <v>43</v>
      </c>
    </row>
    <row r="946" spans="1:29">
      <c r="A946" t="s">
        <v>75</v>
      </c>
      <c r="B946">
        <v>4125</v>
      </c>
      <c r="C946">
        <v>14.827</v>
      </c>
      <c r="D946">
        <v>80.832</v>
      </c>
      <c r="E946">
        <v>156.999</v>
      </c>
      <c r="F946">
        <v>0.011</v>
      </c>
      <c r="G946">
        <v>22.084</v>
      </c>
      <c r="H946">
        <v>1.078</v>
      </c>
      <c r="I946">
        <v>2.755</v>
      </c>
      <c r="J946">
        <v>0.324</v>
      </c>
      <c r="K946">
        <v>7.29</v>
      </c>
      <c r="L946">
        <v>0.13</v>
      </c>
      <c r="M946">
        <v>3.064</v>
      </c>
      <c r="N946">
        <v>538.563</v>
      </c>
      <c r="O946">
        <v>495.69</v>
      </c>
      <c r="P946">
        <f t="shared" si="65"/>
        <v>2.73123651348731</v>
      </c>
      <c r="Q946">
        <f t="shared" si="65"/>
        <v>2.69521015758051</v>
      </c>
      <c r="R946">
        <v>97.335</v>
      </c>
      <c r="S946">
        <v>100.346</v>
      </c>
      <c r="T946">
        <v>103.449</v>
      </c>
      <c r="U946">
        <v>4.136</v>
      </c>
      <c r="V946">
        <v>46.631</v>
      </c>
      <c r="W946">
        <v>0.038</v>
      </c>
      <c r="X946" t="s">
        <v>86</v>
      </c>
      <c r="Y946" t="s">
        <v>31</v>
      </c>
      <c r="Z946" s="3">
        <f t="shared" si="62"/>
        <v>0.0360263559068019</v>
      </c>
      <c r="AA946">
        <f t="shared" si="63"/>
        <v>-0.194</v>
      </c>
      <c r="AB946">
        <f t="shared" si="64"/>
        <v>0.141</v>
      </c>
      <c r="AC946" t="s">
        <v>32</v>
      </c>
    </row>
    <row r="947" spans="1:29">
      <c r="A947" t="s">
        <v>75</v>
      </c>
      <c r="B947">
        <v>4125.125</v>
      </c>
      <c r="C947">
        <v>14.92</v>
      </c>
      <c r="D947">
        <v>81.266</v>
      </c>
      <c r="E947">
        <v>157.148</v>
      </c>
      <c r="F947">
        <v>0.013</v>
      </c>
      <c r="G947">
        <v>22.04</v>
      </c>
      <c r="H947">
        <v>1.083</v>
      </c>
      <c r="I947">
        <v>2.744</v>
      </c>
      <c r="J947">
        <v>0.26</v>
      </c>
      <c r="K947">
        <v>7.451</v>
      </c>
      <c r="L947">
        <v>0.143</v>
      </c>
      <c r="M947">
        <v>3.066</v>
      </c>
      <c r="N947">
        <v>530.816</v>
      </c>
      <c r="O947">
        <v>491.651</v>
      </c>
      <c r="P947">
        <f t="shared" si="65"/>
        <v>2.72494400501189</v>
      </c>
      <c r="Q947">
        <f t="shared" si="65"/>
        <v>2.691656926838</v>
      </c>
      <c r="R947">
        <v>94.031</v>
      </c>
      <c r="S947">
        <v>96.938</v>
      </c>
      <c r="T947">
        <v>99.937</v>
      </c>
      <c r="U947">
        <v>4.707</v>
      </c>
      <c r="V947">
        <v>42.154</v>
      </c>
      <c r="W947">
        <v>0.042</v>
      </c>
      <c r="X947" t="s">
        <v>86</v>
      </c>
      <c r="Y947" t="s">
        <v>31</v>
      </c>
      <c r="Z947" s="3">
        <f t="shared" si="62"/>
        <v>0.0332870781738834</v>
      </c>
      <c r="AA947">
        <f t="shared" si="63"/>
        <v>-0.117</v>
      </c>
      <c r="AB947">
        <f t="shared" si="64"/>
        <v>0.156</v>
      </c>
      <c r="AC947" t="s">
        <v>32</v>
      </c>
    </row>
    <row r="948" spans="1:29">
      <c r="A948" t="s">
        <v>75</v>
      </c>
      <c r="B948">
        <v>4125.25</v>
      </c>
      <c r="C948">
        <v>14.629</v>
      </c>
      <c r="D948">
        <v>81.666</v>
      </c>
      <c r="E948">
        <v>157.116</v>
      </c>
      <c r="F948">
        <v>0.013</v>
      </c>
      <c r="G948">
        <v>22.012</v>
      </c>
      <c r="H948">
        <v>1.093</v>
      </c>
      <c r="I948">
        <v>2.741</v>
      </c>
      <c r="J948">
        <v>0.243</v>
      </c>
      <c r="K948">
        <v>7.423</v>
      </c>
      <c r="L948">
        <v>0.14</v>
      </c>
      <c r="M948">
        <v>3.015</v>
      </c>
      <c r="N948">
        <v>520.78</v>
      </c>
      <c r="O948">
        <v>485.562</v>
      </c>
      <c r="P948">
        <f t="shared" si="65"/>
        <v>2.71665429726439</v>
      </c>
      <c r="Q948">
        <f t="shared" si="65"/>
        <v>2.68624469158437</v>
      </c>
      <c r="R948">
        <v>91.484</v>
      </c>
      <c r="S948">
        <v>94.313</v>
      </c>
      <c r="T948">
        <v>97.23</v>
      </c>
      <c r="U948">
        <v>4.852</v>
      </c>
      <c r="V948">
        <v>40.035</v>
      </c>
      <c r="W948">
        <v>0.045</v>
      </c>
      <c r="X948" t="s">
        <v>86</v>
      </c>
      <c r="Y948" t="s">
        <v>31</v>
      </c>
      <c r="Z948" s="3">
        <f t="shared" si="62"/>
        <v>0.0304096056800263</v>
      </c>
      <c r="AA948">
        <f t="shared" si="63"/>
        <v>-0.103</v>
      </c>
      <c r="AB948">
        <f t="shared" si="64"/>
        <v>0.153</v>
      </c>
      <c r="AC948" t="s">
        <v>32</v>
      </c>
    </row>
    <row r="949" spans="1:29">
      <c r="A949" t="s">
        <v>75</v>
      </c>
      <c r="B949">
        <v>4125.375</v>
      </c>
      <c r="C949">
        <v>13.933</v>
      </c>
      <c r="D949">
        <v>81.667</v>
      </c>
      <c r="E949">
        <v>157.153</v>
      </c>
      <c r="F949">
        <v>0.013</v>
      </c>
      <c r="G949">
        <v>21.998</v>
      </c>
      <c r="H949">
        <v>1.108</v>
      </c>
      <c r="I949">
        <v>2.742</v>
      </c>
      <c r="J949">
        <v>0.249</v>
      </c>
      <c r="K949">
        <v>7.305</v>
      </c>
      <c r="L949">
        <v>0.131</v>
      </c>
      <c r="M949">
        <v>2.942</v>
      </c>
      <c r="N949">
        <v>510.59</v>
      </c>
      <c r="O949">
        <v>478.76</v>
      </c>
      <c r="P949">
        <f t="shared" si="65"/>
        <v>2.70807230481342</v>
      </c>
      <c r="Q949">
        <f t="shared" si="65"/>
        <v>2.68011785830715</v>
      </c>
      <c r="R949">
        <v>89.627</v>
      </c>
      <c r="S949">
        <v>92.399</v>
      </c>
      <c r="T949">
        <v>95.257</v>
      </c>
      <c r="U949">
        <v>4.871</v>
      </c>
      <c r="V949">
        <v>40.018</v>
      </c>
      <c r="W949">
        <v>0.045</v>
      </c>
      <c r="X949" t="s">
        <v>86</v>
      </c>
      <c r="Y949" t="s">
        <v>31</v>
      </c>
      <c r="Z949" s="3">
        <f t="shared" si="62"/>
        <v>0.0279544465062695</v>
      </c>
      <c r="AA949">
        <f t="shared" si="63"/>
        <v>-0.118</v>
      </c>
      <c r="AB949">
        <f t="shared" si="64"/>
        <v>0.144</v>
      </c>
      <c r="AC949" t="s">
        <v>32</v>
      </c>
    </row>
    <row r="950" spans="1:29">
      <c r="A950" t="s">
        <v>75</v>
      </c>
      <c r="B950">
        <v>4125.5</v>
      </c>
      <c r="C950">
        <v>13.503</v>
      </c>
      <c r="D950">
        <v>81.576</v>
      </c>
      <c r="E950">
        <v>157.345</v>
      </c>
      <c r="F950">
        <v>0.016</v>
      </c>
      <c r="G950">
        <v>21.993</v>
      </c>
      <c r="H950">
        <v>1.129</v>
      </c>
      <c r="I950">
        <v>2.743</v>
      </c>
      <c r="J950">
        <v>0.254</v>
      </c>
      <c r="K950">
        <v>7.141</v>
      </c>
      <c r="L950">
        <v>0.118</v>
      </c>
      <c r="M950">
        <v>2.895</v>
      </c>
      <c r="N950">
        <v>504.944</v>
      </c>
      <c r="O950">
        <v>475.199</v>
      </c>
      <c r="P950">
        <f t="shared" si="65"/>
        <v>2.70324321606015</v>
      </c>
      <c r="Q950">
        <f t="shared" si="65"/>
        <v>2.67687551805281</v>
      </c>
      <c r="R950">
        <v>88.484</v>
      </c>
      <c r="S950">
        <v>91.221</v>
      </c>
      <c r="T950">
        <v>94.042</v>
      </c>
      <c r="U950">
        <v>4.871</v>
      </c>
      <c r="V950">
        <v>41.448</v>
      </c>
      <c r="W950">
        <v>0.047</v>
      </c>
      <c r="X950" t="s">
        <v>86</v>
      </c>
      <c r="Y950" t="s">
        <v>31</v>
      </c>
      <c r="Z950" s="3">
        <f t="shared" si="62"/>
        <v>0.0263676980073368</v>
      </c>
      <c r="AA950">
        <f t="shared" si="63"/>
        <v>-0.136</v>
      </c>
      <c r="AB950">
        <f t="shared" si="64"/>
        <v>0.134</v>
      </c>
      <c r="AC950" t="s">
        <v>32</v>
      </c>
    </row>
    <row r="951" spans="1:29">
      <c r="A951" t="s">
        <v>75</v>
      </c>
      <c r="B951">
        <v>4125.625</v>
      </c>
      <c r="C951">
        <v>13.53</v>
      </c>
      <c r="D951">
        <v>80.963</v>
      </c>
      <c r="E951">
        <v>157.441</v>
      </c>
      <c r="F951">
        <v>0.018</v>
      </c>
      <c r="G951">
        <v>21.993</v>
      </c>
      <c r="H951">
        <v>1.153</v>
      </c>
      <c r="I951">
        <v>2.741</v>
      </c>
      <c r="J951">
        <v>0.243</v>
      </c>
      <c r="K951">
        <v>6.906</v>
      </c>
      <c r="L951">
        <v>0.1</v>
      </c>
      <c r="M951">
        <v>2.895</v>
      </c>
      <c r="N951">
        <v>505.065</v>
      </c>
      <c r="O951">
        <v>476.187</v>
      </c>
      <c r="P951">
        <f t="shared" si="65"/>
        <v>2.70334727381124</v>
      </c>
      <c r="Q951">
        <f t="shared" si="65"/>
        <v>2.67777753490479</v>
      </c>
      <c r="R951">
        <v>87.978</v>
      </c>
      <c r="S951">
        <v>90.699</v>
      </c>
      <c r="T951">
        <v>93.504</v>
      </c>
      <c r="U951">
        <v>4.533</v>
      </c>
      <c r="V951">
        <v>43.713</v>
      </c>
      <c r="W951">
        <v>0.043</v>
      </c>
      <c r="X951" t="s">
        <v>86</v>
      </c>
      <c r="Y951" t="s">
        <v>31</v>
      </c>
      <c r="Z951" s="3">
        <f t="shared" si="62"/>
        <v>0.0255697389064498</v>
      </c>
      <c r="AA951">
        <f t="shared" si="63"/>
        <v>-0.143</v>
      </c>
      <c r="AB951">
        <f t="shared" si="64"/>
        <v>0.118</v>
      </c>
      <c r="AC951" t="s">
        <v>32</v>
      </c>
    </row>
    <row r="952" spans="1:29">
      <c r="A952" t="s">
        <v>75</v>
      </c>
      <c r="B952">
        <v>4125.75</v>
      </c>
      <c r="C952">
        <v>13.769</v>
      </c>
      <c r="D952">
        <v>80.833</v>
      </c>
      <c r="E952">
        <v>157.376</v>
      </c>
      <c r="F952">
        <v>0.017</v>
      </c>
      <c r="G952">
        <v>21.999</v>
      </c>
      <c r="H952">
        <v>1.177</v>
      </c>
      <c r="I952">
        <v>2.734</v>
      </c>
      <c r="J952">
        <v>0.202</v>
      </c>
      <c r="K952">
        <v>6.511</v>
      </c>
      <c r="L952">
        <v>0.069</v>
      </c>
      <c r="M952">
        <v>2.903</v>
      </c>
      <c r="N952">
        <v>508.415</v>
      </c>
      <c r="O952">
        <v>479.786</v>
      </c>
      <c r="P952">
        <f t="shared" si="65"/>
        <v>2.70621835525949</v>
      </c>
      <c r="Q952">
        <f t="shared" si="65"/>
        <v>2.68104757124446</v>
      </c>
      <c r="R952">
        <v>87.834</v>
      </c>
      <c r="S952">
        <v>90.55</v>
      </c>
      <c r="T952">
        <v>93.35</v>
      </c>
      <c r="U952">
        <v>4.264</v>
      </c>
      <c r="V952">
        <v>48.674</v>
      </c>
      <c r="W952">
        <v>0.038</v>
      </c>
      <c r="X952" t="s">
        <v>86</v>
      </c>
      <c r="Y952" t="s">
        <v>31</v>
      </c>
      <c r="Z952" s="3">
        <f t="shared" si="62"/>
        <v>0.0251707840150304</v>
      </c>
      <c r="AA952">
        <f t="shared" si="63"/>
        <v>-0.133</v>
      </c>
      <c r="AB952">
        <f t="shared" si="64"/>
        <v>0.086</v>
      </c>
      <c r="AC952" t="s">
        <v>32</v>
      </c>
    </row>
    <row r="953" spans="1:29">
      <c r="A953" t="s">
        <v>75</v>
      </c>
      <c r="B953">
        <v>4125.875</v>
      </c>
      <c r="C953">
        <v>14.143</v>
      </c>
      <c r="D953">
        <v>80.629</v>
      </c>
      <c r="E953">
        <v>157.55</v>
      </c>
      <c r="F953">
        <v>0.02</v>
      </c>
      <c r="G953">
        <v>22.005</v>
      </c>
      <c r="H953">
        <v>1.193</v>
      </c>
      <c r="I953">
        <v>2.727</v>
      </c>
      <c r="J953">
        <v>0.162</v>
      </c>
      <c r="K953">
        <v>6.064</v>
      </c>
      <c r="L953">
        <v>0.034</v>
      </c>
      <c r="M953">
        <v>2.959</v>
      </c>
      <c r="N953">
        <v>510.057</v>
      </c>
      <c r="O953">
        <v>481.781</v>
      </c>
      <c r="P953">
        <f t="shared" si="65"/>
        <v>2.70761871218071</v>
      </c>
      <c r="Q953">
        <f t="shared" si="65"/>
        <v>2.68284966872612</v>
      </c>
      <c r="R953">
        <v>87.511</v>
      </c>
      <c r="S953">
        <v>90.217</v>
      </c>
      <c r="T953">
        <v>93.008</v>
      </c>
      <c r="U953">
        <v>3.645</v>
      </c>
      <c r="V953">
        <v>54.065</v>
      </c>
      <c r="W953">
        <v>0.033</v>
      </c>
      <c r="X953" t="s">
        <v>86</v>
      </c>
      <c r="Y953" t="s">
        <v>31</v>
      </c>
      <c r="Z953" s="3">
        <f t="shared" si="62"/>
        <v>0.0247690434545924</v>
      </c>
      <c r="AA953">
        <f t="shared" si="63"/>
        <v>-0.128</v>
      </c>
      <c r="AB953">
        <f t="shared" si="64"/>
        <v>0.054</v>
      </c>
      <c r="AC953" t="s">
        <v>32</v>
      </c>
    </row>
    <row r="954" spans="1:29">
      <c r="A954" t="s">
        <v>75</v>
      </c>
      <c r="B954">
        <v>4126</v>
      </c>
      <c r="C954">
        <v>14.757</v>
      </c>
      <c r="D954">
        <v>80.012</v>
      </c>
      <c r="E954">
        <v>158.218</v>
      </c>
      <c r="F954">
        <v>0.031</v>
      </c>
      <c r="G954">
        <v>22.008</v>
      </c>
      <c r="H954">
        <v>1.199</v>
      </c>
      <c r="I954">
        <v>2.723</v>
      </c>
      <c r="J954">
        <v>0.139</v>
      </c>
      <c r="K954">
        <v>5.753</v>
      </c>
      <c r="L954">
        <v>0.01</v>
      </c>
      <c r="M954">
        <v>2.982</v>
      </c>
      <c r="N954">
        <v>508.296</v>
      </c>
      <c r="O954">
        <v>480.524</v>
      </c>
      <c r="P954">
        <f t="shared" si="65"/>
        <v>2.70611669206595</v>
      </c>
      <c r="Q954">
        <f t="shared" si="65"/>
        <v>2.68171508359097</v>
      </c>
      <c r="R954">
        <v>86.64</v>
      </c>
      <c r="S954">
        <v>89.321</v>
      </c>
      <c r="T954">
        <v>92.083</v>
      </c>
      <c r="U954">
        <v>3.364</v>
      </c>
      <c r="V954">
        <v>60.971</v>
      </c>
      <c r="W954">
        <v>0.028</v>
      </c>
      <c r="X954" t="s">
        <v>86</v>
      </c>
      <c r="Y954" t="s">
        <v>31</v>
      </c>
      <c r="Z954" s="3">
        <f t="shared" si="62"/>
        <v>0.0244016084749763</v>
      </c>
      <c r="AA954">
        <f t="shared" si="63"/>
        <v>-0.129</v>
      </c>
      <c r="AB954">
        <f t="shared" si="64"/>
        <v>0.041</v>
      </c>
      <c r="AC954" t="s">
        <v>32</v>
      </c>
    </row>
    <row r="955" spans="1:29">
      <c r="A955" t="s">
        <v>75</v>
      </c>
      <c r="B955">
        <v>4126.125</v>
      </c>
      <c r="C955">
        <v>15.526</v>
      </c>
      <c r="D955">
        <v>80</v>
      </c>
      <c r="E955">
        <v>159.553</v>
      </c>
      <c r="F955">
        <v>0.054</v>
      </c>
      <c r="G955">
        <v>22.001</v>
      </c>
      <c r="H955">
        <v>1.202</v>
      </c>
      <c r="I955">
        <v>2.726</v>
      </c>
      <c r="J955">
        <v>0.156</v>
      </c>
      <c r="K955">
        <v>5.643</v>
      </c>
      <c r="L955">
        <v>0.001</v>
      </c>
      <c r="M955">
        <v>2.982</v>
      </c>
      <c r="N955">
        <v>504.878</v>
      </c>
      <c r="O955">
        <v>477.212</v>
      </c>
      <c r="P955">
        <f t="shared" si="65"/>
        <v>2.70318644677636</v>
      </c>
      <c r="Q955">
        <f t="shared" si="65"/>
        <v>2.67871135592927</v>
      </c>
      <c r="R955">
        <v>85.029</v>
      </c>
      <c r="S955">
        <v>87.659</v>
      </c>
      <c r="T955">
        <v>90.37</v>
      </c>
      <c r="U955">
        <v>2.97</v>
      </c>
      <c r="V955">
        <v>66.087</v>
      </c>
      <c r="W955">
        <v>0.023</v>
      </c>
      <c r="X955" t="s">
        <v>86</v>
      </c>
      <c r="Y955" t="s">
        <v>31</v>
      </c>
      <c r="Z955" s="3">
        <f t="shared" si="62"/>
        <v>0.0244750908470897</v>
      </c>
      <c r="AA955">
        <f t="shared" si="63"/>
        <v>-0.155</v>
      </c>
      <c r="AB955">
        <f t="shared" si="64"/>
        <v>0.055</v>
      </c>
      <c r="AC955" t="s">
        <v>32</v>
      </c>
    </row>
    <row r="956" spans="1:29">
      <c r="A956" t="s">
        <v>75</v>
      </c>
      <c r="B956">
        <v>4126.25</v>
      </c>
      <c r="C956">
        <v>16.399</v>
      </c>
      <c r="D956">
        <v>80</v>
      </c>
      <c r="E956">
        <v>161.485</v>
      </c>
      <c r="F956">
        <v>0.086</v>
      </c>
      <c r="G956">
        <v>21.981</v>
      </c>
      <c r="H956">
        <v>1.204</v>
      </c>
      <c r="I956">
        <v>2.735</v>
      </c>
      <c r="J956">
        <v>0.208</v>
      </c>
      <c r="K956">
        <v>5.626</v>
      </c>
      <c r="L956">
        <v>0</v>
      </c>
      <c r="M956">
        <v>2.959</v>
      </c>
      <c r="N956">
        <v>503.616</v>
      </c>
      <c r="O956">
        <v>475.217</v>
      </c>
      <c r="P956">
        <f t="shared" si="65"/>
        <v>2.7020995192939</v>
      </c>
      <c r="Q956">
        <f t="shared" si="65"/>
        <v>2.67689196832443</v>
      </c>
      <c r="R956">
        <v>83.045</v>
      </c>
      <c r="S956">
        <v>85.614</v>
      </c>
      <c r="T956">
        <v>88.262</v>
      </c>
      <c r="U956">
        <v>2.876</v>
      </c>
      <c r="V956">
        <v>70.975</v>
      </c>
      <c r="W956">
        <v>0.02</v>
      </c>
      <c r="X956" t="s">
        <v>86</v>
      </c>
      <c r="Y956" t="s">
        <v>31</v>
      </c>
      <c r="Z956" s="3">
        <f t="shared" si="62"/>
        <v>0.0252075509694736</v>
      </c>
      <c r="AA956">
        <f t="shared" si="63"/>
        <v>-0.208</v>
      </c>
      <c r="AB956">
        <f t="shared" si="64"/>
        <v>0.086</v>
      </c>
      <c r="AC956" t="s">
        <v>32</v>
      </c>
    </row>
    <row r="957" spans="1:29">
      <c r="A957" t="s">
        <v>75</v>
      </c>
      <c r="B957">
        <v>4126.375</v>
      </c>
      <c r="C957">
        <v>17.45</v>
      </c>
      <c r="D957">
        <v>80</v>
      </c>
      <c r="E957">
        <v>163.756</v>
      </c>
      <c r="F957">
        <v>0.125</v>
      </c>
      <c r="G957">
        <v>21.958</v>
      </c>
      <c r="H957">
        <v>1.2</v>
      </c>
      <c r="I957">
        <v>2.744</v>
      </c>
      <c r="J957">
        <v>0.26</v>
      </c>
      <c r="K957">
        <v>5.681</v>
      </c>
      <c r="L957">
        <v>0.004</v>
      </c>
      <c r="M957">
        <v>2.898</v>
      </c>
      <c r="N957">
        <v>505.95</v>
      </c>
      <c r="O957">
        <v>476.069</v>
      </c>
      <c r="P957">
        <f t="shared" ref="P957:Q972" si="66">LOG(N957)</f>
        <v>2.70410760024488</v>
      </c>
      <c r="Q957">
        <f t="shared" si="66"/>
        <v>2.67766990261027</v>
      </c>
      <c r="R957">
        <v>81.355</v>
      </c>
      <c r="S957">
        <v>83.871</v>
      </c>
      <c r="T957">
        <v>86.466</v>
      </c>
      <c r="U957">
        <v>2.736</v>
      </c>
      <c r="V957">
        <v>74.198</v>
      </c>
      <c r="W957">
        <v>0.018</v>
      </c>
      <c r="X957" t="s">
        <v>86</v>
      </c>
      <c r="Y957" t="s">
        <v>31</v>
      </c>
      <c r="Z957" s="3">
        <f t="shared" si="62"/>
        <v>0.026437697634615</v>
      </c>
      <c r="AA957">
        <f t="shared" si="63"/>
        <v>-0.256</v>
      </c>
      <c r="AB957">
        <f t="shared" si="64"/>
        <v>0.129</v>
      </c>
      <c r="AC957" t="s">
        <v>32</v>
      </c>
    </row>
    <row r="958" spans="1:29">
      <c r="A958" t="s">
        <v>75</v>
      </c>
      <c r="B958">
        <v>4126.5</v>
      </c>
      <c r="C958">
        <v>18.207</v>
      </c>
      <c r="D958">
        <v>79.79</v>
      </c>
      <c r="E958">
        <v>165.844</v>
      </c>
      <c r="F958">
        <v>0.16</v>
      </c>
      <c r="G958">
        <v>21.944</v>
      </c>
      <c r="H958">
        <v>1.197</v>
      </c>
      <c r="I958">
        <v>2.746</v>
      </c>
      <c r="J958">
        <v>0.272</v>
      </c>
      <c r="K958">
        <v>5.788</v>
      </c>
      <c r="L958">
        <v>0.013</v>
      </c>
      <c r="M958">
        <v>2.895</v>
      </c>
      <c r="N958">
        <v>508.976</v>
      </c>
      <c r="O958">
        <v>477.719</v>
      </c>
      <c r="P958">
        <f t="shared" si="66"/>
        <v>2.70669730431455</v>
      </c>
      <c r="Q958">
        <f t="shared" si="66"/>
        <v>2.67917251453238</v>
      </c>
      <c r="R958">
        <v>80.155</v>
      </c>
      <c r="S958">
        <v>82.634</v>
      </c>
      <c r="T958">
        <v>85.19</v>
      </c>
      <c r="U958">
        <v>2.673</v>
      </c>
      <c r="V958">
        <v>76.411</v>
      </c>
      <c r="W958">
        <v>0.019</v>
      </c>
      <c r="X958" t="s">
        <v>86</v>
      </c>
      <c r="Y958" t="s">
        <v>31</v>
      </c>
      <c r="Z958" s="3">
        <f t="shared" si="62"/>
        <v>0.0275247897821673</v>
      </c>
      <c r="AA958">
        <f t="shared" si="63"/>
        <v>-0.259</v>
      </c>
      <c r="AB958">
        <f t="shared" si="64"/>
        <v>0.173</v>
      </c>
      <c r="AC958" t="s">
        <v>32</v>
      </c>
    </row>
    <row r="959" spans="1:29">
      <c r="A959" t="s">
        <v>75</v>
      </c>
      <c r="B959">
        <v>4126.625</v>
      </c>
      <c r="C959">
        <v>17.897</v>
      </c>
      <c r="D959">
        <v>79.174</v>
      </c>
      <c r="E959">
        <v>167.697</v>
      </c>
      <c r="F959">
        <v>0.191</v>
      </c>
      <c r="G959">
        <v>21.943</v>
      </c>
      <c r="H959">
        <v>1.195</v>
      </c>
      <c r="I959">
        <v>2.742</v>
      </c>
      <c r="J959">
        <v>0.249</v>
      </c>
      <c r="K959">
        <v>5.905</v>
      </c>
      <c r="L959">
        <v>0.022</v>
      </c>
      <c r="M959">
        <v>2.869</v>
      </c>
      <c r="N959">
        <v>508.299</v>
      </c>
      <c r="O959">
        <v>476.502</v>
      </c>
      <c r="P959">
        <f t="shared" si="66"/>
        <v>2.70611925529604</v>
      </c>
      <c r="Q959">
        <f t="shared" si="66"/>
        <v>2.67806472782249</v>
      </c>
      <c r="R959">
        <v>79.194</v>
      </c>
      <c r="S959">
        <v>81.643</v>
      </c>
      <c r="T959">
        <v>84.168</v>
      </c>
      <c r="U959">
        <v>2.692</v>
      </c>
      <c r="V959">
        <v>73.934</v>
      </c>
      <c r="W959">
        <v>0.019</v>
      </c>
      <c r="X959" t="s">
        <v>86</v>
      </c>
      <c r="Y959" t="s">
        <v>31</v>
      </c>
      <c r="Z959" s="3">
        <f t="shared" si="62"/>
        <v>0.0280545274735462</v>
      </c>
      <c r="AA959">
        <f t="shared" si="63"/>
        <v>-0.227</v>
      </c>
      <c r="AB959">
        <f t="shared" si="64"/>
        <v>0.213</v>
      </c>
      <c r="AC959" t="s">
        <v>32</v>
      </c>
    </row>
    <row r="960" spans="1:29">
      <c r="A960" t="s">
        <v>75</v>
      </c>
      <c r="B960">
        <v>4126.75</v>
      </c>
      <c r="C960">
        <v>16.37</v>
      </c>
      <c r="D960">
        <v>79.167</v>
      </c>
      <c r="E960">
        <v>169.504</v>
      </c>
      <c r="F960">
        <v>0.222</v>
      </c>
      <c r="G960">
        <v>21.947</v>
      </c>
      <c r="H960">
        <v>1.194</v>
      </c>
      <c r="I960">
        <v>2.729</v>
      </c>
      <c r="J960">
        <v>0.173</v>
      </c>
      <c r="K960">
        <v>5.991</v>
      </c>
      <c r="L960">
        <v>0.029</v>
      </c>
      <c r="M960">
        <v>2.797</v>
      </c>
      <c r="N960">
        <v>502.953</v>
      </c>
      <c r="O960">
        <v>471.424</v>
      </c>
      <c r="P960">
        <f t="shared" si="66"/>
        <v>2.70152740295982</v>
      </c>
      <c r="Q960">
        <f t="shared" si="66"/>
        <v>2.67341168850278</v>
      </c>
      <c r="R960">
        <v>78.877</v>
      </c>
      <c r="S960">
        <v>81.317</v>
      </c>
      <c r="T960">
        <v>83.832</v>
      </c>
      <c r="U960">
        <v>3.219</v>
      </c>
      <c r="V960">
        <v>67.314</v>
      </c>
      <c r="W960">
        <v>0.019</v>
      </c>
      <c r="X960" t="s">
        <v>86</v>
      </c>
      <c r="Y960" t="s">
        <v>31</v>
      </c>
      <c r="Z960" s="3">
        <f t="shared" si="62"/>
        <v>0.0281157144570359</v>
      </c>
      <c r="AA960">
        <f t="shared" si="63"/>
        <v>-0.144</v>
      </c>
      <c r="AB960">
        <f t="shared" si="64"/>
        <v>0.251</v>
      </c>
      <c r="AC960" t="s">
        <v>32</v>
      </c>
    </row>
    <row r="961" spans="1:29">
      <c r="A961" t="s">
        <v>75</v>
      </c>
      <c r="B961">
        <v>4126.875</v>
      </c>
      <c r="C961">
        <v>14.777</v>
      </c>
      <c r="D961">
        <v>79.167</v>
      </c>
      <c r="E961">
        <v>171.053</v>
      </c>
      <c r="F961">
        <v>0.248</v>
      </c>
      <c r="G961">
        <v>21.95</v>
      </c>
      <c r="H961">
        <v>1.197</v>
      </c>
      <c r="I961">
        <v>2.717</v>
      </c>
      <c r="J961">
        <v>0.104</v>
      </c>
      <c r="K961">
        <v>6.14</v>
      </c>
      <c r="L961">
        <v>0.04</v>
      </c>
      <c r="M961">
        <v>2.741</v>
      </c>
      <c r="N961">
        <v>499.426</v>
      </c>
      <c r="O961">
        <v>467.796</v>
      </c>
      <c r="P961">
        <f t="shared" si="66"/>
        <v>2.69847114787236</v>
      </c>
      <c r="Q961">
        <f t="shared" si="66"/>
        <v>2.67005650395164</v>
      </c>
      <c r="R961">
        <v>78.398</v>
      </c>
      <c r="S961">
        <v>80.822</v>
      </c>
      <c r="T961">
        <v>83.322</v>
      </c>
      <c r="U961">
        <v>3.797</v>
      </c>
      <c r="V961">
        <v>57.723</v>
      </c>
      <c r="W961">
        <v>0.021</v>
      </c>
      <c r="X961" t="s">
        <v>86</v>
      </c>
      <c r="Y961" t="s">
        <v>31</v>
      </c>
      <c r="Z961" s="3">
        <f t="shared" si="62"/>
        <v>0.0284146439207245</v>
      </c>
      <c r="AA961">
        <f t="shared" si="63"/>
        <v>-0.064</v>
      </c>
      <c r="AB961">
        <f t="shared" si="64"/>
        <v>0.288</v>
      </c>
      <c r="AC961" t="s">
        <v>32</v>
      </c>
    </row>
    <row r="962" spans="1:29">
      <c r="A962" t="s">
        <v>75</v>
      </c>
      <c r="B962">
        <v>4127</v>
      </c>
      <c r="C962">
        <v>14.097</v>
      </c>
      <c r="D962">
        <v>79.167</v>
      </c>
      <c r="E962">
        <v>171.936</v>
      </c>
      <c r="F962">
        <v>0.263</v>
      </c>
      <c r="G962">
        <v>21.946</v>
      </c>
      <c r="H962">
        <v>1.199</v>
      </c>
      <c r="I962">
        <v>2.709</v>
      </c>
      <c r="J962">
        <v>0.058</v>
      </c>
      <c r="K962">
        <v>6.492</v>
      </c>
      <c r="L962">
        <v>0.068</v>
      </c>
      <c r="M962">
        <v>2.788</v>
      </c>
      <c r="N962">
        <v>507.475</v>
      </c>
      <c r="O962">
        <v>473.936</v>
      </c>
      <c r="P962">
        <f t="shared" si="66"/>
        <v>2.70541465224145</v>
      </c>
      <c r="Q962">
        <f t="shared" si="66"/>
        <v>2.6757196987976</v>
      </c>
      <c r="R962">
        <v>77.586</v>
      </c>
      <c r="S962">
        <v>79.985</v>
      </c>
      <c r="T962">
        <v>82.459</v>
      </c>
      <c r="U962">
        <v>4.342</v>
      </c>
      <c r="V962">
        <v>50.158</v>
      </c>
      <c r="W962">
        <v>0.023</v>
      </c>
      <c r="X962" t="s">
        <v>86</v>
      </c>
      <c r="Y962" t="s">
        <v>31</v>
      </c>
      <c r="Z962" s="3">
        <f t="shared" si="62"/>
        <v>0.0296949534438542</v>
      </c>
      <c r="AA962">
        <f t="shared" si="63"/>
        <v>0.01</v>
      </c>
      <c r="AB962">
        <f t="shared" si="64"/>
        <v>0.331</v>
      </c>
      <c r="AC962" t="s">
        <v>32</v>
      </c>
    </row>
    <row r="963" spans="1:29">
      <c r="A963" t="s">
        <v>87</v>
      </c>
      <c r="B963">
        <v>3754</v>
      </c>
      <c r="C963">
        <v>21.954</v>
      </c>
      <c r="D963">
        <v>38.571</v>
      </c>
      <c r="E963">
        <v>170.178</v>
      </c>
      <c r="F963">
        <v>0.09</v>
      </c>
      <c r="G963">
        <v>22.076</v>
      </c>
      <c r="H963">
        <v>1.906</v>
      </c>
      <c r="I963">
        <v>2.673</v>
      </c>
      <c r="J963">
        <v>0.336</v>
      </c>
      <c r="K963">
        <v>9.572</v>
      </c>
      <c r="L963">
        <v>0.462</v>
      </c>
      <c r="M963">
        <v>3.374</v>
      </c>
      <c r="N963">
        <v>97.935</v>
      </c>
      <c r="O963">
        <v>94.996</v>
      </c>
      <c r="P963">
        <f t="shared" si="66"/>
        <v>1.99093792766014</v>
      </c>
      <c r="Q963">
        <f t="shared" si="66"/>
        <v>1.97770531882042</v>
      </c>
      <c r="R963">
        <v>71.341</v>
      </c>
      <c r="S963">
        <v>72.516</v>
      </c>
      <c r="T963">
        <v>73.691</v>
      </c>
      <c r="U963">
        <v>4.493</v>
      </c>
      <c r="V963">
        <v>56.408</v>
      </c>
      <c r="W963">
        <v>0.253</v>
      </c>
      <c r="X963" t="s">
        <v>86</v>
      </c>
      <c r="Y963" t="s">
        <v>31</v>
      </c>
      <c r="Z963" s="3">
        <f t="shared" si="62"/>
        <v>0.0132326088397263</v>
      </c>
      <c r="AA963">
        <f t="shared" si="63"/>
        <v>0.126</v>
      </c>
      <c r="AB963">
        <f t="shared" si="64"/>
        <v>0.552</v>
      </c>
      <c r="AC963" t="s">
        <v>32</v>
      </c>
    </row>
    <row r="964" spans="1:29">
      <c r="A964" t="s">
        <v>87</v>
      </c>
      <c r="B964">
        <v>3754.125</v>
      </c>
      <c r="C964">
        <v>20.819</v>
      </c>
      <c r="D964">
        <v>38.85</v>
      </c>
      <c r="E964">
        <v>168.435</v>
      </c>
      <c r="F964">
        <v>0.068</v>
      </c>
      <c r="G964">
        <v>22.141</v>
      </c>
      <c r="H964">
        <v>1.666</v>
      </c>
      <c r="I964">
        <v>2.684</v>
      </c>
      <c r="J964">
        <v>0.371</v>
      </c>
      <c r="K964">
        <v>9.564</v>
      </c>
      <c r="L964">
        <v>0.462</v>
      </c>
      <c r="M964">
        <v>3.351</v>
      </c>
      <c r="N964">
        <v>86.403</v>
      </c>
      <c r="O964">
        <v>83.811</v>
      </c>
      <c r="P964">
        <f t="shared" si="66"/>
        <v>1.93652882188661</v>
      </c>
      <c r="Q964">
        <f t="shared" si="66"/>
        <v>1.92330102251794</v>
      </c>
      <c r="R964">
        <v>75.07</v>
      </c>
      <c r="S964">
        <v>76.107</v>
      </c>
      <c r="T964">
        <v>77.143</v>
      </c>
      <c r="U964">
        <v>4.288</v>
      </c>
      <c r="V964">
        <v>59.932</v>
      </c>
      <c r="W964">
        <v>0.206</v>
      </c>
      <c r="X964" t="s">
        <v>86</v>
      </c>
      <c r="Y964" t="s">
        <v>31</v>
      </c>
      <c r="Z964" s="3">
        <f t="shared" si="62"/>
        <v>0.0132277993686676</v>
      </c>
      <c r="AA964">
        <f t="shared" si="63"/>
        <v>0.091</v>
      </c>
      <c r="AB964">
        <f t="shared" si="64"/>
        <v>0.53</v>
      </c>
      <c r="AC964" t="s">
        <v>32</v>
      </c>
    </row>
    <row r="965" spans="1:29">
      <c r="A965" t="s">
        <v>87</v>
      </c>
      <c r="B965">
        <v>3754.25</v>
      </c>
      <c r="C965">
        <v>20.806</v>
      </c>
      <c r="D965">
        <v>39.138</v>
      </c>
      <c r="E965">
        <v>168.201</v>
      </c>
      <c r="F965">
        <v>0.065</v>
      </c>
      <c r="G965">
        <v>22.258</v>
      </c>
      <c r="H965">
        <v>1.503</v>
      </c>
      <c r="I965">
        <v>2.698</v>
      </c>
      <c r="J965">
        <v>0.414</v>
      </c>
      <c r="K965">
        <v>9.889</v>
      </c>
      <c r="L965">
        <v>0.478</v>
      </c>
      <c r="M965">
        <v>3.236</v>
      </c>
      <c r="N965">
        <v>76.471</v>
      </c>
      <c r="O965">
        <v>74.177</v>
      </c>
      <c r="P965">
        <f t="shared" si="66"/>
        <v>1.88349676943102</v>
      </c>
      <c r="Q965">
        <f t="shared" si="66"/>
        <v>1.87026926482715</v>
      </c>
      <c r="R965">
        <v>77.574</v>
      </c>
      <c r="S965">
        <v>78.492</v>
      </c>
      <c r="T965">
        <v>79.41</v>
      </c>
      <c r="U965">
        <v>4.09</v>
      </c>
      <c r="V965">
        <v>64.472</v>
      </c>
      <c r="W965">
        <v>0.167</v>
      </c>
      <c r="X965" t="s">
        <v>86</v>
      </c>
      <c r="Y965" t="s">
        <v>31</v>
      </c>
      <c r="Z965" s="3">
        <f t="shared" si="62"/>
        <v>0.0132275046038615</v>
      </c>
      <c r="AA965">
        <f t="shared" si="63"/>
        <v>0.064</v>
      </c>
      <c r="AB965">
        <f t="shared" si="64"/>
        <v>0.543</v>
      </c>
      <c r="AC965" t="s">
        <v>32</v>
      </c>
    </row>
    <row r="966" spans="1:29">
      <c r="A966" t="s">
        <v>87</v>
      </c>
      <c r="B966">
        <v>3754.375</v>
      </c>
      <c r="C966">
        <v>20.463</v>
      </c>
      <c r="D966">
        <v>39.421</v>
      </c>
      <c r="E966">
        <v>168.58</v>
      </c>
      <c r="F966">
        <v>0.07</v>
      </c>
      <c r="G966">
        <v>22.319</v>
      </c>
      <c r="H966">
        <v>1.389</v>
      </c>
      <c r="I966">
        <v>2.71</v>
      </c>
      <c r="J966">
        <v>0.452</v>
      </c>
      <c r="K966">
        <v>10.332</v>
      </c>
      <c r="L966">
        <v>0.501</v>
      </c>
      <c r="M966">
        <v>3.045</v>
      </c>
      <c r="N966">
        <v>69.728</v>
      </c>
      <c r="O966">
        <v>67.637</v>
      </c>
      <c r="P966">
        <f t="shared" si="66"/>
        <v>1.84340720856616</v>
      </c>
      <c r="Q966">
        <f t="shared" si="66"/>
        <v>1.83018433647243</v>
      </c>
      <c r="R966">
        <v>78.253</v>
      </c>
      <c r="S966">
        <v>79.09</v>
      </c>
      <c r="T966">
        <v>79.926</v>
      </c>
      <c r="U966">
        <v>3.974</v>
      </c>
      <c r="V966">
        <v>67.869</v>
      </c>
      <c r="W966">
        <v>0.147</v>
      </c>
      <c r="X966" t="s">
        <v>86</v>
      </c>
      <c r="Y966" t="s">
        <v>31</v>
      </c>
      <c r="Z966" s="3">
        <f t="shared" si="62"/>
        <v>0.0132228720937335</v>
      </c>
      <c r="AA966">
        <f t="shared" si="63"/>
        <v>0.049</v>
      </c>
      <c r="AB966">
        <f t="shared" si="64"/>
        <v>0.571</v>
      </c>
      <c r="AC966" t="s">
        <v>32</v>
      </c>
    </row>
    <row r="967" spans="1:29">
      <c r="A967" t="s">
        <v>87</v>
      </c>
      <c r="B967">
        <v>3754.5</v>
      </c>
      <c r="C967">
        <v>20.593</v>
      </c>
      <c r="D967">
        <v>39.688</v>
      </c>
      <c r="E967">
        <v>169.075</v>
      </c>
      <c r="F967">
        <v>0.076</v>
      </c>
      <c r="G967">
        <v>22.357</v>
      </c>
      <c r="H967">
        <v>1.359</v>
      </c>
      <c r="I967">
        <v>2.72</v>
      </c>
      <c r="J967">
        <v>0.483</v>
      </c>
      <c r="K967">
        <v>10.764</v>
      </c>
      <c r="L967">
        <v>0.523</v>
      </c>
      <c r="M967">
        <v>2.848</v>
      </c>
      <c r="N967">
        <v>65.739</v>
      </c>
      <c r="O967">
        <v>63.767</v>
      </c>
      <c r="P967">
        <f t="shared" si="66"/>
        <v>1.81782309345134</v>
      </c>
      <c r="Q967">
        <f t="shared" si="66"/>
        <v>1.804595985529</v>
      </c>
      <c r="R967">
        <v>76.899</v>
      </c>
      <c r="S967">
        <v>77.688</v>
      </c>
      <c r="T967">
        <v>78.477</v>
      </c>
      <c r="U967">
        <v>3.89</v>
      </c>
      <c r="V967">
        <v>71.365</v>
      </c>
      <c r="W967">
        <v>0.134</v>
      </c>
      <c r="X967" t="s">
        <v>86</v>
      </c>
      <c r="Y967" t="s">
        <v>31</v>
      </c>
      <c r="Z967" s="3">
        <f t="shared" si="62"/>
        <v>0.0132271079223427</v>
      </c>
      <c r="AA967">
        <f t="shared" si="63"/>
        <v>0.04</v>
      </c>
      <c r="AB967">
        <f t="shared" si="64"/>
        <v>0.599</v>
      </c>
      <c r="AC967" t="s">
        <v>32</v>
      </c>
    </row>
    <row r="968" spans="1:29">
      <c r="A968" t="s">
        <v>87</v>
      </c>
      <c r="B968">
        <v>3754.625</v>
      </c>
      <c r="C968">
        <v>20.854</v>
      </c>
      <c r="D968">
        <v>39.93</v>
      </c>
      <c r="E968">
        <v>169.587</v>
      </c>
      <c r="F968">
        <v>0.083</v>
      </c>
      <c r="G968">
        <v>22.385</v>
      </c>
      <c r="H968">
        <v>1.19</v>
      </c>
      <c r="I968">
        <v>2.729</v>
      </c>
      <c r="J968">
        <v>0.511</v>
      </c>
      <c r="K968">
        <v>11.105</v>
      </c>
      <c r="L968">
        <v>0.541</v>
      </c>
      <c r="M968">
        <v>2.753</v>
      </c>
      <c r="N968">
        <v>64.759</v>
      </c>
      <c r="O968">
        <v>62.816</v>
      </c>
      <c r="P968">
        <f t="shared" si="66"/>
        <v>1.81130013381458</v>
      </c>
      <c r="Q968">
        <f t="shared" si="66"/>
        <v>1.79807027791991</v>
      </c>
      <c r="R968">
        <v>73.962</v>
      </c>
      <c r="S968">
        <v>74.739</v>
      </c>
      <c r="T968">
        <v>75.517</v>
      </c>
      <c r="U968">
        <v>3.795</v>
      </c>
      <c r="V968">
        <v>76.335</v>
      </c>
      <c r="W968">
        <v>0.12</v>
      </c>
      <c r="X968" t="s">
        <v>86</v>
      </c>
      <c r="Y968" t="s">
        <v>31</v>
      </c>
      <c r="Z968" s="3">
        <f t="shared" si="62"/>
        <v>0.0132298558946691</v>
      </c>
      <c r="AA968">
        <f t="shared" si="63"/>
        <v>0.03</v>
      </c>
      <c r="AB968">
        <f t="shared" si="64"/>
        <v>0.624</v>
      </c>
      <c r="AC968" t="s">
        <v>32</v>
      </c>
    </row>
    <row r="969" spans="1:29">
      <c r="A969" t="s">
        <v>87</v>
      </c>
      <c r="B969">
        <v>3754.75</v>
      </c>
      <c r="C969">
        <v>20.971</v>
      </c>
      <c r="D969">
        <v>40.15</v>
      </c>
      <c r="E969">
        <v>170.377</v>
      </c>
      <c r="F969">
        <v>0.093</v>
      </c>
      <c r="G969">
        <v>22.405</v>
      </c>
      <c r="H969">
        <v>0.878</v>
      </c>
      <c r="I969">
        <v>2.737</v>
      </c>
      <c r="J969">
        <v>0.536</v>
      </c>
      <c r="K969">
        <v>11.487</v>
      </c>
      <c r="L969">
        <v>0.561</v>
      </c>
      <c r="M969">
        <v>2.818</v>
      </c>
      <c r="N969">
        <v>65.326</v>
      </c>
      <c r="O969">
        <v>63.366</v>
      </c>
      <c r="P969">
        <f t="shared" si="66"/>
        <v>1.81508606656098</v>
      </c>
      <c r="Q969">
        <f t="shared" si="66"/>
        <v>1.80185629300568</v>
      </c>
      <c r="R969">
        <v>71.308</v>
      </c>
      <c r="S969">
        <v>72.092</v>
      </c>
      <c r="T969">
        <v>72.876</v>
      </c>
      <c r="U969">
        <v>3.725</v>
      </c>
      <c r="V969">
        <v>80.606</v>
      </c>
      <c r="W969">
        <v>0.111</v>
      </c>
      <c r="X969" t="s">
        <v>86</v>
      </c>
      <c r="Y969" t="s">
        <v>31</v>
      </c>
      <c r="Z969" s="3">
        <f t="shared" si="62"/>
        <v>0.0132297735553024</v>
      </c>
      <c r="AA969">
        <f t="shared" si="63"/>
        <v>0.025</v>
      </c>
      <c r="AB969">
        <f t="shared" si="64"/>
        <v>0.654</v>
      </c>
      <c r="AC969" t="s">
        <v>32</v>
      </c>
    </row>
    <row r="970" spans="1:29">
      <c r="A970" t="s">
        <v>87</v>
      </c>
      <c r="B970">
        <v>3754.875</v>
      </c>
      <c r="C970">
        <v>20.781</v>
      </c>
      <c r="D970">
        <v>40.354</v>
      </c>
      <c r="E970">
        <v>171.491</v>
      </c>
      <c r="F970">
        <v>0.107</v>
      </c>
      <c r="G970">
        <v>22.436</v>
      </c>
      <c r="H970">
        <v>0.606</v>
      </c>
      <c r="I970">
        <v>2.747</v>
      </c>
      <c r="J970">
        <v>0.567</v>
      </c>
      <c r="K970">
        <v>12.047</v>
      </c>
      <c r="L970">
        <v>0.589</v>
      </c>
      <c r="M970">
        <v>2.966</v>
      </c>
      <c r="N970">
        <v>66.155</v>
      </c>
      <c r="O970">
        <v>64.17</v>
      </c>
      <c r="P970">
        <f t="shared" si="66"/>
        <v>1.82056267377443</v>
      </c>
      <c r="Q970">
        <f t="shared" si="66"/>
        <v>1.80733203929119</v>
      </c>
      <c r="R970">
        <v>70.293</v>
      </c>
      <c r="S970">
        <v>71.087</v>
      </c>
      <c r="T970">
        <v>71.881</v>
      </c>
      <c r="U970">
        <v>3.698</v>
      </c>
      <c r="V970">
        <v>82.354</v>
      </c>
      <c r="W970">
        <v>0.107</v>
      </c>
      <c r="X970" t="s">
        <v>86</v>
      </c>
      <c r="Y970" t="s">
        <v>31</v>
      </c>
      <c r="Z970" s="3">
        <f t="shared" si="62"/>
        <v>0.0132306344832351</v>
      </c>
      <c r="AA970">
        <f t="shared" si="63"/>
        <v>0.022</v>
      </c>
      <c r="AB970">
        <f t="shared" si="64"/>
        <v>0.696</v>
      </c>
      <c r="AC970" t="s">
        <v>32</v>
      </c>
    </row>
    <row r="971" spans="1:29">
      <c r="A971" t="s">
        <v>87</v>
      </c>
      <c r="B971">
        <v>3755</v>
      </c>
      <c r="C971">
        <v>20.794</v>
      </c>
      <c r="D971">
        <v>40.545</v>
      </c>
      <c r="E971">
        <v>172.564</v>
      </c>
      <c r="F971">
        <v>0.12</v>
      </c>
      <c r="G971">
        <v>22.549</v>
      </c>
      <c r="H971">
        <v>0.43</v>
      </c>
      <c r="I971">
        <v>2.755</v>
      </c>
      <c r="J971">
        <v>0.592</v>
      </c>
      <c r="K971">
        <v>12.864</v>
      </c>
      <c r="L971">
        <v>0.631</v>
      </c>
      <c r="M971">
        <v>3.001</v>
      </c>
      <c r="N971">
        <v>66.669</v>
      </c>
      <c r="O971">
        <v>64.669</v>
      </c>
      <c r="P971">
        <f t="shared" si="66"/>
        <v>1.82392394098519</v>
      </c>
      <c r="Q971">
        <f t="shared" si="66"/>
        <v>1.81069614534731</v>
      </c>
      <c r="R971">
        <v>71.719</v>
      </c>
      <c r="S971">
        <v>72.519</v>
      </c>
      <c r="T971">
        <v>73.319</v>
      </c>
      <c r="U971">
        <v>3.747</v>
      </c>
      <c r="V971">
        <v>79.439</v>
      </c>
      <c r="W971">
        <v>0.114</v>
      </c>
      <c r="X971" t="s">
        <v>86</v>
      </c>
      <c r="Y971" t="s">
        <v>31</v>
      </c>
      <c r="Z971" s="3">
        <f t="shared" si="62"/>
        <v>0.0132277956378795</v>
      </c>
      <c r="AA971">
        <f t="shared" si="63"/>
        <v>0.039</v>
      </c>
      <c r="AB971">
        <f t="shared" si="64"/>
        <v>0.751</v>
      </c>
      <c r="AC971" t="s">
        <v>32</v>
      </c>
    </row>
    <row r="972" spans="1:29">
      <c r="A972" t="s">
        <v>87</v>
      </c>
      <c r="B972">
        <v>3755.125</v>
      </c>
      <c r="C972">
        <v>20.642</v>
      </c>
      <c r="D972">
        <v>40.721</v>
      </c>
      <c r="E972">
        <v>173.197</v>
      </c>
      <c r="F972">
        <v>0.128</v>
      </c>
      <c r="G972">
        <v>22.775</v>
      </c>
      <c r="H972">
        <v>0.439</v>
      </c>
      <c r="I972">
        <v>2.757</v>
      </c>
      <c r="J972">
        <v>0.598</v>
      </c>
      <c r="K972">
        <v>13.696</v>
      </c>
      <c r="L972">
        <v>0.674</v>
      </c>
      <c r="M972">
        <v>2.884</v>
      </c>
      <c r="N972">
        <v>67.667</v>
      </c>
      <c r="O972">
        <v>65.637</v>
      </c>
      <c r="P972">
        <f t="shared" si="66"/>
        <v>1.83037692256997</v>
      </c>
      <c r="Q972">
        <f t="shared" si="66"/>
        <v>1.81714872300232</v>
      </c>
      <c r="R972">
        <v>76.468</v>
      </c>
      <c r="S972">
        <v>77.28</v>
      </c>
      <c r="T972">
        <v>78.092</v>
      </c>
      <c r="U972">
        <v>3.716</v>
      </c>
      <c r="V972">
        <v>78.253</v>
      </c>
      <c r="W972">
        <v>0.11</v>
      </c>
      <c r="X972" t="s">
        <v>86</v>
      </c>
      <c r="Y972" t="s">
        <v>31</v>
      </c>
      <c r="Z972" s="3">
        <f t="shared" si="62"/>
        <v>0.0132281995676422</v>
      </c>
      <c r="AA972">
        <f t="shared" si="63"/>
        <v>0.0760000000000001</v>
      </c>
      <c r="AB972">
        <f t="shared" si="64"/>
        <v>0.802</v>
      </c>
      <c r="AC972" t="s">
        <v>32</v>
      </c>
    </row>
    <row r="973" spans="1:29">
      <c r="A973" t="s">
        <v>87</v>
      </c>
      <c r="B973">
        <v>3755.25</v>
      </c>
      <c r="C973">
        <v>20.194</v>
      </c>
      <c r="D973">
        <v>40.884</v>
      </c>
      <c r="E973">
        <v>173.572</v>
      </c>
      <c r="F973">
        <v>0.133</v>
      </c>
      <c r="G973">
        <v>22.955</v>
      </c>
      <c r="H973">
        <v>0.431</v>
      </c>
      <c r="I973">
        <v>2.75</v>
      </c>
      <c r="J973">
        <v>0.576</v>
      </c>
      <c r="K973">
        <v>14.282</v>
      </c>
      <c r="L973">
        <v>0.704</v>
      </c>
      <c r="M973">
        <v>2.73</v>
      </c>
      <c r="N973">
        <v>68.788</v>
      </c>
      <c r="O973">
        <v>66.725</v>
      </c>
      <c r="P973">
        <f t="shared" ref="P973:Q1079" si="67">LOG(N973)</f>
        <v>1.83751268259118</v>
      </c>
      <c r="Q973">
        <f t="shared" si="67"/>
        <v>1.82428858245955</v>
      </c>
      <c r="R973">
        <v>83.763</v>
      </c>
      <c r="S973">
        <v>84.589</v>
      </c>
      <c r="T973">
        <v>85.414</v>
      </c>
      <c r="U973">
        <v>3.874</v>
      </c>
      <c r="V973">
        <v>68.928</v>
      </c>
      <c r="W973">
        <v>0.132</v>
      </c>
      <c r="X973" t="s">
        <v>86</v>
      </c>
      <c r="Y973" t="s">
        <v>31</v>
      </c>
      <c r="Z973" s="3">
        <f t="shared" si="62"/>
        <v>0.013224100131636</v>
      </c>
      <c r="AA973">
        <f t="shared" si="63"/>
        <v>0.128</v>
      </c>
      <c r="AB973">
        <f t="shared" si="64"/>
        <v>0.837</v>
      </c>
      <c r="AC973" t="s">
        <v>32</v>
      </c>
    </row>
    <row r="974" spans="1:29">
      <c r="A974" t="s">
        <v>87</v>
      </c>
      <c r="B974">
        <v>3755.375</v>
      </c>
      <c r="C974">
        <v>20.763</v>
      </c>
      <c r="D974">
        <v>41.029</v>
      </c>
      <c r="E974">
        <v>173.897</v>
      </c>
      <c r="F974">
        <v>0.137</v>
      </c>
      <c r="G974">
        <v>22.99</v>
      </c>
      <c r="H974">
        <v>0.48</v>
      </c>
      <c r="I974">
        <v>2.737</v>
      </c>
      <c r="J974">
        <v>0.536</v>
      </c>
      <c r="K974">
        <v>14.516</v>
      </c>
      <c r="L974">
        <v>0.716</v>
      </c>
      <c r="M974">
        <v>2.642</v>
      </c>
      <c r="N974">
        <v>69.803</v>
      </c>
      <c r="O974">
        <v>67.709</v>
      </c>
      <c r="P974">
        <f t="shared" si="67"/>
        <v>1.84387408817399</v>
      </c>
      <c r="Q974">
        <f t="shared" si="67"/>
        <v>1.83064639971252</v>
      </c>
      <c r="R974">
        <v>89.914</v>
      </c>
      <c r="S974">
        <v>90.751</v>
      </c>
      <c r="T974">
        <v>91.589</v>
      </c>
      <c r="U974">
        <v>4.144</v>
      </c>
      <c r="V974">
        <v>58.58</v>
      </c>
      <c r="W974">
        <v>0.177</v>
      </c>
      <c r="X974" t="s">
        <v>86</v>
      </c>
      <c r="Y974" t="s">
        <v>31</v>
      </c>
      <c r="Z974" s="3">
        <f t="shared" si="62"/>
        <v>0.0132276884614673</v>
      </c>
      <c r="AA974">
        <f t="shared" si="63"/>
        <v>0.18</v>
      </c>
      <c r="AB974">
        <f t="shared" si="64"/>
        <v>0.853</v>
      </c>
      <c r="AC974" t="s">
        <v>32</v>
      </c>
    </row>
    <row r="975" spans="1:29">
      <c r="A975" t="s">
        <v>87</v>
      </c>
      <c r="B975">
        <v>3755.5</v>
      </c>
      <c r="C975">
        <v>21.552</v>
      </c>
      <c r="D975">
        <v>41.155</v>
      </c>
      <c r="E975">
        <v>174.243</v>
      </c>
      <c r="F975">
        <v>0.142</v>
      </c>
      <c r="G975">
        <v>22.848</v>
      </c>
      <c r="H975">
        <v>0.626</v>
      </c>
      <c r="I975">
        <v>2.721</v>
      </c>
      <c r="J975">
        <v>0.486</v>
      </c>
      <c r="K975">
        <v>14.445</v>
      </c>
      <c r="L975">
        <v>0.713</v>
      </c>
      <c r="M975">
        <v>2.651</v>
      </c>
      <c r="N975">
        <v>70.929</v>
      </c>
      <c r="O975">
        <v>68.801</v>
      </c>
      <c r="P975">
        <f t="shared" si="67"/>
        <v>1.85082383694506</v>
      </c>
      <c r="Q975">
        <f t="shared" si="67"/>
        <v>1.83759475060943</v>
      </c>
      <c r="R975">
        <v>89.431</v>
      </c>
      <c r="S975">
        <v>90.282</v>
      </c>
      <c r="T975">
        <v>91.133</v>
      </c>
      <c r="U975">
        <v>4.483</v>
      </c>
      <c r="V975">
        <v>50.912</v>
      </c>
      <c r="W975">
        <v>0.25</v>
      </c>
      <c r="X975" t="s">
        <v>86</v>
      </c>
      <c r="Y975" t="s">
        <v>31</v>
      </c>
      <c r="Z975" s="3">
        <f t="shared" ref="Z975:Z1124" si="68">P975-Q975</f>
        <v>0.0132290863356259</v>
      </c>
      <c r="AA975">
        <f t="shared" ref="AA975:AA1081" si="69">L975-J975</f>
        <v>0.227</v>
      </c>
      <c r="AB975">
        <f t="shared" ref="AB975:AB1081" si="70">L975+F975</f>
        <v>0.855</v>
      </c>
      <c r="AC975" t="s">
        <v>32</v>
      </c>
    </row>
    <row r="976" spans="1:29">
      <c r="A976" t="s">
        <v>87</v>
      </c>
      <c r="B976">
        <v>3755.625</v>
      </c>
      <c r="C976">
        <v>21.454</v>
      </c>
      <c r="D976">
        <v>41.257</v>
      </c>
      <c r="E976">
        <v>174.648</v>
      </c>
      <c r="F976">
        <v>0.147</v>
      </c>
      <c r="G976">
        <v>22.577</v>
      </c>
      <c r="H976">
        <v>0.865</v>
      </c>
      <c r="I976">
        <v>2.704</v>
      </c>
      <c r="J976">
        <v>0.433</v>
      </c>
      <c r="K976">
        <v>14.25</v>
      </c>
      <c r="L976">
        <v>0.703</v>
      </c>
      <c r="M976">
        <v>2.701</v>
      </c>
      <c r="N976">
        <v>72.534</v>
      </c>
      <c r="O976">
        <v>70.358</v>
      </c>
      <c r="P976">
        <f t="shared" si="67"/>
        <v>1.86054162796536</v>
      </c>
      <c r="Q976">
        <f t="shared" si="67"/>
        <v>1.84731348568439</v>
      </c>
      <c r="R976">
        <v>80.338</v>
      </c>
      <c r="S976">
        <v>81.208</v>
      </c>
      <c r="T976">
        <v>82.079</v>
      </c>
      <c r="U976">
        <v>4.858</v>
      </c>
      <c r="V976">
        <v>46.696</v>
      </c>
      <c r="W976">
        <v>0.356</v>
      </c>
      <c r="X976" t="s">
        <v>86</v>
      </c>
      <c r="Y976" t="s">
        <v>31</v>
      </c>
      <c r="Z976" s="3">
        <f t="shared" si="68"/>
        <v>0.0132281422809726</v>
      </c>
      <c r="AA976">
        <f t="shared" si="69"/>
        <v>0.27</v>
      </c>
      <c r="AB976">
        <f t="shared" si="70"/>
        <v>0.85</v>
      </c>
      <c r="AC976" t="s">
        <v>32</v>
      </c>
    </row>
    <row r="977" spans="1:29">
      <c r="A977" t="s">
        <v>87</v>
      </c>
      <c r="B977">
        <v>3755.75</v>
      </c>
      <c r="C977">
        <v>21.585</v>
      </c>
      <c r="D977">
        <v>41.34</v>
      </c>
      <c r="E977">
        <v>175.122</v>
      </c>
      <c r="F977">
        <v>0.153</v>
      </c>
      <c r="G977">
        <v>22.286</v>
      </c>
      <c r="H977">
        <v>1.175</v>
      </c>
      <c r="I977">
        <v>2.691</v>
      </c>
      <c r="J977">
        <v>0.393</v>
      </c>
      <c r="K977">
        <v>14.134</v>
      </c>
      <c r="L977">
        <v>0.697</v>
      </c>
      <c r="M977">
        <v>2.763</v>
      </c>
      <c r="N977">
        <v>75.243</v>
      </c>
      <c r="O977">
        <v>72.986</v>
      </c>
      <c r="P977">
        <f t="shared" si="67"/>
        <v>1.87646610290003</v>
      </c>
      <c r="Q977">
        <f t="shared" si="67"/>
        <v>1.86323956278009</v>
      </c>
      <c r="R977">
        <v>73.695</v>
      </c>
      <c r="S977">
        <v>74.598</v>
      </c>
      <c r="T977">
        <v>75.5</v>
      </c>
      <c r="U977">
        <v>5.173</v>
      </c>
      <c r="V977">
        <v>43.875</v>
      </c>
      <c r="W977">
        <v>0.47</v>
      </c>
      <c r="X977" t="s">
        <v>86</v>
      </c>
      <c r="Y977" t="s">
        <v>31</v>
      </c>
      <c r="Z977" s="3">
        <f t="shared" si="68"/>
        <v>0.0132265401199392</v>
      </c>
      <c r="AA977">
        <f t="shared" si="69"/>
        <v>0.304</v>
      </c>
      <c r="AB977">
        <f t="shared" si="70"/>
        <v>0.85</v>
      </c>
      <c r="AC977" t="s">
        <v>32</v>
      </c>
    </row>
    <row r="978" spans="1:29">
      <c r="A978" t="s">
        <v>87</v>
      </c>
      <c r="B978">
        <v>3755.875</v>
      </c>
      <c r="C978">
        <v>21.193</v>
      </c>
      <c r="D978">
        <v>41.407</v>
      </c>
      <c r="E978">
        <v>175.631</v>
      </c>
      <c r="F978">
        <v>0.159</v>
      </c>
      <c r="G978">
        <v>22.084</v>
      </c>
      <c r="H978">
        <v>1.42</v>
      </c>
      <c r="I978">
        <v>2.684</v>
      </c>
      <c r="J978">
        <v>0.371</v>
      </c>
      <c r="K978">
        <v>14.153</v>
      </c>
      <c r="L978">
        <v>0.698</v>
      </c>
      <c r="M978">
        <v>2.846</v>
      </c>
      <c r="N978">
        <v>79.138</v>
      </c>
      <c r="O978">
        <v>76.764</v>
      </c>
      <c r="P978">
        <f t="shared" si="67"/>
        <v>1.8983850704443</v>
      </c>
      <c r="Q978">
        <f t="shared" si="67"/>
        <v>1.88515759676519</v>
      </c>
      <c r="R978">
        <v>73.682</v>
      </c>
      <c r="S978">
        <v>74.632</v>
      </c>
      <c r="T978">
        <v>75.581</v>
      </c>
      <c r="U978">
        <v>5.354</v>
      </c>
      <c r="V978">
        <v>41.479</v>
      </c>
      <c r="W978">
        <v>0.547</v>
      </c>
      <c r="X978" t="s">
        <v>86</v>
      </c>
      <c r="Y978" t="s">
        <v>31</v>
      </c>
      <c r="Z978" s="3">
        <f t="shared" si="68"/>
        <v>0.0132274736791083</v>
      </c>
      <c r="AA978">
        <f t="shared" si="69"/>
        <v>0.327</v>
      </c>
      <c r="AB978">
        <f t="shared" si="70"/>
        <v>0.857</v>
      </c>
      <c r="AC978" t="s">
        <v>32</v>
      </c>
    </row>
    <row r="979" spans="1:29">
      <c r="A979" t="s">
        <v>87</v>
      </c>
      <c r="B979">
        <v>3756</v>
      </c>
      <c r="C979">
        <v>20.968</v>
      </c>
      <c r="D979">
        <v>41.46</v>
      </c>
      <c r="E979">
        <v>176.14</v>
      </c>
      <c r="F979">
        <v>0.166</v>
      </c>
      <c r="G979">
        <v>22.071</v>
      </c>
      <c r="H979">
        <v>1.498</v>
      </c>
      <c r="I979">
        <v>2.688</v>
      </c>
      <c r="J979">
        <v>0.383</v>
      </c>
      <c r="K979">
        <v>14.194</v>
      </c>
      <c r="L979">
        <v>0.7</v>
      </c>
      <c r="M979">
        <v>2.967</v>
      </c>
      <c r="N979">
        <v>83.276</v>
      </c>
      <c r="O979">
        <v>80.777</v>
      </c>
      <c r="P979">
        <f t="shared" si="67"/>
        <v>1.92051985651631</v>
      </c>
      <c r="Q979">
        <f t="shared" si="67"/>
        <v>1.90728771974707</v>
      </c>
      <c r="R979">
        <v>78.841</v>
      </c>
      <c r="S979">
        <v>79.84</v>
      </c>
      <c r="T979">
        <v>80.839</v>
      </c>
      <c r="U979">
        <v>5.264</v>
      </c>
      <c r="V979">
        <v>41.216</v>
      </c>
      <c r="W979">
        <v>0.507</v>
      </c>
      <c r="X979" t="s">
        <v>86</v>
      </c>
      <c r="Y979" t="s">
        <v>31</v>
      </c>
      <c r="Z979" s="3">
        <f t="shared" si="68"/>
        <v>0.0132321367692405</v>
      </c>
      <c r="AA979">
        <f t="shared" si="69"/>
        <v>0.317</v>
      </c>
      <c r="AB979">
        <f t="shared" si="70"/>
        <v>0.866</v>
      </c>
      <c r="AC979" t="s">
        <v>32</v>
      </c>
    </row>
    <row r="980" spans="1:29">
      <c r="A980" t="s">
        <v>88</v>
      </c>
      <c r="B980">
        <v>3621</v>
      </c>
      <c r="C980">
        <v>20.165</v>
      </c>
      <c r="D980">
        <v>56.402</v>
      </c>
      <c r="E980">
        <v>168.166</v>
      </c>
      <c r="F980">
        <v>0.209</v>
      </c>
      <c r="G980">
        <v>23.353</v>
      </c>
      <c r="H980">
        <v>1.752</v>
      </c>
      <c r="I980">
        <v>2.758</v>
      </c>
      <c r="J980">
        <v>0.338</v>
      </c>
      <c r="K980">
        <v>11.729</v>
      </c>
      <c r="L980">
        <v>0.599</v>
      </c>
      <c r="M980">
        <v>3.101</v>
      </c>
      <c r="N980">
        <v>120.545</v>
      </c>
      <c r="O980">
        <v>104.847</v>
      </c>
      <c r="P980">
        <f t="shared" si="67"/>
        <v>2.08114920129627</v>
      </c>
      <c r="Q980">
        <f t="shared" si="67"/>
        <v>2.02055600845815</v>
      </c>
      <c r="R980">
        <v>104.847</v>
      </c>
      <c r="S980">
        <v>104.847</v>
      </c>
      <c r="T980">
        <v>120.545</v>
      </c>
      <c r="U980">
        <v>5.591</v>
      </c>
      <c r="V980">
        <v>35.612</v>
      </c>
      <c r="W980">
        <v>0.033</v>
      </c>
      <c r="X980" t="s">
        <v>86</v>
      </c>
      <c r="Y980" t="s">
        <v>31</v>
      </c>
      <c r="Z980" s="3">
        <f t="shared" si="68"/>
        <v>0.0605931928381183</v>
      </c>
      <c r="AA980">
        <f t="shared" si="69"/>
        <v>0.261</v>
      </c>
      <c r="AB980">
        <f t="shared" si="70"/>
        <v>0.808</v>
      </c>
      <c r="AC980" t="s">
        <v>43</v>
      </c>
    </row>
    <row r="981" spans="1:29">
      <c r="A981" t="s">
        <v>88</v>
      </c>
      <c r="B981">
        <v>3621.125</v>
      </c>
      <c r="C981">
        <v>20.394</v>
      </c>
      <c r="D981">
        <v>56.207</v>
      </c>
      <c r="E981">
        <v>170.673</v>
      </c>
      <c r="F981">
        <v>0.239</v>
      </c>
      <c r="G981">
        <v>23.267</v>
      </c>
      <c r="H981">
        <v>1.701</v>
      </c>
      <c r="I981">
        <v>2.741</v>
      </c>
      <c r="J981">
        <v>0.276</v>
      </c>
      <c r="K981">
        <v>11.797</v>
      </c>
      <c r="L981">
        <v>0.603</v>
      </c>
      <c r="M981">
        <v>3.123</v>
      </c>
      <c r="N981">
        <v>119.322</v>
      </c>
      <c r="O981">
        <v>103.806</v>
      </c>
      <c r="P981">
        <f t="shared" si="67"/>
        <v>2.07672052412084</v>
      </c>
      <c r="Q981">
        <f t="shared" si="67"/>
        <v>2.0162224565142</v>
      </c>
      <c r="R981">
        <v>103.806</v>
      </c>
      <c r="S981">
        <v>103.806</v>
      </c>
      <c r="T981">
        <v>119.322</v>
      </c>
      <c r="U981">
        <v>5.907</v>
      </c>
      <c r="V981">
        <v>33.673</v>
      </c>
      <c r="W981">
        <v>0.042</v>
      </c>
      <c r="X981" t="s">
        <v>86</v>
      </c>
      <c r="Y981" t="s">
        <v>31</v>
      </c>
      <c r="Z981" s="3">
        <f t="shared" si="68"/>
        <v>0.0604980676066331</v>
      </c>
      <c r="AA981">
        <f t="shared" si="69"/>
        <v>0.327</v>
      </c>
      <c r="AB981">
        <f t="shared" si="70"/>
        <v>0.842</v>
      </c>
      <c r="AC981" t="s">
        <v>43</v>
      </c>
    </row>
    <row r="982" spans="1:29">
      <c r="A982" t="s">
        <v>88</v>
      </c>
      <c r="B982">
        <v>3621.25</v>
      </c>
      <c r="C982">
        <v>20.744</v>
      </c>
      <c r="D982">
        <v>56.025</v>
      </c>
      <c r="E982">
        <v>170.101</v>
      </c>
      <c r="F982">
        <v>0.232</v>
      </c>
      <c r="G982">
        <v>23.074</v>
      </c>
      <c r="H982">
        <v>1.653</v>
      </c>
      <c r="I982">
        <v>2.725</v>
      </c>
      <c r="J982">
        <v>0.217</v>
      </c>
      <c r="K982">
        <v>11.606</v>
      </c>
      <c r="L982">
        <v>0.591</v>
      </c>
      <c r="M982">
        <v>3.171</v>
      </c>
      <c r="N982">
        <v>117.095</v>
      </c>
      <c r="O982">
        <v>101.869</v>
      </c>
      <c r="P982">
        <f t="shared" si="67"/>
        <v>2.06853835093257</v>
      </c>
      <c r="Q982">
        <f t="shared" si="67"/>
        <v>2.00804204291487</v>
      </c>
      <c r="R982">
        <v>101.869</v>
      </c>
      <c r="S982">
        <v>101.869</v>
      </c>
      <c r="T982">
        <v>117.095</v>
      </c>
      <c r="U982">
        <v>5.967</v>
      </c>
      <c r="V982">
        <v>33.558</v>
      </c>
      <c r="W982">
        <v>0.043</v>
      </c>
      <c r="X982" t="s">
        <v>86</v>
      </c>
      <c r="Y982" t="s">
        <v>31</v>
      </c>
      <c r="Z982" s="3">
        <f t="shared" si="68"/>
        <v>0.0604963080176981</v>
      </c>
      <c r="AA982">
        <f t="shared" si="69"/>
        <v>0.374</v>
      </c>
      <c r="AB982">
        <f t="shared" si="70"/>
        <v>0.823</v>
      </c>
      <c r="AC982" t="s">
        <v>43</v>
      </c>
    </row>
    <row r="983" spans="1:29">
      <c r="A983" t="s">
        <v>88</v>
      </c>
      <c r="B983">
        <v>3621.375</v>
      </c>
      <c r="C983">
        <v>20.898</v>
      </c>
      <c r="D983">
        <v>55.858</v>
      </c>
      <c r="E983">
        <v>166.829</v>
      </c>
      <c r="F983">
        <v>0.193</v>
      </c>
      <c r="G983">
        <v>22.884</v>
      </c>
      <c r="H983">
        <v>1.633</v>
      </c>
      <c r="I983">
        <v>2.715</v>
      </c>
      <c r="J983">
        <v>0.18</v>
      </c>
      <c r="K983">
        <v>11.126</v>
      </c>
      <c r="L983">
        <v>0.561</v>
      </c>
      <c r="M983">
        <v>3.287</v>
      </c>
      <c r="N983">
        <v>116.32</v>
      </c>
      <c r="O983">
        <v>101.237</v>
      </c>
      <c r="P983">
        <f t="shared" si="67"/>
        <v>2.06565439351496</v>
      </c>
      <c r="Q983">
        <f t="shared" si="67"/>
        <v>2.00533926703985</v>
      </c>
      <c r="R983">
        <v>101.237</v>
      </c>
      <c r="S983">
        <v>101.237</v>
      </c>
      <c r="T983">
        <v>116.32</v>
      </c>
      <c r="U983">
        <v>4.891</v>
      </c>
      <c r="V983">
        <v>41.842</v>
      </c>
      <c r="W983">
        <v>0.018</v>
      </c>
      <c r="X983" t="s">
        <v>86</v>
      </c>
      <c r="Y983" t="s">
        <v>31</v>
      </c>
      <c r="Z983" s="3">
        <f t="shared" si="68"/>
        <v>0.0603151264751109</v>
      </c>
      <c r="AA983">
        <f t="shared" si="69"/>
        <v>0.381</v>
      </c>
      <c r="AB983">
        <f t="shared" si="70"/>
        <v>0.754</v>
      </c>
      <c r="AC983" t="s">
        <v>43</v>
      </c>
    </row>
    <row r="984" spans="1:29">
      <c r="A984" t="s">
        <v>88</v>
      </c>
      <c r="B984">
        <v>3621.5</v>
      </c>
      <c r="C984">
        <v>20.716</v>
      </c>
      <c r="D984">
        <v>55.706</v>
      </c>
      <c r="E984">
        <v>163.126</v>
      </c>
      <c r="F984">
        <v>0.148</v>
      </c>
      <c r="G984">
        <v>22.812</v>
      </c>
      <c r="H984">
        <v>1.656</v>
      </c>
      <c r="I984">
        <v>2.711</v>
      </c>
      <c r="J984">
        <v>0.165</v>
      </c>
      <c r="K984">
        <v>10.469</v>
      </c>
      <c r="L984">
        <v>0.52</v>
      </c>
      <c r="M984">
        <v>3.446</v>
      </c>
      <c r="N984">
        <v>121.035</v>
      </c>
      <c r="O984">
        <v>105.456</v>
      </c>
      <c r="P984">
        <f t="shared" si="67"/>
        <v>2.08291097452223</v>
      </c>
      <c r="Q984">
        <f t="shared" si="67"/>
        <v>2.0230712942961</v>
      </c>
      <c r="R984">
        <v>105.456</v>
      </c>
      <c r="S984">
        <v>105.456</v>
      </c>
      <c r="T984">
        <v>121.035</v>
      </c>
      <c r="U984">
        <v>4.506</v>
      </c>
      <c r="V984">
        <v>44.816</v>
      </c>
      <c r="W984">
        <v>0.013</v>
      </c>
      <c r="X984" t="s">
        <v>86</v>
      </c>
      <c r="Y984" t="s">
        <v>31</v>
      </c>
      <c r="Z984" s="3">
        <f t="shared" si="68"/>
        <v>0.059839680226129</v>
      </c>
      <c r="AA984">
        <f t="shared" si="69"/>
        <v>0.355</v>
      </c>
      <c r="AB984">
        <f t="shared" si="70"/>
        <v>0.668</v>
      </c>
      <c r="AC984" t="s">
        <v>43</v>
      </c>
    </row>
    <row r="985" spans="1:29">
      <c r="A985" t="s">
        <v>88</v>
      </c>
      <c r="B985">
        <v>3621.625</v>
      </c>
      <c r="C985">
        <v>20.417</v>
      </c>
      <c r="D985">
        <v>55.573</v>
      </c>
      <c r="E985">
        <v>161.281</v>
      </c>
      <c r="F985">
        <v>0.126</v>
      </c>
      <c r="G985">
        <v>22.94</v>
      </c>
      <c r="H985">
        <v>1.709</v>
      </c>
      <c r="I985">
        <v>2.711</v>
      </c>
      <c r="J985">
        <v>0.165</v>
      </c>
      <c r="K985">
        <v>9.907</v>
      </c>
      <c r="L985">
        <v>0.485</v>
      </c>
      <c r="M985">
        <v>3.628</v>
      </c>
      <c r="N985">
        <v>133.299</v>
      </c>
      <c r="O985">
        <v>116.136</v>
      </c>
      <c r="P985">
        <f t="shared" si="67"/>
        <v>2.12482689137852</v>
      </c>
      <c r="Q985">
        <f t="shared" si="67"/>
        <v>2.06496686382023</v>
      </c>
      <c r="R985">
        <v>116.136</v>
      </c>
      <c r="S985">
        <v>116.136</v>
      </c>
      <c r="T985">
        <v>133.299</v>
      </c>
      <c r="U985">
        <v>3.868</v>
      </c>
      <c r="V985">
        <v>50.85</v>
      </c>
      <c r="W985">
        <v>0.01</v>
      </c>
      <c r="X985" t="s">
        <v>86</v>
      </c>
      <c r="Y985" t="s">
        <v>31</v>
      </c>
      <c r="Z985" s="3">
        <f t="shared" si="68"/>
        <v>0.0598600275582886</v>
      </c>
      <c r="AA985">
        <f t="shared" si="69"/>
        <v>0.32</v>
      </c>
      <c r="AB985">
        <f t="shared" si="70"/>
        <v>0.611</v>
      </c>
      <c r="AC985" t="s">
        <v>43</v>
      </c>
    </row>
    <row r="986" spans="1:29">
      <c r="A986" t="s">
        <v>88</v>
      </c>
      <c r="B986">
        <v>3621.75</v>
      </c>
      <c r="C986">
        <v>20.196</v>
      </c>
      <c r="D986">
        <v>55.455</v>
      </c>
      <c r="E986">
        <v>160.967</v>
      </c>
      <c r="F986">
        <v>0.122</v>
      </c>
      <c r="G986">
        <v>23.177</v>
      </c>
      <c r="H986">
        <v>1.78</v>
      </c>
      <c r="I986">
        <v>2.711</v>
      </c>
      <c r="J986">
        <v>0.165</v>
      </c>
      <c r="K986">
        <v>9.668</v>
      </c>
      <c r="L986">
        <v>0.47</v>
      </c>
      <c r="M986">
        <v>3.813</v>
      </c>
      <c r="N986">
        <v>145.423</v>
      </c>
      <c r="O986">
        <v>126.497</v>
      </c>
      <c r="P986">
        <f t="shared" si="67"/>
        <v>2.16263309966699</v>
      </c>
      <c r="Q986">
        <f t="shared" si="67"/>
        <v>2.10208022591583</v>
      </c>
      <c r="R986">
        <v>126.497</v>
      </c>
      <c r="S986">
        <v>126.497</v>
      </c>
      <c r="T986">
        <v>145.423</v>
      </c>
      <c r="U986">
        <v>3.799</v>
      </c>
      <c r="V986">
        <v>49.76</v>
      </c>
      <c r="W986">
        <v>0.01</v>
      </c>
      <c r="X986" t="s">
        <v>86</v>
      </c>
      <c r="Y986" t="s">
        <v>31</v>
      </c>
      <c r="Z986" s="3">
        <f t="shared" si="68"/>
        <v>0.0605528737511629</v>
      </c>
      <c r="AA986">
        <f t="shared" si="69"/>
        <v>0.305</v>
      </c>
      <c r="AB986">
        <f t="shared" si="70"/>
        <v>0.592</v>
      </c>
      <c r="AC986" t="s">
        <v>43</v>
      </c>
    </row>
    <row r="987" spans="1:29">
      <c r="A987" t="s">
        <v>88</v>
      </c>
      <c r="B987">
        <v>3621.875</v>
      </c>
      <c r="C987">
        <v>19.948</v>
      </c>
      <c r="D987">
        <v>55.354</v>
      </c>
      <c r="E987">
        <v>161.414</v>
      </c>
      <c r="F987">
        <v>0.128</v>
      </c>
      <c r="G987">
        <v>23.392</v>
      </c>
      <c r="H987">
        <v>1.857</v>
      </c>
      <c r="I987">
        <v>2.708</v>
      </c>
      <c r="J987">
        <v>0.154</v>
      </c>
      <c r="K987">
        <v>9.81</v>
      </c>
      <c r="L987">
        <v>0.479</v>
      </c>
      <c r="M987">
        <v>3.935</v>
      </c>
      <c r="N987">
        <v>149.67</v>
      </c>
      <c r="O987">
        <v>130.162</v>
      </c>
      <c r="P987">
        <f t="shared" si="67"/>
        <v>2.17513475865884</v>
      </c>
      <c r="Q987">
        <f t="shared" si="67"/>
        <v>2.11448421311788</v>
      </c>
      <c r="R987">
        <v>130.162</v>
      </c>
      <c r="S987">
        <v>130.162</v>
      </c>
      <c r="T987">
        <v>149.67</v>
      </c>
      <c r="U987">
        <v>3.889</v>
      </c>
      <c r="V987">
        <v>47.185</v>
      </c>
      <c r="W987">
        <v>0.01</v>
      </c>
      <c r="X987" t="s">
        <v>86</v>
      </c>
      <c r="Y987" t="s">
        <v>31</v>
      </c>
      <c r="Z987" s="3">
        <f t="shared" si="68"/>
        <v>0.0606505455409621</v>
      </c>
      <c r="AA987">
        <f t="shared" si="69"/>
        <v>0.325</v>
      </c>
      <c r="AB987">
        <f t="shared" si="70"/>
        <v>0.607</v>
      </c>
      <c r="AC987" t="s">
        <v>43</v>
      </c>
    </row>
    <row r="988" spans="1:29">
      <c r="A988" t="s">
        <v>88</v>
      </c>
      <c r="B988">
        <v>3622</v>
      </c>
      <c r="C988">
        <v>19.395</v>
      </c>
      <c r="D988">
        <v>55.268</v>
      </c>
      <c r="E988">
        <v>162.22</v>
      </c>
      <c r="F988">
        <v>0.137</v>
      </c>
      <c r="G988">
        <v>23.471</v>
      </c>
      <c r="H988">
        <v>1.921</v>
      </c>
      <c r="I988">
        <v>2.701</v>
      </c>
      <c r="J988">
        <v>0.129</v>
      </c>
      <c r="K988">
        <v>10.206</v>
      </c>
      <c r="L988">
        <v>0.504</v>
      </c>
      <c r="M988">
        <v>3.941</v>
      </c>
      <c r="N988">
        <v>145.893</v>
      </c>
      <c r="O988">
        <v>127.111</v>
      </c>
      <c r="P988">
        <f t="shared" si="67"/>
        <v>2.16403445478376</v>
      </c>
      <c r="Q988">
        <f t="shared" si="67"/>
        <v>2.10418313538947</v>
      </c>
      <c r="R988">
        <v>127.111</v>
      </c>
      <c r="S988">
        <v>127.111</v>
      </c>
      <c r="T988">
        <v>145.893</v>
      </c>
      <c r="U988">
        <v>4.396</v>
      </c>
      <c r="V988">
        <v>41.921</v>
      </c>
      <c r="W988">
        <v>0.011</v>
      </c>
      <c r="X988" t="s">
        <v>86</v>
      </c>
      <c r="Y988" t="s">
        <v>31</v>
      </c>
      <c r="Z988" s="3">
        <f t="shared" si="68"/>
        <v>0.0598513193942902</v>
      </c>
      <c r="AA988">
        <f t="shared" si="69"/>
        <v>0.375</v>
      </c>
      <c r="AB988">
        <f t="shared" si="70"/>
        <v>0.641</v>
      </c>
      <c r="AC988" t="s">
        <v>43</v>
      </c>
    </row>
    <row r="989" spans="1:29">
      <c r="A989" t="s">
        <v>88</v>
      </c>
      <c r="B989">
        <v>3622.125</v>
      </c>
      <c r="C989">
        <v>18.565</v>
      </c>
      <c r="D989">
        <v>55.201</v>
      </c>
      <c r="E989">
        <v>163.08</v>
      </c>
      <c r="F989">
        <v>0.148</v>
      </c>
      <c r="G989">
        <v>23.363</v>
      </c>
      <c r="H989">
        <v>1.939</v>
      </c>
      <c r="I989">
        <v>2.695</v>
      </c>
      <c r="J989">
        <v>0.107</v>
      </c>
      <c r="K989">
        <v>10.564</v>
      </c>
      <c r="L989">
        <v>0.526</v>
      </c>
      <c r="M989">
        <v>3.744</v>
      </c>
      <c r="N989">
        <v>143.882</v>
      </c>
      <c r="O989">
        <v>125.372</v>
      </c>
      <c r="P989">
        <f t="shared" si="67"/>
        <v>2.15800646600307</v>
      </c>
      <c r="Q989">
        <f t="shared" si="67"/>
        <v>2.09820055401225</v>
      </c>
      <c r="R989">
        <v>125.372</v>
      </c>
      <c r="S989">
        <v>125.372</v>
      </c>
      <c r="T989">
        <v>143.882</v>
      </c>
      <c r="U989">
        <v>4.498</v>
      </c>
      <c r="V989">
        <v>41.276</v>
      </c>
      <c r="W989">
        <v>0.013</v>
      </c>
      <c r="X989" t="s">
        <v>86</v>
      </c>
      <c r="Y989" t="s">
        <v>31</v>
      </c>
      <c r="Z989" s="3">
        <f t="shared" si="68"/>
        <v>0.0598059119908161</v>
      </c>
      <c r="AA989">
        <f t="shared" si="69"/>
        <v>0.419</v>
      </c>
      <c r="AB989">
        <f t="shared" si="70"/>
        <v>0.674</v>
      </c>
      <c r="AC989" t="s">
        <v>43</v>
      </c>
    </row>
    <row r="990" spans="1:29">
      <c r="A990" t="s">
        <v>88</v>
      </c>
      <c r="B990">
        <v>3622.25</v>
      </c>
      <c r="C990">
        <v>18.144</v>
      </c>
      <c r="D990">
        <v>55.15</v>
      </c>
      <c r="E990">
        <v>163.495</v>
      </c>
      <c r="F990">
        <v>0.153</v>
      </c>
      <c r="G990">
        <v>23.188</v>
      </c>
      <c r="H990">
        <v>1.917</v>
      </c>
      <c r="I990">
        <v>2.696</v>
      </c>
      <c r="J990">
        <v>0.11</v>
      </c>
      <c r="K990">
        <v>10.611</v>
      </c>
      <c r="L990">
        <v>0.529</v>
      </c>
      <c r="M990">
        <v>3.425</v>
      </c>
      <c r="N990">
        <v>150.148</v>
      </c>
      <c r="O990">
        <v>130.693</v>
      </c>
      <c r="P990">
        <f t="shared" si="67"/>
        <v>2.17651955168819</v>
      </c>
      <c r="Q990">
        <f t="shared" si="67"/>
        <v>2.11625232711547</v>
      </c>
      <c r="R990">
        <v>130.693</v>
      </c>
      <c r="S990">
        <v>130.693</v>
      </c>
      <c r="T990">
        <v>150.148</v>
      </c>
      <c r="U990">
        <v>4.567</v>
      </c>
      <c r="V990">
        <v>40.219</v>
      </c>
      <c r="W990">
        <v>0.013</v>
      </c>
      <c r="X990" t="s">
        <v>86</v>
      </c>
      <c r="Y990" t="s">
        <v>31</v>
      </c>
      <c r="Z990" s="3">
        <f t="shared" si="68"/>
        <v>0.0602672245727223</v>
      </c>
      <c r="AA990">
        <f t="shared" si="69"/>
        <v>0.419</v>
      </c>
      <c r="AB990">
        <f t="shared" si="70"/>
        <v>0.682</v>
      </c>
      <c r="AC990" t="s">
        <v>43</v>
      </c>
    </row>
    <row r="991" spans="1:29">
      <c r="A991" t="s">
        <v>88</v>
      </c>
      <c r="B991">
        <v>3622.375</v>
      </c>
      <c r="C991">
        <v>18.441</v>
      </c>
      <c r="D991">
        <v>55.113</v>
      </c>
      <c r="E991">
        <v>163.48</v>
      </c>
      <c r="F991">
        <v>0.153</v>
      </c>
      <c r="G991">
        <v>23.068</v>
      </c>
      <c r="H991">
        <v>1.863</v>
      </c>
      <c r="I991">
        <v>2.704</v>
      </c>
      <c r="J991">
        <v>0.14</v>
      </c>
      <c r="K991">
        <v>10.228</v>
      </c>
      <c r="L991">
        <v>0.505</v>
      </c>
      <c r="M991">
        <v>3.14</v>
      </c>
      <c r="N991">
        <v>162.24</v>
      </c>
      <c r="O991">
        <v>141.123</v>
      </c>
      <c r="P991">
        <f t="shared" si="67"/>
        <v>2.21015793765324</v>
      </c>
      <c r="Q991">
        <f t="shared" si="67"/>
        <v>2.14959780014033</v>
      </c>
      <c r="R991">
        <v>141.123</v>
      </c>
      <c r="S991">
        <v>141.123</v>
      </c>
      <c r="T991">
        <v>162.24</v>
      </c>
      <c r="U991">
        <v>4.566</v>
      </c>
      <c r="V991">
        <v>37.854</v>
      </c>
      <c r="W991">
        <v>0.013</v>
      </c>
      <c r="X991" t="s">
        <v>86</v>
      </c>
      <c r="Y991" t="s">
        <v>31</v>
      </c>
      <c r="Z991" s="3">
        <f t="shared" si="68"/>
        <v>0.0605601375129092</v>
      </c>
      <c r="AA991">
        <f t="shared" si="69"/>
        <v>0.365</v>
      </c>
      <c r="AB991">
        <f t="shared" si="70"/>
        <v>0.658</v>
      </c>
      <c r="AC991" t="s">
        <v>43</v>
      </c>
    </row>
    <row r="992" spans="1:29">
      <c r="A992" t="s">
        <v>88</v>
      </c>
      <c r="B992">
        <v>3622.5</v>
      </c>
      <c r="C992">
        <v>19.112</v>
      </c>
      <c r="D992">
        <v>55.092</v>
      </c>
      <c r="E992">
        <v>163.396</v>
      </c>
      <c r="F992">
        <v>0.152</v>
      </c>
      <c r="G992">
        <v>23.077</v>
      </c>
      <c r="H992">
        <v>1.793</v>
      </c>
      <c r="I992">
        <v>2.72</v>
      </c>
      <c r="J992">
        <v>0.199</v>
      </c>
      <c r="K992">
        <v>9.487</v>
      </c>
      <c r="L992">
        <v>0.458</v>
      </c>
      <c r="M992">
        <v>2.982</v>
      </c>
      <c r="N992">
        <v>174.784</v>
      </c>
      <c r="O992">
        <v>152.093</v>
      </c>
      <c r="P992">
        <f t="shared" si="67"/>
        <v>2.24250167412362</v>
      </c>
      <c r="Q992">
        <f t="shared" si="67"/>
        <v>2.18210922633879</v>
      </c>
      <c r="R992">
        <v>152.093</v>
      </c>
      <c r="S992">
        <v>152.093</v>
      </c>
      <c r="T992">
        <v>174.784</v>
      </c>
      <c r="U992">
        <v>4.141</v>
      </c>
      <c r="V992">
        <v>40.832</v>
      </c>
      <c r="W992">
        <v>0.01</v>
      </c>
      <c r="X992" t="s">
        <v>86</v>
      </c>
      <c r="Y992" t="s">
        <v>31</v>
      </c>
      <c r="Z992" s="3">
        <f t="shared" si="68"/>
        <v>0.060392447784829</v>
      </c>
      <c r="AA992">
        <f t="shared" si="69"/>
        <v>0.259</v>
      </c>
      <c r="AB992">
        <f t="shared" si="70"/>
        <v>0.61</v>
      </c>
      <c r="AC992" t="s">
        <v>43</v>
      </c>
    </row>
    <row r="993" spans="1:29">
      <c r="A993" t="s">
        <v>88</v>
      </c>
      <c r="B993">
        <v>3622.625</v>
      </c>
      <c r="C993">
        <v>19.411</v>
      </c>
      <c r="D993">
        <v>55.086</v>
      </c>
      <c r="E993">
        <v>162.613</v>
      </c>
      <c r="F993">
        <v>0.142</v>
      </c>
      <c r="G993">
        <v>23.192</v>
      </c>
      <c r="H993">
        <v>1.735</v>
      </c>
      <c r="I993">
        <v>2.735</v>
      </c>
      <c r="J993">
        <v>0.254</v>
      </c>
      <c r="K993">
        <v>8.648</v>
      </c>
      <c r="L993">
        <v>0.406</v>
      </c>
      <c r="M993">
        <v>2.982</v>
      </c>
      <c r="N993">
        <v>185.799</v>
      </c>
      <c r="O993">
        <v>161.686</v>
      </c>
      <c r="P993">
        <f t="shared" si="67"/>
        <v>2.2690433722214</v>
      </c>
      <c r="Q993">
        <f t="shared" si="67"/>
        <v>2.2086724170247</v>
      </c>
      <c r="R993">
        <v>161.686</v>
      </c>
      <c r="S993">
        <v>161.686</v>
      </c>
      <c r="T993">
        <v>185.799</v>
      </c>
      <c r="U993">
        <v>3.66</v>
      </c>
      <c r="V993">
        <v>45.523</v>
      </c>
      <c r="W993">
        <v>0.01</v>
      </c>
      <c r="X993" t="s">
        <v>86</v>
      </c>
      <c r="Y993" t="s">
        <v>31</v>
      </c>
      <c r="Z993" s="3">
        <f t="shared" si="68"/>
        <v>0.0603709551966953</v>
      </c>
      <c r="AA993">
        <f t="shared" si="69"/>
        <v>0.152</v>
      </c>
      <c r="AB993">
        <f t="shared" si="70"/>
        <v>0.548</v>
      </c>
      <c r="AC993" t="s">
        <v>43</v>
      </c>
    </row>
    <row r="994" spans="1:29">
      <c r="A994" t="s">
        <v>88</v>
      </c>
      <c r="B994">
        <v>3622.75</v>
      </c>
      <c r="C994">
        <v>19.344</v>
      </c>
      <c r="D994">
        <v>55.094</v>
      </c>
      <c r="E994">
        <v>161.435</v>
      </c>
      <c r="F994">
        <v>0.128</v>
      </c>
      <c r="G994">
        <v>23.276</v>
      </c>
      <c r="H994">
        <v>1.695</v>
      </c>
      <c r="I994">
        <v>2.745</v>
      </c>
      <c r="J994">
        <v>0.29</v>
      </c>
      <c r="K994">
        <v>8.03</v>
      </c>
      <c r="L994">
        <v>0.367</v>
      </c>
      <c r="M994">
        <v>3.109</v>
      </c>
      <c r="N994">
        <v>199.911</v>
      </c>
      <c r="O994">
        <v>173.911</v>
      </c>
      <c r="P994">
        <f t="shared" si="67"/>
        <v>2.30083669160619</v>
      </c>
      <c r="Q994">
        <f t="shared" si="67"/>
        <v>2.24032705232023</v>
      </c>
      <c r="R994">
        <v>173.911</v>
      </c>
      <c r="S994">
        <v>173.911</v>
      </c>
      <c r="T994">
        <v>199.911</v>
      </c>
      <c r="U994">
        <v>3.515</v>
      </c>
      <c r="V994">
        <v>46.355</v>
      </c>
      <c r="W994">
        <v>0.01</v>
      </c>
      <c r="X994" t="s">
        <v>86</v>
      </c>
      <c r="Y994" t="s">
        <v>31</v>
      </c>
      <c r="Z994" s="3">
        <f t="shared" si="68"/>
        <v>0.0605096392859639</v>
      </c>
      <c r="AA994">
        <f t="shared" si="69"/>
        <v>0.077</v>
      </c>
      <c r="AB994">
        <f t="shared" si="70"/>
        <v>0.495</v>
      </c>
      <c r="AC994" t="s">
        <v>43</v>
      </c>
    </row>
    <row r="995" spans="1:29">
      <c r="A995" t="s">
        <v>88</v>
      </c>
      <c r="B995">
        <v>3622.875</v>
      </c>
      <c r="C995">
        <v>19.378</v>
      </c>
      <c r="D995">
        <v>55.115</v>
      </c>
      <c r="E995">
        <v>160.979</v>
      </c>
      <c r="F995">
        <v>0.123</v>
      </c>
      <c r="G995">
        <v>23.236</v>
      </c>
      <c r="H995">
        <v>1.668</v>
      </c>
      <c r="I995">
        <v>2.748</v>
      </c>
      <c r="J995">
        <v>0.301</v>
      </c>
      <c r="K995">
        <v>7.764</v>
      </c>
      <c r="L995">
        <v>0.35</v>
      </c>
      <c r="M995">
        <v>3.316</v>
      </c>
      <c r="N995">
        <v>223.679</v>
      </c>
      <c r="O995">
        <v>194.734</v>
      </c>
      <c r="P995">
        <f t="shared" si="67"/>
        <v>2.3496252124729</v>
      </c>
      <c r="Q995">
        <f t="shared" si="67"/>
        <v>2.28944178471601</v>
      </c>
      <c r="R995">
        <v>194.734</v>
      </c>
      <c r="S995">
        <v>194.734</v>
      </c>
      <c r="T995">
        <v>223.679</v>
      </c>
      <c r="U995">
        <v>2.991</v>
      </c>
      <c r="V995">
        <v>50.575</v>
      </c>
      <c r="W995">
        <v>0.01</v>
      </c>
      <c r="X995" t="s">
        <v>86</v>
      </c>
      <c r="Y995" t="s">
        <v>31</v>
      </c>
      <c r="Z995" s="3">
        <f t="shared" si="68"/>
        <v>0.0601834277568836</v>
      </c>
      <c r="AA995">
        <f t="shared" si="69"/>
        <v>0.049</v>
      </c>
      <c r="AB995">
        <f t="shared" si="70"/>
        <v>0.473</v>
      </c>
      <c r="AC995" t="s">
        <v>43</v>
      </c>
    </row>
    <row r="996" spans="1:29">
      <c r="A996" t="s">
        <v>88</v>
      </c>
      <c r="B996">
        <v>3623</v>
      </c>
      <c r="C996">
        <v>19.775</v>
      </c>
      <c r="D996">
        <v>55.148</v>
      </c>
      <c r="E996">
        <v>160.889</v>
      </c>
      <c r="F996">
        <v>0.121</v>
      </c>
      <c r="G996">
        <v>23.075</v>
      </c>
      <c r="H996">
        <v>1.658</v>
      </c>
      <c r="I996">
        <v>2.749</v>
      </c>
      <c r="J996">
        <v>0.305</v>
      </c>
      <c r="K996">
        <v>7.792</v>
      </c>
      <c r="L996">
        <v>0.352</v>
      </c>
      <c r="M996">
        <v>3.468</v>
      </c>
      <c r="N996">
        <v>261.807</v>
      </c>
      <c r="O996">
        <v>228.154</v>
      </c>
      <c r="P996">
        <f t="shared" si="67"/>
        <v>2.41798125421142</v>
      </c>
      <c r="Q996">
        <f t="shared" si="67"/>
        <v>2.35822808723403</v>
      </c>
      <c r="R996">
        <v>228.154</v>
      </c>
      <c r="S996">
        <v>228.154</v>
      </c>
      <c r="T996">
        <v>261.807</v>
      </c>
      <c r="U996">
        <v>2.98</v>
      </c>
      <c r="V996">
        <v>47.515</v>
      </c>
      <c r="W996">
        <v>0.01</v>
      </c>
      <c r="X996" t="s">
        <v>86</v>
      </c>
      <c r="Y996" t="s">
        <v>31</v>
      </c>
      <c r="Z996" s="3">
        <f t="shared" si="68"/>
        <v>0.0597531669773863</v>
      </c>
      <c r="AA996">
        <f t="shared" si="69"/>
        <v>0.047</v>
      </c>
      <c r="AB996">
        <f t="shared" si="70"/>
        <v>0.473</v>
      </c>
      <c r="AC996" t="s">
        <v>43</v>
      </c>
    </row>
    <row r="997" spans="1:29">
      <c r="A997" t="s">
        <v>89</v>
      </c>
      <c r="B997">
        <v>3994</v>
      </c>
      <c r="C997">
        <v>21.272</v>
      </c>
      <c r="D997">
        <v>59.395</v>
      </c>
      <c r="E997">
        <v>159.292</v>
      </c>
      <c r="F997">
        <v>0.144</v>
      </c>
      <c r="G997">
        <v>23.129</v>
      </c>
      <c r="H997">
        <v>1.3</v>
      </c>
      <c r="I997">
        <v>2.801</v>
      </c>
      <c r="J997">
        <v>0.817</v>
      </c>
      <c r="K997">
        <v>8.073</v>
      </c>
      <c r="L997">
        <v>0.633</v>
      </c>
      <c r="M997">
        <v>3.743</v>
      </c>
      <c r="N997">
        <v>213.133</v>
      </c>
      <c r="O997">
        <v>208.736</v>
      </c>
      <c r="P997">
        <f t="shared" si="67"/>
        <v>2.32865069799358</v>
      </c>
      <c r="Q997">
        <f t="shared" si="67"/>
        <v>2.31959735684239</v>
      </c>
      <c r="R997">
        <v>92.959</v>
      </c>
      <c r="S997">
        <v>103.622</v>
      </c>
      <c r="T997">
        <v>109.919</v>
      </c>
      <c r="U997">
        <v>3.616</v>
      </c>
      <c r="V997">
        <v>100</v>
      </c>
      <c r="W997">
        <v>0.173</v>
      </c>
      <c r="X997" t="s">
        <v>86</v>
      </c>
      <c r="Y997" t="s">
        <v>31</v>
      </c>
      <c r="Z997" s="3">
        <f t="shared" si="68"/>
        <v>0.0090533411511835</v>
      </c>
      <c r="AA997">
        <f t="shared" si="69"/>
        <v>-0.184</v>
      </c>
      <c r="AB997">
        <f t="shared" si="70"/>
        <v>0.777</v>
      </c>
      <c r="AC997" t="s">
        <v>43</v>
      </c>
    </row>
    <row r="998" spans="1:29">
      <c r="A998" t="s">
        <v>89</v>
      </c>
      <c r="B998">
        <v>3994.125</v>
      </c>
      <c r="C998">
        <v>19.983</v>
      </c>
      <c r="D998">
        <v>59.157</v>
      </c>
      <c r="E998">
        <v>159.863</v>
      </c>
      <c r="F998">
        <v>0.155</v>
      </c>
      <c r="G998">
        <v>23.04</v>
      </c>
      <c r="H998">
        <v>1.151</v>
      </c>
      <c r="I998">
        <v>2.809</v>
      </c>
      <c r="J998">
        <v>0.838</v>
      </c>
      <c r="K998">
        <v>7.842</v>
      </c>
      <c r="L998">
        <v>0.606</v>
      </c>
      <c r="M998">
        <v>3.757</v>
      </c>
      <c r="N998">
        <v>247.824</v>
      </c>
      <c r="O998">
        <v>241.462</v>
      </c>
      <c r="P998">
        <f t="shared" si="67"/>
        <v>2.39414336242281</v>
      </c>
      <c r="Q998">
        <f t="shared" si="67"/>
        <v>2.38284879351885</v>
      </c>
      <c r="R998">
        <v>89.011</v>
      </c>
      <c r="S998">
        <v>99.235</v>
      </c>
      <c r="T998">
        <v>105.397</v>
      </c>
      <c r="U998">
        <v>3.477</v>
      </c>
      <c r="V998">
        <v>100</v>
      </c>
      <c r="W998">
        <v>0.145</v>
      </c>
      <c r="X998" t="s">
        <v>86</v>
      </c>
      <c r="Y998" t="s">
        <v>31</v>
      </c>
      <c r="Z998" s="3">
        <f t="shared" si="68"/>
        <v>0.011294568903959</v>
      </c>
      <c r="AA998">
        <f t="shared" si="69"/>
        <v>-0.232</v>
      </c>
      <c r="AB998">
        <f t="shared" si="70"/>
        <v>0.761</v>
      </c>
      <c r="AC998" t="s">
        <v>43</v>
      </c>
    </row>
    <row r="999" spans="1:29">
      <c r="A999" t="s">
        <v>89</v>
      </c>
      <c r="B999">
        <v>3994.25</v>
      </c>
      <c r="C999">
        <v>19.276</v>
      </c>
      <c r="D999">
        <v>58.938</v>
      </c>
      <c r="E999">
        <v>160.483</v>
      </c>
      <c r="F999">
        <v>0.167</v>
      </c>
      <c r="G999">
        <v>22.967</v>
      </c>
      <c r="H999">
        <v>1.103</v>
      </c>
      <c r="I999">
        <v>2.821</v>
      </c>
      <c r="J999">
        <v>0.869</v>
      </c>
      <c r="K999">
        <v>7.653</v>
      </c>
      <c r="L999">
        <v>0.584</v>
      </c>
      <c r="M999">
        <v>3.733</v>
      </c>
      <c r="N999">
        <v>267.402</v>
      </c>
      <c r="O999">
        <v>261.971</v>
      </c>
      <c r="P999">
        <f t="shared" si="67"/>
        <v>2.42716465118967</v>
      </c>
      <c r="Q999">
        <f t="shared" si="67"/>
        <v>2.41825321789588</v>
      </c>
      <c r="R999">
        <v>85.063</v>
      </c>
      <c r="S999">
        <v>94.847</v>
      </c>
      <c r="T999">
        <v>100.874</v>
      </c>
      <c r="U999">
        <v>3.281</v>
      </c>
      <c r="V999">
        <v>100</v>
      </c>
      <c r="W999">
        <v>0.113</v>
      </c>
      <c r="X999" t="s">
        <v>86</v>
      </c>
      <c r="Y999" t="s">
        <v>31</v>
      </c>
      <c r="Z999" s="3">
        <f t="shared" si="68"/>
        <v>0.00891143329379362</v>
      </c>
      <c r="AA999">
        <f t="shared" si="69"/>
        <v>-0.285</v>
      </c>
      <c r="AB999">
        <f t="shared" si="70"/>
        <v>0.751</v>
      </c>
      <c r="AC999" t="s">
        <v>43</v>
      </c>
    </row>
    <row r="1000" spans="1:29">
      <c r="A1000" t="s">
        <v>89</v>
      </c>
      <c r="B1000">
        <v>3994.375</v>
      </c>
      <c r="C1000">
        <v>21.79</v>
      </c>
      <c r="D1000">
        <v>58.741</v>
      </c>
      <c r="E1000">
        <v>160.834</v>
      </c>
      <c r="F1000">
        <v>0.173</v>
      </c>
      <c r="G1000">
        <v>23.019</v>
      </c>
      <c r="H1000">
        <v>1.164</v>
      </c>
      <c r="I1000">
        <v>2.829</v>
      </c>
      <c r="J1000">
        <v>0.889</v>
      </c>
      <c r="K1000">
        <v>7.545</v>
      </c>
      <c r="L1000">
        <v>0.571</v>
      </c>
      <c r="M1000">
        <v>3.693</v>
      </c>
      <c r="N1000">
        <v>272.922</v>
      </c>
      <c r="O1000">
        <v>267.752</v>
      </c>
      <c r="P1000">
        <f t="shared" si="67"/>
        <v>2.43603854517339</v>
      </c>
      <c r="Q1000">
        <f t="shared" si="67"/>
        <v>2.42773272352152</v>
      </c>
      <c r="R1000">
        <v>81.114</v>
      </c>
      <c r="S1000">
        <v>90.46</v>
      </c>
      <c r="T1000">
        <v>96.35</v>
      </c>
      <c r="U1000">
        <v>3.047</v>
      </c>
      <c r="V1000">
        <v>100</v>
      </c>
      <c r="W1000">
        <v>0.1</v>
      </c>
      <c r="X1000" t="s">
        <v>86</v>
      </c>
      <c r="Y1000" t="s">
        <v>31</v>
      </c>
      <c r="Z1000" s="3">
        <f t="shared" si="68"/>
        <v>0.00830582165186611</v>
      </c>
      <c r="AA1000">
        <f t="shared" si="69"/>
        <v>-0.318</v>
      </c>
      <c r="AB1000">
        <f t="shared" si="70"/>
        <v>0.744</v>
      </c>
      <c r="AC1000" t="s">
        <v>43</v>
      </c>
    </row>
    <row r="1001" spans="1:29">
      <c r="A1001" t="s">
        <v>89</v>
      </c>
      <c r="B1001">
        <v>3994.5</v>
      </c>
      <c r="C1001">
        <v>24.899</v>
      </c>
      <c r="D1001">
        <v>58.569</v>
      </c>
      <c r="E1001">
        <v>160.717</v>
      </c>
      <c r="F1001">
        <v>0.171</v>
      </c>
      <c r="G1001">
        <v>23.038</v>
      </c>
      <c r="H1001">
        <v>1.324</v>
      </c>
      <c r="I1001">
        <v>2.83</v>
      </c>
      <c r="J1001">
        <v>0.892</v>
      </c>
      <c r="K1001">
        <v>7.574</v>
      </c>
      <c r="L1001">
        <v>0.575</v>
      </c>
      <c r="M1001">
        <v>3.627</v>
      </c>
      <c r="N1001">
        <v>272.051</v>
      </c>
      <c r="O1001">
        <v>266.669</v>
      </c>
      <c r="P1001">
        <f t="shared" si="67"/>
        <v>2.43465032661643</v>
      </c>
      <c r="Q1001">
        <f t="shared" si="67"/>
        <v>2.42597253233237</v>
      </c>
      <c r="R1001">
        <v>78.845</v>
      </c>
      <c r="S1001">
        <v>87.938</v>
      </c>
      <c r="T1001">
        <v>93.751</v>
      </c>
      <c r="U1001">
        <v>2.933</v>
      </c>
      <c r="V1001">
        <v>100</v>
      </c>
      <c r="W1001">
        <v>0.1</v>
      </c>
      <c r="X1001" t="s">
        <v>86</v>
      </c>
      <c r="Y1001" t="s">
        <v>31</v>
      </c>
      <c r="Z1001" s="3">
        <f t="shared" si="68"/>
        <v>0.00867779428405413</v>
      </c>
      <c r="AA1001">
        <f t="shared" si="69"/>
        <v>-0.317</v>
      </c>
      <c r="AB1001">
        <f t="shared" si="70"/>
        <v>0.746</v>
      </c>
      <c r="AC1001" t="s">
        <v>43</v>
      </c>
    </row>
    <row r="1002" spans="1:29">
      <c r="A1002" t="s">
        <v>89</v>
      </c>
      <c r="B1002">
        <v>3994.625</v>
      </c>
      <c r="C1002">
        <v>27.072</v>
      </c>
      <c r="D1002">
        <v>58.427</v>
      </c>
      <c r="E1002">
        <v>160.16</v>
      </c>
      <c r="F1002">
        <v>0.16</v>
      </c>
      <c r="G1002">
        <v>23.021</v>
      </c>
      <c r="H1002">
        <v>1.54</v>
      </c>
      <c r="I1002">
        <v>2.827</v>
      </c>
      <c r="J1002">
        <v>0.884</v>
      </c>
      <c r="K1002">
        <v>7.768</v>
      </c>
      <c r="L1002">
        <v>0.597</v>
      </c>
      <c r="M1002">
        <v>3.588</v>
      </c>
      <c r="N1002">
        <v>264.015</v>
      </c>
      <c r="O1002">
        <v>259.369</v>
      </c>
      <c r="P1002">
        <f t="shared" si="67"/>
        <v>2.42162860199168</v>
      </c>
      <c r="Q1002">
        <f t="shared" si="67"/>
        <v>2.41391806760978</v>
      </c>
      <c r="R1002">
        <v>78.844</v>
      </c>
      <c r="S1002">
        <v>87.938</v>
      </c>
      <c r="T1002">
        <v>93.75</v>
      </c>
      <c r="U1002">
        <v>2.945</v>
      </c>
      <c r="V1002">
        <v>100</v>
      </c>
      <c r="W1002">
        <v>0.1</v>
      </c>
      <c r="X1002" t="s">
        <v>86</v>
      </c>
      <c r="Y1002" t="s">
        <v>31</v>
      </c>
      <c r="Z1002" s="3">
        <f t="shared" si="68"/>
        <v>0.00771053438189151</v>
      </c>
      <c r="AA1002">
        <f t="shared" si="69"/>
        <v>-0.287</v>
      </c>
      <c r="AB1002">
        <f t="shared" si="70"/>
        <v>0.757</v>
      </c>
      <c r="AC1002" t="s">
        <v>43</v>
      </c>
    </row>
    <row r="1003" spans="1:29">
      <c r="A1003" t="s">
        <v>89</v>
      </c>
      <c r="B1003">
        <v>3994.75</v>
      </c>
      <c r="C1003">
        <v>26.378</v>
      </c>
      <c r="D1003">
        <v>58.313</v>
      </c>
      <c r="E1003">
        <v>159.623</v>
      </c>
      <c r="F1003">
        <v>0.15</v>
      </c>
      <c r="G1003">
        <v>22.916</v>
      </c>
      <c r="H1003">
        <v>1.735</v>
      </c>
      <c r="I1003">
        <v>2.822</v>
      </c>
      <c r="J1003">
        <v>0.871</v>
      </c>
      <c r="K1003">
        <v>8.058</v>
      </c>
      <c r="L1003">
        <v>0.631</v>
      </c>
      <c r="M1003">
        <v>3.55</v>
      </c>
      <c r="N1003">
        <v>256.084</v>
      </c>
      <c r="O1003">
        <v>250.591</v>
      </c>
      <c r="P1003">
        <f t="shared" si="67"/>
        <v>2.40838244481446</v>
      </c>
      <c r="Q1003">
        <f t="shared" si="67"/>
        <v>2.3989654692099</v>
      </c>
      <c r="R1003">
        <v>80.421</v>
      </c>
      <c r="S1003">
        <v>89.69</v>
      </c>
      <c r="T1003">
        <v>95.557</v>
      </c>
      <c r="U1003">
        <v>3.125</v>
      </c>
      <c r="V1003">
        <v>100</v>
      </c>
      <c r="W1003">
        <v>0.1</v>
      </c>
      <c r="X1003" t="s">
        <v>86</v>
      </c>
      <c r="Y1003" t="s">
        <v>31</v>
      </c>
      <c r="Z1003" s="3">
        <f t="shared" si="68"/>
        <v>0.00941697560455612</v>
      </c>
      <c r="AA1003">
        <f t="shared" si="69"/>
        <v>-0.24</v>
      </c>
      <c r="AB1003">
        <f t="shared" si="70"/>
        <v>0.781</v>
      </c>
      <c r="AC1003" t="s">
        <v>43</v>
      </c>
    </row>
    <row r="1004" spans="1:29">
      <c r="A1004" t="s">
        <v>89</v>
      </c>
      <c r="B1004">
        <v>3994.875</v>
      </c>
      <c r="C1004">
        <v>23.853</v>
      </c>
      <c r="D1004">
        <v>58.228</v>
      </c>
      <c r="E1004">
        <v>159.532</v>
      </c>
      <c r="F1004">
        <v>0.148</v>
      </c>
      <c r="G1004">
        <v>22.86</v>
      </c>
      <c r="H1004">
        <v>1.865</v>
      </c>
      <c r="I1004">
        <v>2.818</v>
      </c>
      <c r="J1004">
        <v>0.861</v>
      </c>
      <c r="K1004">
        <v>8.4</v>
      </c>
      <c r="L1004">
        <v>0.671</v>
      </c>
      <c r="M1004">
        <v>3.544</v>
      </c>
      <c r="N1004">
        <v>237.88</v>
      </c>
      <c r="O1004">
        <v>232.18</v>
      </c>
      <c r="P1004">
        <f t="shared" si="67"/>
        <v>2.37635792982724</v>
      </c>
      <c r="Q1004">
        <f t="shared" si="67"/>
        <v>2.36582480685936</v>
      </c>
      <c r="R1004">
        <v>82.003</v>
      </c>
      <c r="S1004">
        <v>91.448</v>
      </c>
      <c r="T1004">
        <v>97.369</v>
      </c>
      <c r="U1004">
        <v>3.376</v>
      </c>
      <c r="V1004">
        <v>100</v>
      </c>
      <c r="W1004">
        <v>0.128</v>
      </c>
      <c r="X1004" t="s">
        <v>86</v>
      </c>
      <c r="Y1004" t="s">
        <v>31</v>
      </c>
      <c r="Z1004" s="3">
        <f t="shared" si="68"/>
        <v>0.0105331229678751</v>
      </c>
      <c r="AA1004">
        <f t="shared" si="69"/>
        <v>-0.19</v>
      </c>
      <c r="AB1004">
        <f t="shared" si="70"/>
        <v>0.819</v>
      </c>
      <c r="AC1004" t="s">
        <v>43</v>
      </c>
    </row>
    <row r="1005" spans="1:29">
      <c r="A1005" t="s">
        <v>89</v>
      </c>
      <c r="B1005">
        <v>3995</v>
      </c>
      <c r="C1005">
        <v>21.258</v>
      </c>
      <c r="D1005">
        <v>58.171</v>
      </c>
      <c r="E1005">
        <v>160.145</v>
      </c>
      <c r="F1005">
        <v>0.16</v>
      </c>
      <c r="G1005">
        <v>23.052</v>
      </c>
      <c r="H1005">
        <v>1.949</v>
      </c>
      <c r="I1005">
        <v>2.816</v>
      </c>
      <c r="J1005">
        <v>0.856</v>
      </c>
      <c r="K1005">
        <v>8.652</v>
      </c>
      <c r="L1005">
        <v>0.7</v>
      </c>
      <c r="M1005">
        <v>3.584</v>
      </c>
      <c r="N1005">
        <v>209.058</v>
      </c>
      <c r="O1005">
        <v>203.146</v>
      </c>
      <c r="P1005">
        <f t="shared" si="67"/>
        <v>2.32026679130465</v>
      </c>
      <c r="Q1005">
        <f t="shared" si="67"/>
        <v>2.30780827537013</v>
      </c>
      <c r="R1005">
        <v>86.663</v>
      </c>
      <c r="S1005">
        <v>96.625</v>
      </c>
      <c r="T1005">
        <v>102.706</v>
      </c>
      <c r="U1005">
        <v>3.58</v>
      </c>
      <c r="V1005">
        <v>100</v>
      </c>
      <c r="W1005">
        <v>0.165</v>
      </c>
      <c r="X1005" t="s">
        <v>86</v>
      </c>
      <c r="Y1005" t="s">
        <v>31</v>
      </c>
      <c r="Z1005" s="3">
        <f t="shared" si="68"/>
        <v>0.0124585159345161</v>
      </c>
      <c r="AA1005">
        <f t="shared" si="69"/>
        <v>-0.156</v>
      </c>
      <c r="AB1005">
        <f t="shared" si="70"/>
        <v>0.86</v>
      </c>
      <c r="AC1005" t="s">
        <v>43</v>
      </c>
    </row>
    <row r="1006" spans="1:29">
      <c r="A1006" t="s">
        <v>89</v>
      </c>
      <c r="B1006">
        <v>3995.125</v>
      </c>
      <c r="C1006">
        <v>20.609</v>
      </c>
      <c r="D1006">
        <v>58.149</v>
      </c>
      <c r="E1006">
        <v>161.426</v>
      </c>
      <c r="F1006">
        <v>0.185</v>
      </c>
      <c r="G1006">
        <v>23.237</v>
      </c>
      <c r="H1006">
        <v>2.023</v>
      </c>
      <c r="I1006">
        <v>2.817</v>
      </c>
      <c r="J1006">
        <v>0.858</v>
      </c>
      <c r="K1006">
        <v>8.683</v>
      </c>
      <c r="L1006">
        <v>0.704</v>
      </c>
      <c r="M1006">
        <v>3.623</v>
      </c>
      <c r="N1006">
        <v>189.076</v>
      </c>
      <c r="O1006">
        <v>178.705</v>
      </c>
      <c r="P1006">
        <f t="shared" si="67"/>
        <v>2.27663640600499</v>
      </c>
      <c r="Q1006">
        <f t="shared" si="67"/>
        <v>2.25213670383206</v>
      </c>
      <c r="R1006">
        <v>90.713</v>
      </c>
      <c r="S1006">
        <v>101.126</v>
      </c>
      <c r="T1006">
        <v>107.346</v>
      </c>
      <c r="U1006">
        <v>3.588</v>
      </c>
      <c r="V1006">
        <v>100</v>
      </c>
      <c r="W1006">
        <v>0.167</v>
      </c>
      <c r="X1006" t="s">
        <v>86</v>
      </c>
      <c r="Y1006" t="s">
        <v>31</v>
      </c>
      <c r="Z1006" s="3">
        <f t="shared" si="68"/>
        <v>0.0244997021729234</v>
      </c>
      <c r="AA1006">
        <f t="shared" si="69"/>
        <v>-0.154</v>
      </c>
      <c r="AB1006">
        <f t="shared" si="70"/>
        <v>0.889</v>
      </c>
      <c r="AC1006" t="s">
        <v>43</v>
      </c>
    </row>
    <row r="1007" spans="1:29">
      <c r="A1007" t="s">
        <v>89</v>
      </c>
      <c r="B1007">
        <v>3995.25</v>
      </c>
      <c r="C1007">
        <v>21.04</v>
      </c>
      <c r="D1007">
        <v>58.156</v>
      </c>
      <c r="E1007">
        <v>162.738</v>
      </c>
      <c r="F1007">
        <v>0.21</v>
      </c>
      <c r="G1007">
        <v>23.129</v>
      </c>
      <c r="H1007">
        <v>2.087</v>
      </c>
      <c r="I1007">
        <v>2.825</v>
      </c>
      <c r="J1007">
        <v>0.879</v>
      </c>
      <c r="K1007">
        <v>8.521</v>
      </c>
      <c r="L1007">
        <v>0.685</v>
      </c>
      <c r="M1007">
        <v>3.673</v>
      </c>
      <c r="N1007">
        <v>197.762</v>
      </c>
      <c r="O1007">
        <v>182.651</v>
      </c>
      <c r="P1007">
        <f t="shared" si="67"/>
        <v>2.29614284552326</v>
      </c>
      <c r="Q1007">
        <f t="shared" si="67"/>
        <v>2.26162205428291</v>
      </c>
      <c r="R1007">
        <v>94.662</v>
      </c>
      <c r="S1007">
        <v>105.514</v>
      </c>
      <c r="T1007">
        <v>111.87</v>
      </c>
      <c r="U1007">
        <v>3.414</v>
      </c>
      <c r="V1007">
        <v>100</v>
      </c>
      <c r="W1007">
        <v>0.134</v>
      </c>
      <c r="X1007" t="s">
        <v>86</v>
      </c>
      <c r="Y1007" t="s">
        <v>31</v>
      </c>
      <c r="Z1007" s="3">
        <f t="shared" si="68"/>
        <v>0.0345207912403533</v>
      </c>
      <c r="AA1007">
        <f t="shared" si="69"/>
        <v>-0.194</v>
      </c>
      <c r="AB1007">
        <f t="shared" si="70"/>
        <v>0.895</v>
      </c>
      <c r="AC1007" t="s">
        <v>43</v>
      </c>
    </row>
    <row r="1008" spans="1:29">
      <c r="A1008" t="s">
        <v>89</v>
      </c>
      <c r="B1008">
        <v>3995.375</v>
      </c>
      <c r="C1008">
        <v>22.227</v>
      </c>
      <c r="D1008">
        <v>58.194</v>
      </c>
      <c r="E1008">
        <v>163.469</v>
      </c>
      <c r="F1008">
        <v>0.224</v>
      </c>
      <c r="G1008">
        <v>23.119</v>
      </c>
      <c r="H1008">
        <v>2.096</v>
      </c>
      <c r="I1008">
        <v>2.831</v>
      </c>
      <c r="J1008">
        <v>0.894</v>
      </c>
      <c r="K1008">
        <v>8.208</v>
      </c>
      <c r="L1008">
        <v>0.649</v>
      </c>
      <c r="M1008">
        <v>3.72</v>
      </c>
      <c r="N1008">
        <v>217.412</v>
      </c>
      <c r="O1008">
        <v>198.425</v>
      </c>
      <c r="P1008">
        <f t="shared" si="67"/>
        <v>2.33728351118521</v>
      </c>
      <c r="Q1008">
        <f t="shared" si="67"/>
        <v>2.29759638897767</v>
      </c>
      <c r="R1008">
        <v>96.244</v>
      </c>
      <c r="S1008">
        <v>107.271</v>
      </c>
      <c r="T1008">
        <v>113.681</v>
      </c>
      <c r="U1008">
        <v>3.194</v>
      </c>
      <c r="V1008">
        <v>100</v>
      </c>
      <c r="W1008">
        <v>0.1</v>
      </c>
      <c r="X1008" t="s">
        <v>86</v>
      </c>
      <c r="Y1008" t="s">
        <v>31</v>
      </c>
      <c r="Z1008" s="3">
        <f t="shared" si="68"/>
        <v>0.0396871222075408</v>
      </c>
      <c r="AA1008">
        <f t="shared" si="69"/>
        <v>-0.245</v>
      </c>
      <c r="AB1008">
        <f t="shared" si="70"/>
        <v>0.873</v>
      </c>
      <c r="AC1008" t="s">
        <v>43</v>
      </c>
    </row>
    <row r="1009" spans="1:29">
      <c r="A1009" t="s">
        <v>89</v>
      </c>
      <c r="B1009">
        <v>3995.5</v>
      </c>
      <c r="C1009">
        <v>22.934</v>
      </c>
      <c r="D1009">
        <v>58.263</v>
      </c>
      <c r="E1009">
        <v>163.162</v>
      </c>
      <c r="F1009">
        <v>0.218</v>
      </c>
      <c r="G1009">
        <v>23.324</v>
      </c>
      <c r="H1009">
        <v>1.996</v>
      </c>
      <c r="I1009">
        <v>2.833</v>
      </c>
      <c r="J1009">
        <v>0.899</v>
      </c>
      <c r="K1009">
        <v>7.828</v>
      </c>
      <c r="L1009">
        <v>0.604</v>
      </c>
      <c r="M1009">
        <v>3.749</v>
      </c>
      <c r="N1009">
        <v>243.468</v>
      </c>
      <c r="O1009">
        <v>219.028</v>
      </c>
      <c r="P1009">
        <f t="shared" si="67"/>
        <v>2.38644188819263</v>
      </c>
      <c r="Q1009">
        <f t="shared" si="67"/>
        <v>2.34049963752593</v>
      </c>
      <c r="R1009">
        <v>96.244</v>
      </c>
      <c r="S1009">
        <v>107.271</v>
      </c>
      <c r="T1009">
        <v>113.681</v>
      </c>
      <c r="U1009">
        <v>3.04</v>
      </c>
      <c r="V1009">
        <v>100</v>
      </c>
      <c r="W1009">
        <v>0.1</v>
      </c>
      <c r="X1009" t="s">
        <v>86</v>
      </c>
      <c r="Y1009" t="s">
        <v>31</v>
      </c>
      <c r="Z1009" s="3">
        <f t="shared" si="68"/>
        <v>0.0459422506667027</v>
      </c>
      <c r="AA1009">
        <f t="shared" si="69"/>
        <v>-0.295</v>
      </c>
      <c r="AB1009">
        <f t="shared" si="70"/>
        <v>0.822</v>
      </c>
      <c r="AC1009" t="s">
        <v>43</v>
      </c>
    </row>
    <row r="1010" spans="1:29">
      <c r="A1010" t="s">
        <v>89</v>
      </c>
      <c r="B1010">
        <v>3995.625</v>
      </c>
      <c r="C1010">
        <v>21.647</v>
      </c>
      <c r="D1010">
        <v>58.369</v>
      </c>
      <c r="E1010">
        <v>161.595</v>
      </c>
      <c r="F1010">
        <v>0.188</v>
      </c>
      <c r="G1010">
        <v>23.179</v>
      </c>
      <c r="H1010">
        <v>1.792</v>
      </c>
      <c r="I1010">
        <v>2.826</v>
      </c>
      <c r="J1010">
        <v>0.881</v>
      </c>
      <c r="K1010">
        <v>7.496</v>
      </c>
      <c r="L1010">
        <v>0.566</v>
      </c>
      <c r="M1010">
        <v>3.759</v>
      </c>
      <c r="N1010">
        <v>307.636</v>
      </c>
      <c r="O1010">
        <v>269.691</v>
      </c>
      <c r="P1010">
        <f t="shared" si="67"/>
        <v>2.48803715585801</v>
      </c>
      <c r="Q1010">
        <f t="shared" si="67"/>
        <v>2.43086645362547</v>
      </c>
      <c r="R1010">
        <v>101.479</v>
      </c>
      <c r="S1010">
        <v>113.088</v>
      </c>
      <c r="T1010">
        <v>119.679</v>
      </c>
      <c r="U1010">
        <v>3.082</v>
      </c>
      <c r="V1010">
        <v>100</v>
      </c>
      <c r="W1010">
        <v>0.1</v>
      </c>
      <c r="X1010" t="s">
        <v>86</v>
      </c>
      <c r="Y1010" t="s">
        <v>31</v>
      </c>
      <c r="Z1010" s="3">
        <f t="shared" si="68"/>
        <v>0.057170702232535</v>
      </c>
      <c r="AA1010">
        <f t="shared" si="69"/>
        <v>-0.315</v>
      </c>
      <c r="AB1010">
        <f t="shared" si="70"/>
        <v>0.754</v>
      </c>
      <c r="AC1010" t="s">
        <v>43</v>
      </c>
    </row>
    <row r="1011" spans="1:29">
      <c r="A1011" t="s">
        <v>89</v>
      </c>
      <c r="B1011">
        <v>3995.75</v>
      </c>
      <c r="C1011">
        <v>20.494</v>
      </c>
      <c r="D1011">
        <v>58.507</v>
      </c>
      <c r="E1011">
        <v>159.421</v>
      </c>
      <c r="F1011">
        <v>0.146</v>
      </c>
      <c r="G1011">
        <v>23.359</v>
      </c>
      <c r="H1011">
        <v>1.575</v>
      </c>
      <c r="I1011">
        <v>2.817</v>
      </c>
      <c r="J1011">
        <v>0.858</v>
      </c>
      <c r="K1011">
        <v>7.252</v>
      </c>
      <c r="L1011">
        <v>0.537</v>
      </c>
      <c r="M1011">
        <v>3.724</v>
      </c>
      <c r="N1011">
        <v>412.725</v>
      </c>
      <c r="O1011">
        <v>347.59</v>
      </c>
      <c r="P1011">
        <f t="shared" si="67"/>
        <v>2.61566077620286</v>
      </c>
      <c r="Q1011">
        <f t="shared" si="67"/>
        <v>2.54106727350939</v>
      </c>
      <c r="R1011">
        <v>108.369</v>
      </c>
      <c r="S1011">
        <v>120.743</v>
      </c>
      <c r="T1011">
        <v>127.57</v>
      </c>
      <c r="U1011">
        <v>3.17</v>
      </c>
      <c r="V1011">
        <v>100</v>
      </c>
      <c r="W1011">
        <v>0.1</v>
      </c>
      <c r="X1011" t="s">
        <v>86</v>
      </c>
      <c r="Y1011" t="s">
        <v>31</v>
      </c>
      <c r="Z1011" s="3">
        <f t="shared" si="68"/>
        <v>0.0745935026934621</v>
      </c>
      <c r="AA1011">
        <f t="shared" si="69"/>
        <v>-0.321</v>
      </c>
      <c r="AB1011">
        <f t="shared" si="70"/>
        <v>0.683</v>
      </c>
      <c r="AC1011" t="s">
        <v>43</v>
      </c>
    </row>
    <row r="1012" spans="1:29">
      <c r="A1012" t="s">
        <v>89</v>
      </c>
      <c r="B1012">
        <v>3995.875</v>
      </c>
      <c r="C1012">
        <v>21.294</v>
      </c>
      <c r="D1012">
        <v>58.676</v>
      </c>
      <c r="E1012">
        <v>157.313</v>
      </c>
      <c r="F1012">
        <v>0.106</v>
      </c>
      <c r="G1012">
        <v>23.498</v>
      </c>
      <c r="H1012">
        <v>1.404</v>
      </c>
      <c r="I1012">
        <v>2.813</v>
      </c>
      <c r="J1012">
        <v>0.848</v>
      </c>
      <c r="K1012">
        <v>7.122</v>
      </c>
      <c r="L1012">
        <v>0.522</v>
      </c>
      <c r="M1012">
        <v>3.692</v>
      </c>
      <c r="N1012">
        <v>586.026</v>
      </c>
      <c r="O1012">
        <v>473.925</v>
      </c>
      <c r="P1012">
        <f t="shared" si="67"/>
        <v>2.76791688462908</v>
      </c>
      <c r="Q1012">
        <f t="shared" si="67"/>
        <v>2.67570961875569</v>
      </c>
      <c r="R1012">
        <v>118.314</v>
      </c>
      <c r="S1012">
        <v>131.794</v>
      </c>
      <c r="T1012">
        <v>138.963</v>
      </c>
      <c r="U1012">
        <v>3.17</v>
      </c>
      <c r="V1012">
        <v>100</v>
      </c>
      <c r="W1012">
        <v>0.1</v>
      </c>
      <c r="X1012" t="s">
        <v>86</v>
      </c>
      <c r="Y1012" t="s">
        <v>31</v>
      </c>
      <c r="Z1012" s="3">
        <f t="shared" si="68"/>
        <v>0.0922072658733915</v>
      </c>
      <c r="AA1012">
        <f t="shared" si="69"/>
        <v>-0.326</v>
      </c>
      <c r="AB1012">
        <f t="shared" si="70"/>
        <v>0.628</v>
      </c>
      <c r="AC1012" t="s">
        <v>43</v>
      </c>
    </row>
    <row r="1013" spans="1:29">
      <c r="A1013" t="s">
        <v>89</v>
      </c>
      <c r="B1013">
        <v>3996</v>
      </c>
      <c r="C1013">
        <v>23.037</v>
      </c>
      <c r="D1013">
        <v>58.874</v>
      </c>
      <c r="E1013">
        <v>155.87</v>
      </c>
      <c r="F1013">
        <v>0.078</v>
      </c>
      <c r="G1013">
        <v>23.591</v>
      </c>
      <c r="H1013">
        <v>1.268</v>
      </c>
      <c r="I1013">
        <v>2.809</v>
      </c>
      <c r="J1013">
        <v>0.838</v>
      </c>
      <c r="K1013">
        <v>7.073</v>
      </c>
      <c r="L1013">
        <v>0.516</v>
      </c>
      <c r="M1013">
        <v>3.655</v>
      </c>
      <c r="N1013">
        <v>666.862</v>
      </c>
      <c r="O1013">
        <v>533.281</v>
      </c>
      <c r="P1013">
        <f t="shared" si="67"/>
        <v>2.82403597058928</v>
      </c>
      <c r="Q1013">
        <f t="shared" si="67"/>
        <v>2.72695611069928</v>
      </c>
      <c r="R1013">
        <v>125.973</v>
      </c>
      <c r="S1013">
        <v>140.303</v>
      </c>
      <c r="T1013">
        <v>147.735</v>
      </c>
      <c r="U1013">
        <v>3.144</v>
      </c>
      <c r="V1013">
        <v>100</v>
      </c>
      <c r="W1013">
        <v>0.1</v>
      </c>
      <c r="X1013" t="s">
        <v>86</v>
      </c>
      <c r="Y1013" t="s">
        <v>31</v>
      </c>
      <c r="Z1013" s="3">
        <f t="shared" si="68"/>
        <v>0.0970798598900005</v>
      </c>
      <c r="AA1013">
        <f t="shared" si="69"/>
        <v>-0.322</v>
      </c>
      <c r="AB1013">
        <f t="shared" si="70"/>
        <v>0.594</v>
      </c>
      <c r="AC1013" t="s">
        <v>43</v>
      </c>
    </row>
    <row r="1014" spans="1:29">
      <c r="A1014" t="s">
        <v>90</v>
      </c>
      <c r="B1014">
        <v>3882</v>
      </c>
      <c r="C1014">
        <v>35.089</v>
      </c>
      <c r="D1014">
        <v>56.878</v>
      </c>
      <c r="E1014">
        <v>161.406</v>
      </c>
      <c r="F1014">
        <v>0.064</v>
      </c>
      <c r="G1014">
        <v>22.323</v>
      </c>
      <c r="H1014">
        <v>2.765</v>
      </c>
      <c r="I1014">
        <v>2.71</v>
      </c>
      <c r="J1014">
        <v>0.348</v>
      </c>
      <c r="K1014">
        <v>11.955</v>
      </c>
      <c r="L1014">
        <v>0.729</v>
      </c>
      <c r="M1014">
        <v>3.301</v>
      </c>
      <c r="N1014">
        <v>79.569</v>
      </c>
      <c r="O1014">
        <v>75.188</v>
      </c>
      <c r="P1014">
        <f t="shared" si="67"/>
        <v>1.90074390000891</v>
      </c>
      <c r="Q1014">
        <f t="shared" si="67"/>
        <v>1.87614853275067</v>
      </c>
      <c r="R1014">
        <v>35.269</v>
      </c>
      <c r="S1014">
        <v>36.548</v>
      </c>
      <c r="T1014">
        <v>37.87</v>
      </c>
      <c r="U1014">
        <v>2.844</v>
      </c>
      <c r="V1014">
        <v>48.892</v>
      </c>
      <c r="W1014">
        <v>0.146</v>
      </c>
      <c r="X1014" t="s">
        <v>86</v>
      </c>
      <c r="Y1014" t="s">
        <v>31</v>
      </c>
      <c r="Z1014" s="3">
        <f t="shared" si="68"/>
        <v>0.0245953672582402</v>
      </c>
      <c r="AA1014">
        <f t="shared" si="69"/>
        <v>0.381</v>
      </c>
      <c r="AB1014">
        <f t="shared" si="70"/>
        <v>0.793</v>
      </c>
      <c r="AC1014" t="s">
        <v>43</v>
      </c>
    </row>
    <row r="1015" spans="1:29">
      <c r="A1015" t="s">
        <v>90</v>
      </c>
      <c r="B1015">
        <v>3882.125</v>
      </c>
      <c r="C1015">
        <v>30.656</v>
      </c>
      <c r="D1015">
        <v>56.864</v>
      </c>
      <c r="E1015">
        <v>163.959</v>
      </c>
      <c r="F1015">
        <v>0.095</v>
      </c>
      <c r="G1015">
        <v>22.597</v>
      </c>
      <c r="H1015">
        <v>2.516</v>
      </c>
      <c r="I1015">
        <v>2.712</v>
      </c>
      <c r="J1015">
        <v>0.354</v>
      </c>
      <c r="K1015">
        <v>13.085</v>
      </c>
      <c r="L1015">
        <v>0.805</v>
      </c>
      <c r="M1015">
        <v>3.246</v>
      </c>
      <c r="N1015">
        <v>69.142</v>
      </c>
      <c r="O1015">
        <v>65.33</v>
      </c>
      <c r="P1015">
        <f t="shared" si="67"/>
        <v>1.83974193778089</v>
      </c>
      <c r="Q1015">
        <f t="shared" si="67"/>
        <v>1.81511265818981</v>
      </c>
      <c r="R1015">
        <v>32.787</v>
      </c>
      <c r="S1015">
        <v>33.977</v>
      </c>
      <c r="T1015">
        <v>35.209</v>
      </c>
      <c r="U1015">
        <v>3.645</v>
      </c>
      <c r="V1015">
        <v>40.944</v>
      </c>
      <c r="W1015">
        <v>0.425</v>
      </c>
      <c r="X1015" t="s">
        <v>86</v>
      </c>
      <c r="Y1015" t="s">
        <v>31</v>
      </c>
      <c r="Z1015" s="3">
        <f t="shared" si="68"/>
        <v>0.0246292795910807</v>
      </c>
      <c r="AA1015">
        <f t="shared" si="69"/>
        <v>0.451</v>
      </c>
      <c r="AB1015">
        <f t="shared" si="70"/>
        <v>0.9</v>
      </c>
      <c r="AC1015" t="s">
        <v>43</v>
      </c>
    </row>
    <row r="1016" spans="1:29">
      <c r="A1016" t="s">
        <v>90</v>
      </c>
      <c r="B1016">
        <v>3882.25</v>
      </c>
      <c r="C1016">
        <v>25.485</v>
      </c>
      <c r="D1016">
        <v>56.851</v>
      </c>
      <c r="E1016">
        <v>167.011</v>
      </c>
      <c r="F1016">
        <v>0.131</v>
      </c>
      <c r="G1016">
        <v>22.726</v>
      </c>
      <c r="H1016">
        <v>2.286</v>
      </c>
      <c r="I1016">
        <v>2.713</v>
      </c>
      <c r="J1016">
        <v>0.357</v>
      </c>
      <c r="K1016">
        <v>13.908</v>
      </c>
      <c r="L1016">
        <v>0.861</v>
      </c>
      <c r="M1016">
        <v>3.221</v>
      </c>
      <c r="N1016">
        <v>57.74</v>
      </c>
      <c r="O1016">
        <v>54.547</v>
      </c>
      <c r="P1016">
        <f t="shared" si="67"/>
        <v>1.7614767795447</v>
      </c>
      <c r="Q1016">
        <f t="shared" si="67"/>
        <v>1.73677087006142</v>
      </c>
      <c r="R1016">
        <v>29.392</v>
      </c>
      <c r="S1016">
        <v>30.458</v>
      </c>
      <c r="T1016">
        <v>31.563</v>
      </c>
      <c r="U1016">
        <v>4.34</v>
      </c>
      <c r="V1016">
        <v>37.434</v>
      </c>
      <c r="W1016">
        <v>0.874</v>
      </c>
      <c r="X1016" t="s">
        <v>86</v>
      </c>
      <c r="Y1016" t="s">
        <v>31</v>
      </c>
      <c r="Z1016" s="3">
        <f t="shared" si="68"/>
        <v>0.0247059094832802</v>
      </c>
      <c r="AA1016">
        <f t="shared" si="69"/>
        <v>0.504</v>
      </c>
      <c r="AB1016">
        <f t="shared" si="70"/>
        <v>0.992</v>
      </c>
      <c r="AC1016" t="s">
        <v>43</v>
      </c>
    </row>
    <row r="1017" spans="1:29">
      <c r="A1017" t="s">
        <v>90</v>
      </c>
      <c r="B1017">
        <v>3882.375</v>
      </c>
      <c r="C1017">
        <v>21.697</v>
      </c>
      <c r="D1017">
        <v>56.837</v>
      </c>
      <c r="E1017">
        <v>169.338</v>
      </c>
      <c r="F1017">
        <v>0.158</v>
      </c>
      <c r="G1017">
        <v>22.529</v>
      </c>
      <c r="H1017">
        <v>2.105</v>
      </c>
      <c r="I1017">
        <v>2.716</v>
      </c>
      <c r="J1017">
        <v>0.365</v>
      </c>
      <c r="K1017">
        <v>14.111</v>
      </c>
      <c r="L1017">
        <v>0.875</v>
      </c>
      <c r="M1017">
        <v>3.235</v>
      </c>
      <c r="N1017">
        <v>50.308</v>
      </c>
      <c r="O1017">
        <v>47.542</v>
      </c>
      <c r="P1017">
        <f t="shared" si="67"/>
        <v>1.70163705224467</v>
      </c>
      <c r="Q1017">
        <f t="shared" si="67"/>
        <v>1.67707744770545</v>
      </c>
      <c r="R1017">
        <v>25.348</v>
      </c>
      <c r="S1017">
        <v>26.268</v>
      </c>
      <c r="T1017">
        <v>27.22</v>
      </c>
      <c r="U1017">
        <v>4.482</v>
      </c>
      <c r="V1017">
        <v>38.649</v>
      </c>
      <c r="W1017">
        <v>1.001</v>
      </c>
      <c r="X1017" t="s">
        <v>86</v>
      </c>
      <c r="Y1017" t="s">
        <v>31</v>
      </c>
      <c r="Z1017" s="3">
        <f t="shared" si="68"/>
        <v>0.0245596045392233</v>
      </c>
      <c r="AA1017">
        <f t="shared" si="69"/>
        <v>0.51</v>
      </c>
      <c r="AB1017">
        <f t="shared" si="70"/>
        <v>1.033</v>
      </c>
      <c r="AC1017" t="s">
        <v>43</v>
      </c>
    </row>
    <row r="1018" spans="1:29">
      <c r="A1018" t="s">
        <v>90</v>
      </c>
      <c r="B1018">
        <v>3882.5</v>
      </c>
      <c r="C1018">
        <v>20.404</v>
      </c>
      <c r="D1018">
        <v>56.822</v>
      </c>
      <c r="E1018">
        <v>170.213</v>
      </c>
      <c r="F1018">
        <v>0.169</v>
      </c>
      <c r="G1018">
        <v>22.134</v>
      </c>
      <c r="H1018">
        <v>2.007</v>
      </c>
      <c r="I1018">
        <v>2.722</v>
      </c>
      <c r="J1018">
        <v>0.382</v>
      </c>
      <c r="K1018">
        <v>13.805</v>
      </c>
      <c r="L1018">
        <v>0.854</v>
      </c>
      <c r="M1018">
        <v>3.284</v>
      </c>
      <c r="N1018">
        <v>47.033</v>
      </c>
      <c r="O1018">
        <v>44.444</v>
      </c>
      <c r="P1018">
        <f t="shared" si="67"/>
        <v>1.67240268110399</v>
      </c>
      <c r="Q1018">
        <f t="shared" si="67"/>
        <v>1.6478131389221</v>
      </c>
      <c r="R1018">
        <v>21.729</v>
      </c>
      <c r="S1018">
        <v>22.517</v>
      </c>
      <c r="T1018">
        <v>23.329</v>
      </c>
      <c r="U1018">
        <v>4.194</v>
      </c>
      <c r="V1018">
        <v>42.739</v>
      </c>
      <c r="W1018">
        <v>0.756</v>
      </c>
      <c r="X1018" t="s">
        <v>86</v>
      </c>
      <c r="Y1018" t="s">
        <v>31</v>
      </c>
      <c r="Z1018" s="3">
        <f t="shared" si="68"/>
        <v>0.0245895421818882</v>
      </c>
      <c r="AA1018">
        <f t="shared" si="69"/>
        <v>0.472</v>
      </c>
      <c r="AB1018">
        <f t="shared" si="70"/>
        <v>1.023</v>
      </c>
      <c r="AC1018" t="s">
        <v>43</v>
      </c>
    </row>
    <row r="1019" spans="1:29">
      <c r="A1019" t="s">
        <v>90</v>
      </c>
      <c r="B1019">
        <v>3882.625</v>
      </c>
      <c r="C1019">
        <v>20.567</v>
      </c>
      <c r="D1019">
        <v>56.804</v>
      </c>
      <c r="E1019">
        <v>170.057</v>
      </c>
      <c r="F1019">
        <v>0.167</v>
      </c>
      <c r="G1019">
        <v>21.794</v>
      </c>
      <c r="H1019">
        <v>1.975</v>
      </c>
      <c r="I1019">
        <v>2.729</v>
      </c>
      <c r="J1019">
        <v>0.402</v>
      </c>
      <c r="K1019">
        <v>13.21</v>
      </c>
      <c r="L1019">
        <v>0.814</v>
      </c>
      <c r="M1019">
        <v>3.358</v>
      </c>
      <c r="N1019">
        <v>45.175</v>
      </c>
      <c r="O1019">
        <v>42.689</v>
      </c>
      <c r="P1019">
        <f t="shared" si="67"/>
        <v>1.65489816123297</v>
      </c>
      <c r="Q1019">
        <f t="shared" si="67"/>
        <v>1.63031598147135</v>
      </c>
      <c r="R1019">
        <v>18.977</v>
      </c>
      <c r="S1019">
        <v>19.666</v>
      </c>
      <c r="T1019">
        <v>20.379</v>
      </c>
      <c r="U1019">
        <v>3.761</v>
      </c>
      <c r="V1019">
        <v>48.616</v>
      </c>
      <c r="W1019">
        <v>0.469</v>
      </c>
      <c r="X1019" t="s">
        <v>86</v>
      </c>
      <c r="Y1019" t="s">
        <v>31</v>
      </c>
      <c r="Z1019" s="3">
        <f t="shared" si="68"/>
        <v>0.0245821797616201</v>
      </c>
      <c r="AA1019">
        <f t="shared" si="69"/>
        <v>0.412</v>
      </c>
      <c r="AB1019">
        <f t="shared" si="70"/>
        <v>0.981</v>
      </c>
      <c r="AC1019" t="s">
        <v>43</v>
      </c>
    </row>
    <row r="1020" spans="1:29">
      <c r="A1020" t="s">
        <v>90</v>
      </c>
      <c r="B1020">
        <v>3882.75</v>
      </c>
      <c r="C1020">
        <v>21.053</v>
      </c>
      <c r="D1020">
        <v>56.782</v>
      </c>
      <c r="E1020">
        <v>169.581</v>
      </c>
      <c r="F1020">
        <v>0.161</v>
      </c>
      <c r="G1020">
        <v>21.697</v>
      </c>
      <c r="H1020">
        <v>1.97</v>
      </c>
      <c r="I1020">
        <v>2.731</v>
      </c>
      <c r="J1020">
        <v>0.408</v>
      </c>
      <c r="K1020">
        <v>12.536</v>
      </c>
      <c r="L1020">
        <v>0.768</v>
      </c>
      <c r="M1020">
        <v>3.438</v>
      </c>
      <c r="N1020">
        <v>43.391</v>
      </c>
      <c r="O1020">
        <v>41.002</v>
      </c>
      <c r="P1020">
        <f t="shared" si="67"/>
        <v>1.63739965910541</v>
      </c>
      <c r="Q1020">
        <f t="shared" si="67"/>
        <v>1.61280504129972</v>
      </c>
      <c r="R1020">
        <v>16.933</v>
      </c>
      <c r="S1020">
        <v>17.547</v>
      </c>
      <c r="T1020">
        <v>18.184</v>
      </c>
      <c r="U1020">
        <v>3.423</v>
      </c>
      <c r="V1020">
        <v>54.423</v>
      </c>
      <c r="W1020">
        <v>0.306</v>
      </c>
      <c r="X1020" t="s">
        <v>86</v>
      </c>
      <c r="Y1020" t="s">
        <v>31</v>
      </c>
      <c r="Z1020" s="3">
        <f t="shared" si="68"/>
        <v>0.0245946178056937</v>
      </c>
      <c r="AA1020">
        <f t="shared" si="69"/>
        <v>0.36</v>
      </c>
      <c r="AB1020">
        <f t="shared" si="70"/>
        <v>0.929</v>
      </c>
      <c r="AC1020" t="s">
        <v>43</v>
      </c>
    </row>
    <row r="1021" spans="1:29">
      <c r="A1021" t="s">
        <v>90</v>
      </c>
      <c r="B1021">
        <v>3882.875</v>
      </c>
      <c r="C1021">
        <v>21.127</v>
      </c>
      <c r="D1021">
        <v>56.757</v>
      </c>
      <c r="E1021">
        <v>168.806</v>
      </c>
      <c r="F1021">
        <v>0.152</v>
      </c>
      <c r="G1021">
        <v>21.889</v>
      </c>
      <c r="H1021">
        <v>1.947</v>
      </c>
      <c r="I1021">
        <v>2.726</v>
      </c>
      <c r="J1021">
        <v>0.394</v>
      </c>
      <c r="K1021">
        <v>12.027</v>
      </c>
      <c r="L1021">
        <v>0.734</v>
      </c>
      <c r="M1021">
        <v>3.501</v>
      </c>
      <c r="N1021">
        <v>40.984</v>
      </c>
      <c r="O1021">
        <v>38.73</v>
      </c>
      <c r="P1021">
        <f t="shared" si="67"/>
        <v>1.61261434286828</v>
      </c>
      <c r="Q1021">
        <f t="shared" si="67"/>
        <v>1.58804749698608</v>
      </c>
      <c r="R1021">
        <v>15.282</v>
      </c>
      <c r="S1021">
        <v>15.836</v>
      </c>
      <c r="T1021">
        <v>16.411</v>
      </c>
      <c r="U1021">
        <v>3.408</v>
      </c>
      <c r="V1021">
        <v>56.293</v>
      </c>
      <c r="W1021">
        <v>0.3</v>
      </c>
      <c r="X1021" t="s">
        <v>86</v>
      </c>
      <c r="Y1021" t="s">
        <v>31</v>
      </c>
      <c r="Z1021" s="3">
        <f t="shared" si="68"/>
        <v>0.0245668458822019</v>
      </c>
      <c r="AA1021">
        <f t="shared" si="69"/>
        <v>0.34</v>
      </c>
      <c r="AB1021">
        <f t="shared" si="70"/>
        <v>0.886</v>
      </c>
      <c r="AC1021" t="s">
        <v>43</v>
      </c>
    </row>
    <row r="1022" spans="1:29">
      <c r="A1022" t="s">
        <v>90</v>
      </c>
      <c r="B1022">
        <v>3883</v>
      </c>
      <c r="C1022">
        <v>20.673</v>
      </c>
      <c r="D1022">
        <v>56.727</v>
      </c>
      <c r="E1022">
        <v>167.677</v>
      </c>
      <c r="F1022">
        <v>0.139</v>
      </c>
      <c r="G1022">
        <v>22.201</v>
      </c>
      <c r="H1022">
        <v>1.876</v>
      </c>
      <c r="I1022">
        <v>2.717</v>
      </c>
      <c r="J1022">
        <v>0.368</v>
      </c>
      <c r="K1022">
        <v>11.877</v>
      </c>
      <c r="L1022">
        <v>0.724</v>
      </c>
      <c r="M1022">
        <v>3.527</v>
      </c>
      <c r="N1022">
        <v>38.149</v>
      </c>
      <c r="O1022">
        <v>36.049</v>
      </c>
      <c r="P1022">
        <f t="shared" si="67"/>
        <v>1.58148315827586</v>
      </c>
      <c r="Q1022">
        <f t="shared" si="67"/>
        <v>1.5568932218847</v>
      </c>
      <c r="R1022">
        <v>13.825</v>
      </c>
      <c r="S1022">
        <v>14.327</v>
      </c>
      <c r="T1022">
        <v>14.844</v>
      </c>
      <c r="U1022">
        <v>3.654</v>
      </c>
      <c r="V1022">
        <v>54.456</v>
      </c>
      <c r="W1022">
        <v>0.411</v>
      </c>
      <c r="X1022" t="s">
        <v>86</v>
      </c>
      <c r="Y1022" t="s">
        <v>31</v>
      </c>
      <c r="Z1022" s="3">
        <f t="shared" si="68"/>
        <v>0.0245899363911566</v>
      </c>
      <c r="AA1022">
        <f t="shared" si="69"/>
        <v>0.356</v>
      </c>
      <c r="AB1022">
        <f t="shared" si="70"/>
        <v>0.863</v>
      </c>
      <c r="AC1022" t="s">
        <v>43</v>
      </c>
    </row>
    <row r="1023" spans="1:29">
      <c r="A1023" t="s">
        <v>91</v>
      </c>
      <c r="B1023">
        <v>3242</v>
      </c>
      <c r="C1023">
        <v>27.095</v>
      </c>
      <c r="D1023">
        <v>56.44</v>
      </c>
      <c r="E1023">
        <v>160.495</v>
      </c>
      <c r="F1023">
        <v>0.103</v>
      </c>
      <c r="G1023">
        <v>23.179</v>
      </c>
      <c r="H1023">
        <v>1.721</v>
      </c>
      <c r="I1023">
        <v>2.716</v>
      </c>
      <c r="J1023">
        <v>0.707</v>
      </c>
      <c r="K1023">
        <v>10.384</v>
      </c>
      <c r="L1023">
        <v>0.684</v>
      </c>
      <c r="M1023">
        <v>3.493</v>
      </c>
      <c r="N1023">
        <v>303.636</v>
      </c>
      <c r="O1023">
        <v>254.684</v>
      </c>
      <c r="P1023">
        <f t="shared" si="67"/>
        <v>2.48235326153988</v>
      </c>
      <c r="Q1023">
        <f t="shared" si="67"/>
        <v>2.40600166216041</v>
      </c>
      <c r="R1023">
        <v>108.295</v>
      </c>
      <c r="S1023">
        <v>109.513</v>
      </c>
      <c r="T1023">
        <v>113.2</v>
      </c>
      <c r="U1023">
        <v>2.783</v>
      </c>
      <c r="V1023">
        <v>100</v>
      </c>
      <c r="W1023">
        <v>0.1</v>
      </c>
      <c r="X1023" t="s">
        <v>92</v>
      </c>
      <c r="Y1023" t="s">
        <v>31</v>
      </c>
      <c r="Z1023" s="3">
        <f t="shared" si="68"/>
        <v>0.0763515993794615</v>
      </c>
      <c r="AA1023">
        <f t="shared" si="69"/>
        <v>-0.0229999999999999</v>
      </c>
      <c r="AB1023">
        <f t="shared" si="70"/>
        <v>0.787</v>
      </c>
      <c r="AC1023" t="s">
        <v>32</v>
      </c>
    </row>
    <row r="1024" spans="1:29">
      <c r="A1024" t="s">
        <v>91</v>
      </c>
      <c r="B1024">
        <v>3242.125</v>
      </c>
      <c r="C1024">
        <v>22.623</v>
      </c>
      <c r="D1024">
        <v>56.044</v>
      </c>
      <c r="E1024">
        <v>159.857</v>
      </c>
      <c r="F1024">
        <v>0.093</v>
      </c>
      <c r="G1024">
        <v>23.122</v>
      </c>
      <c r="H1024">
        <v>1.317</v>
      </c>
      <c r="I1024">
        <v>2.72</v>
      </c>
      <c r="J1024">
        <v>0.72</v>
      </c>
      <c r="K1024">
        <v>10.43</v>
      </c>
      <c r="L1024">
        <v>0.691</v>
      </c>
      <c r="M1024">
        <v>3.447</v>
      </c>
      <c r="N1024">
        <v>292.336</v>
      </c>
      <c r="O1024">
        <v>247.962</v>
      </c>
      <c r="P1024">
        <f t="shared" si="67"/>
        <v>2.46588230026554</v>
      </c>
      <c r="Q1024">
        <f t="shared" si="67"/>
        <v>2.39438513060525</v>
      </c>
      <c r="R1024">
        <v>236.138</v>
      </c>
      <c r="S1024">
        <v>238.191</v>
      </c>
      <c r="T1024">
        <v>248.892</v>
      </c>
      <c r="U1024">
        <v>2.923</v>
      </c>
      <c r="V1024">
        <v>100</v>
      </c>
      <c r="W1024">
        <v>0.1</v>
      </c>
      <c r="X1024" t="s">
        <v>92</v>
      </c>
      <c r="Y1024" t="s">
        <v>31</v>
      </c>
      <c r="Z1024" s="3">
        <f t="shared" si="68"/>
        <v>0.0714971696602906</v>
      </c>
      <c r="AA1024">
        <f t="shared" si="69"/>
        <v>-0.029</v>
      </c>
      <c r="AB1024">
        <f t="shared" si="70"/>
        <v>0.784</v>
      </c>
      <c r="AC1024" t="s">
        <v>32</v>
      </c>
    </row>
    <row r="1025" spans="1:29">
      <c r="A1025" t="s">
        <v>91</v>
      </c>
      <c r="B1025">
        <v>3242.25</v>
      </c>
      <c r="C1025">
        <v>19.602</v>
      </c>
      <c r="D1025">
        <v>55.674</v>
      </c>
      <c r="E1025">
        <v>160.014</v>
      </c>
      <c r="F1025">
        <v>0.095</v>
      </c>
      <c r="G1025">
        <v>23.164</v>
      </c>
      <c r="H1025">
        <v>0.969</v>
      </c>
      <c r="I1025">
        <v>2.726</v>
      </c>
      <c r="J1025">
        <v>0.738</v>
      </c>
      <c r="K1025">
        <v>10.442</v>
      </c>
      <c r="L1025">
        <v>0.693</v>
      </c>
      <c r="M1025">
        <v>3.411</v>
      </c>
      <c r="N1025">
        <v>263.719</v>
      </c>
      <c r="O1025">
        <v>226.872</v>
      </c>
      <c r="P1025">
        <f t="shared" si="67"/>
        <v>2.42114142026708</v>
      </c>
      <c r="Q1025">
        <f t="shared" si="67"/>
        <v>2.35578089960527</v>
      </c>
      <c r="R1025">
        <v>533.606</v>
      </c>
      <c r="S1025">
        <v>499.025</v>
      </c>
      <c r="T1025">
        <v>651.539</v>
      </c>
      <c r="U1025">
        <v>2.956</v>
      </c>
      <c r="V1025">
        <v>100</v>
      </c>
      <c r="W1025">
        <v>0.1</v>
      </c>
      <c r="X1025" t="s">
        <v>92</v>
      </c>
      <c r="Y1025" t="s">
        <v>31</v>
      </c>
      <c r="Z1025" s="3">
        <f t="shared" si="68"/>
        <v>0.0653605206618111</v>
      </c>
      <c r="AA1025">
        <f t="shared" si="69"/>
        <v>-0.045</v>
      </c>
      <c r="AB1025">
        <f t="shared" si="70"/>
        <v>0.788</v>
      </c>
      <c r="AC1025" t="s">
        <v>32</v>
      </c>
    </row>
    <row r="1026" spans="1:29">
      <c r="A1026" t="s">
        <v>91</v>
      </c>
      <c r="B1026">
        <v>3242.375</v>
      </c>
      <c r="C1026">
        <v>18.631</v>
      </c>
      <c r="D1026">
        <v>55.329</v>
      </c>
      <c r="E1026">
        <v>160.517</v>
      </c>
      <c r="F1026">
        <v>0.103</v>
      </c>
      <c r="G1026">
        <v>23.307</v>
      </c>
      <c r="H1026">
        <v>0.931</v>
      </c>
      <c r="I1026">
        <v>2.73</v>
      </c>
      <c r="J1026">
        <v>0.751</v>
      </c>
      <c r="K1026">
        <v>10.385</v>
      </c>
      <c r="L1026">
        <v>0.684</v>
      </c>
      <c r="M1026">
        <v>3.394</v>
      </c>
      <c r="N1026">
        <v>230.01</v>
      </c>
      <c r="O1026">
        <v>200.188</v>
      </c>
      <c r="P1026">
        <f t="shared" si="67"/>
        <v>2.3617467179759</v>
      </c>
      <c r="Q1026">
        <f t="shared" si="67"/>
        <v>2.30143804072582</v>
      </c>
      <c r="R1026">
        <v>766.227</v>
      </c>
      <c r="S1026">
        <v>676.995</v>
      </c>
      <c r="T1026">
        <v>1090.613</v>
      </c>
      <c r="U1026">
        <v>2.896</v>
      </c>
      <c r="V1026">
        <v>100</v>
      </c>
      <c r="W1026">
        <v>0.1</v>
      </c>
      <c r="X1026" t="s">
        <v>92</v>
      </c>
      <c r="Y1026" t="s">
        <v>31</v>
      </c>
      <c r="Z1026" s="3">
        <f t="shared" si="68"/>
        <v>0.0603086772500743</v>
      </c>
      <c r="AA1026">
        <f t="shared" si="69"/>
        <v>-0.0669999999999999</v>
      </c>
      <c r="AB1026">
        <f t="shared" si="70"/>
        <v>0.787</v>
      </c>
      <c r="AC1026" t="s">
        <v>32</v>
      </c>
    </row>
    <row r="1027" spans="1:29">
      <c r="A1027" t="s">
        <v>91</v>
      </c>
      <c r="B1027">
        <v>3242.5</v>
      </c>
      <c r="C1027">
        <v>18.552</v>
      </c>
      <c r="D1027">
        <v>55.01</v>
      </c>
      <c r="E1027">
        <v>160.888</v>
      </c>
      <c r="F1027">
        <v>0.109</v>
      </c>
      <c r="G1027">
        <v>23.488</v>
      </c>
      <c r="H1027">
        <v>1.05</v>
      </c>
      <c r="I1027">
        <v>2.727</v>
      </c>
      <c r="J1027">
        <v>0.741</v>
      </c>
      <c r="K1027">
        <v>10.291</v>
      </c>
      <c r="L1027">
        <v>0.669</v>
      </c>
      <c r="M1027">
        <v>3.404</v>
      </c>
      <c r="N1027">
        <v>197.889</v>
      </c>
      <c r="O1027">
        <v>173.262</v>
      </c>
      <c r="P1027">
        <f t="shared" si="67"/>
        <v>2.29642165387252</v>
      </c>
      <c r="Q1027">
        <f t="shared" si="67"/>
        <v>2.2387033232452</v>
      </c>
      <c r="R1027">
        <v>441.351</v>
      </c>
      <c r="S1027">
        <v>403.367</v>
      </c>
      <c r="T1027">
        <v>585.85</v>
      </c>
      <c r="U1027">
        <v>2.918</v>
      </c>
      <c r="V1027">
        <v>100</v>
      </c>
      <c r="W1027">
        <v>0.1</v>
      </c>
      <c r="X1027" t="s">
        <v>92</v>
      </c>
      <c r="Y1027" t="s">
        <v>31</v>
      </c>
      <c r="Z1027" s="3">
        <f t="shared" si="68"/>
        <v>0.0577183306273188</v>
      </c>
      <c r="AA1027">
        <f t="shared" si="69"/>
        <v>-0.072</v>
      </c>
      <c r="AB1027">
        <f t="shared" si="70"/>
        <v>0.778</v>
      </c>
      <c r="AC1027" t="s">
        <v>32</v>
      </c>
    </row>
    <row r="1028" spans="1:29">
      <c r="A1028" t="s">
        <v>91</v>
      </c>
      <c r="B1028">
        <v>3242.625</v>
      </c>
      <c r="C1028">
        <v>20.586</v>
      </c>
      <c r="D1028">
        <v>54.721</v>
      </c>
      <c r="E1028">
        <v>160.539</v>
      </c>
      <c r="F1028">
        <v>0.103</v>
      </c>
      <c r="G1028">
        <v>23.534</v>
      </c>
      <c r="H1028">
        <v>1.154</v>
      </c>
      <c r="I1028">
        <v>2.711</v>
      </c>
      <c r="J1028">
        <v>0.692</v>
      </c>
      <c r="K1028">
        <v>10.2</v>
      </c>
      <c r="L1028">
        <v>0.655</v>
      </c>
      <c r="M1028">
        <v>3.447</v>
      </c>
      <c r="N1028">
        <v>173.258</v>
      </c>
      <c r="O1028">
        <v>153.022</v>
      </c>
      <c r="P1028">
        <f t="shared" si="67"/>
        <v>2.2386932968229</v>
      </c>
      <c r="Q1028">
        <f t="shared" si="67"/>
        <v>2.1847538739009</v>
      </c>
      <c r="R1028">
        <v>277.929</v>
      </c>
      <c r="S1028">
        <v>263.851</v>
      </c>
      <c r="T1028">
        <v>339.636</v>
      </c>
      <c r="U1028">
        <v>3.092</v>
      </c>
      <c r="V1028">
        <v>100</v>
      </c>
      <c r="W1028">
        <v>0.1</v>
      </c>
      <c r="X1028" t="s">
        <v>92</v>
      </c>
      <c r="Y1028" t="s">
        <v>31</v>
      </c>
      <c r="Z1028" s="3">
        <f t="shared" si="68"/>
        <v>0.053939422922006</v>
      </c>
      <c r="AA1028">
        <f t="shared" si="69"/>
        <v>-0.0369999999999999</v>
      </c>
      <c r="AB1028">
        <f t="shared" si="70"/>
        <v>0.758</v>
      </c>
      <c r="AC1028" t="s">
        <v>32</v>
      </c>
    </row>
    <row r="1029" spans="1:29">
      <c r="A1029" t="s">
        <v>91</v>
      </c>
      <c r="B1029">
        <v>3242.75</v>
      </c>
      <c r="C1029">
        <v>22.379</v>
      </c>
      <c r="D1029">
        <v>54.461</v>
      </c>
      <c r="E1029">
        <v>159.493</v>
      </c>
      <c r="F1029">
        <v>0.087</v>
      </c>
      <c r="G1029">
        <v>23.425</v>
      </c>
      <c r="H1029">
        <v>1.247</v>
      </c>
      <c r="I1029">
        <v>2.69</v>
      </c>
      <c r="J1029">
        <v>0.626</v>
      </c>
      <c r="K1029">
        <v>10.098</v>
      </c>
      <c r="L1029">
        <v>0.639</v>
      </c>
      <c r="M1029">
        <v>3.513</v>
      </c>
      <c r="N1029">
        <v>157.365</v>
      </c>
      <c r="O1029">
        <v>139.787</v>
      </c>
      <c r="P1029">
        <f t="shared" si="67"/>
        <v>2.19690814608459</v>
      </c>
      <c r="Q1029">
        <f t="shared" si="67"/>
        <v>2.14546678449418</v>
      </c>
      <c r="R1029">
        <v>214.89</v>
      </c>
      <c r="S1029">
        <v>207.347</v>
      </c>
      <c r="T1029">
        <v>254.205</v>
      </c>
      <c r="U1029">
        <v>3.393</v>
      </c>
      <c r="V1029">
        <v>100</v>
      </c>
      <c r="W1029">
        <v>0.1</v>
      </c>
      <c r="X1029" t="s">
        <v>92</v>
      </c>
      <c r="Y1029" t="s">
        <v>31</v>
      </c>
      <c r="Z1029" s="3">
        <f t="shared" si="68"/>
        <v>0.0514413615904035</v>
      </c>
      <c r="AA1029">
        <f t="shared" si="69"/>
        <v>0.013</v>
      </c>
      <c r="AB1029">
        <f t="shared" si="70"/>
        <v>0.726</v>
      </c>
      <c r="AC1029" t="s">
        <v>32</v>
      </c>
    </row>
    <row r="1030" spans="1:29">
      <c r="A1030" t="s">
        <v>91</v>
      </c>
      <c r="B1030">
        <v>3242.875</v>
      </c>
      <c r="C1030">
        <v>22.46</v>
      </c>
      <c r="D1030">
        <v>54.229</v>
      </c>
      <c r="E1030">
        <v>158.258</v>
      </c>
      <c r="F1030">
        <v>0.067</v>
      </c>
      <c r="G1030">
        <v>23.283</v>
      </c>
      <c r="H1030">
        <v>1.297</v>
      </c>
      <c r="I1030">
        <v>2.669</v>
      </c>
      <c r="J1030">
        <v>0.561</v>
      </c>
      <c r="K1030">
        <v>10.047</v>
      </c>
      <c r="L1030">
        <v>0.631</v>
      </c>
      <c r="M1030">
        <v>3.587</v>
      </c>
      <c r="N1030">
        <v>145.737</v>
      </c>
      <c r="O1030">
        <v>130.344</v>
      </c>
      <c r="P1030">
        <f t="shared" si="67"/>
        <v>2.16356982531739</v>
      </c>
      <c r="Q1030">
        <f t="shared" si="67"/>
        <v>2.11509104450423</v>
      </c>
      <c r="R1030">
        <v>182.85</v>
      </c>
      <c r="S1030">
        <v>178.117</v>
      </c>
      <c r="T1030">
        <v>214.515</v>
      </c>
      <c r="U1030">
        <v>3.817</v>
      </c>
      <c r="V1030">
        <v>100</v>
      </c>
      <c r="W1030">
        <v>0.1</v>
      </c>
      <c r="X1030" t="s">
        <v>92</v>
      </c>
      <c r="Y1030" t="s">
        <v>31</v>
      </c>
      <c r="Z1030" s="3">
        <f t="shared" si="68"/>
        <v>0.0484787808131562</v>
      </c>
      <c r="AA1030">
        <f t="shared" si="69"/>
        <v>0.07</v>
      </c>
      <c r="AB1030">
        <f t="shared" si="70"/>
        <v>0.698</v>
      </c>
      <c r="AC1030" t="s">
        <v>32</v>
      </c>
    </row>
    <row r="1031" spans="1:29">
      <c r="A1031" t="s">
        <v>91</v>
      </c>
      <c r="B1031">
        <v>3243</v>
      </c>
      <c r="C1031">
        <v>22.698</v>
      </c>
      <c r="D1031">
        <v>54.026</v>
      </c>
      <c r="E1031">
        <v>157.758</v>
      </c>
      <c r="F1031">
        <v>0.059</v>
      </c>
      <c r="G1031">
        <v>23.206</v>
      </c>
      <c r="H1031">
        <v>1.24</v>
      </c>
      <c r="I1031">
        <v>2.652</v>
      </c>
      <c r="J1031">
        <v>0.508</v>
      </c>
      <c r="K1031">
        <v>10.116</v>
      </c>
      <c r="L1031">
        <v>0.642</v>
      </c>
      <c r="M1031">
        <v>3.65</v>
      </c>
      <c r="N1031">
        <v>135.399</v>
      </c>
      <c r="O1031">
        <v>122.899</v>
      </c>
      <c r="P1031">
        <f t="shared" si="67"/>
        <v>2.1316154568448</v>
      </c>
      <c r="Q1031">
        <f t="shared" si="67"/>
        <v>2.08954834914969</v>
      </c>
      <c r="R1031">
        <v>149.963</v>
      </c>
      <c r="S1031">
        <v>147.102</v>
      </c>
      <c r="T1031">
        <v>173.325</v>
      </c>
      <c r="U1031">
        <v>4.234</v>
      </c>
      <c r="V1031">
        <v>100</v>
      </c>
      <c r="W1031">
        <v>0.1</v>
      </c>
      <c r="X1031" t="s">
        <v>92</v>
      </c>
      <c r="Y1031" t="s">
        <v>31</v>
      </c>
      <c r="Z1031" s="3">
        <f t="shared" si="68"/>
        <v>0.042067107695114</v>
      </c>
      <c r="AA1031">
        <f t="shared" si="69"/>
        <v>0.134</v>
      </c>
      <c r="AB1031">
        <f t="shared" si="70"/>
        <v>0.701</v>
      </c>
      <c r="AC1031" t="s">
        <v>32</v>
      </c>
    </row>
    <row r="1032" spans="1:29">
      <c r="A1032" t="s">
        <v>91</v>
      </c>
      <c r="B1032">
        <v>3243.125</v>
      </c>
      <c r="C1032">
        <v>23.137</v>
      </c>
      <c r="D1032">
        <v>53.859</v>
      </c>
      <c r="E1032">
        <v>159.047</v>
      </c>
      <c r="F1032">
        <v>0.08</v>
      </c>
      <c r="G1032">
        <v>23.229</v>
      </c>
      <c r="H1032">
        <v>1.328</v>
      </c>
      <c r="I1032">
        <v>2.641</v>
      </c>
      <c r="J1032">
        <v>0.474</v>
      </c>
      <c r="K1032">
        <v>10.302</v>
      </c>
      <c r="L1032">
        <v>0.671</v>
      </c>
      <c r="M1032">
        <v>3.686</v>
      </c>
      <c r="N1032">
        <v>127.694</v>
      </c>
      <c r="O1032">
        <v>117.927</v>
      </c>
      <c r="P1032">
        <f t="shared" si="67"/>
        <v>2.10617049140508</v>
      </c>
      <c r="Q1032">
        <f t="shared" si="67"/>
        <v>2.07161325046023</v>
      </c>
      <c r="R1032">
        <v>116.472</v>
      </c>
      <c r="S1032">
        <v>114.938</v>
      </c>
      <c r="T1032">
        <v>131.198</v>
      </c>
      <c r="U1032">
        <v>4.53</v>
      </c>
      <c r="V1032">
        <v>100</v>
      </c>
      <c r="W1032">
        <v>0.1</v>
      </c>
      <c r="X1032" t="s">
        <v>92</v>
      </c>
      <c r="Y1032" t="s">
        <v>31</v>
      </c>
      <c r="Z1032" s="3">
        <f t="shared" si="68"/>
        <v>0.0345572409448485</v>
      </c>
      <c r="AA1032">
        <f t="shared" si="69"/>
        <v>0.197</v>
      </c>
      <c r="AB1032">
        <f t="shared" si="70"/>
        <v>0.751</v>
      </c>
      <c r="AC1032" t="s">
        <v>32</v>
      </c>
    </row>
    <row r="1033" spans="1:29">
      <c r="A1033" t="s">
        <v>91</v>
      </c>
      <c r="B1033">
        <v>3243.25</v>
      </c>
      <c r="C1033">
        <v>24.342</v>
      </c>
      <c r="D1033">
        <v>53.725</v>
      </c>
      <c r="E1033">
        <v>161.625</v>
      </c>
      <c r="F1033">
        <v>0.121</v>
      </c>
      <c r="G1033">
        <v>23.286</v>
      </c>
      <c r="H1033">
        <v>1.523</v>
      </c>
      <c r="I1033">
        <v>2.639</v>
      </c>
      <c r="J1033">
        <v>0.467</v>
      </c>
      <c r="K1033">
        <v>10.459</v>
      </c>
      <c r="L1033">
        <v>0.696</v>
      </c>
      <c r="M1033">
        <v>3.692</v>
      </c>
      <c r="N1033">
        <v>121.614</v>
      </c>
      <c r="O1033">
        <v>113.693</v>
      </c>
      <c r="P1033">
        <f t="shared" si="67"/>
        <v>2.08498357306802</v>
      </c>
      <c r="Q1033">
        <f t="shared" si="67"/>
        <v>2.0557337262976</v>
      </c>
      <c r="R1033">
        <v>100.684</v>
      </c>
      <c r="S1033">
        <v>99.655</v>
      </c>
      <c r="T1033">
        <v>112.017</v>
      </c>
      <c r="U1033">
        <v>4.602</v>
      </c>
      <c r="V1033">
        <v>100</v>
      </c>
      <c r="W1033">
        <v>0.1</v>
      </c>
      <c r="X1033" t="s">
        <v>92</v>
      </c>
      <c r="Y1033" t="s">
        <v>31</v>
      </c>
      <c r="Z1033" s="3">
        <f t="shared" si="68"/>
        <v>0.0292498467704219</v>
      </c>
      <c r="AA1033">
        <f t="shared" si="69"/>
        <v>0.229</v>
      </c>
      <c r="AB1033">
        <f t="shared" si="70"/>
        <v>0.817</v>
      </c>
      <c r="AC1033" t="s">
        <v>32</v>
      </c>
    </row>
    <row r="1034" spans="1:29">
      <c r="A1034" t="s">
        <v>91</v>
      </c>
      <c r="B1034">
        <v>3243.375</v>
      </c>
      <c r="C1034">
        <v>24.025</v>
      </c>
      <c r="D1034">
        <v>53.625</v>
      </c>
      <c r="E1034">
        <v>164.367</v>
      </c>
      <c r="F1034">
        <v>0.165</v>
      </c>
      <c r="G1034">
        <v>23.336</v>
      </c>
      <c r="H1034">
        <v>1.645</v>
      </c>
      <c r="I1034">
        <v>2.644</v>
      </c>
      <c r="J1034">
        <v>0.483</v>
      </c>
      <c r="K1034">
        <v>10.53</v>
      </c>
      <c r="L1034">
        <v>0.707</v>
      </c>
      <c r="M1034">
        <v>3.672</v>
      </c>
      <c r="N1034">
        <v>117.012</v>
      </c>
      <c r="O1034">
        <v>110.437</v>
      </c>
      <c r="P1034">
        <f t="shared" si="67"/>
        <v>2.06823040248585</v>
      </c>
      <c r="Q1034">
        <f t="shared" si="67"/>
        <v>2.04311460060086</v>
      </c>
      <c r="R1034">
        <v>97.548</v>
      </c>
      <c r="S1034">
        <v>96.681</v>
      </c>
      <c r="T1034">
        <v>108.357</v>
      </c>
      <c r="U1034">
        <v>4.555</v>
      </c>
      <c r="V1034">
        <v>100</v>
      </c>
      <c r="W1034">
        <v>0.1</v>
      </c>
      <c r="X1034" t="s">
        <v>92</v>
      </c>
      <c r="Y1034" t="s">
        <v>31</v>
      </c>
      <c r="Z1034" s="3">
        <f t="shared" si="68"/>
        <v>0.0251158018849891</v>
      </c>
      <c r="AA1034">
        <f t="shared" si="69"/>
        <v>0.224</v>
      </c>
      <c r="AB1034">
        <f t="shared" si="70"/>
        <v>0.872</v>
      </c>
      <c r="AC1034" t="s">
        <v>32</v>
      </c>
    </row>
    <row r="1035" spans="1:29">
      <c r="A1035" t="s">
        <v>91</v>
      </c>
      <c r="B1035">
        <v>3243.5</v>
      </c>
      <c r="C1035">
        <v>22.913</v>
      </c>
      <c r="D1035">
        <v>53.562</v>
      </c>
      <c r="E1035">
        <v>166.055</v>
      </c>
      <c r="F1035">
        <v>0.192</v>
      </c>
      <c r="G1035">
        <v>23.341</v>
      </c>
      <c r="H1035">
        <v>1.654</v>
      </c>
      <c r="I1035">
        <v>2.651</v>
      </c>
      <c r="J1035">
        <v>0.505</v>
      </c>
      <c r="K1035">
        <v>10.582</v>
      </c>
      <c r="L1035">
        <v>0.715</v>
      </c>
      <c r="M1035">
        <v>3.635</v>
      </c>
      <c r="N1035">
        <v>112.204</v>
      </c>
      <c r="O1035">
        <v>106.952</v>
      </c>
      <c r="P1035">
        <f t="shared" si="67"/>
        <v>2.05000833951339</v>
      </c>
      <c r="Q1035">
        <f t="shared" si="67"/>
        <v>2.02918891028055</v>
      </c>
      <c r="R1035">
        <v>102.426</v>
      </c>
      <c r="S1035">
        <v>101.532</v>
      </c>
      <c r="T1035">
        <v>114.286</v>
      </c>
      <c r="U1035">
        <v>4.493</v>
      </c>
      <c r="V1035">
        <v>100</v>
      </c>
      <c r="W1035">
        <v>0.1</v>
      </c>
      <c r="X1035" t="s">
        <v>92</v>
      </c>
      <c r="Y1035" t="s">
        <v>31</v>
      </c>
      <c r="Z1035" s="3">
        <f t="shared" si="68"/>
        <v>0.0208194292328443</v>
      </c>
      <c r="AA1035">
        <f t="shared" si="69"/>
        <v>0.21</v>
      </c>
      <c r="AB1035">
        <f t="shared" si="70"/>
        <v>0.907</v>
      </c>
      <c r="AC1035" t="s">
        <v>32</v>
      </c>
    </row>
    <row r="1036" spans="1:29">
      <c r="A1036" t="s">
        <v>91</v>
      </c>
      <c r="B1036">
        <v>3243.625</v>
      </c>
      <c r="C1036">
        <v>21.127</v>
      </c>
      <c r="D1036">
        <v>53.544</v>
      </c>
      <c r="E1036">
        <v>165.991</v>
      </c>
      <c r="F1036">
        <v>0.191</v>
      </c>
      <c r="G1036">
        <v>23.305</v>
      </c>
      <c r="H1036">
        <v>1.489</v>
      </c>
      <c r="I1036">
        <v>2.652</v>
      </c>
      <c r="J1036">
        <v>0.508</v>
      </c>
      <c r="K1036">
        <v>10.67</v>
      </c>
      <c r="L1036">
        <v>0.729</v>
      </c>
      <c r="M1036">
        <v>3.59</v>
      </c>
      <c r="N1036">
        <v>106.284</v>
      </c>
      <c r="O1036">
        <v>102.411</v>
      </c>
      <c r="P1036">
        <f t="shared" si="67"/>
        <v>2.02646789072542</v>
      </c>
      <c r="Q1036">
        <f t="shared" si="67"/>
        <v>2.01034660686178</v>
      </c>
      <c r="R1036">
        <v>111.549</v>
      </c>
      <c r="S1036">
        <v>110.61</v>
      </c>
      <c r="T1036">
        <v>125.533</v>
      </c>
      <c r="U1036">
        <v>4.604</v>
      </c>
      <c r="V1036">
        <v>100</v>
      </c>
      <c r="W1036">
        <v>0.1</v>
      </c>
      <c r="X1036" t="s">
        <v>92</v>
      </c>
      <c r="Y1036" t="s">
        <v>31</v>
      </c>
      <c r="Z1036" s="3">
        <f t="shared" si="68"/>
        <v>0.0161212838636455</v>
      </c>
      <c r="AA1036">
        <f t="shared" si="69"/>
        <v>0.221</v>
      </c>
      <c r="AB1036">
        <f t="shared" si="70"/>
        <v>0.92</v>
      </c>
      <c r="AC1036" t="s">
        <v>32</v>
      </c>
    </row>
    <row r="1037" spans="1:29">
      <c r="A1037" t="s">
        <v>91</v>
      </c>
      <c r="B1037">
        <v>3243.75</v>
      </c>
      <c r="C1037">
        <v>22.817</v>
      </c>
      <c r="D1037">
        <v>53.566</v>
      </c>
      <c r="E1037">
        <v>164.974</v>
      </c>
      <c r="F1037">
        <v>0.174</v>
      </c>
      <c r="G1037">
        <v>23.292</v>
      </c>
      <c r="H1037">
        <v>1.405</v>
      </c>
      <c r="I1037">
        <v>2.65</v>
      </c>
      <c r="J1037">
        <v>0.502</v>
      </c>
      <c r="K1037">
        <v>10.786</v>
      </c>
      <c r="L1037">
        <v>0.747</v>
      </c>
      <c r="M1037">
        <v>3.55</v>
      </c>
      <c r="N1037">
        <v>100.405</v>
      </c>
      <c r="O1037">
        <v>97.654</v>
      </c>
      <c r="P1037">
        <f t="shared" si="67"/>
        <v>2.00175534048172</v>
      </c>
      <c r="Q1037">
        <f t="shared" si="67"/>
        <v>1.98969003710005</v>
      </c>
      <c r="R1037">
        <v>121.772</v>
      </c>
      <c r="S1037">
        <v>120.914</v>
      </c>
      <c r="T1037">
        <v>138.475</v>
      </c>
      <c r="U1037">
        <v>4.622</v>
      </c>
      <c r="V1037">
        <v>100</v>
      </c>
      <c r="W1037">
        <v>0.1</v>
      </c>
      <c r="X1037" t="s">
        <v>92</v>
      </c>
      <c r="Y1037" t="s">
        <v>31</v>
      </c>
      <c r="Z1037" s="3">
        <f t="shared" si="68"/>
        <v>0.0120653033816653</v>
      </c>
      <c r="AA1037">
        <f t="shared" si="69"/>
        <v>0.245</v>
      </c>
      <c r="AB1037">
        <f t="shared" si="70"/>
        <v>0.921</v>
      </c>
      <c r="AC1037" t="s">
        <v>32</v>
      </c>
    </row>
    <row r="1038" spans="1:29">
      <c r="A1038" t="s">
        <v>91</v>
      </c>
      <c r="B1038">
        <v>3243.875</v>
      </c>
      <c r="C1038">
        <v>24.97</v>
      </c>
      <c r="D1038">
        <v>53.629</v>
      </c>
      <c r="E1038">
        <v>163.636</v>
      </c>
      <c r="F1038">
        <v>0.153</v>
      </c>
      <c r="G1038">
        <v>23.306</v>
      </c>
      <c r="H1038">
        <v>1.428</v>
      </c>
      <c r="I1038">
        <v>2.649</v>
      </c>
      <c r="J1038">
        <v>0.498</v>
      </c>
      <c r="K1038">
        <v>10.967</v>
      </c>
      <c r="L1038">
        <v>0.775</v>
      </c>
      <c r="M1038">
        <v>3.523</v>
      </c>
      <c r="N1038">
        <v>95.468</v>
      </c>
      <c r="O1038">
        <v>93.613</v>
      </c>
      <c r="P1038">
        <f t="shared" si="67"/>
        <v>1.97985782443919</v>
      </c>
      <c r="Q1038">
        <f t="shared" si="67"/>
        <v>1.97133616322774</v>
      </c>
      <c r="R1038">
        <v>128.724</v>
      </c>
      <c r="S1038">
        <v>127.907</v>
      </c>
      <c r="T1038">
        <v>146.821</v>
      </c>
      <c r="U1038">
        <v>4.611</v>
      </c>
      <c r="V1038">
        <v>100</v>
      </c>
      <c r="W1038">
        <v>0.1</v>
      </c>
      <c r="X1038" t="s">
        <v>92</v>
      </c>
      <c r="Y1038" t="s">
        <v>31</v>
      </c>
      <c r="Z1038" s="3">
        <f t="shared" si="68"/>
        <v>0.00852166121145026</v>
      </c>
      <c r="AA1038">
        <f t="shared" si="69"/>
        <v>0.277</v>
      </c>
      <c r="AB1038">
        <f t="shared" si="70"/>
        <v>0.928</v>
      </c>
      <c r="AC1038" t="s">
        <v>32</v>
      </c>
    </row>
    <row r="1039" spans="1:29">
      <c r="A1039" t="s">
        <v>91</v>
      </c>
      <c r="B1039">
        <v>3244</v>
      </c>
      <c r="C1039">
        <v>25.198</v>
      </c>
      <c r="D1039">
        <v>53.734</v>
      </c>
      <c r="E1039">
        <v>162.188</v>
      </c>
      <c r="F1039">
        <v>0.13</v>
      </c>
      <c r="G1039">
        <v>23.315</v>
      </c>
      <c r="H1039">
        <v>1.578</v>
      </c>
      <c r="I1039">
        <v>2.652</v>
      </c>
      <c r="J1039">
        <v>0.508</v>
      </c>
      <c r="K1039">
        <v>11.283</v>
      </c>
      <c r="L1039">
        <v>0.825</v>
      </c>
      <c r="M1039">
        <v>3.512</v>
      </c>
      <c r="N1039">
        <v>90.13</v>
      </c>
      <c r="O1039">
        <v>88.129</v>
      </c>
      <c r="P1039">
        <f t="shared" si="67"/>
        <v>1.95486937106648</v>
      </c>
      <c r="Q1039">
        <f t="shared" si="67"/>
        <v>1.94511884220942</v>
      </c>
      <c r="R1039">
        <v>127.677</v>
      </c>
      <c r="S1039">
        <v>126.914</v>
      </c>
      <c r="T1039">
        <v>144.053</v>
      </c>
      <c r="U1039">
        <v>4.706</v>
      </c>
      <c r="V1039">
        <v>100</v>
      </c>
      <c r="W1039">
        <v>0.1</v>
      </c>
      <c r="X1039" t="s">
        <v>92</v>
      </c>
      <c r="Y1039" t="s">
        <v>31</v>
      </c>
      <c r="Z1039" s="3">
        <f t="shared" si="68"/>
        <v>0.0097505288570543</v>
      </c>
      <c r="AA1039">
        <f t="shared" si="69"/>
        <v>0.317</v>
      </c>
      <c r="AB1039">
        <f t="shared" si="70"/>
        <v>0.955</v>
      </c>
      <c r="AC1039" t="s">
        <v>32</v>
      </c>
    </row>
    <row r="1040" spans="1:29">
      <c r="A1040" t="s">
        <v>91</v>
      </c>
      <c r="B1040">
        <v>3244.125</v>
      </c>
      <c r="C1040">
        <v>24.444</v>
      </c>
      <c r="D1040">
        <v>53.887</v>
      </c>
      <c r="E1040">
        <v>160.463</v>
      </c>
      <c r="F1040">
        <v>0.102</v>
      </c>
      <c r="G1040">
        <v>23.281</v>
      </c>
      <c r="H1040">
        <v>1.593</v>
      </c>
      <c r="I1040">
        <v>2.654</v>
      </c>
      <c r="J1040">
        <v>0.514</v>
      </c>
      <c r="K1040">
        <v>11.689</v>
      </c>
      <c r="L1040">
        <v>0.889</v>
      </c>
      <c r="M1040">
        <v>3.519</v>
      </c>
      <c r="N1040">
        <v>84.096</v>
      </c>
      <c r="O1040">
        <v>82.939</v>
      </c>
      <c r="P1040">
        <f t="shared" si="67"/>
        <v>1.92477533920765</v>
      </c>
      <c r="Q1040">
        <f t="shared" si="67"/>
        <v>1.91875879474755</v>
      </c>
      <c r="R1040">
        <v>118.221</v>
      </c>
      <c r="S1040">
        <v>117.6</v>
      </c>
      <c r="T1040">
        <v>130.721</v>
      </c>
      <c r="U1040">
        <v>4.922</v>
      </c>
      <c r="V1040">
        <v>100</v>
      </c>
      <c r="W1040">
        <v>0.101</v>
      </c>
      <c r="X1040" t="s">
        <v>92</v>
      </c>
      <c r="Y1040" t="s">
        <v>31</v>
      </c>
      <c r="Z1040" s="3">
        <f t="shared" si="68"/>
        <v>0.00601654446009436</v>
      </c>
      <c r="AA1040">
        <f t="shared" si="69"/>
        <v>0.375</v>
      </c>
      <c r="AB1040">
        <f t="shared" si="70"/>
        <v>0.991</v>
      </c>
      <c r="AC1040" t="s">
        <v>32</v>
      </c>
    </row>
    <row r="1041" spans="1:29">
      <c r="A1041" t="s">
        <v>91</v>
      </c>
      <c r="B1041">
        <v>3244.25</v>
      </c>
      <c r="C1041">
        <v>26.748</v>
      </c>
      <c r="D1041">
        <v>54.078</v>
      </c>
      <c r="E1041">
        <v>158.601</v>
      </c>
      <c r="F1041">
        <v>0.073</v>
      </c>
      <c r="G1041">
        <v>23.284</v>
      </c>
      <c r="H1041">
        <v>1.481</v>
      </c>
      <c r="I1041">
        <v>2.651</v>
      </c>
      <c r="J1041">
        <v>0.505</v>
      </c>
      <c r="K1041">
        <v>12.062</v>
      </c>
      <c r="L1041">
        <v>0.947</v>
      </c>
      <c r="M1041">
        <v>3.538</v>
      </c>
      <c r="N1041">
        <v>79.782</v>
      </c>
      <c r="O1041">
        <v>78.919</v>
      </c>
      <c r="P1041">
        <f t="shared" si="67"/>
        <v>1.90190491913948</v>
      </c>
      <c r="Q1041">
        <f t="shared" si="67"/>
        <v>1.89718157357415</v>
      </c>
      <c r="R1041">
        <v>104.971</v>
      </c>
      <c r="S1041">
        <v>104.504</v>
      </c>
      <c r="T1041">
        <v>113.151</v>
      </c>
      <c r="U1041">
        <v>5.069</v>
      </c>
      <c r="V1041">
        <v>100</v>
      </c>
      <c r="W1041">
        <v>0.107</v>
      </c>
      <c r="X1041" t="s">
        <v>92</v>
      </c>
      <c r="Y1041" t="s">
        <v>31</v>
      </c>
      <c r="Z1041" s="3">
        <f t="shared" si="68"/>
        <v>0.00472334556532994</v>
      </c>
      <c r="AA1041">
        <f t="shared" si="69"/>
        <v>0.442</v>
      </c>
      <c r="AB1041">
        <f t="shared" si="70"/>
        <v>1.02</v>
      </c>
      <c r="AC1041" t="s">
        <v>32</v>
      </c>
    </row>
    <row r="1042" spans="1:29">
      <c r="A1042" t="s">
        <v>91</v>
      </c>
      <c r="B1042">
        <v>3244.375</v>
      </c>
      <c r="C1042">
        <v>30.855</v>
      </c>
      <c r="D1042">
        <v>54.306</v>
      </c>
      <c r="E1042">
        <v>157.101</v>
      </c>
      <c r="F1042">
        <v>0.049</v>
      </c>
      <c r="G1042">
        <v>23.325</v>
      </c>
      <c r="H1042">
        <v>1.289</v>
      </c>
      <c r="I1042">
        <v>2.64</v>
      </c>
      <c r="J1042">
        <v>0.47</v>
      </c>
      <c r="K1042">
        <v>12.319</v>
      </c>
      <c r="L1042">
        <v>0.987</v>
      </c>
      <c r="M1042">
        <v>3.564</v>
      </c>
      <c r="N1042">
        <v>77.522</v>
      </c>
      <c r="O1042">
        <v>76.826</v>
      </c>
      <c r="P1042">
        <f t="shared" si="67"/>
        <v>1.88942496860617</v>
      </c>
      <c r="Q1042">
        <f t="shared" si="67"/>
        <v>1.88550822192751</v>
      </c>
      <c r="R1042">
        <v>93.612</v>
      </c>
      <c r="S1042">
        <v>93.311</v>
      </c>
      <c r="T1042">
        <v>98.241</v>
      </c>
      <c r="U1042">
        <v>5.213</v>
      </c>
      <c r="V1042">
        <v>100</v>
      </c>
      <c r="W1042">
        <v>0.122</v>
      </c>
      <c r="X1042" t="s">
        <v>92</v>
      </c>
      <c r="Y1042" t="s">
        <v>31</v>
      </c>
      <c r="Z1042" s="3">
        <f t="shared" si="68"/>
        <v>0.00391674667865738</v>
      </c>
      <c r="AA1042">
        <f t="shared" si="69"/>
        <v>0.517</v>
      </c>
      <c r="AB1042">
        <f t="shared" si="70"/>
        <v>1.036</v>
      </c>
      <c r="AC1042" t="s">
        <v>32</v>
      </c>
    </row>
    <row r="1043" spans="1:29">
      <c r="A1043" t="s">
        <v>91</v>
      </c>
      <c r="B1043">
        <v>3244.5</v>
      </c>
      <c r="C1043">
        <v>33.026</v>
      </c>
      <c r="D1043">
        <v>54.564</v>
      </c>
      <c r="E1043">
        <v>156.666</v>
      </c>
      <c r="F1043">
        <v>0.042</v>
      </c>
      <c r="G1043">
        <v>23.342</v>
      </c>
      <c r="H1043">
        <v>1.132</v>
      </c>
      <c r="I1043">
        <v>2.624</v>
      </c>
      <c r="J1043">
        <v>0.421</v>
      </c>
      <c r="K1043">
        <v>12.399</v>
      </c>
      <c r="L1043">
        <v>1</v>
      </c>
      <c r="M1043">
        <v>3.592</v>
      </c>
      <c r="N1043">
        <v>74.935</v>
      </c>
      <c r="O1043">
        <v>74.343</v>
      </c>
      <c r="P1043">
        <f t="shared" si="67"/>
        <v>1.87468471164471</v>
      </c>
      <c r="Q1043">
        <f t="shared" si="67"/>
        <v>1.87124008241423</v>
      </c>
      <c r="R1043">
        <v>87.407</v>
      </c>
      <c r="S1043">
        <v>87.407</v>
      </c>
      <c r="T1043">
        <v>90.252</v>
      </c>
      <c r="U1043">
        <v>5.507</v>
      </c>
      <c r="V1043">
        <v>100</v>
      </c>
      <c r="W1043">
        <v>0.155</v>
      </c>
      <c r="X1043" t="s">
        <v>92</v>
      </c>
      <c r="Y1043" t="s">
        <v>31</v>
      </c>
      <c r="Z1043" s="3">
        <f t="shared" si="68"/>
        <v>0.00344462923048172</v>
      </c>
      <c r="AA1043">
        <f t="shared" si="69"/>
        <v>0.579</v>
      </c>
      <c r="AB1043">
        <f t="shared" si="70"/>
        <v>1.042</v>
      </c>
      <c r="AC1043" t="s">
        <v>32</v>
      </c>
    </row>
    <row r="1044" spans="1:29">
      <c r="A1044" t="s">
        <v>91</v>
      </c>
      <c r="B1044">
        <v>3244.625</v>
      </c>
      <c r="C1044">
        <v>29.874</v>
      </c>
      <c r="D1044">
        <v>54.851</v>
      </c>
      <c r="E1044">
        <v>158.107</v>
      </c>
      <c r="F1044">
        <v>0.065</v>
      </c>
      <c r="G1044">
        <v>23.312</v>
      </c>
      <c r="H1044">
        <v>1.193</v>
      </c>
      <c r="I1044">
        <v>2.606</v>
      </c>
      <c r="J1044">
        <v>0.364</v>
      </c>
      <c r="K1044">
        <v>12.287</v>
      </c>
      <c r="L1044">
        <v>0.982</v>
      </c>
      <c r="M1044">
        <v>3.62</v>
      </c>
      <c r="N1044">
        <v>74.072</v>
      </c>
      <c r="O1044">
        <v>73.434</v>
      </c>
      <c r="P1044">
        <f t="shared" si="67"/>
        <v>1.86965407108925</v>
      </c>
      <c r="Q1044">
        <f t="shared" si="67"/>
        <v>1.86589718516838</v>
      </c>
      <c r="R1044">
        <v>86.437</v>
      </c>
      <c r="S1044">
        <v>86.683</v>
      </c>
      <c r="T1044">
        <v>89.89</v>
      </c>
      <c r="U1044">
        <v>6.077</v>
      </c>
      <c r="V1044">
        <v>100</v>
      </c>
      <c r="W1044">
        <v>0.24</v>
      </c>
      <c r="X1044" t="s">
        <v>92</v>
      </c>
      <c r="Y1044" t="s">
        <v>31</v>
      </c>
      <c r="Z1044" s="3">
        <f t="shared" si="68"/>
        <v>0.00375688592087653</v>
      </c>
      <c r="AA1044">
        <f t="shared" si="69"/>
        <v>0.618</v>
      </c>
      <c r="AB1044">
        <f t="shared" si="70"/>
        <v>1.047</v>
      </c>
      <c r="AC1044" t="s">
        <v>32</v>
      </c>
    </row>
    <row r="1045" spans="1:29">
      <c r="A1045" t="s">
        <v>91</v>
      </c>
      <c r="B1045">
        <v>3244.75</v>
      </c>
      <c r="C1045">
        <v>28.527</v>
      </c>
      <c r="D1045">
        <v>55.154</v>
      </c>
      <c r="E1045">
        <v>160.942</v>
      </c>
      <c r="F1045">
        <v>0.11</v>
      </c>
      <c r="G1045">
        <v>23.296</v>
      </c>
      <c r="H1045">
        <v>1.257</v>
      </c>
      <c r="I1045">
        <v>2.587</v>
      </c>
      <c r="J1045">
        <v>0.305</v>
      </c>
      <c r="K1045">
        <v>12.057</v>
      </c>
      <c r="L1045">
        <v>0.946</v>
      </c>
      <c r="M1045">
        <v>3.646</v>
      </c>
      <c r="N1045">
        <v>76.669</v>
      </c>
      <c r="O1045">
        <v>75.87</v>
      </c>
      <c r="P1045">
        <f t="shared" si="67"/>
        <v>1.88461979875494</v>
      </c>
      <c r="Q1045">
        <f t="shared" si="67"/>
        <v>1.88007008406407</v>
      </c>
      <c r="R1045">
        <v>90.709</v>
      </c>
      <c r="S1045">
        <v>91.044</v>
      </c>
      <c r="T1045">
        <v>94.769</v>
      </c>
      <c r="U1045">
        <v>6.482</v>
      </c>
      <c r="V1045">
        <v>100</v>
      </c>
      <c r="W1045">
        <v>0.318</v>
      </c>
      <c r="X1045" t="s">
        <v>92</v>
      </c>
      <c r="Y1045" t="s">
        <v>31</v>
      </c>
      <c r="Z1045" s="3">
        <f t="shared" si="68"/>
        <v>0.00454971469087395</v>
      </c>
      <c r="AA1045">
        <f t="shared" si="69"/>
        <v>0.641</v>
      </c>
      <c r="AB1045">
        <f t="shared" si="70"/>
        <v>1.056</v>
      </c>
      <c r="AC1045" t="s">
        <v>32</v>
      </c>
    </row>
    <row r="1046" spans="1:29">
      <c r="A1046" t="s">
        <v>91</v>
      </c>
      <c r="B1046">
        <v>3244.875</v>
      </c>
      <c r="C1046">
        <v>28.001</v>
      </c>
      <c r="D1046">
        <v>55.466</v>
      </c>
      <c r="E1046">
        <v>164.144</v>
      </c>
      <c r="F1046">
        <v>0.161</v>
      </c>
      <c r="G1046">
        <v>23.282</v>
      </c>
      <c r="H1046">
        <v>1.292</v>
      </c>
      <c r="I1046">
        <v>2.578</v>
      </c>
      <c r="J1046">
        <v>0.277</v>
      </c>
      <c r="K1046">
        <v>11.735</v>
      </c>
      <c r="L1046">
        <v>0.896</v>
      </c>
      <c r="M1046">
        <v>3.669</v>
      </c>
      <c r="N1046">
        <v>81.152</v>
      </c>
      <c r="O1046">
        <v>80.42</v>
      </c>
      <c r="P1046">
        <f t="shared" si="67"/>
        <v>1.9092992275296</v>
      </c>
      <c r="Q1046">
        <f t="shared" si="67"/>
        <v>1.90536406876689</v>
      </c>
      <c r="R1046">
        <v>98.697</v>
      </c>
      <c r="S1046">
        <v>99.008</v>
      </c>
      <c r="T1046">
        <v>102.489</v>
      </c>
      <c r="U1046">
        <v>6.56</v>
      </c>
      <c r="V1046">
        <v>100</v>
      </c>
      <c r="W1046">
        <v>0.334</v>
      </c>
      <c r="X1046" t="s">
        <v>92</v>
      </c>
      <c r="Y1046" t="s">
        <v>31</v>
      </c>
      <c r="Z1046" s="3">
        <f t="shared" si="68"/>
        <v>0.00393515876270878</v>
      </c>
      <c r="AA1046">
        <f t="shared" si="69"/>
        <v>0.619</v>
      </c>
      <c r="AB1046">
        <f t="shared" si="70"/>
        <v>1.057</v>
      </c>
      <c r="AC1046" t="s">
        <v>32</v>
      </c>
    </row>
    <row r="1047" spans="1:29">
      <c r="A1047" t="s">
        <v>91</v>
      </c>
      <c r="B1047">
        <v>3245</v>
      </c>
      <c r="C1047">
        <v>25.768</v>
      </c>
      <c r="D1047">
        <v>55.778</v>
      </c>
      <c r="E1047">
        <v>166.246</v>
      </c>
      <c r="F1047">
        <v>0.195</v>
      </c>
      <c r="G1047">
        <v>23.195</v>
      </c>
      <c r="H1047">
        <v>1.263</v>
      </c>
      <c r="I1047">
        <v>2.571</v>
      </c>
      <c r="J1047">
        <v>0.255</v>
      </c>
      <c r="K1047">
        <v>11.392</v>
      </c>
      <c r="L1047">
        <v>0.842</v>
      </c>
      <c r="M1047">
        <v>3.689</v>
      </c>
      <c r="N1047">
        <v>84.716</v>
      </c>
      <c r="O1047">
        <v>83.923</v>
      </c>
      <c r="P1047">
        <f t="shared" si="67"/>
        <v>1.9279654416823</v>
      </c>
      <c r="Q1047">
        <f t="shared" si="67"/>
        <v>1.92388100021122</v>
      </c>
      <c r="R1047">
        <v>106.629</v>
      </c>
      <c r="S1047">
        <v>106.85</v>
      </c>
      <c r="T1047">
        <v>109.683</v>
      </c>
      <c r="U1047">
        <v>6.669</v>
      </c>
      <c r="V1047">
        <v>100</v>
      </c>
      <c r="W1047">
        <v>0.359</v>
      </c>
      <c r="X1047" t="s">
        <v>92</v>
      </c>
      <c r="Y1047" t="s">
        <v>31</v>
      </c>
      <c r="Z1047" s="3">
        <f t="shared" si="68"/>
        <v>0.00408444147108411</v>
      </c>
      <c r="AA1047">
        <f t="shared" si="69"/>
        <v>0.587</v>
      </c>
      <c r="AB1047">
        <f t="shared" si="70"/>
        <v>1.037</v>
      </c>
      <c r="AC1047" t="s">
        <v>32</v>
      </c>
    </row>
    <row r="1048" spans="1:29">
      <c r="A1048" t="s">
        <v>93</v>
      </c>
      <c r="B1048">
        <v>3824</v>
      </c>
      <c r="C1048">
        <v>17.857</v>
      </c>
      <c r="D1048">
        <v>39.482</v>
      </c>
      <c r="E1048">
        <v>171.678</v>
      </c>
      <c r="F1048">
        <v>0.241</v>
      </c>
      <c r="G1048">
        <v>23.331</v>
      </c>
      <c r="H1048">
        <v>1.935</v>
      </c>
      <c r="I1048">
        <v>2.728</v>
      </c>
      <c r="J1048">
        <v>0.499</v>
      </c>
      <c r="K1048">
        <v>12.118</v>
      </c>
      <c r="L1048">
        <v>0.411</v>
      </c>
      <c r="M1048">
        <v>3.091</v>
      </c>
      <c r="N1048">
        <v>51.453</v>
      </c>
      <c r="O1048">
        <v>47.478</v>
      </c>
      <c r="P1048">
        <f t="shared" si="67"/>
        <v>1.7114107016536</v>
      </c>
      <c r="Q1048">
        <f t="shared" si="67"/>
        <v>1.67649241611115</v>
      </c>
      <c r="R1048">
        <v>47.478</v>
      </c>
      <c r="S1048">
        <v>47.478</v>
      </c>
      <c r="T1048">
        <v>51.453</v>
      </c>
      <c r="U1048">
        <v>5.731</v>
      </c>
      <c r="V1048">
        <v>68.776</v>
      </c>
      <c r="W1048">
        <v>0.118</v>
      </c>
      <c r="X1048" t="s">
        <v>92</v>
      </c>
      <c r="Y1048" t="s">
        <v>31</v>
      </c>
      <c r="Z1048" s="3">
        <f t="shared" si="68"/>
        <v>0.0349182855424446</v>
      </c>
      <c r="AA1048">
        <f t="shared" si="69"/>
        <v>-0.088</v>
      </c>
      <c r="AB1048">
        <f t="shared" si="70"/>
        <v>0.652</v>
      </c>
      <c r="AC1048" t="s">
        <v>32</v>
      </c>
    </row>
    <row r="1049" spans="1:29">
      <c r="A1049" t="s">
        <v>93</v>
      </c>
      <c r="B1049">
        <v>3824.125</v>
      </c>
      <c r="C1049">
        <v>17.957</v>
      </c>
      <c r="D1049">
        <v>38.926</v>
      </c>
      <c r="E1049">
        <v>170.72</v>
      </c>
      <c r="F1049">
        <v>0.23</v>
      </c>
      <c r="G1049">
        <v>23.466</v>
      </c>
      <c r="H1049">
        <v>1.917</v>
      </c>
      <c r="I1049">
        <v>2.731</v>
      </c>
      <c r="J1049">
        <v>0.505</v>
      </c>
      <c r="K1049">
        <v>11.981</v>
      </c>
      <c r="L1049">
        <v>0.407</v>
      </c>
      <c r="M1049">
        <v>3.064</v>
      </c>
      <c r="N1049">
        <v>47.373</v>
      </c>
      <c r="O1049">
        <v>43.713</v>
      </c>
      <c r="P1049">
        <f t="shared" si="67"/>
        <v>1.67553088825742</v>
      </c>
      <c r="Q1049">
        <f t="shared" si="67"/>
        <v>1.64061061291236</v>
      </c>
      <c r="R1049">
        <v>43.713</v>
      </c>
      <c r="S1049">
        <v>43.713</v>
      </c>
      <c r="T1049">
        <v>47.373</v>
      </c>
      <c r="U1049">
        <v>5.541</v>
      </c>
      <c r="V1049">
        <v>73.78</v>
      </c>
      <c r="W1049">
        <v>0.105</v>
      </c>
      <c r="X1049" t="s">
        <v>92</v>
      </c>
      <c r="Y1049" t="s">
        <v>31</v>
      </c>
      <c r="Z1049" s="3">
        <f t="shared" si="68"/>
        <v>0.0349202753450626</v>
      </c>
      <c r="AA1049">
        <f t="shared" si="69"/>
        <v>-0.098</v>
      </c>
      <c r="AB1049">
        <f t="shared" si="70"/>
        <v>0.637</v>
      </c>
      <c r="AC1049" t="s">
        <v>32</v>
      </c>
    </row>
    <row r="1050" spans="1:29">
      <c r="A1050" t="s">
        <v>93</v>
      </c>
      <c r="B1050">
        <v>3824.25</v>
      </c>
      <c r="C1050">
        <v>17.049</v>
      </c>
      <c r="D1050">
        <v>38.58</v>
      </c>
      <c r="E1050">
        <v>169.05</v>
      </c>
      <c r="F1050">
        <v>0.211</v>
      </c>
      <c r="G1050">
        <v>23.627</v>
      </c>
      <c r="H1050">
        <v>1.926</v>
      </c>
      <c r="I1050">
        <v>2.731</v>
      </c>
      <c r="J1050">
        <v>0.505</v>
      </c>
      <c r="K1050">
        <v>11.71</v>
      </c>
      <c r="L1050">
        <v>0.397</v>
      </c>
      <c r="M1050">
        <v>3.11</v>
      </c>
      <c r="N1050">
        <v>44.289</v>
      </c>
      <c r="O1050">
        <v>40.868</v>
      </c>
      <c r="P1050">
        <f t="shared" si="67"/>
        <v>1.64629587447341</v>
      </c>
      <c r="Q1050">
        <f t="shared" si="67"/>
        <v>1.61138338470898</v>
      </c>
      <c r="R1050">
        <v>40.868</v>
      </c>
      <c r="S1050">
        <v>40.868</v>
      </c>
      <c r="T1050">
        <v>44.289</v>
      </c>
      <c r="U1050">
        <v>5.219</v>
      </c>
      <c r="V1050">
        <v>80.308</v>
      </c>
      <c r="W1050">
        <v>0.1</v>
      </c>
      <c r="X1050" t="s">
        <v>92</v>
      </c>
      <c r="Y1050" t="s">
        <v>31</v>
      </c>
      <c r="Z1050" s="3">
        <f t="shared" si="68"/>
        <v>0.03491248976443</v>
      </c>
      <c r="AA1050">
        <f t="shared" si="69"/>
        <v>-0.108</v>
      </c>
      <c r="AB1050">
        <f t="shared" si="70"/>
        <v>0.608</v>
      </c>
      <c r="AC1050" t="s">
        <v>32</v>
      </c>
    </row>
    <row r="1051" spans="1:29">
      <c r="A1051" t="s">
        <v>93</v>
      </c>
      <c r="B1051">
        <v>3824.375</v>
      </c>
      <c r="C1051">
        <v>16.206</v>
      </c>
      <c r="D1051">
        <v>38.386</v>
      </c>
      <c r="E1051">
        <v>167.02</v>
      </c>
      <c r="F1051">
        <v>0.188</v>
      </c>
      <c r="G1051">
        <v>23.684</v>
      </c>
      <c r="H1051">
        <v>1.939</v>
      </c>
      <c r="I1051">
        <v>2.731</v>
      </c>
      <c r="J1051">
        <v>0.505</v>
      </c>
      <c r="K1051">
        <v>11.576</v>
      </c>
      <c r="L1051">
        <v>0.392</v>
      </c>
      <c r="M1051">
        <v>3.187</v>
      </c>
      <c r="N1051">
        <v>45.308</v>
      </c>
      <c r="O1051">
        <v>41.808</v>
      </c>
      <c r="P1051">
        <f t="shared" si="67"/>
        <v>1.65617489183855</v>
      </c>
      <c r="Q1051">
        <f t="shared" si="67"/>
        <v>1.62125939238325</v>
      </c>
      <c r="R1051">
        <v>41.808</v>
      </c>
      <c r="S1051">
        <v>41.808</v>
      </c>
      <c r="T1051">
        <v>45.308</v>
      </c>
      <c r="U1051">
        <v>4.814</v>
      </c>
      <c r="V1051">
        <v>85.063</v>
      </c>
      <c r="W1051">
        <v>0.1</v>
      </c>
      <c r="X1051" t="s">
        <v>92</v>
      </c>
      <c r="Y1051" t="s">
        <v>31</v>
      </c>
      <c r="Z1051" s="3">
        <f t="shared" si="68"/>
        <v>0.0349154994552978</v>
      </c>
      <c r="AA1051">
        <f t="shared" si="69"/>
        <v>-0.113</v>
      </c>
      <c r="AB1051">
        <f t="shared" si="70"/>
        <v>0.58</v>
      </c>
      <c r="AC1051" t="s">
        <v>32</v>
      </c>
    </row>
    <row r="1052" spans="1:29">
      <c r="A1052" t="s">
        <v>93</v>
      </c>
      <c r="B1052">
        <v>3824.5</v>
      </c>
      <c r="C1052">
        <v>16.203</v>
      </c>
      <c r="D1052">
        <v>38.305</v>
      </c>
      <c r="E1052">
        <v>165.057</v>
      </c>
      <c r="F1052">
        <v>0.165</v>
      </c>
      <c r="G1052">
        <v>23.583</v>
      </c>
      <c r="H1052">
        <v>1.935</v>
      </c>
      <c r="I1052">
        <v>2.732</v>
      </c>
      <c r="J1052">
        <v>0.507</v>
      </c>
      <c r="K1052">
        <v>11.703</v>
      </c>
      <c r="L1052">
        <v>0.397</v>
      </c>
      <c r="M1052">
        <v>3.263</v>
      </c>
      <c r="N1052">
        <v>51.126</v>
      </c>
      <c r="O1052">
        <v>47.177</v>
      </c>
      <c r="P1052">
        <f t="shared" si="67"/>
        <v>1.70864181568991</v>
      </c>
      <c r="Q1052">
        <f t="shared" si="67"/>
        <v>1.67373032050739</v>
      </c>
      <c r="R1052">
        <v>47.177</v>
      </c>
      <c r="S1052">
        <v>47.177</v>
      </c>
      <c r="T1052">
        <v>51.126</v>
      </c>
      <c r="U1052">
        <v>4.395</v>
      </c>
      <c r="V1052">
        <v>86.483</v>
      </c>
      <c r="W1052">
        <v>0.1</v>
      </c>
      <c r="X1052" t="s">
        <v>92</v>
      </c>
      <c r="Y1052" t="s">
        <v>31</v>
      </c>
      <c r="Z1052" s="3">
        <f t="shared" si="68"/>
        <v>0.03491149518252</v>
      </c>
      <c r="AA1052">
        <f t="shared" si="69"/>
        <v>-0.11</v>
      </c>
      <c r="AB1052">
        <f t="shared" si="70"/>
        <v>0.562</v>
      </c>
      <c r="AC1052" t="s">
        <v>32</v>
      </c>
    </row>
    <row r="1053" spans="1:29">
      <c r="A1053" t="s">
        <v>93</v>
      </c>
      <c r="B1053">
        <v>3824.625</v>
      </c>
      <c r="C1053">
        <v>16.77</v>
      </c>
      <c r="D1053">
        <v>38.305</v>
      </c>
      <c r="E1053">
        <v>163.73</v>
      </c>
      <c r="F1053">
        <v>0.15</v>
      </c>
      <c r="G1053">
        <v>23.451</v>
      </c>
      <c r="H1053">
        <v>1.918</v>
      </c>
      <c r="I1053">
        <v>2.731</v>
      </c>
      <c r="J1053">
        <v>0.505</v>
      </c>
      <c r="K1053">
        <v>11.886</v>
      </c>
      <c r="L1053">
        <v>0.403</v>
      </c>
      <c r="M1053">
        <v>3.325</v>
      </c>
      <c r="N1053">
        <v>57.745</v>
      </c>
      <c r="O1053">
        <v>53.284</v>
      </c>
      <c r="P1053">
        <f t="shared" si="67"/>
        <v>1.76151438568248</v>
      </c>
      <c r="Q1053">
        <f t="shared" si="67"/>
        <v>1.72659681962924</v>
      </c>
      <c r="R1053">
        <v>53.284</v>
      </c>
      <c r="S1053">
        <v>53.284</v>
      </c>
      <c r="T1053">
        <v>57.745</v>
      </c>
      <c r="U1053">
        <v>4.094</v>
      </c>
      <c r="V1053">
        <v>86.333</v>
      </c>
      <c r="W1053">
        <v>0.1</v>
      </c>
      <c r="X1053" t="s">
        <v>92</v>
      </c>
      <c r="Y1053" t="s">
        <v>31</v>
      </c>
      <c r="Z1053" s="3">
        <f t="shared" si="68"/>
        <v>0.0349175660532439</v>
      </c>
      <c r="AA1053">
        <f t="shared" si="69"/>
        <v>-0.102</v>
      </c>
      <c r="AB1053">
        <f t="shared" si="70"/>
        <v>0.553</v>
      </c>
      <c r="AC1053" t="s">
        <v>32</v>
      </c>
    </row>
    <row r="1054" spans="1:29">
      <c r="A1054" t="s">
        <v>93</v>
      </c>
      <c r="B1054">
        <v>3824.75</v>
      </c>
      <c r="C1054">
        <v>17.337</v>
      </c>
      <c r="D1054">
        <v>38.349</v>
      </c>
      <c r="E1054">
        <v>163.389</v>
      </c>
      <c r="F1054">
        <v>0.146</v>
      </c>
      <c r="G1054">
        <v>23.384</v>
      </c>
      <c r="H1054">
        <v>1.907</v>
      </c>
      <c r="I1054">
        <v>2.727</v>
      </c>
      <c r="J1054">
        <v>0.497</v>
      </c>
      <c r="K1054">
        <v>11.875</v>
      </c>
      <c r="L1054">
        <v>0.403</v>
      </c>
      <c r="M1054">
        <v>3.38</v>
      </c>
      <c r="N1054">
        <v>60.275</v>
      </c>
      <c r="O1054">
        <v>55.619</v>
      </c>
      <c r="P1054">
        <f t="shared" si="67"/>
        <v>1.78013721904949</v>
      </c>
      <c r="Q1054">
        <f t="shared" si="67"/>
        <v>1.74522317621483</v>
      </c>
      <c r="R1054">
        <v>55.619</v>
      </c>
      <c r="S1054">
        <v>55.619</v>
      </c>
      <c r="T1054">
        <v>60.275</v>
      </c>
      <c r="U1054">
        <v>3.998</v>
      </c>
      <c r="V1054">
        <v>86.088</v>
      </c>
      <c r="W1054">
        <v>0.1</v>
      </c>
      <c r="X1054" t="s">
        <v>92</v>
      </c>
      <c r="Y1054" t="s">
        <v>31</v>
      </c>
      <c r="Z1054" s="3">
        <f t="shared" si="68"/>
        <v>0.0349140428346564</v>
      </c>
      <c r="AA1054">
        <f t="shared" si="69"/>
        <v>-0.094</v>
      </c>
      <c r="AB1054">
        <f t="shared" si="70"/>
        <v>0.549</v>
      </c>
      <c r="AC1054" t="s">
        <v>32</v>
      </c>
    </row>
    <row r="1055" spans="1:29">
      <c r="A1055" t="s">
        <v>93</v>
      </c>
      <c r="B1055">
        <v>3824.875</v>
      </c>
      <c r="C1055">
        <v>17.969</v>
      </c>
      <c r="D1055">
        <v>38.406</v>
      </c>
      <c r="E1055">
        <v>164.149</v>
      </c>
      <c r="F1055">
        <v>0.155</v>
      </c>
      <c r="G1055">
        <v>23.396</v>
      </c>
      <c r="H1055">
        <v>1.895</v>
      </c>
      <c r="I1055">
        <v>2.723</v>
      </c>
      <c r="J1055">
        <v>0.489</v>
      </c>
      <c r="K1055">
        <v>11.711</v>
      </c>
      <c r="L1055">
        <v>0.397</v>
      </c>
      <c r="M1055">
        <v>3.446</v>
      </c>
      <c r="N1055">
        <v>58.578</v>
      </c>
      <c r="O1055">
        <v>54.052</v>
      </c>
      <c r="P1055">
        <f t="shared" si="67"/>
        <v>1.76773453969465</v>
      </c>
      <c r="Q1055">
        <f t="shared" si="67"/>
        <v>1.73281176809311</v>
      </c>
      <c r="R1055">
        <v>54.052</v>
      </c>
      <c r="S1055">
        <v>54.052</v>
      </c>
      <c r="T1055">
        <v>58.578</v>
      </c>
      <c r="U1055">
        <v>4.131</v>
      </c>
      <c r="V1055">
        <v>84.922</v>
      </c>
      <c r="W1055">
        <v>0.1</v>
      </c>
      <c r="X1055" t="s">
        <v>92</v>
      </c>
      <c r="Y1055" t="s">
        <v>31</v>
      </c>
      <c r="Z1055" s="3">
        <f t="shared" si="68"/>
        <v>0.0349227716015437</v>
      </c>
      <c r="AA1055">
        <f t="shared" si="69"/>
        <v>-0.092</v>
      </c>
      <c r="AB1055">
        <f t="shared" si="70"/>
        <v>0.552</v>
      </c>
      <c r="AC1055" t="s">
        <v>32</v>
      </c>
    </row>
    <row r="1056" spans="1:29">
      <c r="A1056" t="s">
        <v>93</v>
      </c>
      <c r="B1056">
        <v>3825</v>
      </c>
      <c r="C1056">
        <v>18.703</v>
      </c>
      <c r="D1056">
        <v>38.462</v>
      </c>
      <c r="E1056">
        <v>165.672</v>
      </c>
      <c r="F1056">
        <v>0.172</v>
      </c>
      <c r="G1056">
        <v>23.506</v>
      </c>
      <c r="H1056">
        <v>1.88</v>
      </c>
      <c r="I1056">
        <v>2.718</v>
      </c>
      <c r="J1056">
        <v>0.48</v>
      </c>
      <c r="K1056">
        <v>11.514</v>
      </c>
      <c r="L1056">
        <v>0.39</v>
      </c>
      <c r="M1056">
        <v>3.55</v>
      </c>
      <c r="N1056">
        <v>55.84</v>
      </c>
      <c r="O1056">
        <v>51.526</v>
      </c>
      <c r="P1056">
        <f t="shared" si="67"/>
        <v>1.7469454096151</v>
      </c>
      <c r="Q1056">
        <f t="shared" si="67"/>
        <v>1.71202642918036</v>
      </c>
      <c r="R1056">
        <v>51.526</v>
      </c>
      <c r="S1056">
        <v>51.526</v>
      </c>
      <c r="T1056">
        <v>55.84</v>
      </c>
      <c r="U1056">
        <v>4.425</v>
      </c>
      <c r="V1056">
        <v>82.103</v>
      </c>
      <c r="W1056">
        <v>0.1</v>
      </c>
      <c r="X1056" t="s">
        <v>92</v>
      </c>
      <c r="Y1056" t="s">
        <v>31</v>
      </c>
      <c r="Z1056" s="3">
        <f t="shared" si="68"/>
        <v>0.0349189804347412</v>
      </c>
      <c r="AA1056">
        <f t="shared" si="69"/>
        <v>-0.09</v>
      </c>
      <c r="AB1056">
        <f t="shared" si="70"/>
        <v>0.562</v>
      </c>
      <c r="AC1056" t="s">
        <v>32</v>
      </c>
    </row>
    <row r="1057" spans="1:29">
      <c r="A1057" t="s">
        <v>93</v>
      </c>
      <c r="B1057">
        <v>3825.125</v>
      </c>
      <c r="C1057">
        <v>18.916</v>
      </c>
      <c r="D1057">
        <v>38.511</v>
      </c>
      <c r="E1057">
        <v>167.162</v>
      </c>
      <c r="F1057">
        <v>0.189</v>
      </c>
      <c r="G1057">
        <v>23.756</v>
      </c>
      <c r="H1057">
        <v>1.896</v>
      </c>
      <c r="I1057">
        <v>2.715</v>
      </c>
      <c r="J1057">
        <v>0.474</v>
      </c>
      <c r="K1057">
        <v>11.389</v>
      </c>
      <c r="L1057">
        <v>0.385</v>
      </c>
      <c r="M1057">
        <v>3.694</v>
      </c>
      <c r="N1057">
        <v>55.049</v>
      </c>
      <c r="O1057">
        <v>50.796</v>
      </c>
      <c r="P1057">
        <f t="shared" si="67"/>
        <v>1.74074943414471</v>
      </c>
      <c r="Q1057">
        <f t="shared" si="67"/>
        <v>1.70582951452164</v>
      </c>
      <c r="R1057">
        <v>50.796</v>
      </c>
      <c r="S1057">
        <v>50.796</v>
      </c>
      <c r="T1057">
        <v>55.049</v>
      </c>
      <c r="U1057">
        <v>4.74</v>
      </c>
      <c r="V1057">
        <v>78.103</v>
      </c>
      <c r="W1057">
        <v>0.1</v>
      </c>
      <c r="X1057" t="s">
        <v>92</v>
      </c>
      <c r="Y1057" t="s">
        <v>31</v>
      </c>
      <c r="Z1057" s="3">
        <f t="shared" si="68"/>
        <v>0.0349199196230747</v>
      </c>
      <c r="AA1057">
        <f t="shared" si="69"/>
        <v>-0.089</v>
      </c>
      <c r="AB1057">
        <f t="shared" si="70"/>
        <v>0.574</v>
      </c>
      <c r="AC1057" t="s">
        <v>32</v>
      </c>
    </row>
    <row r="1058" spans="1:29">
      <c r="A1058" t="s">
        <v>93</v>
      </c>
      <c r="B1058">
        <v>3825.25</v>
      </c>
      <c r="C1058">
        <v>18.367</v>
      </c>
      <c r="D1058">
        <v>38.549</v>
      </c>
      <c r="E1058">
        <v>168.089</v>
      </c>
      <c r="F1058">
        <v>0.2</v>
      </c>
      <c r="G1058">
        <v>23.997</v>
      </c>
      <c r="H1058">
        <v>1.947</v>
      </c>
      <c r="I1058">
        <v>2.711</v>
      </c>
      <c r="J1058">
        <v>0.466</v>
      </c>
      <c r="K1058">
        <v>11.286</v>
      </c>
      <c r="L1058">
        <v>0.382</v>
      </c>
      <c r="M1058">
        <v>3.833</v>
      </c>
      <c r="N1058">
        <v>55.893</v>
      </c>
      <c r="O1058">
        <v>51.575</v>
      </c>
      <c r="P1058">
        <f t="shared" si="67"/>
        <v>1.74735742055667</v>
      </c>
      <c r="Q1058">
        <f t="shared" si="67"/>
        <v>1.71243923664519</v>
      </c>
      <c r="R1058">
        <v>51.575</v>
      </c>
      <c r="S1058">
        <v>51.575</v>
      </c>
      <c r="T1058">
        <v>55.893</v>
      </c>
      <c r="U1058">
        <v>4.954</v>
      </c>
      <c r="V1058">
        <v>74.694</v>
      </c>
      <c r="W1058">
        <v>0.1</v>
      </c>
      <c r="X1058" t="s">
        <v>92</v>
      </c>
      <c r="Y1058" t="s">
        <v>31</v>
      </c>
      <c r="Z1058" s="3">
        <f t="shared" si="68"/>
        <v>0.0349181839114854</v>
      </c>
      <c r="AA1058">
        <f t="shared" si="69"/>
        <v>-0.084</v>
      </c>
      <c r="AB1058">
        <f t="shared" si="70"/>
        <v>0.582</v>
      </c>
      <c r="AC1058" t="s">
        <v>32</v>
      </c>
    </row>
    <row r="1059" spans="1:29">
      <c r="A1059" t="s">
        <v>93</v>
      </c>
      <c r="B1059">
        <v>3825.375</v>
      </c>
      <c r="C1059">
        <v>17.862</v>
      </c>
      <c r="D1059">
        <v>38.581</v>
      </c>
      <c r="E1059">
        <v>168.38</v>
      </c>
      <c r="F1059">
        <v>0.203</v>
      </c>
      <c r="G1059">
        <v>24.113</v>
      </c>
      <c r="H1059">
        <v>1.993</v>
      </c>
      <c r="I1059">
        <v>2.707</v>
      </c>
      <c r="J1059">
        <v>0.458</v>
      </c>
      <c r="K1059">
        <v>11.16</v>
      </c>
      <c r="L1059">
        <v>0.377</v>
      </c>
      <c r="M1059">
        <v>3.936</v>
      </c>
      <c r="N1059">
        <v>57.342</v>
      </c>
      <c r="O1059">
        <v>52.912</v>
      </c>
      <c r="P1059">
        <f t="shared" si="67"/>
        <v>1.7584728363924</v>
      </c>
      <c r="Q1059">
        <f t="shared" si="67"/>
        <v>1.72355417756963</v>
      </c>
      <c r="R1059">
        <v>52.912</v>
      </c>
      <c r="S1059">
        <v>52.912</v>
      </c>
      <c r="T1059">
        <v>57.342</v>
      </c>
      <c r="U1059">
        <v>5.032</v>
      </c>
      <c r="V1059">
        <v>72.773</v>
      </c>
      <c r="W1059">
        <v>0.1</v>
      </c>
      <c r="X1059" t="s">
        <v>92</v>
      </c>
      <c r="Y1059" t="s">
        <v>31</v>
      </c>
      <c r="Z1059" s="3">
        <f t="shared" si="68"/>
        <v>0.0349186588227723</v>
      </c>
      <c r="AA1059">
        <f t="shared" si="69"/>
        <v>-0.081</v>
      </c>
      <c r="AB1059">
        <f t="shared" si="70"/>
        <v>0.58</v>
      </c>
      <c r="AC1059" t="s">
        <v>32</v>
      </c>
    </row>
    <row r="1060" spans="1:29">
      <c r="A1060" t="s">
        <v>93</v>
      </c>
      <c r="B1060">
        <v>3825.5</v>
      </c>
      <c r="C1060">
        <v>17.851</v>
      </c>
      <c r="D1060">
        <v>38.608</v>
      </c>
      <c r="E1060">
        <v>168.058</v>
      </c>
      <c r="F1060">
        <v>0.2</v>
      </c>
      <c r="G1060">
        <v>24.178</v>
      </c>
      <c r="H1060">
        <v>2.022</v>
      </c>
      <c r="I1060">
        <v>2.703</v>
      </c>
      <c r="J1060">
        <v>0.45</v>
      </c>
      <c r="K1060">
        <v>11.007</v>
      </c>
      <c r="L1060">
        <v>0.372</v>
      </c>
      <c r="M1060">
        <v>4.002</v>
      </c>
      <c r="N1060">
        <v>58.919</v>
      </c>
      <c r="O1060">
        <v>54.367</v>
      </c>
      <c r="P1060">
        <f t="shared" si="67"/>
        <v>1.77025536719016</v>
      </c>
      <c r="Q1060">
        <f t="shared" si="67"/>
        <v>1.73533536906219</v>
      </c>
      <c r="R1060">
        <v>54.367</v>
      </c>
      <c r="S1060">
        <v>54.367</v>
      </c>
      <c r="T1060">
        <v>58.919</v>
      </c>
      <c r="U1060">
        <v>4.978</v>
      </c>
      <c r="V1060">
        <v>72.456</v>
      </c>
      <c r="W1060">
        <v>0.1</v>
      </c>
      <c r="X1060" t="s">
        <v>92</v>
      </c>
      <c r="Y1060" t="s">
        <v>31</v>
      </c>
      <c r="Z1060" s="3">
        <f t="shared" si="68"/>
        <v>0.0349199981279691</v>
      </c>
      <c r="AA1060">
        <f t="shared" si="69"/>
        <v>-0.078</v>
      </c>
      <c r="AB1060">
        <f t="shared" si="70"/>
        <v>0.572</v>
      </c>
      <c r="AC1060" t="s">
        <v>32</v>
      </c>
    </row>
    <row r="1061" spans="1:29">
      <c r="A1061" t="s">
        <v>93</v>
      </c>
      <c r="B1061">
        <v>3825.625</v>
      </c>
      <c r="C1061">
        <v>17.78</v>
      </c>
      <c r="D1061">
        <v>38.633</v>
      </c>
      <c r="E1061">
        <v>167.055</v>
      </c>
      <c r="F1061">
        <v>0.188</v>
      </c>
      <c r="G1061">
        <v>24.164</v>
      </c>
      <c r="H1061">
        <v>2.042</v>
      </c>
      <c r="I1061">
        <v>2.702</v>
      </c>
      <c r="J1061">
        <v>0.449</v>
      </c>
      <c r="K1061">
        <v>10.927</v>
      </c>
      <c r="L1061">
        <v>0.369</v>
      </c>
      <c r="M1061">
        <v>4.035</v>
      </c>
      <c r="N1061">
        <v>61.021</v>
      </c>
      <c r="O1061">
        <v>56.307</v>
      </c>
      <c r="P1061">
        <f t="shared" si="67"/>
        <v>1.78547932049622</v>
      </c>
      <c r="Q1061">
        <f t="shared" si="67"/>
        <v>1.75056238903248</v>
      </c>
      <c r="R1061">
        <v>56.307</v>
      </c>
      <c r="S1061">
        <v>56.307</v>
      </c>
      <c r="T1061">
        <v>61.021</v>
      </c>
      <c r="U1061">
        <v>4.776</v>
      </c>
      <c r="V1061">
        <v>73.745</v>
      </c>
      <c r="W1061">
        <v>0.1</v>
      </c>
      <c r="X1061" t="s">
        <v>92</v>
      </c>
      <c r="Y1061" t="s">
        <v>31</v>
      </c>
      <c r="Z1061" s="3">
        <f t="shared" si="68"/>
        <v>0.0349169314637405</v>
      </c>
      <c r="AA1061">
        <f t="shared" si="69"/>
        <v>-0.08</v>
      </c>
      <c r="AB1061">
        <f t="shared" si="70"/>
        <v>0.557</v>
      </c>
      <c r="AC1061" t="s">
        <v>32</v>
      </c>
    </row>
    <row r="1062" spans="1:29">
      <c r="A1062" t="s">
        <v>93</v>
      </c>
      <c r="B1062">
        <v>3825.75</v>
      </c>
      <c r="C1062">
        <v>17.251</v>
      </c>
      <c r="D1062">
        <v>38.661</v>
      </c>
      <c r="E1062">
        <v>165.714</v>
      </c>
      <c r="F1062">
        <v>0.173</v>
      </c>
      <c r="G1062">
        <v>24.093</v>
      </c>
      <c r="H1062">
        <v>2.064</v>
      </c>
      <c r="I1062">
        <v>2.706</v>
      </c>
      <c r="J1062">
        <v>0.456</v>
      </c>
      <c r="K1062">
        <v>10.986</v>
      </c>
      <c r="L1062">
        <v>0.371</v>
      </c>
      <c r="M1062">
        <v>4.044</v>
      </c>
      <c r="N1062">
        <v>64.382</v>
      </c>
      <c r="O1062">
        <v>59.408</v>
      </c>
      <c r="P1062">
        <f t="shared" si="67"/>
        <v>1.80876446373624</v>
      </c>
      <c r="Q1062">
        <f t="shared" si="67"/>
        <v>1.77384493188208</v>
      </c>
      <c r="R1062">
        <v>59.408</v>
      </c>
      <c r="S1062">
        <v>59.408</v>
      </c>
      <c r="T1062">
        <v>64.382</v>
      </c>
      <c r="U1062">
        <v>4.508</v>
      </c>
      <c r="V1062">
        <v>75.389</v>
      </c>
      <c r="W1062">
        <v>0.1</v>
      </c>
      <c r="X1062" t="s">
        <v>92</v>
      </c>
      <c r="Y1062" t="s">
        <v>31</v>
      </c>
      <c r="Z1062" s="3">
        <f t="shared" si="68"/>
        <v>0.0349195318541604</v>
      </c>
      <c r="AA1062">
        <f t="shared" si="69"/>
        <v>-0.085</v>
      </c>
      <c r="AB1062">
        <f t="shared" si="70"/>
        <v>0.544</v>
      </c>
      <c r="AC1062" t="s">
        <v>32</v>
      </c>
    </row>
    <row r="1063" spans="1:29">
      <c r="A1063" t="s">
        <v>93</v>
      </c>
      <c r="B1063">
        <v>3825.875</v>
      </c>
      <c r="C1063">
        <v>16.795</v>
      </c>
      <c r="D1063">
        <v>38.698</v>
      </c>
      <c r="E1063">
        <v>164.782</v>
      </c>
      <c r="F1063">
        <v>0.162</v>
      </c>
      <c r="G1063">
        <v>23.907</v>
      </c>
      <c r="H1063">
        <v>2.08</v>
      </c>
      <c r="I1063">
        <v>2.718</v>
      </c>
      <c r="J1063">
        <v>0.48</v>
      </c>
      <c r="K1063">
        <v>11.091</v>
      </c>
      <c r="L1063">
        <v>0.375</v>
      </c>
      <c r="M1063">
        <v>4.046</v>
      </c>
      <c r="N1063">
        <v>69.028</v>
      </c>
      <c r="O1063">
        <v>63.695</v>
      </c>
      <c r="P1063">
        <f t="shared" si="67"/>
        <v>1.83902529043094</v>
      </c>
      <c r="Q1063">
        <f t="shared" si="67"/>
        <v>1.80410534194859</v>
      </c>
      <c r="R1063">
        <v>63.695</v>
      </c>
      <c r="S1063">
        <v>63.695</v>
      </c>
      <c r="T1063">
        <v>69.028</v>
      </c>
      <c r="U1063">
        <v>4.314</v>
      </c>
      <c r="V1063">
        <v>75.542</v>
      </c>
      <c r="W1063">
        <v>0.1</v>
      </c>
      <c r="X1063" t="s">
        <v>92</v>
      </c>
      <c r="Y1063" t="s">
        <v>31</v>
      </c>
      <c r="Z1063" s="3">
        <f t="shared" si="68"/>
        <v>0.0349199484823515</v>
      </c>
      <c r="AA1063">
        <f t="shared" si="69"/>
        <v>-0.105</v>
      </c>
      <c r="AB1063">
        <f t="shared" si="70"/>
        <v>0.537</v>
      </c>
      <c r="AC1063" t="s">
        <v>32</v>
      </c>
    </row>
    <row r="1064" spans="1:29">
      <c r="A1064" t="s">
        <v>93</v>
      </c>
      <c r="B1064">
        <v>3826</v>
      </c>
      <c r="C1064">
        <v>16.837</v>
      </c>
      <c r="D1064">
        <v>38.747</v>
      </c>
      <c r="E1064">
        <v>164.954</v>
      </c>
      <c r="F1064">
        <v>0.164</v>
      </c>
      <c r="G1064">
        <v>23.727</v>
      </c>
      <c r="H1064">
        <v>2.089</v>
      </c>
      <c r="I1064">
        <v>2.732</v>
      </c>
      <c r="J1064">
        <v>0.507</v>
      </c>
      <c r="K1064">
        <v>11.017</v>
      </c>
      <c r="L1064">
        <v>0.372</v>
      </c>
      <c r="M1064">
        <v>4.039</v>
      </c>
      <c r="N1064">
        <v>72.955</v>
      </c>
      <c r="O1064">
        <v>67.319</v>
      </c>
      <c r="P1064">
        <f t="shared" si="67"/>
        <v>1.86305506179488</v>
      </c>
      <c r="Q1064">
        <f t="shared" si="67"/>
        <v>1.82813765606036</v>
      </c>
      <c r="R1064">
        <v>67.319</v>
      </c>
      <c r="S1064">
        <v>67.319</v>
      </c>
      <c r="T1064">
        <v>72.955</v>
      </c>
      <c r="U1064">
        <v>4.327</v>
      </c>
      <c r="V1064">
        <v>73.221</v>
      </c>
      <c r="W1064">
        <v>0.1</v>
      </c>
      <c r="X1064" t="s">
        <v>92</v>
      </c>
      <c r="Y1064" t="s">
        <v>31</v>
      </c>
      <c r="Z1064" s="3">
        <f t="shared" si="68"/>
        <v>0.0349174057345187</v>
      </c>
      <c r="AA1064">
        <f t="shared" si="69"/>
        <v>-0.135</v>
      </c>
      <c r="AB1064">
        <f t="shared" si="70"/>
        <v>0.536</v>
      </c>
      <c r="AC1064" t="s">
        <v>32</v>
      </c>
    </row>
    <row r="1065" spans="1:29">
      <c r="A1065" t="s">
        <v>93</v>
      </c>
      <c r="B1065">
        <v>3826.125</v>
      </c>
      <c r="C1065">
        <v>17.46</v>
      </c>
      <c r="D1065">
        <v>38.814</v>
      </c>
      <c r="E1065">
        <v>165.759</v>
      </c>
      <c r="F1065">
        <v>0.173</v>
      </c>
      <c r="G1065">
        <v>23.605</v>
      </c>
      <c r="H1065">
        <v>2.108</v>
      </c>
      <c r="I1065">
        <v>2.744</v>
      </c>
      <c r="J1065">
        <v>0.53</v>
      </c>
      <c r="K1065">
        <v>10.637</v>
      </c>
      <c r="L1065">
        <v>0.358</v>
      </c>
      <c r="M1065">
        <v>3.967</v>
      </c>
      <c r="N1065">
        <v>73.615</v>
      </c>
      <c r="O1065">
        <v>67.928</v>
      </c>
      <c r="P1065">
        <f t="shared" si="67"/>
        <v>1.8669663164229</v>
      </c>
      <c r="Q1065">
        <f t="shared" si="67"/>
        <v>1.83204882787277</v>
      </c>
      <c r="R1065">
        <v>67.928</v>
      </c>
      <c r="S1065">
        <v>67.928</v>
      </c>
      <c r="T1065">
        <v>73.615</v>
      </c>
      <c r="U1065">
        <v>4.485</v>
      </c>
      <c r="V1065">
        <v>70.72</v>
      </c>
      <c r="W1065">
        <v>0.1</v>
      </c>
      <c r="X1065" t="s">
        <v>92</v>
      </c>
      <c r="Y1065" t="s">
        <v>31</v>
      </c>
      <c r="Z1065" s="3">
        <f t="shared" si="68"/>
        <v>0.0349174885501256</v>
      </c>
      <c r="AA1065">
        <f t="shared" si="69"/>
        <v>-0.172</v>
      </c>
      <c r="AB1065">
        <f t="shared" si="70"/>
        <v>0.531</v>
      </c>
      <c r="AC1065" t="s">
        <v>32</v>
      </c>
    </row>
    <row r="1066" spans="1:29">
      <c r="A1066" t="s">
        <v>93</v>
      </c>
      <c r="B1066">
        <v>3826.25</v>
      </c>
      <c r="C1066">
        <v>18.623</v>
      </c>
      <c r="D1066">
        <v>38.897</v>
      </c>
      <c r="E1066">
        <v>165.778</v>
      </c>
      <c r="F1066">
        <v>0.174</v>
      </c>
      <c r="G1066">
        <v>23.51</v>
      </c>
      <c r="H1066">
        <v>2.187</v>
      </c>
      <c r="I1066">
        <v>2.755</v>
      </c>
      <c r="J1066">
        <v>0.551</v>
      </c>
      <c r="K1066">
        <v>10.038</v>
      </c>
      <c r="L1066">
        <v>0.337</v>
      </c>
      <c r="M1066">
        <v>3.812</v>
      </c>
      <c r="N1066">
        <v>73.27</v>
      </c>
      <c r="O1066">
        <v>67.609</v>
      </c>
      <c r="P1066">
        <f t="shared" si="67"/>
        <v>1.86492619153901</v>
      </c>
      <c r="Q1066">
        <f t="shared" si="67"/>
        <v>1.83000451236425</v>
      </c>
      <c r="R1066">
        <v>67.609</v>
      </c>
      <c r="S1066">
        <v>67.609</v>
      </c>
      <c r="T1066">
        <v>73.27</v>
      </c>
      <c r="U1066">
        <v>4.476</v>
      </c>
      <c r="V1066">
        <v>71.016</v>
      </c>
      <c r="W1066">
        <v>0.1</v>
      </c>
      <c r="X1066" t="s">
        <v>92</v>
      </c>
      <c r="Y1066" t="s">
        <v>31</v>
      </c>
      <c r="Z1066" s="3">
        <f t="shared" si="68"/>
        <v>0.0349216791747511</v>
      </c>
      <c r="AA1066">
        <f t="shared" si="69"/>
        <v>-0.214</v>
      </c>
      <c r="AB1066">
        <f t="shared" si="70"/>
        <v>0.511</v>
      </c>
      <c r="AC1066" t="s">
        <v>32</v>
      </c>
    </row>
    <row r="1067" spans="1:29">
      <c r="A1067" t="s">
        <v>93</v>
      </c>
      <c r="B1067">
        <v>3826.375</v>
      </c>
      <c r="C1067">
        <v>20.15</v>
      </c>
      <c r="D1067">
        <v>38.992</v>
      </c>
      <c r="E1067">
        <v>164.3</v>
      </c>
      <c r="F1067">
        <v>0.157</v>
      </c>
      <c r="G1067">
        <v>23.412</v>
      </c>
      <c r="H1067">
        <v>2.329</v>
      </c>
      <c r="I1067">
        <v>2.758</v>
      </c>
      <c r="J1067">
        <v>0.557</v>
      </c>
      <c r="K1067">
        <v>9.328</v>
      </c>
      <c r="L1067">
        <v>0.312</v>
      </c>
      <c r="M1067">
        <v>3.64</v>
      </c>
      <c r="N1067">
        <v>76.296</v>
      </c>
      <c r="O1067">
        <v>70.402</v>
      </c>
      <c r="P1067">
        <f t="shared" si="67"/>
        <v>1.88250176962638</v>
      </c>
      <c r="Q1067">
        <f t="shared" si="67"/>
        <v>1.84758499687828</v>
      </c>
      <c r="R1067">
        <v>70.402</v>
      </c>
      <c r="S1067">
        <v>70.402</v>
      </c>
      <c r="T1067">
        <v>76.296</v>
      </c>
      <c r="U1067">
        <v>4.148</v>
      </c>
      <c r="V1067">
        <v>74.306</v>
      </c>
      <c r="W1067">
        <v>0.1</v>
      </c>
      <c r="X1067" t="s">
        <v>92</v>
      </c>
      <c r="Y1067" t="s">
        <v>31</v>
      </c>
      <c r="Z1067" s="3">
        <f t="shared" si="68"/>
        <v>0.0349167727481001</v>
      </c>
      <c r="AA1067">
        <f t="shared" si="69"/>
        <v>-0.245</v>
      </c>
      <c r="AB1067">
        <f t="shared" si="70"/>
        <v>0.469</v>
      </c>
      <c r="AC1067" t="s">
        <v>32</v>
      </c>
    </row>
    <row r="1068" spans="1:29">
      <c r="A1068" t="s">
        <v>93</v>
      </c>
      <c r="B1068">
        <v>3826.5</v>
      </c>
      <c r="C1068">
        <v>21.491</v>
      </c>
      <c r="D1068">
        <v>39.097</v>
      </c>
      <c r="E1068">
        <v>161.78</v>
      </c>
      <c r="F1068">
        <v>0.128</v>
      </c>
      <c r="G1068">
        <v>23.351</v>
      </c>
      <c r="H1068">
        <v>2.468</v>
      </c>
      <c r="I1068">
        <v>2.752</v>
      </c>
      <c r="J1068">
        <v>0.546</v>
      </c>
      <c r="K1068">
        <v>8.535</v>
      </c>
      <c r="L1068">
        <v>0.283</v>
      </c>
      <c r="M1068">
        <v>3.55</v>
      </c>
      <c r="N1068">
        <v>84.97</v>
      </c>
      <c r="O1068">
        <v>78.406</v>
      </c>
      <c r="P1068">
        <f t="shared" si="67"/>
        <v>1.92926561825307</v>
      </c>
      <c r="Q1068">
        <f t="shared" si="67"/>
        <v>1.89434929823528</v>
      </c>
      <c r="R1068">
        <v>78.406</v>
      </c>
      <c r="S1068">
        <v>78.406</v>
      </c>
      <c r="T1068">
        <v>84.97</v>
      </c>
      <c r="U1068">
        <v>3.597</v>
      </c>
      <c r="V1068">
        <v>79.387</v>
      </c>
      <c r="W1068">
        <v>0.1</v>
      </c>
      <c r="X1068" t="s">
        <v>92</v>
      </c>
      <c r="Y1068" t="s">
        <v>31</v>
      </c>
      <c r="Z1068" s="3">
        <f t="shared" si="68"/>
        <v>0.0349163200177849</v>
      </c>
      <c r="AA1068">
        <f t="shared" si="69"/>
        <v>-0.263</v>
      </c>
      <c r="AB1068">
        <f t="shared" si="70"/>
        <v>0.411</v>
      </c>
      <c r="AC1068" t="s">
        <v>32</v>
      </c>
    </row>
    <row r="1069" spans="1:29">
      <c r="A1069" t="s">
        <v>93</v>
      </c>
      <c r="B1069">
        <v>3826.625</v>
      </c>
      <c r="C1069">
        <v>22.1</v>
      </c>
      <c r="D1069">
        <v>39.213</v>
      </c>
      <c r="E1069">
        <v>159.405</v>
      </c>
      <c r="F1069">
        <v>0.101</v>
      </c>
      <c r="G1069">
        <v>23.385</v>
      </c>
      <c r="H1069">
        <v>2.542</v>
      </c>
      <c r="I1069">
        <v>2.74</v>
      </c>
      <c r="J1069">
        <v>0.522</v>
      </c>
      <c r="K1069">
        <v>7.737</v>
      </c>
      <c r="L1069">
        <v>0.255</v>
      </c>
      <c r="M1069">
        <v>3.622</v>
      </c>
      <c r="N1069">
        <v>100.003</v>
      </c>
      <c r="O1069">
        <v>92.276</v>
      </c>
      <c r="P1069">
        <f t="shared" si="67"/>
        <v>2.00001302863903</v>
      </c>
      <c r="Q1069">
        <f t="shared" si="67"/>
        <v>1.96508876036597</v>
      </c>
      <c r="R1069">
        <v>92.276</v>
      </c>
      <c r="S1069">
        <v>92.276</v>
      </c>
      <c r="T1069">
        <v>100.003</v>
      </c>
      <c r="U1069">
        <v>3.081</v>
      </c>
      <c r="V1069">
        <v>83.593</v>
      </c>
      <c r="W1069">
        <v>0.1</v>
      </c>
      <c r="X1069" t="s">
        <v>92</v>
      </c>
      <c r="Y1069" t="s">
        <v>31</v>
      </c>
      <c r="Z1069" s="3">
        <f t="shared" si="68"/>
        <v>0.0349242682730551</v>
      </c>
      <c r="AA1069">
        <f t="shared" si="69"/>
        <v>-0.267</v>
      </c>
      <c r="AB1069">
        <f t="shared" si="70"/>
        <v>0.356</v>
      </c>
      <c r="AC1069" t="s">
        <v>32</v>
      </c>
    </row>
    <row r="1070" spans="1:29">
      <c r="A1070" t="s">
        <v>93</v>
      </c>
      <c r="B1070">
        <v>3826.75</v>
      </c>
      <c r="C1070">
        <v>22.657</v>
      </c>
      <c r="D1070">
        <v>39.341</v>
      </c>
      <c r="E1070">
        <v>157.49</v>
      </c>
      <c r="F1070">
        <v>0.079</v>
      </c>
      <c r="G1070">
        <v>23.433</v>
      </c>
      <c r="H1070">
        <v>2.595</v>
      </c>
      <c r="I1070">
        <v>2.73</v>
      </c>
      <c r="J1070">
        <v>0.503</v>
      </c>
      <c r="K1070">
        <v>7.11</v>
      </c>
      <c r="L1070">
        <v>0.232</v>
      </c>
      <c r="M1070">
        <v>3.823</v>
      </c>
      <c r="N1070">
        <v>125.563</v>
      </c>
      <c r="O1070">
        <v>112.842</v>
      </c>
      <c r="P1070">
        <f t="shared" si="67"/>
        <v>2.09886168348453</v>
      </c>
      <c r="Q1070">
        <f t="shared" si="67"/>
        <v>2.05247077494226</v>
      </c>
      <c r="R1070">
        <v>112.842</v>
      </c>
      <c r="S1070">
        <v>112.842</v>
      </c>
      <c r="T1070">
        <v>125.563</v>
      </c>
      <c r="U1070">
        <v>2.662</v>
      </c>
      <c r="V1070">
        <v>84.58</v>
      </c>
      <c r="W1070">
        <v>0.1</v>
      </c>
      <c r="X1070" t="s">
        <v>92</v>
      </c>
      <c r="Y1070" t="s">
        <v>31</v>
      </c>
      <c r="Z1070" s="3">
        <f t="shared" si="68"/>
        <v>0.0463909085422634</v>
      </c>
      <c r="AA1070">
        <f t="shared" si="69"/>
        <v>-0.271</v>
      </c>
      <c r="AB1070">
        <f t="shared" si="70"/>
        <v>0.311</v>
      </c>
      <c r="AC1070" t="s">
        <v>32</v>
      </c>
    </row>
    <row r="1071" spans="1:29">
      <c r="A1071" t="s">
        <v>93</v>
      </c>
      <c r="B1071">
        <v>3826.875</v>
      </c>
      <c r="C1071">
        <v>24.029</v>
      </c>
      <c r="D1071">
        <v>39.476</v>
      </c>
      <c r="E1071">
        <v>155.586</v>
      </c>
      <c r="F1071">
        <v>0.057</v>
      </c>
      <c r="G1071">
        <v>23.439</v>
      </c>
      <c r="H1071">
        <v>2.622</v>
      </c>
      <c r="I1071">
        <v>2.725</v>
      </c>
      <c r="J1071">
        <v>0.493</v>
      </c>
      <c r="K1071">
        <v>6.769</v>
      </c>
      <c r="L1071">
        <v>0.22</v>
      </c>
      <c r="M1071">
        <v>4.065</v>
      </c>
      <c r="N1071">
        <v>173.563</v>
      </c>
      <c r="O1071">
        <v>152.428</v>
      </c>
      <c r="P1071">
        <f t="shared" si="67"/>
        <v>2.23945714821095</v>
      </c>
      <c r="Q1071">
        <f t="shared" si="67"/>
        <v>2.18306475131163</v>
      </c>
      <c r="R1071">
        <v>152.428</v>
      </c>
      <c r="S1071">
        <v>152.428</v>
      </c>
      <c r="T1071">
        <v>173.563</v>
      </c>
      <c r="U1071">
        <v>2.229</v>
      </c>
      <c r="V1071">
        <v>83.701</v>
      </c>
      <c r="W1071">
        <v>0.1</v>
      </c>
      <c r="X1071" t="s">
        <v>92</v>
      </c>
      <c r="Y1071" t="s">
        <v>31</v>
      </c>
      <c r="Z1071" s="3">
        <f t="shared" si="68"/>
        <v>0.0563923968993176</v>
      </c>
      <c r="AA1071">
        <f t="shared" si="69"/>
        <v>-0.273</v>
      </c>
      <c r="AB1071">
        <f t="shared" si="70"/>
        <v>0.277</v>
      </c>
      <c r="AC1071" t="s">
        <v>32</v>
      </c>
    </row>
    <row r="1072" spans="1:29">
      <c r="A1072" t="s">
        <v>93</v>
      </c>
      <c r="B1072">
        <v>3827</v>
      </c>
      <c r="C1072">
        <v>26.119</v>
      </c>
      <c r="D1072">
        <v>39.613</v>
      </c>
      <c r="E1072">
        <v>153.401</v>
      </c>
      <c r="F1072">
        <v>0.032</v>
      </c>
      <c r="G1072">
        <v>23.417</v>
      </c>
      <c r="H1072">
        <v>2.618</v>
      </c>
      <c r="I1072">
        <v>2.726</v>
      </c>
      <c r="J1072">
        <v>0.495</v>
      </c>
      <c r="K1072">
        <v>6.653</v>
      </c>
      <c r="L1072">
        <v>0.216</v>
      </c>
      <c r="M1072">
        <v>4.245</v>
      </c>
      <c r="N1072">
        <v>249.671</v>
      </c>
      <c r="O1072">
        <v>219.091</v>
      </c>
      <c r="P1072">
        <f t="shared" si="67"/>
        <v>2.39736810073584</v>
      </c>
      <c r="Q1072">
        <f t="shared" si="67"/>
        <v>2.34062453762179</v>
      </c>
      <c r="R1072">
        <v>219.091</v>
      </c>
      <c r="S1072">
        <v>219.091</v>
      </c>
      <c r="T1072">
        <v>249.671</v>
      </c>
      <c r="U1072">
        <v>1.718</v>
      </c>
      <c r="V1072">
        <v>86.391</v>
      </c>
      <c r="W1072">
        <v>0.1</v>
      </c>
      <c r="X1072" t="s">
        <v>92</v>
      </c>
      <c r="Y1072" t="s">
        <v>31</v>
      </c>
      <c r="Z1072" s="3">
        <f t="shared" si="68"/>
        <v>0.0567435631140527</v>
      </c>
      <c r="AA1072">
        <f t="shared" si="69"/>
        <v>-0.279</v>
      </c>
      <c r="AB1072">
        <f t="shared" si="70"/>
        <v>0.248</v>
      </c>
      <c r="AC1072" t="s">
        <v>32</v>
      </c>
    </row>
    <row r="1073" spans="1:29">
      <c r="A1073" t="s">
        <v>93</v>
      </c>
      <c r="B1073">
        <v>3827.125</v>
      </c>
      <c r="C1073">
        <v>27.89</v>
      </c>
      <c r="D1073">
        <v>39.744</v>
      </c>
      <c r="E1073">
        <v>151.53</v>
      </c>
      <c r="F1073">
        <v>0.01</v>
      </c>
      <c r="G1073">
        <v>23.399</v>
      </c>
      <c r="H1073">
        <v>2.613</v>
      </c>
      <c r="I1073">
        <v>2.733</v>
      </c>
      <c r="J1073">
        <v>0.509</v>
      </c>
      <c r="K1073">
        <v>6.607</v>
      </c>
      <c r="L1073">
        <v>0.214</v>
      </c>
      <c r="M1073">
        <v>4.301</v>
      </c>
      <c r="N1073">
        <v>341.183</v>
      </c>
      <c r="O1073">
        <v>299.396</v>
      </c>
      <c r="P1073">
        <f t="shared" si="67"/>
        <v>2.53298738360297</v>
      </c>
      <c r="Q1073">
        <f t="shared" si="67"/>
        <v>2.47624599377079</v>
      </c>
      <c r="R1073">
        <v>299.396</v>
      </c>
      <c r="S1073">
        <v>299.396</v>
      </c>
      <c r="T1073">
        <v>341.183</v>
      </c>
      <c r="U1073">
        <v>1.272</v>
      </c>
      <c r="V1073">
        <v>95.24</v>
      </c>
      <c r="W1073">
        <v>0.1</v>
      </c>
      <c r="X1073" t="s">
        <v>92</v>
      </c>
      <c r="Y1073" t="s">
        <v>31</v>
      </c>
      <c r="Z1073" s="3">
        <f t="shared" si="68"/>
        <v>0.0567413898321876</v>
      </c>
      <c r="AA1073">
        <f t="shared" si="69"/>
        <v>-0.295</v>
      </c>
      <c r="AB1073">
        <f t="shared" si="70"/>
        <v>0.224</v>
      </c>
      <c r="AC1073" t="s">
        <v>32</v>
      </c>
    </row>
    <row r="1074" spans="1:29">
      <c r="A1074" t="s">
        <v>93</v>
      </c>
      <c r="B1074">
        <v>3827.25</v>
      </c>
      <c r="C1074">
        <v>28.596</v>
      </c>
      <c r="D1074">
        <v>39.869</v>
      </c>
      <c r="E1074">
        <v>150.615</v>
      </c>
      <c r="F1074">
        <v>0</v>
      </c>
      <c r="G1074">
        <v>23.409</v>
      </c>
      <c r="H1074">
        <v>2.632</v>
      </c>
      <c r="I1074">
        <v>2.739</v>
      </c>
      <c r="J1074">
        <v>0.52</v>
      </c>
      <c r="K1074">
        <v>6.658</v>
      </c>
      <c r="L1074">
        <v>0.216</v>
      </c>
      <c r="M1074">
        <v>4.299</v>
      </c>
      <c r="N1074">
        <v>415.008</v>
      </c>
      <c r="O1074">
        <v>364.179</v>
      </c>
      <c r="P1074">
        <f t="shared" si="67"/>
        <v>2.61805646857322</v>
      </c>
      <c r="Q1074">
        <f t="shared" si="67"/>
        <v>2.56131489904521</v>
      </c>
      <c r="R1074">
        <v>364.179</v>
      </c>
      <c r="S1074">
        <v>364.179</v>
      </c>
      <c r="T1074">
        <v>415.008</v>
      </c>
      <c r="U1074">
        <v>1.051</v>
      </c>
      <c r="V1074">
        <v>99.997</v>
      </c>
      <c r="W1074">
        <v>0.1</v>
      </c>
      <c r="X1074" t="s">
        <v>92</v>
      </c>
      <c r="Y1074" t="s">
        <v>31</v>
      </c>
      <c r="Z1074" s="3">
        <f t="shared" si="68"/>
        <v>0.0567415695280142</v>
      </c>
      <c r="AA1074">
        <f t="shared" si="69"/>
        <v>-0.304</v>
      </c>
      <c r="AB1074">
        <f t="shared" si="70"/>
        <v>0.216</v>
      </c>
      <c r="AC1074" t="s">
        <v>32</v>
      </c>
    </row>
    <row r="1075" spans="1:29">
      <c r="A1075" t="s">
        <v>93</v>
      </c>
      <c r="B1075">
        <v>3827.375</v>
      </c>
      <c r="C1075">
        <v>28.545</v>
      </c>
      <c r="D1075">
        <v>39.992</v>
      </c>
      <c r="E1075">
        <v>150.689</v>
      </c>
      <c r="F1075">
        <v>0.001</v>
      </c>
      <c r="G1075">
        <v>23.437</v>
      </c>
      <c r="H1075">
        <v>2.644</v>
      </c>
      <c r="I1075">
        <v>2.738</v>
      </c>
      <c r="J1075">
        <v>0.518</v>
      </c>
      <c r="K1075">
        <v>6.931</v>
      </c>
      <c r="L1075">
        <v>0.226</v>
      </c>
      <c r="M1075">
        <v>4.338</v>
      </c>
      <c r="N1075">
        <v>454.628</v>
      </c>
      <c r="O1075">
        <v>398.946</v>
      </c>
      <c r="P1075">
        <f t="shared" si="67"/>
        <v>2.65765617989537</v>
      </c>
      <c r="Q1075">
        <f t="shared" si="67"/>
        <v>2.60091411501222</v>
      </c>
      <c r="R1075">
        <v>398.946</v>
      </c>
      <c r="S1075">
        <v>398.946</v>
      </c>
      <c r="T1075">
        <v>454.628</v>
      </c>
      <c r="U1075">
        <v>1.059</v>
      </c>
      <c r="V1075">
        <v>95.555</v>
      </c>
      <c r="W1075">
        <v>0.1</v>
      </c>
      <c r="X1075" t="s">
        <v>92</v>
      </c>
      <c r="Y1075" t="s">
        <v>31</v>
      </c>
      <c r="Z1075" s="3">
        <f t="shared" si="68"/>
        <v>0.0567420648831507</v>
      </c>
      <c r="AA1075">
        <f t="shared" si="69"/>
        <v>-0.292</v>
      </c>
      <c r="AB1075">
        <f t="shared" si="70"/>
        <v>0.227</v>
      </c>
      <c r="AC1075" t="s">
        <v>32</v>
      </c>
    </row>
    <row r="1076" spans="1:29">
      <c r="A1076" t="s">
        <v>93</v>
      </c>
      <c r="B1076">
        <v>3827.5</v>
      </c>
      <c r="C1076">
        <v>28.152</v>
      </c>
      <c r="D1076">
        <v>40.119</v>
      </c>
      <c r="E1076">
        <v>151.389</v>
      </c>
      <c r="F1076">
        <v>0.009</v>
      </c>
      <c r="G1076">
        <v>23.459</v>
      </c>
      <c r="H1076">
        <v>2.65</v>
      </c>
      <c r="I1076">
        <v>2.73</v>
      </c>
      <c r="J1076">
        <v>0.503</v>
      </c>
      <c r="K1076">
        <v>7.374</v>
      </c>
      <c r="L1076">
        <v>0.242</v>
      </c>
      <c r="M1076">
        <v>4.458</v>
      </c>
      <c r="N1076">
        <v>458.892</v>
      </c>
      <c r="O1076">
        <v>402.688</v>
      </c>
      <c r="P1076">
        <f t="shared" si="67"/>
        <v>2.66171048657646</v>
      </c>
      <c r="Q1076">
        <f t="shared" si="67"/>
        <v>2.60496868793514</v>
      </c>
      <c r="R1076">
        <v>402.688</v>
      </c>
      <c r="S1076">
        <v>402.688</v>
      </c>
      <c r="T1076">
        <v>458.892</v>
      </c>
      <c r="U1076">
        <v>1.207</v>
      </c>
      <c r="V1076">
        <v>85.241</v>
      </c>
      <c r="W1076">
        <v>0.1</v>
      </c>
      <c r="X1076" t="s">
        <v>92</v>
      </c>
      <c r="Y1076" t="s">
        <v>31</v>
      </c>
      <c r="Z1076" s="3">
        <f t="shared" si="68"/>
        <v>0.0567417986413279</v>
      </c>
      <c r="AA1076">
        <f t="shared" si="69"/>
        <v>-0.261</v>
      </c>
      <c r="AB1076">
        <f t="shared" si="70"/>
        <v>0.251</v>
      </c>
      <c r="AC1076" t="s">
        <v>32</v>
      </c>
    </row>
    <row r="1077" spans="1:29">
      <c r="A1077" t="s">
        <v>93</v>
      </c>
      <c r="B1077">
        <v>3827.625</v>
      </c>
      <c r="C1077">
        <v>27.469</v>
      </c>
      <c r="D1077">
        <v>40.268</v>
      </c>
      <c r="E1077">
        <v>152.588</v>
      </c>
      <c r="F1077">
        <v>0.023</v>
      </c>
      <c r="G1077">
        <v>23.482</v>
      </c>
      <c r="H1077">
        <v>2.65</v>
      </c>
      <c r="I1077">
        <v>2.72</v>
      </c>
      <c r="J1077">
        <v>0.483</v>
      </c>
      <c r="K1077">
        <v>7.776</v>
      </c>
      <c r="L1077">
        <v>0.256</v>
      </c>
      <c r="M1077">
        <v>4.603</v>
      </c>
      <c r="N1077">
        <v>431.543</v>
      </c>
      <c r="O1077">
        <v>378.688</v>
      </c>
      <c r="P1077">
        <f t="shared" si="67"/>
        <v>2.63502407637173</v>
      </c>
      <c r="Q1077">
        <f t="shared" si="67"/>
        <v>2.5782815432609</v>
      </c>
      <c r="R1077">
        <v>378.688</v>
      </c>
      <c r="S1077">
        <v>378.688</v>
      </c>
      <c r="T1077">
        <v>431.543</v>
      </c>
      <c r="U1077">
        <v>1.472</v>
      </c>
      <c r="V1077">
        <v>74.679</v>
      </c>
      <c r="W1077">
        <v>0.1</v>
      </c>
      <c r="X1077" t="s">
        <v>92</v>
      </c>
      <c r="Y1077" t="s">
        <v>31</v>
      </c>
      <c r="Z1077" s="3">
        <f t="shared" si="68"/>
        <v>0.0567425331108309</v>
      </c>
      <c r="AA1077">
        <f t="shared" si="69"/>
        <v>-0.227</v>
      </c>
      <c r="AB1077">
        <f t="shared" si="70"/>
        <v>0.279</v>
      </c>
      <c r="AC1077" t="s">
        <v>32</v>
      </c>
    </row>
    <row r="1078" spans="1:29">
      <c r="A1078" t="s">
        <v>93</v>
      </c>
      <c r="B1078">
        <v>3827.75</v>
      </c>
      <c r="C1078">
        <v>26.084</v>
      </c>
      <c r="D1078">
        <v>40.465</v>
      </c>
      <c r="E1078">
        <v>154.413</v>
      </c>
      <c r="F1078">
        <v>0.043</v>
      </c>
      <c r="G1078">
        <v>23.528</v>
      </c>
      <c r="H1078">
        <v>2.625</v>
      </c>
      <c r="I1078">
        <v>2.715</v>
      </c>
      <c r="J1078">
        <v>0.474</v>
      </c>
      <c r="K1078">
        <v>7.933</v>
      </c>
      <c r="L1078">
        <v>0.262</v>
      </c>
      <c r="M1078">
        <v>4.669</v>
      </c>
      <c r="N1078">
        <v>381.802</v>
      </c>
      <c r="O1078">
        <v>335.039</v>
      </c>
      <c r="P1078">
        <f t="shared" si="67"/>
        <v>2.58183819903588</v>
      </c>
      <c r="Q1078">
        <f t="shared" si="67"/>
        <v>2.52509536375015</v>
      </c>
      <c r="R1078">
        <v>335.039</v>
      </c>
      <c r="S1078">
        <v>335.039</v>
      </c>
      <c r="T1078">
        <v>381.802</v>
      </c>
      <c r="U1078">
        <v>1.886</v>
      </c>
      <c r="V1078">
        <v>64.636</v>
      </c>
      <c r="W1078">
        <v>0.1</v>
      </c>
      <c r="X1078" t="s">
        <v>92</v>
      </c>
      <c r="Y1078" t="s">
        <v>31</v>
      </c>
      <c r="Z1078" s="3">
        <f t="shared" si="68"/>
        <v>0.0567428352857284</v>
      </c>
      <c r="AA1078">
        <f t="shared" si="69"/>
        <v>-0.212</v>
      </c>
      <c r="AB1078">
        <f t="shared" si="70"/>
        <v>0.305</v>
      </c>
      <c r="AC1078" t="s">
        <v>32</v>
      </c>
    </row>
    <row r="1079" spans="1:29">
      <c r="A1079" t="s">
        <v>93</v>
      </c>
      <c r="B1079">
        <v>3827.875</v>
      </c>
      <c r="C1079">
        <v>24.113</v>
      </c>
      <c r="D1079">
        <v>40.732</v>
      </c>
      <c r="E1079">
        <v>156.637</v>
      </c>
      <c r="F1079">
        <v>0.069</v>
      </c>
      <c r="G1079">
        <v>23.608</v>
      </c>
      <c r="H1079">
        <v>2.604</v>
      </c>
      <c r="I1079">
        <v>2.715</v>
      </c>
      <c r="J1079">
        <v>0.474</v>
      </c>
      <c r="K1079">
        <v>7.753</v>
      </c>
      <c r="L1079">
        <v>0.255</v>
      </c>
      <c r="M1079">
        <v>4.639</v>
      </c>
      <c r="N1079">
        <v>321.473</v>
      </c>
      <c r="O1079">
        <v>282.099</v>
      </c>
      <c r="P1079">
        <f t="shared" si="67"/>
        <v>2.50714450309719</v>
      </c>
      <c r="Q1079">
        <f t="shared" si="67"/>
        <v>2.45040154664721</v>
      </c>
      <c r="R1079">
        <v>282.099</v>
      </c>
      <c r="S1079">
        <v>282.099</v>
      </c>
      <c r="T1079">
        <v>321.473</v>
      </c>
      <c r="U1079">
        <v>2.401</v>
      </c>
      <c r="V1079">
        <v>57.296</v>
      </c>
      <c r="W1079">
        <v>0.1</v>
      </c>
      <c r="X1079" t="s">
        <v>92</v>
      </c>
      <c r="Y1079" t="s">
        <v>31</v>
      </c>
      <c r="Z1079" s="3">
        <f t="shared" si="68"/>
        <v>0.0567429564499871</v>
      </c>
      <c r="AA1079">
        <f t="shared" si="69"/>
        <v>-0.219</v>
      </c>
      <c r="AB1079">
        <f t="shared" si="70"/>
        <v>0.324</v>
      </c>
      <c r="AC1079" t="s">
        <v>32</v>
      </c>
    </row>
    <row r="1080" spans="1:29">
      <c r="A1080" t="s">
        <v>93</v>
      </c>
      <c r="B1080">
        <v>3828</v>
      </c>
      <c r="C1080">
        <v>22.526</v>
      </c>
      <c r="D1080">
        <v>41.088</v>
      </c>
      <c r="E1080">
        <v>158.359</v>
      </c>
      <c r="F1080">
        <v>0.089</v>
      </c>
      <c r="G1080">
        <v>23.708</v>
      </c>
      <c r="H1080">
        <v>2.638</v>
      </c>
      <c r="I1080">
        <v>2.721</v>
      </c>
      <c r="J1080">
        <v>0.485</v>
      </c>
      <c r="K1080">
        <v>7.336</v>
      </c>
      <c r="L1080">
        <v>0.24</v>
      </c>
      <c r="M1080">
        <v>4.572</v>
      </c>
      <c r="N1080">
        <v>277.634</v>
      </c>
      <c r="O1080">
        <v>243.63</v>
      </c>
      <c r="P1080">
        <f t="shared" ref="P1080:Q1143" si="71">LOG(N1080)</f>
        <v>2.44347265021293</v>
      </c>
      <c r="Q1080">
        <f t="shared" si="71"/>
        <v>2.38673076520983</v>
      </c>
      <c r="R1080">
        <v>243.63</v>
      </c>
      <c r="S1080">
        <v>243.63</v>
      </c>
      <c r="T1080">
        <v>277.634</v>
      </c>
      <c r="U1080">
        <v>2.822</v>
      </c>
      <c r="V1080">
        <v>53.721</v>
      </c>
      <c r="W1080">
        <v>0.1</v>
      </c>
      <c r="X1080" t="s">
        <v>92</v>
      </c>
      <c r="Y1080" t="s">
        <v>31</v>
      </c>
      <c r="Z1080" s="3">
        <f t="shared" si="68"/>
        <v>0.0567418850031012</v>
      </c>
      <c r="AA1080">
        <f t="shared" si="69"/>
        <v>-0.245</v>
      </c>
      <c r="AB1080">
        <f t="shared" si="70"/>
        <v>0.329</v>
      </c>
      <c r="AC1080" t="s">
        <v>32</v>
      </c>
    </row>
    <row r="1081" spans="1:29">
      <c r="A1081" t="s">
        <v>94</v>
      </c>
      <c r="B1081">
        <v>3764</v>
      </c>
      <c r="C1081">
        <v>20.207</v>
      </c>
      <c r="D1081">
        <v>82.177</v>
      </c>
      <c r="E1081">
        <v>164.85</v>
      </c>
      <c r="F1081">
        <v>0.16</v>
      </c>
      <c r="G1081">
        <v>21.497</v>
      </c>
      <c r="H1081">
        <v>1.566</v>
      </c>
      <c r="I1081">
        <v>2.701</v>
      </c>
      <c r="J1081">
        <v>0.182</v>
      </c>
      <c r="K1081">
        <v>5.429</v>
      </c>
      <c r="L1081">
        <v>0.509</v>
      </c>
      <c r="M1081">
        <v>2.355</v>
      </c>
      <c r="N1081">
        <v>167.624</v>
      </c>
      <c r="O1081">
        <v>178.894</v>
      </c>
      <c r="P1081">
        <f t="shared" si="71"/>
        <v>2.22433619998253</v>
      </c>
      <c r="Q1081">
        <f t="shared" si="71"/>
        <v>2.25259577482903</v>
      </c>
      <c r="R1081">
        <v>119.703</v>
      </c>
      <c r="S1081">
        <v>123.278</v>
      </c>
      <c r="T1081">
        <v>121.977</v>
      </c>
      <c r="U1081">
        <v>3.099</v>
      </c>
      <c r="V1081">
        <v>65.111</v>
      </c>
      <c r="W1081">
        <v>0.1</v>
      </c>
      <c r="X1081" t="s">
        <v>92</v>
      </c>
      <c r="Y1081" t="s">
        <v>31</v>
      </c>
      <c r="Z1081" s="3">
        <f t="shared" si="68"/>
        <v>-0.0282595748464991</v>
      </c>
      <c r="AA1081">
        <f t="shared" si="69"/>
        <v>0.327</v>
      </c>
      <c r="AB1081">
        <f t="shared" si="70"/>
        <v>0.669</v>
      </c>
      <c r="AC1081" t="s">
        <v>32</v>
      </c>
    </row>
    <row r="1082" spans="1:29">
      <c r="A1082" t="s">
        <v>94</v>
      </c>
      <c r="B1082">
        <v>3764.125</v>
      </c>
      <c r="C1082">
        <v>19.365</v>
      </c>
      <c r="D1082">
        <v>82.182</v>
      </c>
      <c r="E1082">
        <v>161.083</v>
      </c>
      <c r="F1082">
        <v>0.106</v>
      </c>
      <c r="G1082">
        <v>21.231</v>
      </c>
      <c r="H1082">
        <v>1.683</v>
      </c>
      <c r="I1082">
        <v>2.716</v>
      </c>
      <c r="J1082">
        <v>0.241</v>
      </c>
      <c r="K1082">
        <v>4.966</v>
      </c>
      <c r="L1082">
        <v>0.474</v>
      </c>
      <c r="M1082">
        <v>2.348</v>
      </c>
      <c r="N1082">
        <v>173.052</v>
      </c>
      <c r="O1082">
        <v>184.709</v>
      </c>
      <c r="P1082">
        <f t="shared" si="71"/>
        <v>2.23817662289593</v>
      </c>
      <c r="Q1082">
        <f t="shared" si="71"/>
        <v>2.26648805708134</v>
      </c>
      <c r="R1082">
        <v>118.932</v>
      </c>
      <c r="S1082">
        <v>122.566</v>
      </c>
      <c r="T1082">
        <v>120.573</v>
      </c>
      <c r="U1082">
        <v>2.848</v>
      </c>
      <c r="V1082">
        <v>79.916</v>
      </c>
      <c r="W1082">
        <v>0.1</v>
      </c>
      <c r="X1082" t="s">
        <v>92</v>
      </c>
      <c r="Y1082" t="s">
        <v>31</v>
      </c>
      <c r="Z1082" s="3">
        <f t="shared" si="68"/>
        <v>-0.0283114341854036</v>
      </c>
      <c r="AA1082">
        <f t="shared" ref="AA1082:AA1145" si="72">L1082-J1082</f>
        <v>0.233</v>
      </c>
      <c r="AB1082">
        <f t="shared" ref="AB1082:AB1145" si="73">L1082+F1082</f>
        <v>0.58</v>
      </c>
      <c r="AC1082" t="s">
        <v>32</v>
      </c>
    </row>
    <row r="1083" spans="1:29">
      <c r="A1083" t="s">
        <v>94</v>
      </c>
      <c r="B1083">
        <v>3764.25</v>
      </c>
      <c r="C1083">
        <v>18.684</v>
      </c>
      <c r="D1083">
        <v>82.193</v>
      </c>
      <c r="E1083">
        <v>158.209</v>
      </c>
      <c r="F1083">
        <v>0.065</v>
      </c>
      <c r="G1083">
        <v>21.176</v>
      </c>
      <c r="H1083">
        <v>1.794</v>
      </c>
      <c r="I1083">
        <v>2.719</v>
      </c>
      <c r="J1083">
        <v>0.253</v>
      </c>
      <c r="K1083">
        <v>4.729</v>
      </c>
      <c r="L1083">
        <v>0.456</v>
      </c>
      <c r="M1083">
        <v>2.386</v>
      </c>
      <c r="N1083">
        <v>177.169</v>
      </c>
      <c r="O1083">
        <v>189.738</v>
      </c>
      <c r="P1083">
        <f t="shared" si="71"/>
        <v>2.2483877338788</v>
      </c>
      <c r="Q1083">
        <f t="shared" si="71"/>
        <v>2.27815431843534</v>
      </c>
      <c r="R1083">
        <v>117.498</v>
      </c>
      <c r="S1083">
        <v>121.164</v>
      </c>
      <c r="T1083">
        <v>119.576</v>
      </c>
      <c r="U1083">
        <v>2.81</v>
      </c>
      <c r="V1083">
        <v>82.892</v>
      </c>
      <c r="W1083">
        <v>0.1</v>
      </c>
      <c r="X1083" t="s">
        <v>92</v>
      </c>
      <c r="Y1083" t="s">
        <v>31</v>
      </c>
      <c r="Z1083" s="3">
        <f t="shared" si="68"/>
        <v>-0.0297665845565414</v>
      </c>
      <c r="AA1083">
        <f t="shared" si="72"/>
        <v>0.203</v>
      </c>
      <c r="AB1083">
        <f t="shared" si="73"/>
        <v>0.521</v>
      </c>
      <c r="AC1083" t="s">
        <v>32</v>
      </c>
    </row>
    <row r="1084" spans="1:29">
      <c r="A1084" t="s">
        <v>94</v>
      </c>
      <c r="B1084">
        <v>3764.375</v>
      </c>
      <c r="C1084">
        <v>18.522</v>
      </c>
      <c r="D1084">
        <v>82.21</v>
      </c>
      <c r="E1084">
        <v>157.357</v>
      </c>
      <c r="F1084">
        <v>0.053</v>
      </c>
      <c r="G1084">
        <v>21.278</v>
      </c>
      <c r="H1084">
        <v>1.841</v>
      </c>
      <c r="I1084">
        <v>2.711</v>
      </c>
      <c r="J1084">
        <v>0.221</v>
      </c>
      <c r="K1084">
        <v>4.74</v>
      </c>
      <c r="L1084">
        <v>0.457</v>
      </c>
      <c r="M1084">
        <v>2.433</v>
      </c>
      <c r="N1084">
        <v>175.182</v>
      </c>
      <c r="O1084">
        <v>188.652</v>
      </c>
      <c r="P1084">
        <f t="shared" si="71"/>
        <v>2.24348948024373</v>
      </c>
      <c r="Q1084">
        <f t="shared" si="71"/>
        <v>2.27566141374777</v>
      </c>
      <c r="R1084">
        <v>116.998</v>
      </c>
      <c r="S1084">
        <v>120.714</v>
      </c>
      <c r="T1084">
        <v>120.591</v>
      </c>
      <c r="U1084">
        <v>2.956</v>
      </c>
      <c r="V1084">
        <v>73.287</v>
      </c>
      <c r="W1084">
        <v>0.1</v>
      </c>
      <c r="X1084" t="s">
        <v>92</v>
      </c>
      <c r="Y1084" t="s">
        <v>31</v>
      </c>
      <c r="Z1084" s="3">
        <f t="shared" si="68"/>
        <v>-0.0321719335040411</v>
      </c>
      <c r="AA1084">
        <f t="shared" si="72"/>
        <v>0.236</v>
      </c>
      <c r="AB1084">
        <f t="shared" si="73"/>
        <v>0.51</v>
      </c>
      <c r="AC1084" t="s">
        <v>32</v>
      </c>
    </row>
    <row r="1085" spans="1:29">
      <c r="A1085" t="s">
        <v>94</v>
      </c>
      <c r="B1085">
        <v>3764.5</v>
      </c>
      <c r="C1085">
        <v>19.099</v>
      </c>
      <c r="D1085">
        <v>82.231</v>
      </c>
      <c r="E1085">
        <v>159.012</v>
      </c>
      <c r="F1085">
        <v>0.076</v>
      </c>
      <c r="G1085">
        <v>21.434</v>
      </c>
      <c r="H1085">
        <v>1.824</v>
      </c>
      <c r="I1085">
        <v>2.693</v>
      </c>
      <c r="J1085">
        <v>0.15</v>
      </c>
      <c r="K1085">
        <v>5.108</v>
      </c>
      <c r="L1085">
        <v>0.485</v>
      </c>
      <c r="M1085">
        <v>2.493</v>
      </c>
      <c r="N1085">
        <v>166.884</v>
      </c>
      <c r="O1085">
        <v>180.081</v>
      </c>
      <c r="P1085">
        <f t="shared" si="71"/>
        <v>2.22241470070079</v>
      </c>
      <c r="Q1085">
        <f t="shared" si="71"/>
        <v>2.25546789366103</v>
      </c>
      <c r="R1085">
        <v>119.07</v>
      </c>
      <c r="S1085">
        <v>122.905</v>
      </c>
      <c r="T1085">
        <v>124.883</v>
      </c>
      <c r="U1085">
        <v>3.278</v>
      </c>
      <c r="V1085">
        <v>56.804</v>
      </c>
      <c r="W1085">
        <v>0.112</v>
      </c>
      <c r="X1085" t="s">
        <v>92</v>
      </c>
      <c r="Y1085" t="s">
        <v>31</v>
      </c>
      <c r="Z1085" s="3">
        <f t="shared" si="68"/>
        <v>-0.0330531929602387</v>
      </c>
      <c r="AA1085">
        <f t="shared" si="72"/>
        <v>0.335</v>
      </c>
      <c r="AB1085">
        <f t="shared" si="73"/>
        <v>0.561</v>
      </c>
      <c r="AC1085" t="s">
        <v>32</v>
      </c>
    </row>
    <row r="1086" spans="1:29">
      <c r="A1086" t="s">
        <v>94</v>
      </c>
      <c r="B1086">
        <v>3764.625</v>
      </c>
      <c r="C1086">
        <v>20.365</v>
      </c>
      <c r="D1086">
        <v>82.256</v>
      </c>
      <c r="E1086">
        <v>162.747</v>
      </c>
      <c r="F1086">
        <v>0.13</v>
      </c>
      <c r="G1086">
        <v>21.672</v>
      </c>
      <c r="H1086">
        <v>1.712</v>
      </c>
      <c r="I1086">
        <v>2.68</v>
      </c>
      <c r="J1086">
        <v>0.099</v>
      </c>
      <c r="K1086">
        <v>5.743</v>
      </c>
      <c r="L1086">
        <v>0.532</v>
      </c>
      <c r="M1086">
        <v>2.544</v>
      </c>
      <c r="N1086">
        <v>160.304</v>
      </c>
      <c r="O1086">
        <v>171.758</v>
      </c>
      <c r="P1086">
        <f t="shared" si="71"/>
        <v>2.20494435926153</v>
      </c>
      <c r="Q1086">
        <f t="shared" si="71"/>
        <v>2.23491697440665</v>
      </c>
      <c r="R1086">
        <v>124.771</v>
      </c>
      <c r="S1086">
        <v>128.828</v>
      </c>
      <c r="T1086">
        <v>131.382</v>
      </c>
      <c r="U1086">
        <v>3.502</v>
      </c>
      <c r="V1086">
        <v>48.139</v>
      </c>
      <c r="W1086">
        <v>0.15</v>
      </c>
      <c r="X1086" t="s">
        <v>92</v>
      </c>
      <c r="Y1086" t="s">
        <v>31</v>
      </c>
      <c r="Z1086" s="3">
        <f t="shared" si="68"/>
        <v>-0.0299726151451156</v>
      </c>
      <c r="AA1086">
        <f t="shared" si="72"/>
        <v>0.433</v>
      </c>
      <c r="AB1086">
        <f t="shared" si="73"/>
        <v>0.662</v>
      </c>
      <c r="AC1086" t="s">
        <v>32</v>
      </c>
    </row>
    <row r="1087" spans="1:29">
      <c r="A1087" t="s">
        <v>94</v>
      </c>
      <c r="B1087">
        <v>3764.75</v>
      </c>
      <c r="C1087">
        <v>21.62</v>
      </c>
      <c r="D1087">
        <v>82.283</v>
      </c>
      <c r="E1087">
        <v>166.61</v>
      </c>
      <c r="F1087">
        <v>0.185</v>
      </c>
      <c r="G1087">
        <v>21.85</v>
      </c>
      <c r="H1087">
        <v>1.541</v>
      </c>
      <c r="I1087">
        <v>2.679</v>
      </c>
      <c r="J1087">
        <v>0.095</v>
      </c>
      <c r="K1087">
        <v>6.29</v>
      </c>
      <c r="L1087">
        <v>0.573</v>
      </c>
      <c r="M1087">
        <v>2.613</v>
      </c>
      <c r="N1087">
        <v>159.913</v>
      </c>
      <c r="O1087">
        <v>169.637</v>
      </c>
      <c r="P1087">
        <f t="shared" si="71"/>
        <v>2.20388377080547</v>
      </c>
      <c r="Q1087">
        <f t="shared" si="71"/>
        <v>2.22952058343536</v>
      </c>
      <c r="R1087">
        <v>130.565</v>
      </c>
      <c r="S1087">
        <v>134.828</v>
      </c>
      <c r="T1087">
        <v>135.084</v>
      </c>
      <c r="U1087">
        <v>3.47</v>
      </c>
      <c r="V1087">
        <v>48.454</v>
      </c>
      <c r="W1087">
        <v>0.145</v>
      </c>
      <c r="X1087" t="s">
        <v>92</v>
      </c>
      <c r="Y1087" t="s">
        <v>31</v>
      </c>
      <c r="Z1087" s="3">
        <f t="shared" si="68"/>
        <v>-0.0256368126298878</v>
      </c>
      <c r="AA1087">
        <f t="shared" si="72"/>
        <v>0.478</v>
      </c>
      <c r="AB1087">
        <f t="shared" si="73"/>
        <v>0.758</v>
      </c>
      <c r="AC1087" t="s">
        <v>32</v>
      </c>
    </row>
    <row r="1088" spans="1:29">
      <c r="A1088" t="s">
        <v>94</v>
      </c>
      <c r="B1088">
        <v>3764.875</v>
      </c>
      <c r="C1088">
        <v>22.435</v>
      </c>
      <c r="D1088">
        <v>82.312</v>
      </c>
      <c r="E1088">
        <v>169.08</v>
      </c>
      <c r="F1088">
        <v>0.221</v>
      </c>
      <c r="G1088">
        <v>21.801</v>
      </c>
      <c r="H1088">
        <v>1.391</v>
      </c>
      <c r="I1088">
        <v>2.686</v>
      </c>
      <c r="J1088">
        <v>0.123</v>
      </c>
      <c r="K1088">
        <v>6.417</v>
      </c>
      <c r="L1088">
        <v>0.582</v>
      </c>
      <c r="M1088">
        <v>2.668</v>
      </c>
      <c r="N1088">
        <v>163.528</v>
      </c>
      <c r="O1088">
        <v>172.415</v>
      </c>
      <c r="P1088">
        <f t="shared" si="71"/>
        <v>2.21359212521874</v>
      </c>
      <c r="Q1088">
        <f t="shared" si="71"/>
        <v>2.2365750464878</v>
      </c>
      <c r="R1088">
        <v>132.15</v>
      </c>
      <c r="S1088">
        <v>136.451</v>
      </c>
      <c r="T1088">
        <v>133.414</v>
      </c>
      <c r="U1088">
        <v>3.217</v>
      </c>
      <c r="V1088">
        <v>57.516</v>
      </c>
      <c r="W1088">
        <v>0.108</v>
      </c>
      <c r="X1088" t="s">
        <v>92</v>
      </c>
      <c r="Y1088" t="s">
        <v>31</v>
      </c>
      <c r="Z1088" s="3">
        <f t="shared" si="68"/>
        <v>-0.0229829212690578</v>
      </c>
      <c r="AA1088">
        <f t="shared" si="72"/>
        <v>0.459</v>
      </c>
      <c r="AB1088">
        <f t="shared" si="73"/>
        <v>0.803</v>
      </c>
      <c r="AC1088" t="s">
        <v>32</v>
      </c>
    </row>
    <row r="1089" spans="1:29">
      <c r="A1089" t="s">
        <v>94</v>
      </c>
      <c r="B1089">
        <v>3765</v>
      </c>
      <c r="C1089">
        <v>22.613</v>
      </c>
      <c r="D1089">
        <v>82.342</v>
      </c>
      <c r="E1089">
        <v>169.232</v>
      </c>
      <c r="F1089">
        <v>0.223</v>
      </c>
      <c r="G1089">
        <v>21.556</v>
      </c>
      <c r="H1089">
        <v>1.305</v>
      </c>
      <c r="I1089">
        <v>2.689</v>
      </c>
      <c r="J1089">
        <v>0.134</v>
      </c>
      <c r="K1089">
        <v>6.181</v>
      </c>
      <c r="L1089">
        <v>0.565</v>
      </c>
      <c r="M1089">
        <v>2.714</v>
      </c>
      <c r="N1089">
        <v>165.891</v>
      </c>
      <c r="O1089">
        <v>174.955</v>
      </c>
      <c r="P1089">
        <f t="shared" si="71"/>
        <v>2.21982282510596</v>
      </c>
      <c r="Q1089">
        <f t="shared" si="71"/>
        <v>2.24292635860161</v>
      </c>
      <c r="R1089">
        <v>128.866</v>
      </c>
      <c r="S1089">
        <v>133.026</v>
      </c>
      <c r="T1089">
        <v>127.842</v>
      </c>
      <c r="U1089">
        <v>2.963</v>
      </c>
      <c r="V1089">
        <v>70.533</v>
      </c>
      <c r="W1089">
        <v>0.1</v>
      </c>
      <c r="X1089" t="s">
        <v>92</v>
      </c>
      <c r="Y1089" t="s">
        <v>31</v>
      </c>
      <c r="Z1089" s="3">
        <f t="shared" si="68"/>
        <v>-0.0231035334956444</v>
      </c>
      <c r="AA1089">
        <f t="shared" si="72"/>
        <v>0.431</v>
      </c>
      <c r="AB1089">
        <f t="shared" si="73"/>
        <v>0.788</v>
      </c>
      <c r="AC1089" t="s">
        <v>32</v>
      </c>
    </row>
    <row r="1090" spans="1:29">
      <c r="A1090" t="s">
        <v>94</v>
      </c>
      <c r="B1090">
        <v>3765.125</v>
      </c>
      <c r="C1090">
        <v>22.5</v>
      </c>
      <c r="D1090">
        <v>82.373</v>
      </c>
      <c r="E1090">
        <v>166.933</v>
      </c>
      <c r="F1090">
        <v>0.19</v>
      </c>
      <c r="G1090">
        <v>21.295</v>
      </c>
      <c r="H1090">
        <v>1.256</v>
      </c>
      <c r="I1090">
        <v>2.687</v>
      </c>
      <c r="J1090">
        <v>0.126</v>
      </c>
      <c r="K1090">
        <v>5.781</v>
      </c>
      <c r="L1090">
        <v>0.535</v>
      </c>
      <c r="M1090">
        <v>2.773</v>
      </c>
      <c r="N1090">
        <v>162.593</v>
      </c>
      <c r="O1090">
        <v>172.467</v>
      </c>
      <c r="P1090">
        <f t="shared" si="71"/>
        <v>2.21110184429118</v>
      </c>
      <c r="Q1090">
        <f t="shared" si="71"/>
        <v>2.23670600903864</v>
      </c>
      <c r="R1090">
        <v>122.283</v>
      </c>
      <c r="S1090">
        <v>126.174</v>
      </c>
      <c r="T1090">
        <v>120.64</v>
      </c>
      <c r="U1090">
        <v>2.778</v>
      </c>
      <c r="V1090">
        <v>85.048</v>
      </c>
      <c r="W1090">
        <v>0.1</v>
      </c>
      <c r="X1090" t="s">
        <v>92</v>
      </c>
      <c r="Y1090" t="s">
        <v>31</v>
      </c>
      <c r="Z1090" s="3">
        <f t="shared" si="68"/>
        <v>-0.0256041647474614</v>
      </c>
      <c r="AA1090">
        <f t="shared" si="72"/>
        <v>0.409</v>
      </c>
      <c r="AB1090">
        <f t="shared" si="73"/>
        <v>0.725</v>
      </c>
      <c r="AC1090" t="s">
        <v>32</v>
      </c>
    </row>
    <row r="1091" spans="1:29">
      <c r="A1091" t="s">
        <v>94</v>
      </c>
      <c r="B1091">
        <v>3765.25</v>
      </c>
      <c r="C1091">
        <v>22.589</v>
      </c>
      <c r="D1091">
        <v>82.405</v>
      </c>
      <c r="E1091">
        <v>164.006</v>
      </c>
      <c r="F1091">
        <v>0.148</v>
      </c>
      <c r="G1091">
        <v>21.241</v>
      </c>
      <c r="H1091">
        <v>1.244</v>
      </c>
      <c r="I1091">
        <v>2.683</v>
      </c>
      <c r="J1091">
        <v>0.111</v>
      </c>
      <c r="K1091">
        <v>5.406</v>
      </c>
      <c r="L1091">
        <v>0.507</v>
      </c>
      <c r="M1091">
        <v>2.795</v>
      </c>
      <c r="N1091">
        <v>158.36</v>
      </c>
      <c r="O1091">
        <v>168.599</v>
      </c>
      <c r="P1091">
        <f t="shared" si="71"/>
        <v>2.19964549308017</v>
      </c>
      <c r="Q1091">
        <f t="shared" si="71"/>
        <v>2.22685499439448</v>
      </c>
      <c r="R1091">
        <v>115.642</v>
      </c>
      <c r="S1091">
        <v>119.239</v>
      </c>
      <c r="T1091">
        <v>115.923</v>
      </c>
      <c r="U1091">
        <v>2.678</v>
      </c>
      <c r="V1091">
        <v>94.833</v>
      </c>
      <c r="W1091">
        <v>0.1</v>
      </c>
      <c r="X1091" t="s">
        <v>92</v>
      </c>
      <c r="Y1091" t="s">
        <v>31</v>
      </c>
      <c r="Z1091" s="3">
        <f t="shared" si="68"/>
        <v>-0.0272095013143105</v>
      </c>
      <c r="AA1091">
        <f t="shared" si="72"/>
        <v>0.396</v>
      </c>
      <c r="AB1091">
        <f t="shared" si="73"/>
        <v>0.655</v>
      </c>
      <c r="AC1091" t="s">
        <v>32</v>
      </c>
    </row>
    <row r="1092" spans="1:29">
      <c r="A1092" t="s">
        <v>94</v>
      </c>
      <c r="B1092">
        <v>3765.375</v>
      </c>
      <c r="C1092">
        <v>22.995</v>
      </c>
      <c r="D1092">
        <v>82.437</v>
      </c>
      <c r="E1092">
        <v>161.955</v>
      </c>
      <c r="F1092">
        <v>0.119</v>
      </c>
      <c r="G1092">
        <v>21.369</v>
      </c>
      <c r="H1092">
        <v>1.275</v>
      </c>
      <c r="I1092">
        <v>2.681</v>
      </c>
      <c r="J1092">
        <v>0.103</v>
      </c>
      <c r="K1092">
        <v>5.175</v>
      </c>
      <c r="L1092">
        <v>0.49</v>
      </c>
      <c r="M1092">
        <v>2.753</v>
      </c>
      <c r="N1092">
        <v>159.946</v>
      </c>
      <c r="O1092">
        <v>170.645</v>
      </c>
      <c r="P1092">
        <f t="shared" si="71"/>
        <v>2.20397338352829</v>
      </c>
      <c r="Q1092">
        <f t="shared" si="71"/>
        <v>2.23209356771444</v>
      </c>
      <c r="R1092">
        <v>114.427</v>
      </c>
      <c r="S1092">
        <v>117.79</v>
      </c>
      <c r="T1092">
        <v>120.41</v>
      </c>
      <c r="U1092">
        <v>2.654</v>
      </c>
      <c r="V1092">
        <v>95.256</v>
      </c>
      <c r="W1092">
        <v>0.1</v>
      </c>
      <c r="X1092" t="s">
        <v>92</v>
      </c>
      <c r="Y1092" t="s">
        <v>31</v>
      </c>
      <c r="Z1092" s="3">
        <f t="shared" si="68"/>
        <v>-0.0281201841861534</v>
      </c>
      <c r="AA1092">
        <f t="shared" si="72"/>
        <v>0.387</v>
      </c>
      <c r="AB1092">
        <f t="shared" si="73"/>
        <v>0.609</v>
      </c>
      <c r="AC1092" t="s">
        <v>32</v>
      </c>
    </row>
    <row r="1093" spans="1:29">
      <c r="A1093" t="s">
        <v>94</v>
      </c>
      <c r="B1093">
        <v>3765.5</v>
      </c>
      <c r="C1093">
        <v>23.673</v>
      </c>
      <c r="D1093">
        <v>82.471</v>
      </c>
      <c r="E1093">
        <v>161.3</v>
      </c>
      <c r="F1093">
        <v>0.109</v>
      </c>
      <c r="G1093">
        <v>21.645</v>
      </c>
      <c r="H1093">
        <v>1.337</v>
      </c>
      <c r="I1093">
        <v>2.694</v>
      </c>
      <c r="J1093">
        <v>0.154</v>
      </c>
      <c r="K1093">
        <v>5.16</v>
      </c>
      <c r="L1093">
        <v>0.489</v>
      </c>
      <c r="M1093">
        <v>2.737</v>
      </c>
      <c r="N1093">
        <v>162.893</v>
      </c>
      <c r="O1093">
        <v>175.149</v>
      </c>
      <c r="P1093">
        <f t="shared" si="71"/>
        <v>2.2119024217751</v>
      </c>
      <c r="Q1093">
        <f t="shared" si="71"/>
        <v>2.24340766208921</v>
      </c>
      <c r="R1093">
        <v>121.387</v>
      </c>
      <c r="S1093">
        <v>124.732</v>
      </c>
      <c r="T1093">
        <v>131.589</v>
      </c>
      <c r="U1093">
        <v>2.55</v>
      </c>
      <c r="V1093">
        <v>100</v>
      </c>
      <c r="W1093">
        <v>0.1</v>
      </c>
      <c r="X1093" t="s">
        <v>92</v>
      </c>
      <c r="Y1093" t="s">
        <v>31</v>
      </c>
      <c r="Z1093" s="3">
        <f t="shared" si="68"/>
        <v>-0.0315052403141158</v>
      </c>
      <c r="AA1093">
        <f t="shared" si="72"/>
        <v>0.335</v>
      </c>
      <c r="AB1093">
        <f t="shared" si="73"/>
        <v>0.598</v>
      </c>
      <c r="AC1093" t="s">
        <v>32</v>
      </c>
    </row>
    <row r="1094" spans="1:29">
      <c r="A1094" t="s">
        <v>94</v>
      </c>
      <c r="B1094">
        <v>3765.625</v>
      </c>
      <c r="C1094">
        <v>24.228</v>
      </c>
      <c r="D1094">
        <v>82.506</v>
      </c>
      <c r="E1094">
        <v>161.233</v>
      </c>
      <c r="F1094">
        <v>0.108</v>
      </c>
      <c r="G1094">
        <v>22.054</v>
      </c>
      <c r="H1094">
        <v>1.429</v>
      </c>
      <c r="I1094">
        <v>2.727</v>
      </c>
      <c r="J1094">
        <v>0.285</v>
      </c>
      <c r="K1094">
        <v>5.259</v>
      </c>
      <c r="L1094">
        <v>0.496</v>
      </c>
      <c r="M1094">
        <v>2.689</v>
      </c>
      <c r="N1094">
        <v>162.165</v>
      </c>
      <c r="O1094">
        <v>174.678</v>
      </c>
      <c r="P1094">
        <f t="shared" si="71"/>
        <v>2.20995712640358</v>
      </c>
      <c r="Q1094">
        <f t="shared" si="71"/>
        <v>2.24223821076283</v>
      </c>
      <c r="R1094">
        <v>133.464</v>
      </c>
      <c r="S1094">
        <v>136.86</v>
      </c>
      <c r="T1094">
        <v>144.78</v>
      </c>
      <c r="U1094">
        <v>2.261</v>
      </c>
      <c r="V1094">
        <v>100</v>
      </c>
      <c r="W1094">
        <v>0.1</v>
      </c>
      <c r="X1094" t="s">
        <v>92</v>
      </c>
      <c r="Y1094" t="s">
        <v>31</v>
      </c>
      <c r="Z1094" s="3">
        <f t="shared" si="68"/>
        <v>-0.0322810843592527</v>
      </c>
      <c r="AA1094">
        <f t="shared" si="72"/>
        <v>0.211</v>
      </c>
      <c r="AB1094">
        <f t="shared" si="73"/>
        <v>0.604</v>
      </c>
      <c r="AC1094" t="s">
        <v>32</v>
      </c>
    </row>
    <row r="1095" spans="1:29">
      <c r="A1095" t="s">
        <v>94</v>
      </c>
      <c r="B1095">
        <v>3765.75</v>
      </c>
      <c r="C1095">
        <v>24.197</v>
      </c>
      <c r="D1095">
        <v>82.543</v>
      </c>
      <c r="E1095">
        <v>160.559</v>
      </c>
      <c r="F1095">
        <v>0.099</v>
      </c>
      <c r="G1095">
        <v>22.34</v>
      </c>
      <c r="H1095">
        <v>1.547</v>
      </c>
      <c r="I1095">
        <v>2.762</v>
      </c>
      <c r="J1095">
        <v>0.423</v>
      </c>
      <c r="K1095">
        <v>5.202</v>
      </c>
      <c r="L1095">
        <v>0.492</v>
      </c>
      <c r="M1095">
        <v>2.616</v>
      </c>
      <c r="N1095">
        <v>167.527</v>
      </c>
      <c r="O1095">
        <v>178.73</v>
      </c>
      <c r="P1095">
        <f t="shared" si="71"/>
        <v>2.2240848114089</v>
      </c>
      <c r="Q1095">
        <f t="shared" si="71"/>
        <v>2.25219745536488</v>
      </c>
      <c r="R1095">
        <v>145.361</v>
      </c>
      <c r="S1095">
        <v>148.694</v>
      </c>
      <c r="T1095">
        <v>154.439</v>
      </c>
      <c r="U1095">
        <v>1.95</v>
      </c>
      <c r="V1095">
        <v>100</v>
      </c>
      <c r="W1095">
        <v>0.1</v>
      </c>
      <c r="X1095" t="s">
        <v>92</v>
      </c>
      <c r="Y1095" t="s">
        <v>31</v>
      </c>
      <c r="Z1095" s="3">
        <f t="shared" si="68"/>
        <v>-0.0281126439559749</v>
      </c>
      <c r="AA1095">
        <f t="shared" si="72"/>
        <v>0.069</v>
      </c>
      <c r="AB1095">
        <f t="shared" si="73"/>
        <v>0.591</v>
      </c>
      <c r="AC1095" t="s">
        <v>32</v>
      </c>
    </row>
    <row r="1096" spans="1:29">
      <c r="A1096" t="s">
        <v>94</v>
      </c>
      <c r="B1096">
        <v>3765.875</v>
      </c>
      <c r="C1096">
        <v>23.647</v>
      </c>
      <c r="D1096">
        <v>82.581</v>
      </c>
      <c r="E1096">
        <v>159.183</v>
      </c>
      <c r="F1096">
        <v>0.079</v>
      </c>
      <c r="G1096">
        <v>22.228</v>
      </c>
      <c r="H1096">
        <v>1.697</v>
      </c>
      <c r="I1096">
        <v>2.782</v>
      </c>
      <c r="J1096">
        <v>0.502</v>
      </c>
      <c r="K1096">
        <v>5.083</v>
      </c>
      <c r="L1096">
        <v>0.483</v>
      </c>
      <c r="M1096">
        <v>2.567</v>
      </c>
      <c r="N1096">
        <v>180.09</v>
      </c>
      <c r="O1096">
        <v>190.621</v>
      </c>
      <c r="P1096">
        <f t="shared" si="71"/>
        <v>2.25548959807554</v>
      </c>
      <c r="Q1096">
        <f t="shared" si="71"/>
        <v>2.28017074353071</v>
      </c>
      <c r="R1096">
        <v>152.159</v>
      </c>
      <c r="S1096">
        <v>155.209</v>
      </c>
      <c r="T1096">
        <v>157.02</v>
      </c>
      <c r="U1096">
        <v>1.828</v>
      </c>
      <c r="V1096">
        <v>100</v>
      </c>
      <c r="W1096">
        <v>0.1</v>
      </c>
      <c r="X1096" t="s">
        <v>92</v>
      </c>
      <c r="Y1096" t="s">
        <v>31</v>
      </c>
      <c r="Z1096" s="3">
        <f t="shared" si="68"/>
        <v>-0.0246811454551725</v>
      </c>
      <c r="AA1096">
        <f t="shared" si="72"/>
        <v>-0.019</v>
      </c>
      <c r="AB1096">
        <f t="shared" si="73"/>
        <v>0.562</v>
      </c>
      <c r="AC1096" t="s">
        <v>32</v>
      </c>
    </row>
    <row r="1097" spans="1:29">
      <c r="A1097" t="s">
        <v>94</v>
      </c>
      <c r="B1097">
        <v>3766</v>
      </c>
      <c r="C1097">
        <v>23.164</v>
      </c>
      <c r="D1097">
        <v>82.622</v>
      </c>
      <c r="E1097">
        <v>157.653</v>
      </c>
      <c r="F1097">
        <v>0.057</v>
      </c>
      <c r="G1097">
        <v>21.796</v>
      </c>
      <c r="H1097">
        <v>1.864</v>
      </c>
      <c r="I1097">
        <v>2.783</v>
      </c>
      <c r="J1097">
        <v>0.506</v>
      </c>
      <c r="K1097">
        <v>4.976</v>
      </c>
      <c r="L1097">
        <v>0.475</v>
      </c>
      <c r="M1097">
        <v>2.598</v>
      </c>
      <c r="N1097">
        <v>188.282</v>
      </c>
      <c r="O1097">
        <v>199.786</v>
      </c>
      <c r="P1097">
        <f t="shared" si="71"/>
        <v>2.27480880289327</v>
      </c>
      <c r="Q1097">
        <f t="shared" si="71"/>
        <v>2.30056505177898</v>
      </c>
      <c r="R1097">
        <v>152.112</v>
      </c>
      <c r="S1097">
        <v>154.677</v>
      </c>
      <c r="T1097">
        <v>152.991</v>
      </c>
      <c r="U1097">
        <v>1.909</v>
      </c>
      <c r="V1097">
        <v>100</v>
      </c>
      <c r="W1097">
        <v>0.1</v>
      </c>
      <c r="X1097" t="s">
        <v>92</v>
      </c>
      <c r="Y1097" t="s">
        <v>31</v>
      </c>
      <c r="Z1097" s="3">
        <f t="shared" si="68"/>
        <v>-0.0257562488857084</v>
      </c>
      <c r="AA1097">
        <f t="shared" si="72"/>
        <v>-0.031</v>
      </c>
      <c r="AB1097">
        <f t="shared" si="73"/>
        <v>0.532</v>
      </c>
      <c r="AC1097" t="s">
        <v>32</v>
      </c>
    </row>
    <row r="1098" spans="1:29">
      <c r="A1098" t="s">
        <v>95</v>
      </c>
      <c r="B1098">
        <v>4448</v>
      </c>
      <c r="C1098">
        <v>28.002</v>
      </c>
      <c r="D1098">
        <v>69.767</v>
      </c>
      <c r="E1098">
        <v>166.658</v>
      </c>
      <c r="F1098">
        <v>0.062</v>
      </c>
      <c r="G1098">
        <v>22.5</v>
      </c>
      <c r="H1098">
        <v>2.568</v>
      </c>
      <c r="I1098">
        <v>2.657</v>
      </c>
      <c r="J1098">
        <v>0.312</v>
      </c>
      <c r="K1098">
        <v>7.781</v>
      </c>
      <c r="L1098">
        <v>0.169</v>
      </c>
      <c r="M1098">
        <v>3.392</v>
      </c>
      <c r="N1098">
        <v>140.674</v>
      </c>
      <c r="O1098">
        <v>130.254</v>
      </c>
      <c r="P1098">
        <f t="shared" si="71"/>
        <v>2.14821383659642</v>
      </c>
      <c r="Q1098">
        <f t="shared" si="71"/>
        <v>2.11479106902533</v>
      </c>
      <c r="R1098">
        <v>40.204</v>
      </c>
      <c r="S1098">
        <v>43.02</v>
      </c>
      <c r="T1098">
        <v>45.06</v>
      </c>
      <c r="U1098">
        <v>4.336</v>
      </c>
      <c r="V1098">
        <v>61.625</v>
      </c>
      <c r="W1098">
        <v>0.011</v>
      </c>
      <c r="X1098" t="s">
        <v>92</v>
      </c>
      <c r="Y1098" t="s">
        <v>31</v>
      </c>
      <c r="Z1098" s="3">
        <f t="shared" si="68"/>
        <v>0.0334227675710865</v>
      </c>
      <c r="AA1098">
        <f t="shared" si="72"/>
        <v>-0.143</v>
      </c>
      <c r="AB1098">
        <f t="shared" si="73"/>
        <v>0.231</v>
      </c>
      <c r="AC1098" t="s">
        <v>32</v>
      </c>
    </row>
    <row r="1099" spans="1:29">
      <c r="A1099" t="s">
        <v>95</v>
      </c>
      <c r="B1099">
        <v>4448.125</v>
      </c>
      <c r="C1099">
        <v>26.83</v>
      </c>
      <c r="D1099">
        <v>69.744</v>
      </c>
      <c r="E1099">
        <v>167.417</v>
      </c>
      <c r="F1099">
        <v>0.071</v>
      </c>
      <c r="G1099">
        <v>22.523</v>
      </c>
      <c r="H1099">
        <v>2.508</v>
      </c>
      <c r="I1099">
        <v>2.643</v>
      </c>
      <c r="J1099">
        <v>0.256</v>
      </c>
      <c r="K1099">
        <v>8.393</v>
      </c>
      <c r="L1099">
        <v>0.227</v>
      </c>
      <c r="M1099">
        <v>3.385</v>
      </c>
      <c r="N1099">
        <v>125.058</v>
      </c>
      <c r="O1099">
        <v>115.795</v>
      </c>
      <c r="P1099">
        <f t="shared" si="71"/>
        <v>2.09711147891118</v>
      </c>
      <c r="Q1099">
        <f t="shared" si="71"/>
        <v>2.06368980706594</v>
      </c>
      <c r="R1099">
        <v>36.499</v>
      </c>
      <c r="S1099">
        <v>38.859</v>
      </c>
      <c r="T1099">
        <v>40.517</v>
      </c>
      <c r="U1099">
        <v>4.546</v>
      </c>
      <c r="V1099">
        <v>61.088</v>
      </c>
      <c r="W1099">
        <v>0.014</v>
      </c>
      <c r="X1099" t="s">
        <v>92</v>
      </c>
      <c r="Y1099" t="s">
        <v>31</v>
      </c>
      <c r="Z1099" s="3">
        <f t="shared" si="68"/>
        <v>0.0334216718452467</v>
      </c>
      <c r="AA1099">
        <f t="shared" si="72"/>
        <v>-0.029</v>
      </c>
      <c r="AB1099">
        <f t="shared" si="73"/>
        <v>0.298</v>
      </c>
      <c r="AC1099" t="s">
        <v>32</v>
      </c>
    </row>
    <row r="1100" spans="1:29">
      <c r="A1100" t="s">
        <v>95</v>
      </c>
      <c r="B1100">
        <v>4448.25</v>
      </c>
      <c r="C1100">
        <v>24.563</v>
      </c>
      <c r="D1100">
        <v>69.722</v>
      </c>
      <c r="E1100">
        <v>168.14</v>
      </c>
      <c r="F1100">
        <v>0.08</v>
      </c>
      <c r="G1100">
        <v>22.544</v>
      </c>
      <c r="H1100">
        <v>2.371</v>
      </c>
      <c r="I1100">
        <v>2.639</v>
      </c>
      <c r="J1100">
        <v>0.24</v>
      </c>
      <c r="K1100">
        <v>8.822</v>
      </c>
      <c r="L1100">
        <v>0.268</v>
      </c>
      <c r="M1100">
        <v>3.381</v>
      </c>
      <c r="N1100">
        <v>111.489</v>
      </c>
      <c r="O1100">
        <v>103.23</v>
      </c>
      <c r="P1100">
        <f t="shared" si="71"/>
        <v>2.04723202007508</v>
      </c>
      <c r="Q1100">
        <f t="shared" si="71"/>
        <v>2.01380592734059</v>
      </c>
      <c r="R1100">
        <v>33.785</v>
      </c>
      <c r="S1100">
        <v>35.803</v>
      </c>
      <c r="T1100">
        <v>37.177</v>
      </c>
      <c r="U1100">
        <v>5.386</v>
      </c>
      <c r="V1100">
        <v>53.471</v>
      </c>
      <c r="W1100">
        <v>0.028</v>
      </c>
      <c r="X1100" t="s">
        <v>92</v>
      </c>
      <c r="Y1100" t="s">
        <v>31</v>
      </c>
      <c r="Z1100" s="3">
        <f t="shared" si="68"/>
        <v>0.033426092734484</v>
      </c>
      <c r="AA1100">
        <f t="shared" si="72"/>
        <v>0.028</v>
      </c>
      <c r="AB1100">
        <f t="shared" si="73"/>
        <v>0.348</v>
      </c>
      <c r="AC1100" t="s">
        <v>32</v>
      </c>
    </row>
    <row r="1101" spans="1:29">
      <c r="A1101" t="s">
        <v>95</v>
      </c>
      <c r="B1101">
        <v>4448.375</v>
      </c>
      <c r="C1101">
        <v>21.871</v>
      </c>
      <c r="D1101">
        <v>69.7</v>
      </c>
      <c r="E1101">
        <v>168.411</v>
      </c>
      <c r="F1101">
        <v>0.083</v>
      </c>
      <c r="G1101">
        <v>22.552</v>
      </c>
      <c r="H1101">
        <v>2.132</v>
      </c>
      <c r="I1101">
        <v>2.644</v>
      </c>
      <c r="J1101">
        <v>0.26</v>
      </c>
      <c r="K1101">
        <v>9.119</v>
      </c>
      <c r="L1101">
        <v>0.297</v>
      </c>
      <c r="M1101">
        <v>3.379</v>
      </c>
      <c r="N1101">
        <v>99.19</v>
      </c>
      <c r="O1101">
        <v>91.842</v>
      </c>
      <c r="P1101">
        <f t="shared" si="71"/>
        <v>1.99646789026172</v>
      </c>
      <c r="Q1101">
        <f t="shared" si="71"/>
        <v>1.96304133258337</v>
      </c>
      <c r="R1101">
        <v>32.773</v>
      </c>
      <c r="S1101">
        <v>34.604</v>
      </c>
      <c r="T1101">
        <v>35.807</v>
      </c>
      <c r="U1101">
        <v>5.344</v>
      </c>
      <c r="V1101">
        <v>54.204</v>
      </c>
      <c r="W1101">
        <v>0.027</v>
      </c>
      <c r="X1101" t="s">
        <v>92</v>
      </c>
      <c r="Y1101" t="s">
        <v>31</v>
      </c>
      <c r="Z1101" s="3">
        <f t="shared" si="68"/>
        <v>0.0334265576783512</v>
      </c>
      <c r="AA1101">
        <f t="shared" si="72"/>
        <v>0.037</v>
      </c>
      <c r="AB1101">
        <f t="shared" si="73"/>
        <v>0.38</v>
      </c>
      <c r="AC1101" t="s">
        <v>32</v>
      </c>
    </row>
    <row r="1102" spans="1:29">
      <c r="A1102" t="s">
        <v>95</v>
      </c>
      <c r="B1102">
        <v>4448.5</v>
      </c>
      <c r="C1102">
        <v>20.258</v>
      </c>
      <c r="D1102">
        <v>69.677</v>
      </c>
      <c r="E1102">
        <v>168.574</v>
      </c>
      <c r="F1102">
        <v>0.085</v>
      </c>
      <c r="G1102">
        <v>22.557</v>
      </c>
      <c r="H1102">
        <v>2.07</v>
      </c>
      <c r="I1102">
        <v>2.656</v>
      </c>
      <c r="J1102">
        <v>0.308</v>
      </c>
      <c r="K1102">
        <v>9.284</v>
      </c>
      <c r="L1102">
        <v>0.312</v>
      </c>
      <c r="M1102">
        <v>3.379</v>
      </c>
      <c r="N1102">
        <v>88.535</v>
      </c>
      <c r="O1102">
        <v>81.977</v>
      </c>
      <c r="P1102">
        <f t="shared" si="71"/>
        <v>1.9471149916238</v>
      </c>
      <c r="Q1102">
        <f t="shared" si="71"/>
        <v>1.91369202099091</v>
      </c>
      <c r="R1102">
        <v>33.146</v>
      </c>
      <c r="S1102">
        <v>34.9</v>
      </c>
      <c r="T1102">
        <v>36.011</v>
      </c>
      <c r="U1102">
        <v>5.258</v>
      </c>
      <c r="V1102">
        <v>54.714</v>
      </c>
      <c r="W1102">
        <v>0.025</v>
      </c>
      <c r="X1102" t="s">
        <v>92</v>
      </c>
      <c r="Y1102" t="s">
        <v>31</v>
      </c>
      <c r="Z1102" s="3">
        <f t="shared" si="68"/>
        <v>0.0334229706328883</v>
      </c>
      <c r="AA1102">
        <f t="shared" si="72"/>
        <v>0.004</v>
      </c>
      <c r="AB1102">
        <f t="shared" si="73"/>
        <v>0.397</v>
      </c>
      <c r="AC1102" t="s">
        <v>32</v>
      </c>
    </row>
    <row r="1103" spans="1:29">
      <c r="A1103" t="s">
        <v>95</v>
      </c>
      <c r="B1103">
        <v>4448.625</v>
      </c>
      <c r="C1103">
        <v>20.476</v>
      </c>
      <c r="D1103">
        <v>69.655</v>
      </c>
      <c r="E1103">
        <v>169.351</v>
      </c>
      <c r="F1103">
        <v>0.094</v>
      </c>
      <c r="G1103">
        <v>22.58</v>
      </c>
      <c r="H1103">
        <v>2.089</v>
      </c>
      <c r="I1103">
        <v>2.674</v>
      </c>
      <c r="J1103">
        <v>0.38</v>
      </c>
      <c r="K1103">
        <v>9.291</v>
      </c>
      <c r="L1103">
        <v>0.313</v>
      </c>
      <c r="M1103">
        <v>3.379</v>
      </c>
      <c r="N1103">
        <v>80.141</v>
      </c>
      <c r="O1103">
        <v>74.204</v>
      </c>
      <c r="P1103">
        <f t="shared" si="71"/>
        <v>1.9038547572603</v>
      </c>
      <c r="Q1103">
        <f t="shared" si="71"/>
        <v>1.87042731674945</v>
      </c>
      <c r="R1103">
        <v>33.901</v>
      </c>
      <c r="S1103">
        <v>35.625</v>
      </c>
      <c r="T1103">
        <v>36.678</v>
      </c>
      <c r="U1103">
        <v>5.077</v>
      </c>
      <c r="V1103">
        <v>56.256</v>
      </c>
      <c r="W1103">
        <v>0.022</v>
      </c>
      <c r="X1103" t="s">
        <v>92</v>
      </c>
      <c r="Y1103" t="s">
        <v>31</v>
      </c>
      <c r="Z1103" s="3">
        <f t="shared" si="68"/>
        <v>0.0334274405108528</v>
      </c>
      <c r="AA1103">
        <f t="shared" si="72"/>
        <v>-0.067</v>
      </c>
      <c r="AB1103">
        <f t="shared" si="73"/>
        <v>0.407</v>
      </c>
      <c r="AC1103" t="s">
        <v>32</v>
      </c>
    </row>
    <row r="1104" spans="1:29">
      <c r="A1104" t="s">
        <v>95</v>
      </c>
      <c r="B1104">
        <v>4448.75</v>
      </c>
      <c r="C1104">
        <v>22.258</v>
      </c>
      <c r="D1104">
        <v>69.633</v>
      </c>
      <c r="E1104">
        <v>171.022</v>
      </c>
      <c r="F1104">
        <v>0.114</v>
      </c>
      <c r="G1104">
        <v>22.631</v>
      </c>
      <c r="H1104">
        <v>2.148</v>
      </c>
      <c r="I1104">
        <v>2.693</v>
      </c>
      <c r="J1104">
        <v>0.456</v>
      </c>
      <c r="K1104">
        <v>9.215</v>
      </c>
      <c r="L1104">
        <v>0.306</v>
      </c>
      <c r="M1104">
        <v>3.38</v>
      </c>
      <c r="N1104">
        <v>73.981</v>
      </c>
      <c r="O1104">
        <v>68.501</v>
      </c>
      <c r="P1104">
        <f t="shared" si="71"/>
        <v>1.86912019737065</v>
      </c>
      <c r="Q1104">
        <f t="shared" si="71"/>
        <v>1.83569691151158</v>
      </c>
      <c r="R1104">
        <v>33.276</v>
      </c>
      <c r="S1104">
        <v>34.91</v>
      </c>
      <c r="T1104">
        <v>35.884</v>
      </c>
      <c r="U1104">
        <v>4.958</v>
      </c>
      <c r="V1104">
        <v>58.795</v>
      </c>
      <c r="W1104">
        <v>0.02</v>
      </c>
      <c r="X1104" t="s">
        <v>92</v>
      </c>
      <c r="Y1104" t="s">
        <v>31</v>
      </c>
      <c r="Z1104" s="3">
        <f t="shared" si="68"/>
        <v>0.0334232858590753</v>
      </c>
      <c r="AA1104">
        <f t="shared" si="72"/>
        <v>-0.15</v>
      </c>
      <c r="AB1104">
        <f t="shared" si="73"/>
        <v>0.42</v>
      </c>
      <c r="AC1104" t="s">
        <v>32</v>
      </c>
    </row>
    <row r="1105" spans="1:29">
      <c r="A1105" t="s">
        <v>95</v>
      </c>
      <c r="B1105">
        <v>4448.875</v>
      </c>
      <c r="C1105">
        <v>24.287</v>
      </c>
      <c r="D1105">
        <v>69.611</v>
      </c>
      <c r="E1105">
        <v>173.117</v>
      </c>
      <c r="F1105">
        <v>0.139</v>
      </c>
      <c r="G1105">
        <v>22.694</v>
      </c>
      <c r="H1105">
        <v>2.226</v>
      </c>
      <c r="I1105">
        <v>2.711</v>
      </c>
      <c r="J1105">
        <v>0.528</v>
      </c>
      <c r="K1105">
        <v>9.205</v>
      </c>
      <c r="L1105">
        <v>0.305</v>
      </c>
      <c r="M1105">
        <v>3.382</v>
      </c>
      <c r="N1105">
        <v>68.799</v>
      </c>
      <c r="O1105">
        <v>63.703</v>
      </c>
      <c r="P1105">
        <f t="shared" si="71"/>
        <v>1.83758212576984</v>
      </c>
      <c r="Q1105">
        <f t="shared" si="71"/>
        <v>1.80415988528302</v>
      </c>
      <c r="R1105">
        <v>30.091</v>
      </c>
      <c r="S1105">
        <v>31.502</v>
      </c>
      <c r="T1105">
        <v>32.323</v>
      </c>
      <c r="U1105">
        <v>4.786</v>
      </c>
      <c r="V1105">
        <v>66.132</v>
      </c>
      <c r="W1105">
        <v>0.017</v>
      </c>
      <c r="X1105" t="s">
        <v>92</v>
      </c>
      <c r="Y1105" t="s">
        <v>31</v>
      </c>
      <c r="Z1105" s="3">
        <f t="shared" si="68"/>
        <v>0.033422240486821</v>
      </c>
      <c r="AA1105">
        <f t="shared" si="72"/>
        <v>-0.223</v>
      </c>
      <c r="AB1105">
        <f t="shared" si="73"/>
        <v>0.444</v>
      </c>
      <c r="AC1105" t="s">
        <v>32</v>
      </c>
    </row>
    <row r="1106" spans="1:29">
      <c r="A1106" t="s">
        <v>95</v>
      </c>
      <c r="B1106">
        <v>4449</v>
      </c>
      <c r="C1106">
        <v>25.793</v>
      </c>
      <c r="D1106">
        <v>69.589</v>
      </c>
      <c r="E1106">
        <v>175.18</v>
      </c>
      <c r="F1106">
        <v>0.164</v>
      </c>
      <c r="G1106">
        <v>22.756</v>
      </c>
      <c r="H1106">
        <v>2.314</v>
      </c>
      <c r="I1106">
        <v>2.726</v>
      </c>
      <c r="J1106">
        <v>0.588</v>
      </c>
      <c r="K1106">
        <v>9.357</v>
      </c>
      <c r="L1106">
        <v>0.319</v>
      </c>
      <c r="M1106">
        <v>3.383</v>
      </c>
      <c r="N1106">
        <v>63.929</v>
      </c>
      <c r="O1106">
        <v>59.194</v>
      </c>
      <c r="P1106">
        <f t="shared" si="71"/>
        <v>1.8056979110993</v>
      </c>
      <c r="Q1106">
        <f t="shared" si="71"/>
        <v>1.77227768815959</v>
      </c>
      <c r="R1106">
        <v>25.142</v>
      </c>
      <c r="S1106">
        <v>26.244</v>
      </c>
      <c r="T1106">
        <v>26.867</v>
      </c>
      <c r="U1106">
        <v>4.681</v>
      </c>
      <c r="V1106">
        <v>76.043</v>
      </c>
      <c r="W1106">
        <v>0.015</v>
      </c>
      <c r="X1106" t="s">
        <v>92</v>
      </c>
      <c r="Y1106" t="s">
        <v>31</v>
      </c>
      <c r="Z1106" s="3">
        <f t="shared" si="68"/>
        <v>0.0334202229397156</v>
      </c>
      <c r="AA1106">
        <f t="shared" si="72"/>
        <v>-0.269</v>
      </c>
      <c r="AB1106">
        <f t="shared" si="73"/>
        <v>0.483</v>
      </c>
      <c r="AC1106" t="s">
        <v>32</v>
      </c>
    </row>
    <row r="1107" spans="1:29">
      <c r="A1107" t="s">
        <v>95</v>
      </c>
      <c r="B1107">
        <v>4449.125</v>
      </c>
      <c r="C1107">
        <v>26.762</v>
      </c>
      <c r="D1107">
        <v>69.567</v>
      </c>
      <c r="E1107">
        <v>176.712</v>
      </c>
      <c r="F1107">
        <v>0.182</v>
      </c>
      <c r="G1107">
        <v>22.801</v>
      </c>
      <c r="H1107">
        <v>2.447</v>
      </c>
      <c r="I1107">
        <v>2.736</v>
      </c>
      <c r="J1107">
        <v>0.628</v>
      </c>
      <c r="K1107">
        <v>9.598</v>
      </c>
      <c r="L1107">
        <v>0.342</v>
      </c>
      <c r="M1107">
        <v>3.385</v>
      </c>
      <c r="N1107">
        <v>59.694</v>
      </c>
      <c r="O1107">
        <v>55.272</v>
      </c>
      <c r="P1107">
        <f t="shared" si="71"/>
        <v>1.77593068124925</v>
      </c>
      <c r="Q1107">
        <f t="shared" si="71"/>
        <v>1.74250517967584</v>
      </c>
      <c r="R1107">
        <v>21.047</v>
      </c>
      <c r="S1107">
        <v>21.915</v>
      </c>
      <c r="T1107">
        <v>22.393</v>
      </c>
      <c r="U1107">
        <v>4.785</v>
      </c>
      <c r="V1107">
        <v>77.818</v>
      </c>
      <c r="W1107">
        <v>0.017</v>
      </c>
      <c r="X1107" t="s">
        <v>92</v>
      </c>
      <c r="Y1107" t="s">
        <v>31</v>
      </c>
      <c r="Z1107" s="3">
        <f t="shared" si="68"/>
        <v>0.0334255015734106</v>
      </c>
      <c r="AA1107">
        <f t="shared" si="72"/>
        <v>-0.286</v>
      </c>
      <c r="AB1107">
        <f t="shared" si="73"/>
        <v>0.524</v>
      </c>
      <c r="AC1107" t="s">
        <v>32</v>
      </c>
    </row>
    <row r="1108" spans="1:29">
      <c r="A1108" t="s">
        <v>95</v>
      </c>
      <c r="B1108">
        <v>4449.25</v>
      </c>
      <c r="C1108">
        <v>27.705</v>
      </c>
      <c r="D1108">
        <v>69.546</v>
      </c>
      <c r="E1108">
        <v>177.173</v>
      </c>
      <c r="F1108">
        <v>0.188</v>
      </c>
      <c r="G1108">
        <v>22.815</v>
      </c>
      <c r="H1108">
        <v>2.626</v>
      </c>
      <c r="I1108">
        <v>2.739</v>
      </c>
      <c r="J1108">
        <v>0.64</v>
      </c>
      <c r="K1108">
        <v>9.808</v>
      </c>
      <c r="L1108">
        <v>0.362</v>
      </c>
      <c r="M1108">
        <v>3.386</v>
      </c>
      <c r="N1108">
        <v>56.885</v>
      </c>
      <c r="O1108">
        <v>52.672</v>
      </c>
      <c r="P1108">
        <f t="shared" si="71"/>
        <v>1.75499776242238</v>
      </c>
      <c r="Q1108">
        <f t="shared" si="71"/>
        <v>1.72157980919616</v>
      </c>
      <c r="R1108">
        <v>20.809</v>
      </c>
      <c r="S1108">
        <v>21.698</v>
      </c>
      <c r="T1108">
        <v>22.186</v>
      </c>
      <c r="U1108">
        <v>5.536</v>
      </c>
      <c r="V1108">
        <v>64.544</v>
      </c>
      <c r="W1108">
        <v>0.031</v>
      </c>
      <c r="X1108" t="s">
        <v>92</v>
      </c>
      <c r="Y1108" t="s">
        <v>31</v>
      </c>
      <c r="Z1108" s="3">
        <f t="shared" si="68"/>
        <v>0.0334179532262238</v>
      </c>
      <c r="AA1108">
        <f t="shared" si="72"/>
        <v>-0.278</v>
      </c>
      <c r="AB1108">
        <f t="shared" si="73"/>
        <v>0.55</v>
      </c>
      <c r="AC1108" t="s">
        <v>32</v>
      </c>
    </row>
    <row r="1109" spans="1:29">
      <c r="A1109" t="s">
        <v>95</v>
      </c>
      <c r="B1109">
        <v>4449.375</v>
      </c>
      <c r="C1109">
        <v>28.52</v>
      </c>
      <c r="D1109">
        <v>69.525</v>
      </c>
      <c r="E1109">
        <v>176.181</v>
      </c>
      <c r="F1109">
        <v>0.176</v>
      </c>
      <c r="G1109">
        <v>22.786</v>
      </c>
      <c r="H1109">
        <v>2.784</v>
      </c>
      <c r="I1109">
        <v>2.737</v>
      </c>
      <c r="J1109">
        <v>0.632</v>
      </c>
      <c r="K1109">
        <v>9.971</v>
      </c>
      <c r="L1109">
        <v>0.378</v>
      </c>
      <c r="M1109">
        <v>3.387</v>
      </c>
      <c r="N1109">
        <v>56.278</v>
      </c>
      <c r="O1109">
        <v>52.109</v>
      </c>
      <c r="P1109">
        <f t="shared" si="71"/>
        <v>1.75033865513802</v>
      </c>
      <c r="Q1109">
        <f t="shared" si="71"/>
        <v>1.71691273889984</v>
      </c>
      <c r="R1109">
        <v>24.276</v>
      </c>
      <c r="S1109">
        <v>25.412</v>
      </c>
      <c r="T1109">
        <v>26.044</v>
      </c>
      <c r="U1109">
        <v>5.554</v>
      </c>
      <c r="V1109">
        <v>57.944</v>
      </c>
      <c r="W1109">
        <v>0.032</v>
      </c>
      <c r="X1109" t="s">
        <v>92</v>
      </c>
      <c r="Y1109" t="s">
        <v>31</v>
      </c>
      <c r="Z1109" s="3">
        <f t="shared" si="68"/>
        <v>0.0334259162381747</v>
      </c>
      <c r="AA1109">
        <f t="shared" si="72"/>
        <v>-0.254</v>
      </c>
      <c r="AB1109">
        <f t="shared" si="73"/>
        <v>0.554</v>
      </c>
      <c r="AC1109" t="s">
        <v>32</v>
      </c>
    </row>
    <row r="1110" spans="1:29">
      <c r="A1110" t="s">
        <v>95</v>
      </c>
      <c r="B1110">
        <v>4449.5</v>
      </c>
      <c r="C1110">
        <v>28.976</v>
      </c>
      <c r="D1110">
        <v>69.504</v>
      </c>
      <c r="E1110">
        <v>174.169</v>
      </c>
      <c r="F1110">
        <v>0.152</v>
      </c>
      <c r="G1110">
        <v>22.725</v>
      </c>
      <c r="H1110">
        <v>2.844</v>
      </c>
      <c r="I1110">
        <v>2.732</v>
      </c>
      <c r="J1110">
        <v>0.612</v>
      </c>
      <c r="K1110">
        <v>10.157</v>
      </c>
      <c r="L1110">
        <v>0.395</v>
      </c>
      <c r="M1110">
        <v>3.386</v>
      </c>
      <c r="N1110">
        <v>58.921</v>
      </c>
      <c r="O1110">
        <v>54.557</v>
      </c>
      <c r="P1110">
        <f t="shared" si="71"/>
        <v>1.77027010902593</v>
      </c>
      <c r="Q1110">
        <f t="shared" si="71"/>
        <v>1.73685048116333</v>
      </c>
      <c r="R1110">
        <v>28.653</v>
      </c>
      <c r="S1110">
        <v>30.097</v>
      </c>
      <c r="T1110">
        <v>30.909</v>
      </c>
      <c r="U1110">
        <v>5.575</v>
      </c>
      <c r="V1110">
        <v>54.745</v>
      </c>
      <c r="W1110">
        <v>0.032</v>
      </c>
      <c r="X1110" t="s">
        <v>92</v>
      </c>
      <c r="Y1110" t="s">
        <v>31</v>
      </c>
      <c r="Z1110" s="3">
        <f t="shared" si="68"/>
        <v>0.0334196278626029</v>
      </c>
      <c r="AA1110">
        <f t="shared" si="72"/>
        <v>-0.217</v>
      </c>
      <c r="AB1110">
        <f t="shared" si="73"/>
        <v>0.547</v>
      </c>
      <c r="AC1110" t="s">
        <v>32</v>
      </c>
    </row>
    <row r="1111" spans="1:29">
      <c r="A1111" t="s">
        <v>95</v>
      </c>
      <c r="B1111">
        <v>4449.625</v>
      </c>
      <c r="C1111">
        <v>29.269</v>
      </c>
      <c r="D1111">
        <v>69.484</v>
      </c>
      <c r="E1111">
        <v>172.246</v>
      </c>
      <c r="F1111">
        <v>0.129</v>
      </c>
      <c r="G1111">
        <v>22.667</v>
      </c>
      <c r="H1111">
        <v>2.849</v>
      </c>
      <c r="I1111">
        <v>2.725</v>
      </c>
      <c r="J1111">
        <v>0.584</v>
      </c>
      <c r="K1111">
        <v>10.362</v>
      </c>
      <c r="L1111">
        <v>0.415</v>
      </c>
      <c r="M1111">
        <v>3.382</v>
      </c>
      <c r="N1111">
        <v>65.718</v>
      </c>
      <c r="O1111">
        <v>60.849</v>
      </c>
      <c r="P1111">
        <f t="shared" si="71"/>
        <v>1.81768433805303</v>
      </c>
      <c r="Q1111">
        <f t="shared" si="71"/>
        <v>1.78425344537544</v>
      </c>
      <c r="R1111">
        <v>32.356</v>
      </c>
      <c r="S1111">
        <v>34.07</v>
      </c>
      <c r="T1111">
        <v>35.044</v>
      </c>
      <c r="U1111">
        <v>5.61</v>
      </c>
      <c r="V1111">
        <v>51.184</v>
      </c>
      <c r="W1111">
        <v>0.033</v>
      </c>
      <c r="X1111" t="s">
        <v>92</v>
      </c>
      <c r="Y1111" t="s">
        <v>31</v>
      </c>
      <c r="Z1111" s="3">
        <f t="shared" si="68"/>
        <v>0.0334308926775908</v>
      </c>
      <c r="AA1111">
        <f t="shared" si="72"/>
        <v>-0.169</v>
      </c>
      <c r="AB1111">
        <f t="shared" si="73"/>
        <v>0.544</v>
      </c>
      <c r="AC1111" t="s">
        <v>32</v>
      </c>
    </row>
    <row r="1112" spans="1:29">
      <c r="A1112" t="s">
        <v>95</v>
      </c>
      <c r="B1112">
        <v>4449.75</v>
      </c>
      <c r="C1112">
        <v>29.462</v>
      </c>
      <c r="D1112">
        <v>69.464</v>
      </c>
      <c r="E1112">
        <v>170.795</v>
      </c>
      <c r="F1112">
        <v>0.111</v>
      </c>
      <c r="G1112">
        <v>22.624</v>
      </c>
      <c r="H1112">
        <v>2.83</v>
      </c>
      <c r="I1112">
        <v>2.721</v>
      </c>
      <c r="J1112">
        <v>0.568</v>
      </c>
      <c r="K1112">
        <v>10.432</v>
      </c>
      <c r="L1112">
        <v>0.422</v>
      </c>
      <c r="M1112">
        <v>3.374</v>
      </c>
      <c r="N1112">
        <v>77.005</v>
      </c>
      <c r="O1112">
        <v>71.301</v>
      </c>
      <c r="P1112">
        <f t="shared" si="71"/>
        <v>1.88651892519729</v>
      </c>
      <c r="Q1112">
        <f t="shared" si="71"/>
        <v>1.85309562089585</v>
      </c>
      <c r="R1112">
        <v>34.036</v>
      </c>
      <c r="S1112">
        <v>35.894</v>
      </c>
      <c r="T1112">
        <v>36.959</v>
      </c>
      <c r="U1112">
        <v>5.653</v>
      </c>
      <c r="V1112">
        <v>50.409</v>
      </c>
      <c r="W1112">
        <v>0.034</v>
      </c>
      <c r="X1112" t="s">
        <v>92</v>
      </c>
      <c r="Y1112" t="s">
        <v>31</v>
      </c>
      <c r="Z1112" s="3">
        <f t="shared" si="68"/>
        <v>0.0334233043014356</v>
      </c>
      <c r="AA1112">
        <f t="shared" si="72"/>
        <v>-0.146</v>
      </c>
      <c r="AB1112">
        <f t="shared" si="73"/>
        <v>0.533</v>
      </c>
      <c r="AC1112" t="s">
        <v>32</v>
      </c>
    </row>
    <row r="1113" spans="1:29">
      <c r="A1113" t="s">
        <v>95</v>
      </c>
      <c r="B1113">
        <v>4449.875</v>
      </c>
      <c r="C1113">
        <v>28.9</v>
      </c>
      <c r="D1113">
        <v>69.444</v>
      </c>
      <c r="E1113">
        <v>169.487</v>
      </c>
      <c r="F1113">
        <v>0.096</v>
      </c>
      <c r="G1113">
        <v>22.585</v>
      </c>
      <c r="H1113">
        <v>2.751</v>
      </c>
      <c r="I1113">
        <v>2.718</v>
      </c>
      <c r="J1113">
        <v>0.556</v>
      </c>
      <c r="K1113">
        <v>10.205</v>
      </c>
      <c r="L1113">
        <v>0.4</v>
      </c>
      <c r="M1113">
        <v>3.361</v>
      </c>
      <c r="N1113">
        <v>90.959</v>
      </c>
      <c r="O1113">
        <v>84.221</v>
      </c>
      <c r="P1113">
        <f t="shared" si="71"/>
        <v>1.95884567708789</v>
      </c>
      <c r="Q1113">
        <f t="shared" si="71"/>
        <v>1.92542039372048</v>
      </c>
      <c r="R1113">
        <v>33.309</v>
      </c>
      <c r="S1113">
        <v>35.149</v>
      </c>
      <c r="T1113">
        <v>36.216</v>
      </c>
      <c r="U1113">
        <v>5.551</v>
      </c>
      <c r="V1113">
        <v>52.356</v>
      </c>
      <c r="W1113">
        <v>0.032</v>
      </c>
      <c r="X1113" t="s">
        <v>92</v>
      </c>
      <c r="Y1113" t="s">
        <v>31</v>
      </c>
      <c r="Z1113" s="3">
        <f t="shared" si="68"/>
        <v>0.0334252833674087</v>
      </c>
      <c r="AA1113">
        <f t="shared" si="72"/>
        <v>-0.156</v>
      </c>
      <c r="AB1113">
        <f t="shared" si="73"/>
        <v>0.496</v>
      </c>
      <c r="AC1113" t="s">
        <v>32</v>
      </c>
    </row>
    <row r="1114" spans="1:29">
      <c r="A1114" t="s">
        <v>95</v>
      </c>
      <c r="B1114">
        <v>4450</v>
      </c>
      <c r="C1114">
        <v>27.371</v>
      </c>
      <c r="D1114">
        <v>69.425</v>
      </c>
      <c r="E1114">
        <v>168.117</v>
      </c>
      <c r="F1114">
        <v>0.079</v>
      </c>
      <c r="G1114">
        <v>22.543</v>
      </c>
      <c r="H1114">
        <v>2.56</v>
      </c>
      <c r="I1114">
        <v>2.717</v>
      </c>
      <c r="J1114">
        <v>0.552</v>
      </c>
      <c r="K1114">
        <v>9.632</v>
      </c>
      <c r="L1114">
        <v>0.345</v>
      </c>
      <c r="M1114">
        <v>3.344</v>
      </c>
      <c r="N1114">
        <v>105.139</v>
      </c>
      <c r="O1114">
        <v>97.351</v>
      </c>
      <c r="P1114">
        <f t="shared" si="71"/>
        <v>2.02176384203235</v>
      </c>
      <c r="Q1114">
        <f t="shared" si="71"/>
        <v>1.98834041699885</v>
      </c>
      <c r="R1114">
        <v>32.289</v>
      </c>
      <c r="S1114">
        <v>34.102</v>
      </c>
      <c r="T1114">
        <v>35.168</v>
      </c>
      <c r="U1114">
        <v>4.688</v>
      </c>
      <c r="V1114">
        <v>61.795</v>
      </c>
      <c r="W1114">
        <v>0.016</v>
      </c>
      <c r="X1114" t="s">
        <v>92</v>
      </c>
      <c r="Y1114" t="s">
        <v>31</v>
      </c>
      <c r="Z1114" s="3">
        <f t="shared" si="68"/>
        <v>0.033423425033499</v>
      </c>
      <c r="AA1114">
        <f t="shared" si="72"/>
        <v>-0.207</v>
      </c>
      <c r="AB1114">
        <f t="shared" si="73"/>
        <v>0.424</v>
      </c>
      <c r="AC1114" t="s">
        <v>32</v>
      </c>
    </row>
    <row r="1115" spans="1:29">
      <c r="A1115" t="s">
        <v>96</v>
      </c>
      <c r="B1115">
        <v>4046</v>
      </c>
      <c r="C1115">
        <v>23.301</v>
      </c>
      <c r="D1115">
        <v>58.122</v>
      </c>
      <c r="E1115">
        <v>167.386</v>
      </c>
      <c r="F1115">
        <v>0.17</v>
      </c>
      <c r="G1115">
        <v>21.983</v>
      </c>
      <c r="H1115">
        <v>1.58</v>
      </c>
      <c r="I1115">
        <v>2.785</v>
      </c>
      <c r="J1115">
        <v>0.597</v>
      </c>
      <c r="K1115">
        <v>8.921</v>
      </c>
      <c r="L1115">
        <v>0.412</v>
      </c>
      <c r="M1115">
        <v>3.373</v>
      </c>
      <c r="N1115">
        <v>134.958</v>
      </c>
      <c r="O1115">
        <v>122.811</v>
      </c>
      <c r="P1115">
        <f t="shared" si="71"/>
        <v>2.13019863363412</v>
      </c>
      <c r="Q1115">
        <f t="shared" si="71"/>
        <v>2.08923726766304</v>
      </c>
      <c r="R1115">
        <v>61.578</v>
      </c>
      <c r="S1115">
        <v>61.578</v>
      </c>
      <c r="T1115">
        <v>68.231</v>
      </c>
      <c r="U1115">
        <v>6.056</v>
      </c>
      <c r="V1115">
        <v>50.585</v>
      </c>
      <c r="W1115">
        <v>0.235</v>
      </c>
      <c r="X1115" t="s">
        <v>92</v>
      </c>
      <c r="Y1115" t="s">
        <v>31</v>
      </c>
      <c r="Z1115" s="3">
        <f t="shared" si="68"/>
        <v>0.0409613659710804</v>
      </c>
      <c r="AA1115">
        <f t="shared" si="72"/>
        <v>-0.185</v>
      </c>
      <c r="AB1115">
        <f t="shared" si="73"/>
        <v>0.582</v>
      </c>
      <c r="AC1115" t="s">
        <v>32</v>
      </c>
    </row>
    <row r="1116" spans="1:29">
      <c r="A1116" t="s">
        <v>96</v>
      </c>
      <c r="B1116">
        <v>4046.125</v>
      </c>
      <c r="C1116">
        <v>23.929</v>
      </c>
      <c r="D1116">
        <v>57.996</v>
      </c>
      <c r="E1116">
        <v>167.779</v>
      </c>
      <c r="F1116">
        <v>0.177</v>
      </c>
      <c r="G1116">
        <v>22</v>
      </c>
      <c r="H1116">
        <v>1.584</v>
      </c>
      <c r="I1116">
        <v>2.789</v>
      </c>
      <c r="J1116">
        <v>0.623</v>
      </c>
      <c r="K1116">
        <v>9.637</v>
      </c>
      <c r="L1116">
        <v>0.465</v>
      </c>
      <c r="M1116">
        <v>3.481</v>
      </c>
      <c r="N1116">
        <v>124.227</v>
      </c>
      <c r="O1116">
        <v>113.047</v>
      </c>
      <c r="P1116">
        <f t="shared" si="71"/>
        <v>2.09421599742378</v>
      </c>
      <c r="Q1116">
        <f t="shared" si="71"/>
        <v>2.05325904168595</v>
      </c>
      <c r="R1116">
        <v>55.853</v>
      </c>
      <c r="S1116">
        <v>55.853</v>
      </c>
      <c r="T1116">
        <v>61.887</v>
      </c>
      <c r="U1116">
        <v>6.623</v>
      </c>
      <c r="V1116">
        <v>47.911</v>
      </c>
      <c r="W1116">
        <v>0.348</v>
      </c>
      <c r="X1116" t="s">
        <v>92</v>
      </c>
      <c r="Y1116" t="s">
        <v>31</v>
      </c>
      <c r="Z1116" s="3">
        <f t="shared" si="68"/>
        <v>0.0409569557378342</v>
      </c>
      <c r="AA1116">
        <f t="shared" si="72"/>
        <v>-0.158</v>
      </c>
      <c r="AB1116">
        <f t="shared" si="73"/>
        <v>0.642</v>
      </c>
      <c r="AC1116" t="s">
        <v>32</v>
      </c>
    </row>
    <row r="1117" spans="1:29">
      <c r="A1117" t="s">
        <v>96</v>
      </c>
      <c r="B1117">
        <v>4046.25</v>
      </c>
      <c r="C1117">
        <v>25.651</v>
      </c>
      <c r="D1117">
        <v>57.49</v>
      </c>
      <c r="E1117">
        <v>168.345</v>
      </c>
      <c r="F1117">
        <v>0.186</v>
      </c>
      <c r="G1117">
        <v>21.998</v>
      </c>
      <c r="H1117">
        <v>1.624</v>
      </c>
      <c r="I1117">
        <v>2.785</v>
      </c>
      <c r="J1117">
        <v>0.597</v>
      </c>
      <c r="K1117">
        <v>9.928</v>
      </c>
      <c r="L1117">
        <v>0.486</v>
      </c>
      <c r="M1117">
        <v>3.597</v>
      </c>
      <c r="N1117">
        <v>118.485</v>
      </c>
      <c r="O1117">
        <v>107.821</v>
      </c>
      <c r="P1117">
        <f t="shared" si="71"/>
        <v>2.07366337288141</v>
      </c>
      <c r="Q1117">
        <f t="shared" si="71"/>
        <v>2.03270335543241</v>
      </c>
      <c r="R1117">
        <v>50.996</v>
      </c>
      <c r="S1117">
        <v>50.996</v>
      </c>
      <c r="T1117">
        <v>56.506</v>
      </c>
      <c r="U1117">
        <v>6.763</v>
      </c>
      <c r="V1117">
        <v>47.753</v>
      </c>
      <c r="W1117">
        <v>0.382</v>
      </c>
      <c r="X1117" t="s">
        <v>92</v>
      </c>
      <c r="Y1117" t="s">
        <v>31</v>
      </c>
      <c r="Z1117" s="3">
        <f t="shared" si="68"/>
        <v>0.0409600174490063</v>
      </c>
      <c r="AA1117">
        <f t="shared" si="72"/>
        <v>-0.111</v>
      </c>
      <c r="AB1117">
        <f t="shared" si="73"/>
        <v>0.672</v>
      </c>
      <c r="AC1117" t="s">
        <v>32</v>
      </c>
    </row>
    <row r="1118" spans="1:29">
      <c r="A1118" t="s">
        <v>96</v>
      </c>
      <c r="B1118">
        <v>4046.375</v>
      </c>
      <c r="C1118">
        <v>27.351</v>
      </c>
      <c r="D1118">
        <v>57.469</v>
      </c>
      <c r="E1118">
        <v>168.553</v>
      </c>
      <c r="F1118">
        <v>0.19</v>
      </c>
      <c r="G1118">
        <v>21.987</v>
      </c>
      <c r="H1118">
        <v>1.689</v>
      </c>
      <c r="I1118">
        <v>2.779</v>
      </c>
      <c r="J1118">
        <v>0.558</v>
      </c>
      <c r="K1118">
        <v>9.945</v>
      </c>
      <c r="L1118">
        <v>0.487</v>
      </c>
      <c r="M1118">
        <v>3.636</v>
      </c>
      <c r="N1118">
        <v>116.877</v>
      </c>
      <c r="O1118">
        <v>106.358</v>
      </c>
      <c r="P1118">
        <f t="shared" si="71"/>
        <v>2.06772905559422</v>
      </c>
      <c r="Q1118">
        <f t="shared" si="71"/>
        <v>2.02677016208252</v>
      </c>
      <c r="R1118">
        <v>47.042</v>
      </c>
      <c r="S1118">
        <v>47.042</v>
      </c>
      <c r="T1118">
        <v>52.124</v>
      </c>
      <c r="U1118">
        <v>6.669</v>
      </c>
      <c r="V1118">
        <v>48.602</v>
      </c>
      <c r="W1118">
        <v>0.359</v>
      </c>
      <c r="X1118" t="s">
        <v>92</v>
      </c>
      <c r="Y1118" t="s">
        <v>31</v>
      </c>
      <c r="Z1118" s="3">
        <f t="shared" si="68"/>
        <v>0.0409588935116951</v>
      </c>
      <c r="AA1118">
        <f t="shared" si="72"/>
        <v>-0.0710000000000001</v>
      </c>
      <c r="AB1118">
        <f t="shared" si="73"/>
        <v>0.677</v>
      </c>
      <c r="AC1118" t="s">
        <v>32</v>
      </c>
    </row>
    <row r="1119" spans="1:29">
      <c r="A1119" t="s">
        <v>96</v>
      </c>
      <c r="B1119">
        <v>4046.5</v>
      </c>
      <c r="C1119">
        <v>27.488</v>
      </c>
      <c r="D1119">
        <v>57.469</v>
      </c>
      <c r="E1119">
        <v>168.148</v>
      </c>
      <c r="F1119">
        <v>0.183</v>
      </c>
      <c r="G1119">
        <v>21.967</v>
      </c>
      <c r="H1119">
        <v>1.713</v>
      </c>
      <c r="I1119">
        <v>2.773</v>
      </c>
      <c r="J1119">
        <v>0.519</v>
      </c>
      <c r="K1119">
        <v>9.865</v>
      </c>
      <c r="L1119">
        <v>0.481</v>
      </c>
      <c r="M1119">
        <v>3.66</v>
      </c>
      <c r="N1119">
        <v>117.67</v>
      </c>
      <c r="O1119">
        <v>107.08</v>
      </c>
      <c r="P1119">
        <f t="shared" si="71"/>
        <v>2.07066575345373</v>
      </c>
      <c r="Q1119">
        <f t="shared" si="71"/>
        <v>2.02970836251489</v>
      </c>
      <c r="R1119">
        <v>43.678</v>
      </c>
      <c r="S1119">
        <v>43.678</v>
      </c>
      <c r="T1119">
        <v>48.397</v>
      </c>
      <c r="U1119">
        <v>6.619</v>
      </c>
      <c r="V1119">
        <v>48.828</v>
      </c>
      <c r="W1119">
        <v>0.347</v>
      </c>
      <c r="X1119" t="s">
        <v>92</v>
      </c>
      <c r="Y1119" t="s">
        <v>31</v>
      </c>
      <c r="Z1119" s="3">
        <f t="shared" si="68"/>
        <v>0.040957390938833</v>
      </c>
      <c r="AA1119">
        <f t="shared" si="72"/>
        <v>-0.038</v>
      </c>
      <c r="AB1119">
        <f t="shared" si="73"/>
        <v>0.664</v>
      </c>
      <c r="AC1119" t="s">
        <v>32</v>
      </c>
    </row>
    <row r="1120" spans="1:29">
      <c r="A1120" t="s">
        <v>96</v>
      </c>
      <c r="B1120">
        <v>4046.625</v>
      </c>
      <c r="C1120">
        <v>25.1</v>
      </c>
      <c r="D1120">
        <v>56.816</v>
      </c>
      <c r="E1120">
        <v>167.472</v>
      </c>
      <c r="F1120">
        <v>0.171</v>
      </c>
      <c r="G1120">
        <v>21.926</v>
      </c>
      <c r="H1120">
        <v>1.628</v>
      </c>
      <c r="I1120">
        <v>2.77</v>
      </c>
      <c r="J1120">
        <v>0.5</v>
      </c>
      <c r="K1120">
        <v>9.863</v>
      </c>
      <c r="L1120">
        <v>0.481</v>
      </c>
      <c r="M1120">
        <v>3.64</v>
      </c>
      <c r="N1120">
        <v>116.617</v>
      </c>
      <c r="O1120">
        <v>106.122</v>
      </c>
      <c r="P1120">
        <f t="shared" si="71"/>
        <v>2.06676186490012</v>
      </c>
      <c r="Q1120">
        <f t="shared" si="71"/>
        <v>2.02580542620267</v>
      </c>
      <c r="R1120">
        <v>40.788</v>
      </c>
      <c r="S1120">
        <v>40.788</v>
      </c>
      <c r="T1120">
        <v>45.195</v>
      </c>
      <c r="U1120">
        <v>6.834</v>
      </c>
      <c r="V1120">
        <v>47.543</v>
      </c>
      <c r="W1120">
        <v>0.4</v>
      </c>
      <c r="X1120" t="s">
        <v>92</v>
      </c>
      <c r="Y1120" t="s">
        <v>31</v>
      </c>
      <c r="Z1120" s="3">
        <f t="shared" si="68"/>
        <v>0.0409564386974495</v>
      </c>
      <c r="AA1120">
        <f t="shared" si="72"/>
        <v>-0.019</v>
      </c>
      <c r="AB1120">
        <f t="shared" si="73"/>
        <v>0.652</v>
      </c>
      <c r="AC1120" t="s">
        <v>32</v>
      </c>
    </row>
    <row r="1121" spans="1:29">
      <c r="A1121" t="s">
        <v>96</v>
      </c>
      <c r="B1121">
        <v>4046.75</v>
      </c>
      <c r="C1121">
        <v>22.061</v>
      </c>
      <c r="D1121">
        <v>56.816</v>
      </c>
      <c r="E1121">
        <v>166.852</v>
      </c>
      <c r="F1121">
        <v>0.161</v>
      </c>
      <c r="G1121">
        <v>21.885</v>
      </c>
      <c r="H1121">
        <v>1.522</v>
      </c>
      <c r="I1121">
        <v>2.77</v>
      </c>
      <c r="J1121">
        <v>0.5</v>
      </c>
      <c r="K1121">
        <v>10.009</v>
      </c>
      <c r="L1121">
        <v>0.492</v>
      </c>
      <c r="M1121">
        <v>3.527</v>
      </c>
      <c r="N1121">
        <v>112.554</v>
      </c>
      <c r="O1121">
        <v>102.425</v>
      </c>
      <c r="P1121">
        <f t="shared" si="71"/>
        <v>2.05136093378397</v>
      </c>
      <c r="Q1121">
        <f t="shared" si="71"/>
        <v>2.01040597262518</v>
      </c>
      <c r="R1121">
        <v>38.262</v>
      </c>
      <c r="S1121">
        <v>38.262</v>
      </c>
      <c r="T1121">
        <v>42.396</v>
      </c>
      <c r="U1121">
        <v>7.206</v>
      </c>
      <c r="V1121">
        <v>45.805</v>
      </c>
      <c r="W1121">
        <v>0.505</v>
      </c>
      <c r="X1121" t="s">
        <v>92</v>
      </c>
      <c r="Y1121" t="s">
        <v>31</v>
      </c>
      <c r="Z1121" s="3">
        <f t="shared" si="68"/>
        <v>0.0409549611587945</v>
      </c>
      <c r="AA1121">
        <f t="shared" si="72"/>
        <v>-0.00800000000000001</v>
      </c>
      <c r="AB1121">
        <f t="shared" si="73"/>
        <v>0.653</v>
      </c>
      <c r="AC1121" t="s">
        <v>32</v>
      </c>
    </row>
    <row r="1122" spans="1:29">
      <c r="A1122" t="s">
        <v>96</v>
      </c>
      <c r="B1122">
        <v>4046.875</v>
      </c>
      <c r="C1122">
        <v>20.137</v>
      </c>
      <c r="D1122">
        <v>56.816</v>
      </c>
      <c r="E1122">
        <v>166.382</v>
      </c>
      <c r="F1122">
        <v>0.153</v>
      </c>
      <c r="G1122">
        <v>21.864</v>
      </c>
      <c r="H1122">
        <v>1.467</v>
      </c>
      <c r="I1122">
        <v>2.781</v>
      </c>
      <c r="J1122">
        <v>0.571</v>
      </c>
      <c r="K1122">
        <v>10.271</v>
      </c>
      <c r="L1122">
        <v>0.511</v>
      </c>
      <c r="M1122">
        <v>3.402</v>
      </c>
      <c r="N1122">
        <v>106.82</v>
      </c>
      <c r="O1122">
        <v>97.206</v>
      </c>
      <c r="P1122">
        <f t="shared" si="71"/>
        <v>2.02865257363312</v>
      </c>
      <c r="Q1122">
        <f t="shared" si="71"/>
        <v>1.98769307240024</v>
      </c>
      <c r="R1122">
        <v>36.139</v>
      </c>
      <c r="S1122">
        <v>36.139</v>
      </c>
      <c r="T1122">
        <v>40.043</v>
      </c>
      <c r="U1122">
        <v>7.299</v>
      </c>
      <c r="V1122">
        <v>46.053</v>
      </c>
      <c r="W1122">
        <v>0.534</v>
      </c>
      <c r="X1122" t="s">
        <v>92</v>
      </c>
      <c r="Y1122" t="s">
        <v>31</v>
      </c>
      <c r="Z1122" s="3">
        <f t="shared" si="68"/>
        <v>0.0409595012328745</v>
      </c>
      <c r="AA1122">
        <f t="shared" si="72"/>
        <v>-0.0599999999999999</v>
      </c>
      <c r="AB1122">
        <f t="shared" si="73"/>
        <v>0.664</v>
      </c>
      <c r="AC1122" t="s">
        <v>32</v>
      </c>
    </row>
    <row r="1123" spans="1:29">
      <c r="A1123" t="s">
        <v>96</v>
      </c>
      <c r="B1123">
        <v>4047</v>
      </c>
      <c r="C1123">
        <v>20.048</v>
      </c>
      <c r="D1123">
        <v>56.816</v>
      </c>
      <c r="E1123">
        <v>166.412</v>
      </c>
      <c r="F1123">
        <v>0.153</v>
      </c>
      <c r="G1123">
        <v>21.873</v>
      </c>
      <c r="H1123">
        <v>1.466</v>
      </c>
      <c r="I1123">
        <v>2.791</v>
      </c>
      <c r="J1123">
        <v>0.636</v>
      </c>
      <c r="K1123">
        <v>10.494</v>
      </c>
      <c r="L1123">
        <v>0.528</v>
      </c>
      <c r="M1123">
        <v>3.385</v>
      </c>
      <c r="N1123">
        <v>100.735</v>
      </c>
      <c r="O1123">
        <v>91.669</v>
      </c>
      <c r="P1123">
        <f t="shared" si="71"/>
        <v>2.00318039077125</v>
      </c>
      <c r="Q1123">
        <f t="shared" si="71"/>
        <v>1.96222249373854</v>
      </c>
      <c r="R1123">
        <v>34.766</v>
      </c>
      <c r="S1123">
        <v>34.766</v>
      </c>
      <c r="T1123">
        <v>38.522</v>
      </c>
      <c r="U1123">
        <v>7.25</v>
      </c>
      <c r="V1123">
        <v>47.232</v>
      </c>
      <c r="W1123">
        <v>0.519</v>
      </c>
      <c r="X1123" t="s">
        <v>92</v>
      </c>
      <c r="Y1123" t="s">
        <v>31</v>
      </c>
      <c r="Z1123" s="3">
        <f t="shared" si="68"/>
        <v>0.0409578970327165</v>
      </c>
      <c r="AA1123">
        <f t="shared" si="72"/>
        <v>-0.108</v>
      </c>
      <c r="AB1123">
        <f t="shared" si="73"/>
        <v>0.681</v>
      </c>
      <c r="AC1123" t="s">
        <v>32</v>
      </c>
    </row>
    <row r="1124" spans="1:29">
      <c r="A1124" t="s">
        <v>96</v>
      </c>
      <c r="B1124">
        <v>4047.125</v>
      </c>
      <c r="C1124">
        <v>20.932</v>
      </c>
      <c r="D1124">
        <v>56.816</v>
      </c>
      <c r="E1124">
        <v>166.98</v>
      </c>
      <c r="F1124">
        <v>0.163</v>
      </c>
      <c r="G1124">
        <v>21.901</v>
      </c>
      <c r="H1124">
        <v>1.47</v>
      </c>
      <c r="I1124">
        <v>2.798</v>
      </c>
      <c r="J1124">
        <v>0.682</v>
      </c>
      <c r="K1124">
        <v>10.559</v>
      </c>
      <c r="L1124">
        <v>0.532</v>
      </c>
      <c r="M1124">
        <v>3.476</v>
      </c>
      <c r="N1124">
        <v>94.741</v>
      </c>
      <c r="O1124">
        <v>86.215</v>
      </c>
      <c r="P1124">
        <f t="shared" si="71"/>
        <v>1.97653796443447</v>
      </c>
      <c r="Q1124">
        <f t="shared" si="71"/>
        <v>1.93558283253579</v>
      </c>
      <c r="R1124">
        <v>33.965</v>
      </c>
      <c r="S1124">
        <v>33.965</v>
      </c>
      <c r="T1124">
        <v>37.635</v>
      </c>
      <c r="U1124">
        <v>7.14</v>
      </c>
      <c r="V1124">
        <v>48.848</v>
      </c>
      <c r="W1124">
        <v>0.485</v>
      </c>
      <c r="X1124" t="s">
        <v>92</v>
      </c>
      <c r="Y1124" t="s">
        <v>31</v>
      </c>
      <c r="Z1124" s="3">
        <f t="shared" si="68"/>
        <v>0.0409551318986865</v>
      </c>
      <c r="AA1124">
        <f t="shared" si="72"/>
        <v>-0.15</v>
      </c>
      <c r="AB1124">
        <f t="shared" si="73"/>
        <v>0.695</v>
      </c>
      <c r="AC1124" t="s">
        <v>32</v>
      </c>
    </row>
    <row r="1125" spans="1:29">
      <c r="A1125" t="s">
        <v>96</v>
      </c>
      <c r="B1125">
        <v>4047.25</v>
      </c>
      <c r="C1125">
        <v>21.897</v>
      </c>
      <c r="D1125">
        <v>56.816</v>
      </c>
      <c r="E1125">
        <v>167.78</v>
      </c>
      <c r="F1125">
        <v>0.177</v>
      </c>
      <c r="G1125">
        <v>21.944</v>
      </c>
      <c r="H1125">
        <v>1.472</v>
      </c>
      <c r="I1125">
        <v>2.797</v>
      </c>
      <c r="J1125">
        <v>0.675</v>
      </c>
      <c r="K1125">
        <v>10.417</v>
      </c>
      <c r="L1125">
        <v>0.522</v>
      </c>
      <c r="M1125">
        <v>3.573</v>
      </c>
      <c r="N1125">
        <v>89.88</v>
      </c>
      <c r="O1125">
        <v>81.791</v>
      </c>
      <c r="P1125">
        <f t="shared" si="71"/>
        <v>1.95366306374709</v>
      </c>
      <c r="Q1125">
        <f t="shared" si="71"/>
        <v>1.91270551803102</v>
      </c>
      <c r="R1125">
        <v>33.716</v>
      </c>
      <c r="S1125">
        <v>33.716</v>
      </c>
      <c r="T1125">
        <v>37.359</v>
      </c>
      <c r="U1125">
        <v>7.068</v>
      </c>
      <c r="V1125">
        <v>50.126</v>
      </c>
      <c r="W1125">
        <v>0.464</v>
      </c>
      <c r="X1125" t="s">
        <v>92</v>
      </c>
      <c r="Y1125" t="s">
        <v>31</v>
      </c>
      <c r="Z1125" s="3">
        <f t="shared" ref="Z1125:Z1188" si="74">P1125-Q1125</f>
        <v>0.0409575457160674</v>
      </c>
      <c r="AA1125">
        <f t="shared" si="72"/>
        <v>-0.153</v>
      </c>
      <c r="AB1125">
        <f t="shared" si="73"/>
        <v>0.699</v>
      </c>
      <c r="AC1125" t="s">
        <v>32</v>
      </c>
    </row>
    <row r="1126" spans="1:29">
      <c r="A1126" t="s">
        <v>96</v>
      </c>
      <c r="B1126">
        <v>4047.375</v>
      </c>
      <c r="C1126">
        <v>22.085</v>
      </c>
      <c r="D1126">
        <v>56.816</v>
      </c>
      <c r="E1126">
        <v>168.348</v>
      </c>
      <c r="F1126">
        <v>0.186</v>
      </c>
      <c r="G1126">
        <v>21.999</v>
      </c>
      <c r="H1126">
        <v>1.498</v>
      </c>
      <c r="I1126">
        <v>2.794</v>
      </c>
      <c r="J1126">
        <v>0.656</v>
      </c>
      <c r="K1126">
        <v>10.08</v>
      </c>
      <c r="L1126">
        <v>0.497</v>
      </c>
      <c r="M1126">
        <v>3.639</v>
      </c>
      <c r="N1126">
        <v>86.926</v>
      </c>
      <c r="O1126">
        <v>79.102</v>
      </c>
      <c r="P1126">
        <f t="shared" si="71"/>
        <v>1.93914969552422</v>
      </c>
      <c r="Q1126">
        <f t="shared" si="71"/>
        <v>1.898187464256</v>
      </c>
      <c r="R1126">
        <v>33.786</v>
      </c>
      <c r="S1126">
        <v>33.786</v>
      </c>
      <c r="T1126">
        <v>37.436</v>
      </c>
      <c r="U1126">
        <v>7.07</v>
      </c>
      <c r="V1126">
        <v>50.632</v>
      </c>
      <c r="W1126">
        <v>0.464</v>
      </c>
      <c r="X1126" t="s">
        <v>92</v>
      </c>
      <c r="Y1126" t="s">
        <v>31</v>
      </c>
      <c r="Z1126" s="3">
        <f t="shared" si="74"/>
        <v>0.040962231268225</v>
      </c>
      <c r="AA1126">
        <f t="shared" si="72"/>
        <v>-0.159</v>
      </c>
      <c r="AB1126">
        <f t="shared" si="73"/>
        <v>0.683</v>
      </c>
      <c r="AC1126" t="s">
        <v>32</v>
      </c>
    </row>
    <row r="1127" spans="1:29">
      <c r="A1127" t="s">
        <v>96</v>
      </c>
      <c r="B1127">
        <v>4047.5</v>
      </c>
      <c r="C1127">
        <v>21.621</v>
      </c>
      <c r="D1127">
        <v>56.816</v>
      </c>
      <c r="E1127">
        <v>168.371</v>
      </c>
      <c r="F1127">
        <v>0.187</v>
      </c>
      <c r="G1127">
        <v>22.054</v>
      </c>
      <c r="H1127">
        <v>1.534</v>
      </c>
      <c r="I1127">
        <v>2.786</v>
      </c>
      <c r="J1127">
        <v>0.604</v>
      </c>
      <c r="K1127">
        <v>9.597</v>
      </c>
      <c r="L1127">
        <v>0.462</v>
      </c>
      <c r="M1127">
        <v>3.687</v>
      </c>
      <c r="N1127">
        <v>85.137</v>
      </c>
      <c r="O1127">
        <v>77.475</v>
      </c>
      <c r="P1127">
        <f t="shared" si="71"/>
        <v>1.93011834273564</v>
      </c>
      <c r="Q1127">
        <f t="shared" si="71"/>
        <v>1.88916158491132</v>
      </c>
      <c r="R1127">
        <v>33.873</v>
      </c>
      <c r="S1127">
        <v>33.873</v>
      </c>
      <c r="T1127">
        <v>37.532</v>
      </c>
      <c r="U1127">
        <v>6.791</v>
      </c>
      <c r="V1127">
        <v>52.892</v>
      </c>
      <c r="W1127">
        <v>0.389</v>
      </c>
      <c r="X1127" t="s">
        <v>92</v>
      </c>
      <c r="Y1127" t="s">
        <v>31</v>
      </c>
      <c r="Z1127" s="3">
        <f t="shared" si="74"/>
        <v>0.0409567578243177</v>
      </c>
      <c r="AA1127">
        <f t="shared" si="72"/>
        <v>-0.142</v>
      </c>
      <c r="AB1127">
        <f t="shared" si="73"/>
        <v>0.649</v>
      </c>
      <c r="AC1127" t="s">
        <v>32</v>
      </c>
    </row>
    <row r="1128" spans="1:29">
      <c r="A1128" t="s">
        <v>96</v>
      </c>
      <c r="B1128">
        <v>4047.625</v>
      </c>
      <c r="C1128">
        <v>21.267</v>
      </c>
      <c r="D1128">
        <v>56.816</v>
      </c>
      <c r="E1128">
        <v>167.615</v>
      </c>
      <c r="F1128">
        <v>0.174</v>
      </c>
      <c r="G1128">
        <v>22.102</v>
      </c>
      <c r="H1128">
        <v>1.571</v>
      </c>
      <c r="I1128">
        <v>2.785</v>
      </c>
      <c r="J1128">
        <v>0.597</v>
      </c>
      <c r="K1128">
        <v>9.01</v>
      </c>
      <c r="L1128">
        <v>0.419</v>
      </c>
      <c r="M1128">
        <v>3.565</v>
      </c>
      <c r="N1128">
        <v>84.402</v>
      </c>
      <c r="O1128">
        <v>76.806</v>
      </c>
      <c r="P1128">
        <f t="shared" si="71"/>
        <v>1.92635273784216</v>
      </c>
      <c r="Q1128">
        <f t="shared" si="71"/>
        <v>1.88539514796262</v>
      </c>
      <c r="R1128">
        <v>33.737</v>
      </c>
      <c r="S1128">
        <v>33.737</v>
      </c>
      <c r="T1128">
        <v>37.382</v>
      </c>
      <c r="U1128">
        <v>6.299</v>
      </c>
      <c r="V1128">
        <v>56.864</v>
      </c>
      <c r="W1128">
        <v>0.279</v>
      </c>
      <c r="X1128" t="s">
        <v>92</v>
      </c>
      <c r="Y1128" t="s">
        <v>31</v>
      </c>
      <c r="Z1128" s="3">
        <f t="shared" si="74"/>
        <v>0.0409575898795373</v>
      </c>
      <c r="AA1128">
        <f t="shared" si="72"/>
        <v>-0.178</v>
      </c>
      <c r="AB1128">
        <f t="shared" si="73"/>
        <v>0.593</v>
      </c>
      <c r="AC1128" t="s">
        <v>32</v>
      </c>
    </row>
    <row r="1129" spans="1:29">
      <c r="A1129" t="s">
        <v>96</v>
      </c>
      <c r="B1129">
        <v>4047.75</v>
      </c>
      <c r="C1129">
        <v>21.93</v>
      </c>
      <c r="D1129">
        <v>56.816</v>
      </c>
      <c r="E1129">
        <v>166.493</v>
      </c>
      <c r="F1129">
        <v>0.155</v>
      </c>
      <c r="G1129">
        <v>22.136</v>
      </c>
      <c r="H1129">
        <v>1.636</v>
      </c>
      <c r="I1129">
        <v>2.786</v>
      </c>
      <c r="J1129">
        <v>0.604</v>
      </c>
      <c r="K1129">
        <v>8.41</v>
      </c>
      <c r="L1129">
        <v>0.374</v>
      </c>
      <c r="M1129">
        <v>3.449</v>
      </c>
      <c r="N1129">
        <v>85.743</v>
      </c>
      <c r="O1129">
        <v>78.026</v>
      </c>
      <c r="P1129">
        <f t="shared" si="71"/>
        <v>1.93319867465692</v>
      </c>
      <c r="Q1129">
        <f t="shared" si="71"/>
        <v>1.89223934339567</v>
      </c>
      <c r="R1129">
        <v>33.758</v>
      </c>
      <c r="S1129">
        <v>33.758</v>
      </c>
      <c r="T1129">
        <v>37.405</v>
      </c>
      <c r="U1129">
        <v>5.703</v>
      </c>
      <c r="V1129">
        <v>62.06</v>
      </c>
      <c r="W1129">
        <v>0.18</v>
      </c>
      <c r="X1129" t="s">
        <v>92</v>
      </c>
      <c r="Y1129" t="s">
        <v>31</v>
      </c>
      <c r="Z1129" s="3">
        <f t="shared" si="74"/>
        <v>0.0409593312612457</v>
      </c>
      <c r="AA1129">
        <f t="shared" si="72"/>
        <v>-0.23</v>
      </c>
      <c r="AB1129">
        <f t="shared" si="73"/>
        <v>0.529</v>
      </c>
      <c r="AC1129" t="s">
        <v>32</v>
      </c>
    </row>
    <row r="1130" spans="1:29">
      <c r="A1130" t="s">
        <v>96</v>
      </c>
      <c r="B1130">
        <v>4047.875</v>
      </c>
      <c r="C1130">
        <v>23.339</v>
      </c>
      <c r="D1130">
        <v>56.816</v>
      </c>
      <c r="E1130">
        <v>165.541</v>
      </c>
      <c r="F1130">
        <v>0.138</v>
      </c>
      <c r="G1130">
        <v>22.152</v>
      </c>
      <c r="H1130">
        <v>1.741</v>
      </c>
      <c r="I1130">
        <v>2.79</v>
      </c>
      <c r="J1130">
        <v>0.63</v>
      </c>
      <c r="K1130">
        <v>7.891</v>
      </c>
      <c r="L1130">
        <v>0.336</v>
      </c>
      <c r="M1130">
        <v>3.365</v>
      </c>
      <c r="N1130">
        <v>90.156</v>
      </c>
      <c r="O1130">
        <v>82.042</v>
      </c>
      <c r="P1130">
        <f t="shared" si="71"/>
        <v>1.95499463488738</v>
      </c>
      <c r="Q1130">
        <f t="shared" si="71"/>
        <v>1.91403623895104</v>
      </c>
      <c r="R1130">
        <v>34.045</v>
      </c>
      <c r="S1130">
        <v>34.045</v>
      </c>
      <c r="T1130">
        <v>37.723</v>
      </c>
      <c r="U1130">
        <v>5.103</v>
      </c>
      <c r="V1130">
        <v>67.747</v>
      </c>
      <c r="W1130">
        <v>0.111</v>
      </c>
      <c r="X1130" t="s">
        <v>92</v>
      </c>
      <c r="Y1130" t="s">
        <v>31</v>
      </c>
      <c r="Z1130" s="3">
        <f t="shared" si="74"/>
        <v>0.0409583959363415</v>
      </c>
      <c r="AA1130">
        <f t="shared" si="72"/>
        <v>-0.294</v>
      </c>
      <c r="AB1130">
        <f t="shared" si="73"/>
        <v>0.474</v>
      </c>
      <c r="AC1130" t="s">
        <v>32</v>
      </c>
    </row>
    <row r="1131" spans="1:29">
      <c r="A1131" t="s">
        <v>96</v>
      </c>
      <c r="B1131">
        <v>4048</v>
      </c>
      <c r="C1131">
        <v>24.437</v>
      </c>
      <c r="D1131">
        <v>56.816</v>
      </c>
      <c r="E1131">
        <v>164.905</v>
      </c>
      <c r="F1131">
        <v>0.127</v>
      </c>
      <c r="G1131">
        <v>22.147</v>
      </c>
      <c r="H1131">
        <v>1.827</v>
      </c>
      <c r="I1131">
        <v>2.795</v>
      </c>
      <c r="J1131">
        <v>0.662</v>
      </c>
      <c r="K1131">
        <v>7.543</v>
      </c>
      <c r="L1131">
        <v>0.311</v>
      </c>
      <c r="M1131">
        <v>3.358</v>
      </c>
      <c r="N1131">
        <v>99.193</v>
      </c>
      <c r="O1131">
        <v>90.265</v>
      </c>
      <c r="P1131">
        <f t="shared" si="71"/>
        <v>1.9964810252929</v>
      </c>
      <c r="Q1131">
        <f t="shared" si="71"/>
        <v>1.95551938648821</v>
      </c>
      <c r="R1131">
        <v>35.98</v>
      </c>
      <c r="S1131">
        <v>35.98</v>
      </c>
      <c r="T1131">
        <v>39.867</v>
      </c>
      <c r="U1131">
        <v>4.676</v>
      </c>
      <c r="V1131">
        <v>71.3</v>
      </c>
      <c r="W1131">
        <v>0.075</v>
      </c>
      <c r="X1131" t="s">
        <v>92</v>
      </c>
      <c r="Y1131" t="s">
        <v>31</v>
      </c>
      <c r="Z1131" s="3">
        <f t="shared" si="74"/>
        <v>0.0409616388046892</v>
      </c>
      <c r="AA1131">
        <f t="shared" si="72"/>
        <v>-0.351</v>
      </c>
      <c r="AB1131">
        <f t="shared" si="73"/>
        <v>0.438</v>
      </c>
      <c r="AC1131" t="s">
        <v>32</v>
      </c>
    </row>
    <row r="1132" spans="1:29">
      <c r="A1132" t="s">
        <v>97</v>
      </c>
      <c r="B1132">
        <v>4193</v>
      </c>
      <c r="C1132">
        <v>23.38</v>
      </c>
      <c r="D1132">
        <v>34.482</v>
      </c>
      <c r="E1132">
        <v>181.224</v>
      </c>
      <c r="F1132">
        <v>0.684</v>
      </c>
      <c r="G1132">
        <v>23.613</v>
      </c>
      <c r="H1132">
        <v>1.686</v>
      </c>
      <c r="I1132">
        <v>2.688</v>
      </c>
      <c r="J1132">
        <v>0.518</v>
      </c>
      <c r="K1132">
        <v>7.142</v>
      </c>
      <c r="L1132">
        <v>0.417</v>
      </c>
      <c r="M1132">
        <v>3.898</v>
      </c>
      <c r="N1132">
        <v>67.125</v>
      </c>
      <c r="O1132">
        <v>59.937</v>
      </c>
      <c r="P1132">
        <f t="shared" si="71"/>
        <v>1.82688429870761</v>
      </c>
      <c r="Q1132">
        <f t="shared" si="71"/>
        <v>1.7776950016051</v>
      </c>
      <c r="R1132">
        <v>70.49</v>
      </c>
      <c r="S1132">
        <v>70.49</v>
      </c>
      <c r="T1132">
        <v>78.211</v>
      </c>
      <c r="U1132">
        <v>3.617</v>
      </c>
      <c r="V1132">
        <v>44.01</v>
      </c>
      <c r="W1132">
        <v>0.01</v>
      </c>
      <c r="X1132" t="s">
        <v>92</v>
      </c>
      <c r="Y1132" t="s">
        <v>31</v>
      </c>
      <c r="Z1132" s="3">
        <f t="shared" si="74"/>
        <v>0.0491892971025154</v>
      </c>
      <c r="AA1132">
        <f t="shared" si="72"/>
        <v>-0.101</v>
      </c>
      <c r="AB1132">
        <f t="shared" si="73"/>
        <v>1.101</v>
      </c>
      <c r="AC1132" t="s">
        <v>32</v>
      </c>
    </row>
    <row r="1133" spans="1:29">
      <c r="A1133" t="s">
        <v>97</v>
      </c>
      <c r="B1133">
        <v>4193.125</v>
      </c>
      <c r="C1133">
        <v>23.987</v>
      </c>
      <c r="D1133">
        <v>34.465</v>
      </c>
      <c r="E1133">
        <v>189.402</v>
      </c>
      <c r="F1133">
        <v>0.873</v>
      </c>
      <c r="G1133">
        <v>23.57</v>
      </c>
      <c r="H1133">
        <v>1.562</v>
      </c>
      <c r="I1133">
        <v>2.664</v>
      </c>
      <c r="J1133">
        <v>0.373</v>
      </c>
      <c r="K1133">
        <v>7.318</v>
      </c>
      <c r="L1133">
        <v>0.434</v>
      </c>
      <c r="M1133">
        <v>4.226</v>
      </c>
      <c r="N1133">
        <v>64.239</v>
      </c>
      <c r="O1133">
        <v>57.424</v>
      </c>
      <c r="P1133">
        <f t="shared" si="71"/>
        <v>1.8077987717186</v>
      </c>
      <c r="Q1133">
        <f t="shared" si="71"/>
        <v>1.75909344098916</v>
      </c>
      <c r="R1133">
        <v>59.821</v>
      </c>
      <c r="S1133">
        <v>59.821</v>
      </c>
      <c r="T1133">
        <v>66.196</v>
      </c>
      <c r="U1133">
        <v>3.891</v>
      </c>
      <c r="V1133">
        <v>43.274</v>
      </c>
      <c r="W1133">
        <v>0.01</v>
      </c>
      <c r="X1133" t="s">
        <v>92</v>
      </c>
      <c r="Y1133" t="s">
        <v>31</v>
      </c>
      <c r="Z1133" s="3">
        <f t="shared" si="74"/>
        <v>0.0487053307294334</v>
      </c>
      <c r="AA1133">
        <f t="shared" si="72"/>
        <v>0.061</v>
      </c>
      <c r="AB1133">
        <f t="shared" si="73"/>
        <v>1.307</v>
      </c>
      <c r="AC1133" t="s">
        <v>32</v>
      </c>
    </row>
    <row r="1134" spans="1:29">
      <c r="A1134" t="s">
        <v>97</v>
      </c>
      <c r="B1134">
        <v>4193.25</v>
      </c>
      <c r="C1134">
        <v>24.478</v>
      </c>
      <c r="D1134">
        <v>34.476</v>
      </c>
      <c r="E1134">
        <v>191.911</v>
      </c>
      <c r="F1134">
        <v>0.931</v>
      </c>
      <c r="G1134">
        <v>23.367</v>
      </c>
      <c r="H1134">
        <v>1.438</v>
      </c>
      <c r="I1134">
        <v>2.636</v>
      </c>
      <c r="J1134">
        <v>0.205</v>
      </c>
      <c r="K1134">
        <v>7.491</v>
      </c>
      <c r="L1134">
        <v>0.45</v>
      </c>
      <c r="M1134">
        <v>4.489</v>
      </c>
      <c r="N1134">
        <v>66.062</v>
      </c>
      <c r="O1134">
        <v>59.011</v>
      </c>
      <c r="P1134">
        <f t="shared" si="71"/>
        <v>1.81995171764204</v>
      </c>
      <c r="Q1134">
        <f t="shared" si="71"/>
        <v>1.77093297425266</v>
      </c>
      <c r="R1134">
        <v>58.04</v>
      </c>
      <c r="S1134">
        <v>58.04</v>
      </c>
      <c r="T1134">
        <v>64.19</v>
      </c>
      <c r="U1134">
        <v>4.191</v>
      </c>
      <c r="V1134">
        <v>40.678</v>
      </c>
      <c r="W1134">
        <v>0.01</v>
      </c>
      <c r="X1134" t="s">
        <v>92</v>
      </c>
      <c r="Y1134" t="s">
        <v>31</v>
      </c>
      <c r="Z1134" s="3">
        <f t="shared" si="74"/>
        <v>0.0490187433893781</v>
      </c>
      <c r="AA1134">
        <f t="shared" si="72"/>
        <v>0.245</v>
      </c>
      <c r="AB1134">
        <f t="shared" si="73"/>
        <v>1.381</v>
      </c>
      <c r="AC1134" t="s">
        <v>32</v>
      </c>
    </row>
    <row r="1135" spans="1:29">
      <c r="A1135" t="s">
        <v>97</v>
      </c>
      <c r="B1135">
        <v>4193.375</v>
      </c>
      <c r="C1135">
        <v>25.015</v>
      </c>
      <c r="D1135">
        <v>34.509</v>
      </c>
      <c r="E1135">
        <v>189.549</v>
      </c>
      <c r="F1135">
        <v>0.877</v>
      </c>
      <c r="G1135">
        <v>23.093</v>
      </c>
      <c r="H1135">
        <v>1.346</v>
      </c>
      <c r="I1135">
        <v>2.613</v>
      </c>
      <c r="J1135">
        <v>0.066</v>
      </c>
      <c r="K1135">
        <v>7.847</v>
      </c>
      <c r="L1135">
        <v>0.483</v>
      </c>
      <c r="M1135">
        <v>4.638</v>
      </c>
      <c r="N1135">
        <v>74.22</v>
      </c>
      <c r="O1135">
        <v>66.113</v>
      </c>
      <c r="P1135">
        <f t="shared" si="71"/>
        <v>1.87052095001276</v>
      </c>
      <c r="Q1135">
        <f t="shared" si="71"/>
        <v>1.82028686452573</v>
      </c>
      <c r="R1135">
        <v>59.976</v>
      </c>
      <c r="S1135">
        <v>59.976</v>
      </c>
      <c r="T1135">
        <v>66.371</v>
      </c>
      <c r="U1135">
        <v>4.807</v>
      </c>
      <c r="V1135">
        <v>35.16</v>
      </c>
      <c r="W1135">
        <v>0.018</v>
      </c>
      <c r="X1135" t="s">
        <v>92</v>
      </c>
      <c r="Y1135" t="s">
        <v>31</v>
      </c>
      <c r="Z1135" s="3">
        <f t="shared" si="74"/>
        <v>0.0502340854870305</v>
      </c>
      <c r="AA1135">
        <f t="shared" si="72"/>
        <v>0.417</v>
      </c>
      <c r="AB1135">
        <f t="shared" si="73"/>
        <v>1.36</v>
      </c>
      <c r="AC1135" t="s">
        <v>32</v>
      </c>
    </row>
    <row r="1136" spans="1:29">
      <c r="A1136" t="s">
        <v>97</v>
      </c>
      <c r="B1136">
        <v>4193.5</v>
      </c>
      <c r="C1136">
        <v>25.486</v>
      </c>
      <c r="D1136">
        <v>34.557</v>
      </c>
      <c r="E1136">
        <v>185.409</v>
      </c>
      <c r="F1136">
        <v>0.781</v>
      </c>
      <c r="G1136">
        <v>22.852</v>
      </c>
      <c r="H1136">
        <v>1.339</v>
      </c>
      <c r="I1136">
        <v>2.602</v>
      </c>
      <c r="J1136">
        <v>0</v>
      </c>
      <c r="K1136">
        <v>8.401</v>
      </c>
      <c r="L1136">
        <v>0.535</v>
      </c>
      <c r="M1136">
        <v>4.655</v>
      </c>
      <c r="N1136">
        <v>93.802</v>
      </c>
      <c r="O1136">
        <v>83.16</v>
      </c>
      <c r="P1136">
        <f t="shared" si="71"/>
        <v>1.97221209829062</v>
      </c>
      <c r="Q1136">
        <f t="shared" si="71"/>
        <v>1.91991448065943</v>
      </c>
      <c r="R1136">
        <v>64.514</v>
      </c>
      <c r="S1136">
        <v>64.514</v>
      </c>
      <c r="T1136">
        <v>71.481</v>
      </c>
      <c r="U1136">
        <v>5.457</v>
      </c>
      <c r="V1136">
        <v>29.114</v>
      </c>
      <c r="W1136">
        <v>0.029</v>
      </c>
      <c r="X1136" t="s">
        <v>92</v>
      </c>
      <c r="Y1136" t="s">
        <v>31</v>
      </c>
      <c r="Z1136" s="3">
        <f t="shared" si="74"/>
        <v>0.0522976176311887</v>
      </c>
      <c r="AA1136">
        <f t="shared" si="72"/>
        <v>0.535</v>
      </c>
      <c r="AB1136">
        <f t="shared" si="73"/>
        <v>1.316</v>
      </c>
      <c r="AC1136" t="s">
        <v>32</v>
      </c>
    </row>
    <row r="1137" spans="1:29">
      <c r="A1137" t="s">
        <v>97</v>
      </c>
      <c r="B1137">
        <v>4193.625</v>
      </c>
      <c r="C1137">
        <v>25.748</v>
      </c>
      <c r="D1137">
        <v>34.618</v>
      </c>
      <c r="E1137">
        <v>181.332</v>
      </c>
      <c r="F1137">
        <v>0.687</v>
      </c>
      <c r="G1137">
        <v>22.685</v>
      </c>
      <c r="H1137">
        <v>1.417</v>
      </c>
      <c r="I1137">
        <v>2.604</v>
      </c>
      <c r="J1137">
        <v>0.012</v>
      </c>
      <c r="K1137">
        <v>8.787</v>
      </c>
      <c r="L1137">
        <v>0.571</v>
      </c>
      <c r="M1137">
        <v>4.599</v>
      </c>
      <c r="N1137">
        <v>125.199</v>
      </c>
      <c r="O1137">
        <v>110.493</v>
      </c>
      <c r="P1137">
        <f t="shared" si="71"/>
        <v>2.09760086005479</v>
      </c>
      <c r="Q1137">
        <f t="shared" si="71"/>
        <v>2.04333476528204</v>
      </c>
      <c r="R1137">
        <v>71.015</v>
      </c>
      <c r="S1137">
        <v>71.015</v>
      </c>
      <c r="T1137">
        <v>78.803</v>
      </c>
      <c r="U1137">
        <v>5.42</v>
      </c>
      <c r="V1137">
        <v>28.186</v>
      </c>
      <c r="W1137">
        <v>0.029</v>
      </c>
      <c r="X1137" t="s">
        <v>92</v>
      </c>
      <c r="Y1137" t="s">
        <v>31</v>
      </c>
      <c r="Z1137" s="3">
        <f t="shared" si="74"/>
        <v>0.0542660947727476</v>
      </c>
      <c r="AA1137">
        <f t="shared" si="72"/>
        <v>0.559</v>
      </c>
      <c r="AB1137">
        <f t="shared" si="73"/>
        <v>1.258</v>
      </c>
      <c r="AC1137" t="s">
        <v>32</v>
      </c>
    </row>
    <row r="1138" spans="1:29">
      <c r="A1138" t="s">
        <v>97</v>
      </c>
      <c r="B1138">
        <v>4193.75</v>
      </c>
      <c r="C1138">
        <v>25.743</v>
      </c>
      <c r="D1138">
        <v>34.684</v>
      </c>
      <c r="E1138">
        <v>177.641</v>
      </c>
      <c r="F1138">
        <v>0.601</v>
      </c>
      <c r="G1138">
        <v>22.575</v>
      </c>
      <c r="H1138">
        <v>1.555</v>
      </c>
      <c r="I1138">
        <v>2.611</v>
      </c>
      <c r="J1138">
        <v>0.054</v>
      </c>
      <c r="K1138">
        <v>8.757</v>
      </c>
      <c r="L1138">
        <v>0.568</v>
      </c>
      <c r="M1138">
        <v>4.556</v>
      </c>
      <c r="N1138">
        <v>152.587</v>
      </c>
      <c r="O1138">
        <v>134.336</v>
      </c>
      <c r="P1138">
        <f t="shared" si="71"/>
        <v>2.18351753447887</v>
      </c>
      <c r="Q1138">
        <f t="shared" si="71"/>
        <v>2.12819241256629</v>
      </c>
      <c r="R1138">
        <v>80.473</v>
      </c>
      <c r="S1138">
        <v>80.473</v>
      </c>
      <c r="T1138">
        <v>89.455</v>
      </c>
      <c r="U1138">
        <v>5.34</v>
      </c>
      <c r="V1138">
        <v>27.215</v>
      </c>
      <c r="W1138">
        <v>0.027</v>
      </c>
      <c r="X1138" t="s">
        <v>92</v>
      </c>
      <c r="Y1138" t="s">
        <v>31</v>
      </c>
      <c r="Z1138" s="3">
        <f t="shared" si="74"/>
        <v>0.0553251219125834</v>
      </c>
      <c r="AA1138">
        <f t="shared" si="72"/>
        <v>0.514</v>
      </c>
      <c r="AB1138">
        <f t="shared" si="73"/>
        <v>1.169</v>
      </c>
      <c r="AC1138" t="s">
        <v>32</v>
      </c>
    </row>
    <row r="1139" spans="1:29">
      <c r="A1139" t="s">
        <v>97</v>
      </c>
      <c r="B1139">
        <v>4193.875</v>
      </c>
      <c r="C1139">
        <v>25.424</v>
      </c>
      <c r="D1139">
        <v>34.756</v>
      </c>
      <c r="E1139">
        <v>175.104</v>
      </c>
      <c r="F1139">
        <v>0.543</v>
      </c>
      <c r="G1139">
        <v>22.518</v>
      </c>
      <c r="H1139">
        <v>1.743</v>
      </c>
      <c r="I1139">
        <v>2.62</v>
      </c>
      <c r="J1139">
        <v>0.108</v>
      </c>
      <c r="K1139">
        <v>8.401</v>
      </c>
      <c r="L1139">
        <v>0.535</v>
      </c>
      <c r="M1139">
        <v>4.53</v>
      </c>
      <c r="N1139">
        <v>162.525</v>
      </c>
      <c r="O1139">
        <v>142.988</v>
      </c>
      <c r="P1139">
        <f t="shared" si="71"/>
        <v>2.21092017471152</v>
      </c>
      <c r="Q1139">
        <f t="shared" si="71"/>
        <v>2.15529959164366</v>
      </c>
      <c r="R1139">
        <v>96.849</v>
      </c>
      <c r="S1139">
        <v>96.849</v>
      </c>
      <c r="T1139">
        <v>107.896</v>
      </c>
      <c r="U1139">
        <v>4.913</v>
      </c>
      <c r="V1139">
        <v>26.886</v>
      </c>
      <c r="W1139">
        <v>0.02</v>
      </c>
      <c r="X1139" t="s">
        <v>92</v>
      </c>
      <c r="Y1139" t="s">
        <v>31</v>
      </c>
      <c r="Z1139" s="3">
        <f t="shared" si="74"/>
        <v>0.0556205830678604</v>
      </c>
      <c r="AA1139">
        <f t="shared" si="72"/>
        <v>0.427</v>
      </c>
      <c r="AB1139">
        <f t="shared" si="73"/>
        <v>1.078</v>
      </c>
      <c r="AC1139" t="s">
        <v>32</v>
      </c>
    </row>
    <row r="1140" spans="1:29">
      <c r="A1140" t="s">
        <v>97</v>
      </c>
      <c r="B1140">
        <v>4194</v>
      </c>
      <c r="C1140">
        <v>24.891</v>
      </c>
      <c r="D1140">
        <v>34.831</v>
      </c>
      <c r="E1140">
        <v>174.36</v>
      </c>
      <c r="F1140">
        <v>0.525</v>
      </c>
      <c r="G1140">
        <v>22.501</v>
      </c>
      <c r="H1140">
        <v>1.948</v>
      </c>
      <c r="I1140">
        <v>2.626</v>
      </c>
      <c r="J1140">
        <v>0.145</v>
      </c>
      <c r="K1140">
        <v>7.954</v>
      </c>
      <c r="L1140">
        <v>0.493</v>
      </c>
      <c r="M1140">
        <v>4.504</v>
      </c>
      <c r="N1140">
        <v>152.754</v>
      </c>
      <c r="O1140">
        <v>134.481</v>
      </c>
      <c r="P1140">
        <f t="shared" si="71"/>
        <v>2.18399259145261</v>
      </c>
      <c r="Q1140">
        <f t="shared" si="71"/>
        <v>2.12866092985488</v>
      </c>
      <c r="R1140">
        <v>115.682</v>
      </c>
      <c r="S1140">
        <v>115.682</v>
      </c>
      <c r="T1140">
        <v>129.105</v>
      </c>
      <c r="U1140">
        <v>4.336</v>
      </c>
      <c r="V1140">
        <v>27.289</v>
      </c>
      <c r="W1140">
        <v>0.011</v>
      </c>
      <c r="X1140" t="s">
        <v>92</v>
      </c>
      <c r="Y1140" t="s">
        <v>31</v>
      </c>
      <c r="Z1140" s="3">
        <f t="shared" si="74"/>
        <v>0.0553316615977355</v>
      </c>
      <c r="AA1140">
        <f t="shared" si="72"/>
        <v>0.348</v>
      </c>
      <c r="AB1140">
        <f t="shared" si="73"/>
        <v>1.018</v>
      </c>
      <c r="AC1140" t="s">
        <v>32</v>
      </c>
    </row>
    <row r="1141" spans="1:29">
      <c r="A1141" t="s">
        <v>97</v>
      </c>
      <c r="B1141">
        <v>4194.125</v>
      </c>
      <c r="C1141">
        <v>24.252</v>
      </c>
      <c r="D1141">
        <v>34.912</v>
      </c>
      <c r="E1141">
        <v>175.308</v>
      </c>
      <c r="F1141">
        <v>0.547</v>
      </c>
      <c r="G1141">
        <v>22.496</v>
      </c>
      <c r="H1141">
        <v>2.126</v>
      </c>
      <c r="I1141">
        <v>2.631</v>
      </c>
      <c r="J1141">
        <v>0.175</v>
      </c>
      <c r="K1141">
        <v>7.613</v>
      </c>
      <c r="L1141">
        <v>0.461</v>
      </c>
      <c r="M1141">
        <v>4.46</v>
      </c>
      <c r="N1141">
        <v>133.017</v>
      </c>
      <c r="O1141">
        <v>117.299</v>
      </c>
      <c r="P1141">
        <f t="shared" si="71"/>
        <v>2.12390714874443</v>
      </c>
      <c r="Q1141">
        <f t="shared" si="71"/>
        <v>2.0692943096745</v>
      </c>
      <c r="R1141">
        <v>123.941</v>
      </c>
      <c r="S1141">
        <v>123.941</v>
      </c>
      <c r="T1141">
        <v>138.406</v>
      </c>
      <c r="U1141">
        <v>4.29</v>
      </c>
      <c r="V1141">
        <v>27.048</v>
      </c>
      <c r="W1141">
        <v>0.01</v>
      </c>
      <c r="X1141" t="s">
        <v>92</v>
      </c>
      <c r="Y1141" t="s">
        <v>31</v>
      </c>
      <c r="Z1141" s="3">
        <f t="shared" si="74"/>
        <v>0.0546128390699301</v>
      </c>
      <c r="AA1141">
        <f t="shared" si="72"/>
        <v>0.286</v>
      </c>
      <c r="AB1141">
        <f t="shared" si="73"/>
        <v>1.008</v>
      </c>
      <c r="AC1141" t="s">
        <v>32</v>
      </c>
    </row>
    <row r="1142" spans="1:29">
      <c r="A1142" t="s">
        <v>97</v>
      </c>
      <c r="B1142">
        <v>4194.25</v>
      </c>
      <c r="C1142">
        <v>23.56</v>
      </c>
      <c r="D1142">
        <v>35.001</v>
      </c>
      <c r="E1142">
        <v>176.612</v>
      </c>
      <c r="F1142">
        <v>0.577</v>
      </c>
      <c r="G1142">
        <v>22.495</v>
      </c>
      <c r="H1142">
        <v>2.261</v>
      </c>
      <c r="I1142">
        <v>2.636</v>
      </c>
      <c r="J1142">
        <v>0.205</v>
      </c>
      <c r="K1142">
        <v>7.461</v>
      </c>
      <c r="L1142">
        <v>0.447</v>
      </c>
      <c r="M1142">
        <v>4.375</v>
      </c>
      <c r="N1142">
        <v>115.359</v>
      </c>
      <c r="O1142">
        <v>101.927</v>
      </c>
      <c r="P1142">
        <f t="shared" si="71"/>
        <v>2.06205148267039</v>
      </c>
      <c r="Q1142">
        <f t="shared" si="71"/>
        <v>2.00828924188473</v>
      </c>
      <c r="R1142">
        <v>118.405</v>
      </c>
      <c r="S1142">
        <v>118.405</v>
      </c>
      <c r="T1142">
        <v>132.172</v>
      </c>
      <c r="U1142">
        <v>4.235</v>
      </c>
      <c r="V1142">
        <v>27.923</v>
      </c>
      <c r="W1142">
        <v>0.01</v>
      </c>
      <c r="X1142" t="s">
        <v>92</v>
      </c>
      <c r="Y1142" t="s">
        <v>31</v>
      </c>
      <c r="Z1142" s="3">
        <f t="shared" si="74"/>
        <v>0.0537622407856682</v>
      </c>
      <c r="AA1142">
        <f t="shared" si="72"/>
        <v>0.242</v>
      </c>
      <c r="AB1142">
        <f t="shared" si="73"/>
        <v>1.024</v>
      </c>
      <c r="AC1142" t="s">
        <v>32</v>
      </c>
    </row>
    <row r="1143" spans="1:29">
      <c r="A1143" t="s">
        <v>97</v>
      </c>
      <c r="B1143">
        <v>4194.375</v>
      </c>
      <c r="C1143">
        <v>22.817</v>
      </c>
      <c r="D1143">
        <v>35.103</v>
      </c>
      <c r="E1143">
        <v>177.699</v>
      </c>
      <c r="F1143">
        <v>0.603</v>
      </c>
      <c r="G1143">
        <v>22.499</v>
      </c>
      <c r="H1143">
        <v>2.339</v>
      </c>
      <c r="I1143">
        <v>2.645</v>
      </c>
      <c r="J1143">
        <v>0.259</v>
      </c>
      <c r="K1143">
        <v>7.527</v>
      </c>
      <c r="L1143">
        <v>0.453</v>
      </c>
      <c r="M1143">
        <v>4.216</v>
      </c>
      <c r="N1143">
        <v>101.916</v>
      </c>
      <c r="O1143">
        <v>90.224</v>
      </c>
      <c r="P1143">
        <f t="shared" si="71"/>
        <v>2.00824237013239</v>
      </c>
      <c r="Q1143">
        <f t="shared" si="71"/>
        <v>1.95532207724428</v>
      </c>
      <c r="R1143">
        <v>106.303</v>
      </c>
      <c r="S1143">
        <v>106.303</v>
      </c>
      <c r="T1143">
        <v>118.543</v>
      </c>
      <c r="U1143">
        <v>4.093</v>
      </c>
      <c r="V1143">
        <v>30.799</v>
      </c>
      <c r="W1143">
        <v>0.01</v>
      </c>
      <c r="X1143" t="s">
        <v>92</v>
      </c>
      <c r="Y1143" t="s">
        <v>31</v>
      </c>
      <c r="Z1143" s="3">
        <f t="shared" si="74"/>
        <v>0.0529202928881123</v>
      </c>
      <c r="AA1143">
        <f t="shared" si="72"/>
        <v>0.194</v>
      </c>
      <c r="AB1143">
        <f t="shared" si="73"/>
        <v>1.056</v>
      </c>
      <c r="AC1143" t="s">
        <v>32</v>
      </c>
    </row>
    <row r="1144" spans="1:29">
      <c r="A1144" t="s">
        <v>97</v>
      </c>
      <c r="B1144">
        <v>4194.5</v>
      </c>
      <c r="C1144">
        <v>21.992</v>
      </c>
      <c r="D1144">
        <v>35.223</v>
      </c>
      <c r="E1144">
        <v>178.263</v>
      </c>
      <c r="F1144">
        <v>0.616</v>
      </c>
      <c r="G1144">
        <v>22.509</v>
      </c>
      <c r="H1144">
        <v>2.361</v>
      </c>
      <c r="I1144">
        <v>2.657</v>
      </c>
      <c r="J1144">
        <v>0.331</v>
      </c>
      <c r="K1144">
        <v>7.774</v>
      </c>
      <c r="L1144">
        <v>0.476</v>
      </c>
      <c r="M1144">
        <v>4.001</v>
      </c>
      <c r="N1144">
        <v>91.907</v>
      </c>
      <c r="O1144">
        <v>81.51</v>
      </c>
      <c r="P1144">
        <f t="shared" ref="P1144:Q1207" si="75">LOG(N1144)</f>
        <v>1.96334859022832</v>
      </c>
      <c r="Q1144">
        <f t="shared" si="75"/>
        <v>1.91121089313755</v>
      </c>
      <c r="R1144">
        <v>94.356</v>
      </c>
      <c r="S1144">
        <v>94.356</v>
      </c>
      <c r="T1144">
        <v>105.088</v>
      </c>
      <c r="U1144">
        <v>4.203</v>
      </c>
      <c r="V1144">
        <v>32.377</v>
      </c>
      <c r="W1144">
        <v>0.011</v>
      </c>
      <c r="X1144" t="s">
        <v>92</v>
      </c>
      <c r="Y1144" t="s">
        <v>31</v>
      </c>
      <c r="Z1144" s="3">
        <f t="shared" si="74"/>
        <v>0.0521376970907652</v>
      </c>
      <c r="AA1144">
        <f t="shared" si="72"/>
        <v>0.145</v>
      </c>
      <c r="AB1144">
        <f t="shared" si="73"/>
        <v>1.092</v>
      </c>
      <c r="AC1144" t="s">
        <v>32</v>
      </c>
    </row>
    <row r="1145" spans="1:29">
      <c r="A1145" t="s">
        <v>97</v>
      </c>
      <c r="B1145">
        <v>4194.625</v>
      </c>
      <c r="C1145">
        <v>21.158</v>
      </c>
      <c r="D1145">
        <v>35.373</v>
      </c>
      <c r="E1145">
        <v>177.853</v>
      </c>
      <c r="F1145">
        <v>0.606</v>
      </c>
      <c r="G1145">
        <v>22.542</v>
      </c>
      <c r="H1145">
        <v>2.364</v>
      </c>
      <c r="I1145">
        <v>2.67</v>
      </c>
      <c r="J1145">
        <v>0.41</v>
      </c>
      <c r="K1145">
        <v>8.117</v>
      </c>
      <c r="L1145">
        <v>0.508</v>
      </c>
      <c r="M1145">
        <v>3.773</v>
      </c>
      <c r="N1145">
        <v>86.021</v>
      </c>
      <c r="O1145">
        <v>76.386</v>
      </c>
      <c r="P1145">
        <f t="shared" si="75"/>
        <v>1.93460448695043</v>
      </c>
      <c r="Q1145">
        <f t="shared" si="75"/>
        <v>1.88301376852472</v>
      </c>
      <c r="R1145">
        <v>84.262</v>
      </c>
      <c r="S1145">
        <v>84.262</v>
      </c>
      <c r="T1145">
        <v>93.721</v>
      </c>
      <c r="U1145">
        <v>4.531</v>
      </c>
      <c r="V1145">
        <v>31.323</v>
      </c>
      <c r="W1145">
        <v>0.013</v>
      </c>
      <c r="X1145" t="s">
        <v>92</v>
      </c>
      <c r="Y1145" t="s">
        <v>31</v>
      </c>
      <c r="Z1145" s="3">
        <f t="shared" si="74"/>
        <v>0.0515907184257112</v>
      </c>
      <c r="AA1145">
        <f t="shared" si="72"/>
        <v>0.098</v>
      </c>
      <c r="AB1145">
        <f t="shared" si="73"/>
        <v>1.114</v>
      </c>
      <c r="AC1145" t="s">
        <v>32</v>
      </c>
    </row>
    <row r="1146" spans="1:29">
      <c r="A1146" t="s">
        <v>97</v>
      </c>
      <c r="B1146">
        <v>4194.75</v>
      </c>
      <c r="C1146">
        <v>20.543</v>
      </c>
      <c r="D1146">
        <v>35.557</v>
      </c>
      <c r="E1146">
        <v>176.31</v>
      </c>
      <c r="F1146">
        <v>0.57</v>
      </c>
      <c r="G1146">
        <v>22.595</v>
      </c>
      <c r="H1146">
        <v>2.378</v>
      </c>
      <c r="I1146">
        <v>2.683</v>
      </c>
      <c r="J1146">
        <v>0.488</v>
      </c>
      <c r="K1146">
        <v>8.44</v>
      </c>
      <c r="L1146">
        <v>0.539</v>
      </c>
      <c r="M1146">
        <v>3.561</v>
      </c>
      <c r="N1146">
        <v>85.335</v>
      </c>
      <c r="O1146">
        <v>75.789</v>
      </c>
      <c r="P1146">
        <f t="shared" si="75"/>
        <v>1.93112719282345</v>
      </c>
      <c r="Q1146">
        <f t="shared" si="75"/>
        <v>1.87960617679343</v>
      </c>
      <c r="R1146">
        <v>76.433</v>
      </c>
      <c r="S1146">
        <v>76.433</v>
      </c>
      <c r="T1146">
        <v>84.904</v>
      </c>
      <c r="U1146">
        <v>4.399</v>
      </c>
      <c r="V1146">
        <v>33.56</v>
      </c>
      <c r="W1146">
        <v>0.011</v>
      </c>
      <c r="X1146" t="s">
        <v>92</v>
      </c>
      <c r="Y1146" t="s">
        <v>31</v>
      </c>
      <c r="Z1146" s="3">
        <f t="shared" si="74"/>
        <v>0.0515210160300263</v>
      </c>
      <c r="AA1146">
        <f t="shared" ref="AA1146:AA1209" si="76">L1146-J1146</f>
        <v>0.051</v>
      </c>
      <c r="AB1146">
        <f t="shared" ref="AB1146:AB1209" si="77">L1146+F1146</f>
        <v>1.109</v>
      </c>
      <c r="AC1146" t="s">
        <v>32</v>
      </c>
    </row>
    <row r="1147" spans="1:29">
      <c r="A1147" t="s">
        <v>97</v>
      </c>
      <c r="B1147">
        <v>4194.875</v>
      </c>
      <c r="C1147">
        <v>20.227</v>
      </c>
      <c r="D1147">
        <v>35.785</v>
      </c>
      <c r="E1147">
        <v>173.335</v>
      </c>
      <c r="F1147">
        <v>0.502</v>
      </c>
      <c r="G1147">
        <v>22.651</v>
      </c>
      <c r="H1147">
        <v>2.403</v>
      </c>
      <c r="I1147">
        <v>2.695</v>
      </c>
      <c r="J1147">
        <v>0.56</v>
      </c>
      <c r="K1147">
        <v>8.639</v>
      </c>
      <c r="L1147">
        <v>0.557</v>
      </c>
      <c r="M1147">
        <v>3.4</v>
      </c>
      <c r="N1147">
        <v>90.95</v>
      </c>
      <c r="O1147">
        <v>80.678</v>
      </c>
      <c r="P1147">
        <f t="shared" si="75"/>
        <v>1.9588027033995</v>
      </c>
      <c r="Q1147">
        <f t="shared" si="75"/>
        <v>1.90675512355498</v>
      </c>
      <c r="R1147">
        <v>71.594</v>
      </c>
      <c r="S1147">
        <v>71.594</v>
      </c>
      <c r="T1147">
        <v>79.454</v>
      </c>
      <c r="U1147">
        <v>4.234</v>
      </c>
      <c r="V1147">
        <v>35.968</v>
      </c>
      <c r="W1147">
        <v>0.01</v>
      </c>
      <c r="X1147" t="s">
        <v>92</v>
      </c>
      <c r="Y1147" t="s">
        <v>31</v>
      </c>
      <c r="Z1147" s="3">
        <f t="shared" si="74"/>
        <v>0.0520475798445186</v>
      </c>
      <c r="AA1147">
        <f t="shared" si="76"/>
        <v>-0.003</v>
      </c>
      <c r="AB1147">
        <f t="shared" si="77"/>
        <v>1.059</v>
      </c>
      <c r="AC1147" t="s">
        <v>32</v>
      </c>
    </row>
    <row r="1148" spans="1:29">
      <c r="A1148" t="s">
        <v>97</v>
      </c>
      <c r="B1148">
        <v>4195</v>
      </c>
      <c r="C1148">
        <v>20.115</v>
      </c>
      <c r="D1148">
        <v>36.064</v>
      </c>
      <c r="E1148">
        <v>169.418</v>
      </c>
      <c r="F1148">
        <v>0.411</v>
      </c>
      <c r="G1148">
        <v>22.692</v>
      </c>
      <c r="H1148">
        <v>2.427</v>
      </c>
      <c r="I1148">
        <v>2.704</v>
      </c>
      <c r="J1148">
        <v>0.614</v>
      </c>
      <c r="K1148">
        <v>8.597</v>
      </c>
      <c r="L1148">
        <v>0.553</v>
      </c>
      <c r="M1148">
        <v>3.346</v>
      </c>
      <c r="N1148">
        <v>102.402</v>
      </c>
      <c r="O1148">
        <v>90.647</v>
      </c>
      <c r="P1148">
        <f t="shared" si="75"/>
        <v>2.01030843887108</v>
      </c>
      <c r="Q1148">
        <f t="shared" si="75"/>
        <v>1.95735343551365</v>
      </c>
      <c r="R1148">
        <v>70.313</v>
      </c>
      <c r="S1148">
        <v>70.313</v>
      </c>
      <c r="T1148">
        <v>78.012</v>
      </c>
      <c r="U1148">
        <v>4.093</v>
      </c>
      <c r="V1148">
        <v>37.561</v>
      </c>
      <c r="W1148">
        <v>0.01</v>
      </c>
      <c r="X1148" t="s">
        <v>92</v>
      </c>
      <c r="Y1148" t="s">
        <v>31</v>
      </c>
      <c r="Z1148" s="3">
        <f t="shared" si="74"/>
        <v>0.0529550033574231</v>
      </c>
      <c r="AA1148">
        <f t="shared" si="76"/>
        <v>-0.0609999999999999</v>
      </c>
      <c r="AB1148">
        <f t="shared" si="77"/>
        <v>0.964</v>
      </c>
      <c r="AC1148" t="s">
        <v>32</v>
      </c>
    </row>
    <row r="1149" spans="1:29">
      <c r="A1149" t="s">
        <v>97</v>
      </c>
      <c r="B1149">
        <v>4195.125</v>
      </c>
      <c r="C1149">
        <v>20.317</v>
      </c>
      <c r="D1149">
        <v>36.413</v>
      </c>
      <c r="E1149">
        <v>166.049</v>
      </c>
      <c r="F1149">
        <v>0.333</v>
      </c>
      <c r="G1149">
        <v>22.715</v>
      </c>
      <c r="H1149">
        <v>2.467</v>
      </c>
      <c r="I1149">
        <v>2.706</v>
      </c>
      <c r="J1149">
        <v>0.627</v>
      </c>
      <c r="K1149">
        <v>8.257</v>
      </c>
      <c r="L1149">
        <v>0.522</v>
      </c>
      <c r="M1149">
        <v>3.433</v>
      </c>
      <c r="N1149">
        <v>117.851</v>
      </c>
      <c r="O1149">
        <v>104.096</v>
      </c>
      <c r="P1149">
        <f t="shared" si="75"/>
        <v>2.07133327199093</v>
      </c>
      <c r="Q1149">
        <f t="shared" si="75"/>
        <v>2.01743404160176</v>
      </c>
      <c r="R1149">
        <v>72.635</v>
      </c>
      <c r="S1149">
        <v>72.635</v>
      </c>
      <c r="T1149">
        <v>80.628</v>
      </c>
      <c r="U1149">
        <v>4.069</v>
      </c>
      <c r="V1149">
        <v>37.207</v>
      </c>
      <c r="W1149">
        <v>0.01</v>
      </c>
      <c r="X1149" t="s">
        <v>92</v>
      </c>
      <c r="Y1149" t="s">
        <v>31</v>
      </c>
      <c r="Z1149" s="3">
        <f t="shared" si="74"/>
        <v>0.0538992303891672</v>
      </c>
      <c r="AA1149">
        <f t="shared" si="76"/>
        <v>-0.105</v>
      </c>
      <c r="AB1149">
        <f t="shared" si="77"/>
        <v>0.855</v>
      </c>
      <c r="AC1149" t="s">
        <v>32</v>
      </c>
    </row>
    <row r="1150" spans="1:29">
      <c r="A1150" t="s">
        <v>97</v>
      </c>
      <c r="B1150">
        <v>4195.25</v>
      </c>
      <c r="C1150">
        <v>21.178</v>
      </c>
      <c r="D1150">
        <v>36.831</v>
      </c>
      <c r="E1150">
        <v>164.388</v>
      </c>
      <c r="F1150">
        <v>0.295</v>
      </c>
      <c r="G1150">
        <v>22.741</v>
      </c>
      <c r="H1150">
        <v>2.544</v>
      </c>
      <c r="I1150">
        <v>2.707</v>
      </c>
      <c r="J1150">
        <v>0.633</v>
      </c>
      <c r="K1150">
        <v>7.78</v>
      </c>
      <c r="L1150">
        <v>0.477</v>
      </c>
      <c r="M1150">
        <v>3.608</v>
      </c>
      <c r="N1150">
        <v>133.91</v>
      </c>
      <c r="O1150">
        <v>118.077</v>
      </c>
      <c r="P1150">
        <f t="shared" si="75"/>
        <v>2.12681301004155</v>
      </c>
      <c r="Q1150">
        <f t="shared" si="75"/>
        <v>2.07216531043428</v>
      </c>
      <c r="R1150">
        <v>77.453</v>
      </c>
      <c r="S1150">
        <v>77.453</v>
      </c>
      <c r="T1150">
        <v>86.053</v>
      </c>
      <c r="U1150">
        <v>3.744</v>
      </c>
      <c r="V1150">
        <v>39.779</v>
      </c>
      <c r="W1150">
        <v>0.01</v>
      </c>
      <c r="X1150" t="s">
        <v>92</v>
      </c>
      <c r="Y1150" t="s">
        <v>31</v>
      </c>
      <c r="Z1150" s="3">
        <f t="shared" si="74"/>
        <v>0.0546476996072753</v>
      </c>
      <c r="AA1150">
        <f t="shared" si="76"/>
        <v>-0.156</v>
      </c>
      <c r="AB1150">
        <f t="shared" si="77"/>
        <v>0.772</v>
      </c>
      <c r="AC1150" t="s">
        <v>32</v>
      </c>
    </row>
    <row r="1151" spans="1:29">
      <c r="A1151" t="s">
        <v>97</v>
      </c>
      <c r="B1151">
        <v>4195.375</v>
      </c>
      <c r="C1151">
        <v>23.234</v>
      </c>
      <c r="D1151">
        <v>37.327</v>
      </c>
      <c r="E1151">
        <v>164.315</v>
      </c>
      <c r="F1151">
        <v>0.293</v>
      </c>
      <c r="G1151">
        <v>22.775</v>
      </c>
      <c r="H1151">
        <v>2.667</v>
      </c>
      <c r="I1151">
        <v>2.709</v>
      </c>
      <c r="J1151">
        <v>0.645</v>
      </c>
      <c r="K1151">
        <v>7.256</v>
      </c>
      <c r="L1151">
        <v>0.428</v>
      </c>
      <c r="M1151">
        <v>3.837</v>
      </c>
      <c r="N1151">
        <v>149.033</v>
      </c>
      <c r="O1151">
        <v>131.243</v>
      </c>
      <c r="P1151">
        <f t="shared" si="75"/>
        <v>2.17328244378857</v>
      </c>
      <c r="Q1151">
        <f t="shared" si="75"/>
        <v>2.11807614908794</v>
      </c>
      <c r="R1151">
        <v>84.591</v>
      </c>
      <c r="S1151">
        <v>84.591</v>
      </c>
      <c r="T1151">
        <v>94.091</v>
      </c>
      <c r="U1151">
        <v>2.915</v>
      </c>
      <c r="V1151">
        <v>48.697</v>
      </c>
      <c r="W1151">
        <v>0.01</v>
      </c>
      <c r="X1151" t="s">
        <v>92</v>
      </c>
      <c r="Y1151" t="s">
        <v>31</v>
      </c>
      <c r="Z1151" s="3">
        <f t="shared" si="74"/>
        <v>0.0552062947006262</v>
      </c>
      <c r="AA1151">
        <f t="shared" si="76"/>
        <v>-0.217</v>
      </c>
      <c r="AB1151">
        <f t="shared" si="77"/>
        <v>0.721</v>
      </c>
      <c r="AC1151" t="s">
        <v>32</v>
      </c>
    </row>
    <row r="1152" spans="1:29">
      <c r="A1152" t="s">
        <v>97</v>
      </c>
      <c r="B1152">
        <v>4195.5</v>
      </c>
      <c r="C1152">
        <v>26.109</v>
      </c>
      <c r="D1152">
        <v>37.903</v>
      </c>
      <c r="E1152">
        <v>165.026</v>
      </c>
      <c r="F1152">
        <v>0.309</v>
      </c>
      <c r="G1152">
        <v>22.805</v>
      </c>
      <c r="H1152">
        <v>2.828</v>
      </c>
      <c r="I1152">
        <v>2.712</v>
      </c>
      <c r="J1152">
        <v>0.663</v>
      </c>
      <c r="K1152">
        <v>6.696</v>
      </c>
      <c r="L1152">
        <v>0.376</v>
      </c>
      <c r="M1152">
        <v>4.081</v>
      </c>
      <c r="N1152">
        <v>163.207</v>
      </c>
      <c r="O1152">
        <v>143.582</v>
      </c>
      <c r="P1152">
        <f t="shared" si="75"/>
        <v>2.2127387818454</v>
      </c>
      <c r="Q1152">
        <f t="shared" si="75"/>
        <v>2.15709999846716</v>
      </c>
      <c r="R1152">
        <v>96.188</v>
      </c>
      <c r="S1152">
        <v>96.188</v>
      </c>
      <c r="T1152">
        <v>107.152</v>
      </c>
      <c r="U1152">
        <v>2.02</v>
      </c>
      <c r="V1152">
        <v>66.282</v>
      </c>
      <c r="W1152">
        <v>0.01</v>
      </c>
      <c r="X1152" t="s">
        <v>92</v>
      </c>
      <c r="Y1152" t="s">
        <v>31</v>
      </c>
      <c r="Z1152" s="3">
        <f t="shared" si="74"/>
        <v>0.0556387833782397</v>
      </c>
      <c r="AA1152">
        <f t="shared" si="76"/>
        <v>-0.287</v>
      </c>
      <c r="AB1152">
        <f t="shared" si="77"/>
        <v>0.685</v>
      </c>
      <c r="AC1152" t="s">
        <v>32</v>
      </c>
    </row>
    <row r="1153" spans="1:29">
      <c r="A1153" t="s">
        <v>97</v>
      </c>
      <c r="B1153">
        <v>4195.625</v>
      </c>
      <c r="C1153">
        <v>28.585</v>
      </c>
      <c r="D1153">
        <v>38.577</v>
      </c>
      <c r="E1153">
        <v>165.844</v>
      </c>
      <c r="F1153">
        <v>0.328</v>
      </c>
      <c r="G1153">
        <v>22.813</v>
      </c>
      <c r="H1153">
        <v>2.922</v>
      </c>
      <c r="I1153">
        <v>2.721</v>
      </c>
      <c r="J1153">
        <v>0.717</v>
      </c>
      <c r="K1153">
        <v>6.039</v>
      </c>
      <c r="L1153">
        <v>0.314</v>
      </c>
      <c r="M1153">
        <v>4.26</v>
      </c>
      <c r="N1153">
        <v>182.967</v>
      </c>
      <c r="O1153">
        <v>160.784</v>
      </c>
      <c r="P1153">
        <f t="shared" si="75"/>
        <v>2.26237276726998</v>
      </c>
      <c r="Q1153">
        <f t="shared" si="75"/>
        <v>2.20624282888109</v>
      </c>
      <c r="R1153">
        <v>117.042</v>
      </c>
      <c r="S1153">
        <v>117.042</v>
      </c>
      <c r="T1153">
        <v>130.637</v>
      </c>
      <c r="U1153">
        <v>1.423</v>
      </c>
      <c r="V1153">
        <v>82.95</v>
      </c>
      <c r="W1153">
        <v>0.01</v>
      </c>
      <c r="X1153" t="s">
        <v>92</v>
      </c>
      <c r="Y1153" t="s">
        <v>31</v>
      </c>
      <c r="Z1153" s="3">
        <f t="shared" si="74"/>
        <v>0.0561299383888936</v>
      </c>
      <c r="AA1153">
        <f t="shared" si="76"/>
        <v>-0.403</v>
      </c>
      <c r="AB1153">
        <f t="shared" si="77"/>
        <v>0.642</v>
      </c>
      <c r="AC1153" t="s">
        <v>32</v>
      </c>
    </row>
    <row r="1154" spans="1:29">
      <c r="A1154" t="s">
        <v>97</v>
      </c>
      <c r="B1154">
        <v>4195.75</v>
      </c>
      <c r="C1154">
        <v>29.534</v>
      </c>
      <c r="D1154">
        <v>39.332</v>
      </c>
      <c r="E1154">
        <v>166.356</v>
      </c>
      <c r="F1154">
        <v>0.34</v>
      </c>
      <c r="G1154">
        <v>22.804</v>
      </c>
      <c r="H1154">
        <v>2.897</v>
      </c>
      <c r="I1154">
        <v>2.734</v>
      </c>
      <c r="J1154">
        <v>0.795</v>
      </c>
      <c r="K1154">
        <v>5.312</v>
      </c>
      <c r="L1154">
        <v>0.246</v>
      </c>
      <c r="M1154">
        <v>4.34</v>
      </c>
      <c r="N1154">
        <v>222.355</v>
      </c>
      <c r="O1154">
        <v>195.073</v>
      </c>
      <c r="P1154">
        <f t="shared" si="75"/>
        <v>2.34704689968554</v>
      </c>
      <c r="Q1154">
        <f t="shared" si="75"/>
        <v>2.2901971629749</v>
      </c>
      <c r="R1154">
        <v>148.355</v>
      </c>
      <c r="S1154">
        <v>148.355</v>
      </c>
      <c r="T1154">
        <v>165.9</v>
      </c>
      <c r="U1154">
        <v>0.809</v>
      </c>
      <c r="V1154">
        <v>89.953</v>
      </c>
      <c r="W1154">
        <v>0.006</v>
      </c>
      <c r="X1154" t="s">
        <v>92</v>
      </c>
      <c r="Y1154" t="s">
        <v>31</v>
      </c>
      <c r="Z1154" s="3">
        <f t="shared" si="74"/>
        <v>0.0568497367106335</v>
      </c>
      <c r="AA1154">
        <f t="shared" si="76"/>
        <v>-0.549</v>
      </c>
      <c r="AB1154">
        <f t="shared" si="77"/>
        <v>0.586</v>
      </c>
      <c r="AC1154" t="s">
        <v>32</v>
      </c>
    </row>
    <row r="1155" spans="1:29">
      <c r="A1155" t="s">
        <v>97</v>
      </c>
      <c r="B1155">
        <v>4195.875</v>
      </c>
      <c r="C1155">
        <v>29.194</v>
      </c>
      <c r="D1155">
        <v>40.173</v>
      </c>
      <c r="E1155">
        <v>166.164</v>
      </c>
      <c r="F1155">
        <v>0.336</v>
      </c>
      <c r="G1155">
        <v>22.795</v>
      </c>
      <c r="H1155">
        <v>2.814</v>
      </c>
      <c r="I1155">
        <v>2.747</v>
      </c>
      <c r="J1155">
        <v>0.873</v>
      </c>
      <c r="K1155">
        <v>4.573</v>
      </c>
      <c r="L1155">
        <v>0.177</v>
      </c>
      <c r="M1155">
        <v>4.354</v>
      </c>
      <c r="N1155">
        <v>300.944</v>
      </c>
      <c r="O1155">
        <v>263.49</v>
      </c>
      <c r="P1155">
        <f t="shared" si="75"/>
        <v>2.47848568910335</v>
      </c>
      <c r="Q1155">
        <f t="shared" si="75"/>
        <v>2.42076413747179</v>
      </c>
      <c r="R1155">
        <v>187.09</v>
      </c>
      <c r="S1155">
        <v>187.09</v>
      </c>
      <c r="T1155">
        <v>209.522</v>
      </c>
      <c r="U1155">
        <v>0.01</v>
      </c>
      <c r="V1155">
        <v>100</v>
      </c>
      <c r="W1155">
        <v>0.001</v>
      </c>
      <c r="X1155" t="s">
        <v>92</v>
      </c>
      <c r="Y1155" t="s">
        <v>31</v>
      </c>
      <c r="Z1155" s="3">
        <f t="shared" si="74"/>
        <v>0.0577215516315586</v>
      </c>
      <c r="AA1155">
        <f t="shared" si="76"/>
        <v>-0.696</v>
      </c>
      <c r="AB1155">
        <f t="shared" si="77"/>
        <v>0.513</v>
      </c>
      <c r="AC1155" t="s">
        <v>32</v>
      </c>
    </row>
    <row r="1156" spans="1:29">
      <c r="A1156" t="s">
        <v>97</v>
      </c>
      <c r="B1156">
        <v>4196</v>
      </c>
      <c r="C1156">
        <v>28.983</v>
      </c>
      <c r="D1156">
        <v>41.086</v>
      </c>
      <c r="E1156">
        <v>164.911</v>
      </c>
      <c r="F1156">
        <v>0.307</v>
      </c>
      <c r="G1156">
        <v>22.798</v>
      </c>
      <c r="H1156">
        <v>2.746</v>
      </c>
      <c r="I1156">
        <v>2.755</v>
      </c>
      <c r="J1156">
        <v>0.922</v>
      </c>
      <c r="K1156">
        <v>3.888</v>
      </c>
      <c r="L1156">
        <v>0.113</v>
      </c>
      <c r="M1156">
        <v>4.35</v>
      </c>
      <c r="N1156">
        <v>432.749</v>
      </c>
      <c r="O1156">
        <v>378.234</v>
      </c>
      <c r="P1156">
        <f t="shared" si="75"/>
        <v>2.63623607297728</v>
      </c>
      <c r="Q1156">
        <f t="shared" si="75"/>
        <v>2.57776056562138</v>
      </c>
      <c r="R1156">
        <v>225.302</v>
      </c>
      <c r="S1156">
        <v>225.302</v>
      </c>
      <c r="T1156">
        <v>252.555</v>
      </c>
      <c r="U1156">
        <v>0.01</v>
      </c>
      <c r="V1156">
        <v>100</v>
      </c>
      <c r="W1156">
        <v>0.001</v>
      </c>
      <c r="X1156" t="s">
        <v>92</v>
      </c>
      <c r="Y1156" t="s">
        <v>31</v>
      </c>
      <c r="Z1156" s="3">
        <f t="shared" si="74"/>
        <v>0.0584755073558947</v>
      </c>
      <c r="AA1156">
        <f t="shared" si="76"/>
        <v>-0.809</v>
      </c>
      <c r="AB1156">
        <f t="shared" si="77"/>
        <v>0.42</v>
      </c>
      <c r="AC1156" t="s">
        <v>32</v>
      </c>
    </row>
    <row r="1157" spans="1:29">
      <c r="A1157" t="s">
        <v>98</v>
      </c>
      <c r="B1157">
        <v>3921.5</v>
      </c>
      <c r="C1157">
        <v>83.15</v>
      </c>
      <c r="D1157">
        <v>49.163</v>
      </c>
      <c r="E1157">
        <v>191.973</v>
      </c>
      <c r="F1157">
        <v>0.823</v>
      </c>
      <c r="G1157">
        <v>23.688</v>
      </c>
      <c r="H1157">
        <v>3.972</v>
      </c>
      <c r="I1157">
        <v>2.529</v>
      </c>
      <c r="J1157">
        <v>0.05</v>
      </c>
      <c r="K1157">
        <v>14.956</v>
      </c>
      <c r="L1157">
        <v>0.824</v>
      </c>
      <c r="M1157">
        <v>2.381</v>
      </c>
      <c r="N1157">
        <v>42.136</v>
      </c>
      <c r="O1157">
        <v>50.675</v>
      </c>
      <c r="P1157">
        <f t="shared" si="75"/>
        <v>1.62465330534942</v>
      </c>
      <c r="Q1157">
        <f t="shared" si="75"/>
        <v>1.70479375736505</v>
      </c>
      <c r="R1157">
        <v>6.57</v>
      </c>
      <c r="S1157">
        <v>6.774</v>
      </c>
      <c r="T1157">
        <v>6.983</v>
      </c>
      <c r="U1157">
        <v>0.01</v>
      </c>
      <c r="V1157">
        <v>100</v>
      </c>
      <c r="W1157">
        <v>0.001</v>
      </c>
      <c r="X1157" t="s">
        <v>92</v>
      </c>
      <c r="Y1157" t="s">
        <v>35</v>
      </c>
      <c r="Z1157" s="3">
        <f t="shared" si="74"/>
        <v>-0.0801404520156217</v>
      </c>
      <c r="AA1157">
        <f t="shared" si="76"/>
        <v>0.774</v>
      </c>
      <c r="AB1157">
        <f t="shared" si="77"/>
        <v>1.647</v>
      </c>
      <c r="AC1157" t="s">
        <v>32</v>
      </c>
    </row>
    <row r="1158" spans="1:29">
      <c r="A1158" t="s">
        <v>98</v>
      </c>
      <c r="B1158">
        <v>3921.625</v>
      </c>
      <c r="C1158">
        <v>57.684</v>
      </c>
      <c r="D1158">
        <v>48.884</v>
      </c>
      <c r="E1158">
        <v>194.72</v>
      </c>
      <c r="F1158">
        <v>0.885</v>
      </c>
      <c r="G1158">
        <v>24.634</v>
      </c>
      <c r="H1158">
        <v>3.211</v>
      </c>
      <c r="I1158">
        <v>2.565</v>
      </c>
      <c r="J1158">
        <v>0.145</v>
      </c>
      <c r="K1158">
        <v>17.279</v>
      </c>
      <c r="L1158">
        <v>0.987</v>
      </c>
      <c r="M1158">
        <v>2.581</v>
      </c>
      <c r="N1158">
        <v>23.762</v>
      </c>
      <c r="O1158">
        <v>28.393</v>
      </c>
      <c r="P1158">
        <f t="shared" si="75"/>
        <v>1.37588299154523</v>
      </c>
      <c r="Q1158">
        <f t="shared" si="75"/>
        <v>1.45321128243822</v>
      </c>
      <c r="R1158">
        <v>7.063</v>
      </c>
      <c r="S1158">
        <v>7.281</v>
      </c>
      <c r="T1158">
        <v>7.507</v>
      </c>
      <c r="U1158">
        <v>0.01</v>
      </c>
      <c r="V1158">
        <v>100</v>
      </c>
      <c r="W1158">
        <v>0.001</v>
      </c>
      <c r="X1158" t="s">
        <v>92</v>
      </c>
      <c r="Y1158" t="s">
        <v>35</v>
      </c>
      <c r="Z1158" s="3">
        <f t="shared" si="74"/>
        <v>-0.0773282908929942</v>
      </c>
      <c r="AA1158">
        <f t="shared" si="76"/>
        <v>0.842</v>
      </c>
      <c r="AB1158">
        <f t="shared" si="77"/>
        <v>1.872</v>
      </c>
      <c r="AC1158" t="s">
        <v>32</v>
      </c>
    </row>
    <row r="1159" spans="1:29">
      <c r="A1159" t="s">
        <v>98</v>
      </c>
      <c r="B1159">
        <v>3921.75</v>
      </c>
      <c r="C1159">
        <v>41.987</v>
      </c>
      <c r="D1159">
        <v>48.64</v>
      </c>
      <c r="E1159">
        <v>190.932</v>
      </c>
      <c r="F1159">
        <v>0.8</v>
      </c>
      <c r="G1159">
        <v>25.151</v>
      </c>
      <c r="H1159">
        <v>2.71</v>
      </c>
      <c r="I1159">
        <v>2.617</v>
      </c>
      <c r="J1159">
        <v>0.282</v>
      </c>
      <c r="K1159">
        <v>17.46</v>
      </c>
      <c r="L1159">
        <v>1</v>
      </c>
      <c r="M1159">
        <v>2.795</v>
      </c>
      <c r="N1159">
        <v>16.751</v>
      </c>
      <c r="O1159">
        <v>18.15</v>
      </c>
      <c r="P1159">
        <f t="shared" si="75"/>
        <v>1.22404073862769</v>
      </c>
      <c r="Q1159">
        <f t="shared" si="75"/>
        <v>1.25887662937213</v>
      </c>
      <c r="R1159">
        <v>8.672</v>
      </c>
      <c r="S1159">
        <v>8.941</v>
      </c>
      <c r="T1159">
        <v>9.217</v>
      </c>
      <c r="U1159">
        <v>14.069</v>
      </c>
      <c r="V1159">
        <v>66.833</v>
      </c>
      <c r="W1159">
        <v>2.11</v>
      </c>
      <c r="X1159" t="s">
        <v>92</v>
      </c>
      <c r="Y1159" t="s">
        <v>35</v>
      </c>
      <c r="Z1159" s="3">
        <f t="shared" si="74"/>
        <v>-0.034835890744437</v>
      </c>
      <c r="AA1159">
        <f t="shared" si="76"/>
        <v>0.718</v>
      </c>
      <c r="AB1159">
        <f t="shared" si="77"/>
        <v>1.8</v>
      </c>
      <c r="AC1159" t="s">
        <v>32</v>
      </c>
    </row>
    <row r="1160" spans="1:29">
      <c r="A1160" t="s">
        <v>98</v>
      </c>
      <c r="B1160">
        <v>3921.875</v>
      </c>
      <c r="C1160">
        <v>34.474</v>
      </c>
      <c r="D1160">
        <v>48.407</v>
      </c>
      <c r="E1160">
        <v>180.916</v>
      </c>
      <c r="F1160">
        <v>0.576</v>
      </c>
      <c r="G1160">
        <v>24.76</v>
      </c>
      <c r="H1160">
        <v>2.408</v>
      </c>
      <c r="I1160">
        <v>2.691</v>
      </c>
      <c r="J1160">
        <v>0.478</v>
      </c>
      <c r="K1160">
        <v>15.551</v>
      </c>
      <c r="L1160">
        <v>0.866</v>
      </c>
      <c r="M1160">
        <v>3.012</v>
      </c>
      <c r="N1160">
        <v>29.992</v>
      </c>
      <c r="O1160">
        <v>24.589</v>
      </c>
      <c r="P1160">
        <f t="shared" si="75"/>
        <v>1.47700542741349</v>
      </c>
      <c r="Q1160">
        <f t="shared" si="75"/>
        <v>1.39074086695292</v>
      </c>
      <c r="R1160">
        <v>11.428</v>
      </c>
      <c r="S1160">
        <v>11.781</v>
      </c>
      <c r="T1160">
        <v>12.146</v>
      </c>
      <c r="U1160">
        <v>12.167</v>
      </c>
      <c r="V1160">
        <v>63.206</v>
      </c>
      <c r="W1160">
        <v>1.01</v>
      </c>
      <c r="X1160" t="s">
        <v>92</v>
      </c>
      <c r="Y1160" t="s">
        <v>35</v>
      </c>
      <c r="Z1160" s="3">
        <f t="shared" si="74"/>
        <v>0.0862645604605785</v>
      </c>
      <c r="AA1160">
        <f t="shared" si="76"/>
        <v>0.388</v>
      </c>
      <c r="AB1160">
        <f t="shared" si="77"/>
        <v>1.442</v>
      </c>
      <c r="AC1160" t="s">
        <v>32</v>
      </c>
    </row>
    <row r="1161" spans="1:29">
      <c r="A1161" t="s">
        <v>98</v>
      </c>
      <c r="B1161">
        <v>3922</v>
      </c>
      <c r="C1161">
        <v>31.692</v>
      </c>
      <c r="D1161">
        <v>48.167</v>
      </c>
      <c r="E1161">
        <v>168.721</v>
      </c>
      <c r="F1161">
        <v>0.302</v>
      </c>
      <c r="G1161">
        <v>23.744</v>
      </c>
      <c r="H1161">
        <v>2.274</v>
      </c>
      <c r="I1161">
        <v>2.772</v>
      </c>
      <c r="J1161">
        <v>0.691</v>
      </c>
      <c r="K1161">
        <v>12.264</v>
      </c>
      <c r="L1161">
        <v>0.635</v>
      </c>
      <c r="M1161">
        <v>3.247</v>
      </c>
      <c r="N1161">
        <v>75.275</v>
      </c>
      <c r="O1161">
        <v>54.111</v>
      </c>
      <c r="P1161">
        <f t="shared" si="75"/>
        <v>1.8766507641848</v>
      </c>
      <c r="Q1161">
        <f t="shared" si="75"/>
        <v>1.73328555999928</v>
      </c>
      <c r="R1161">
        <v>14.409</v>
      </c>
      <c r="S1161">
        <v>14.854</v>
      </c>
      <c r="T1161">
        <v>15.314</v>
      </c>
      <c r="U1161">
        <v>9.445</v>
      </c>
      <c r="V1161">
        <v>74.116</v>
      </c>
      <c r="W1161">
        <v>0.336</v>
      </c>
      <c r="X1161" t="s">
        <v>92</v>
      </c>
      <c r="Y1161" t="s">
        <v>35</v>
      </c>
      <c r="Z1161" s="3">
        <f t="shared" si="74"/>
        <v>0.14336520418552</v>
      </c>
      <c r="AA1161">
        <f t="shared" si="76"/>
        <v>-0.0559999999999999</v>
      </c>
      <c r="AB1161">
        <f t="shared" si="77"/>
        <v>0.937</v>
      </c>
      <c r="AC1161" t="s">
        <v>32</v>
      </c>
    </row>
    <row r="1162" spans="1:29">
      <c r="A1162" t="s">
        <v>98</v>
      </c>
      <c r="B1162">
        <v>3922.125</v>
      </c>
      <c r="C1162">
        <v>30.612</v>
      </c>
      <c r="D1162">
        <v>47.902</v>
      </c>
      <c r="E1162">
        <v>160.255</v>
      </c>
      <c r="F1162">
        <v>0.113</v>
      </c>
      <c r="G1162">
        <v>22.833</v>
      </c>
      <c r="H1162">
        <v>2.244</v>
      </c>
      <c r="I1162">
        <v>2.831</v>
      </c>
      <c r="J1162">
        <v>0.847</v>
      </c>
      <c r="K1162">
        <v>9.371</v>
      </c>
      <c r="L1162">
        <v>0.431</v>
      </c>
      <c r="M1162">
        <v>3.482</v>
      </c>
      <c r="N1162">
        <v>150.785</v>
      </c>
      <c r="O1162">
        <v>109.894</v>
      </c>
      <c r="P1162">
        <f t="shared" si="75"/>
        <v>2.17835814033188</v>
      </c>
      <c r="Q1162">
        <f t="shared" si="75"/>
        <v>2.04097398143145</v>
      </c>
      <c r="R1162">
        <v>18.063</v>
      </c>
      <c r="S1162">
        <v>18.621</v>
      </c>
      <c r="T1162">
        <v>19.197</v>
      </c>
      <c r="U1162">
        <v>6.816</v>
      </c>
      <c r="V1162">
        <v>94.797</v>
      </c>
      <c r="W1162">
        <v>0.082</v>
      </c>
      <c r="X1162" t="s">
        <v>92</v>
      </c>
      <c r="Y1162" t="s">
        <v>35</v>
      </c>
      <c r="Z1162" s="3">
        <f t="shared" si="74"/>
        <v>0.137384158900427</v>
      </c>
      <c r="AA1162">
        <f t="shared" si="76"/>
        <v>-0.416</v>
      </c>
      <c r="AB1162">
        <f t="shared" si="77"/>
        <v>0.544</v>
      </c>
      <c r="AC1162" t="s">
        <v>32</v>
      </c>
    </row>
    <row r="1163" spans="1:29">
      <c r="A1163" t="s">
        <v>98</v>
      </c>
      <c r="B1163">
        <v>3922.25</v>
      </c>
      <c r="C1163">
        <v>29.894</v>
      </c>
      <c r="D1163">
        <v>47.612</v>
      </c>
      <c r="E1163">
        <v>156.672</v>
      </c>
      <c r="F1163">
        <v>0.033</v>
      </c>
      <c r="G1163">
        <v>22.481</v>
      </c>
      <c r="H1163">
        <v>2.227</v>
      </c>
      <c r="I1163">
        <v>2.861</v>
      </c>
      <c r="J1163">
        <v>0.926</v>
      </c>
      <c r="K1163">
        <v>7.825</v>
      </c>
      <c r="L1163">
        <v>0.323</v>
      </c>
      <c r="M1163">
        <v>3.671</v>
      </c>
      <c r="N1163">
        <v>220.765</v>
      </c>
      <c r="O1163">
        <v>173.587</v>
      </c>
      <c r="P1163">
        <f t="shared" si="75"/>
        <v>2.34393022163086</v>
      </c>
      <c r="Q1163">
        <f t="shared" si="75"/>
        <v>2.23951719757049</v>
      </c>
      <c r="R1163">
        <v>25.6</v>
      </c>
      <c r="S1163">
        <v>26.392</v>
      </c>
      <c r="T1163">
        <v>27.208</v>
      </c>
      <c r="U1163">
        <v>5.11</v>
      </c>
      <c r="V1163">
        <v>99.858</v>
      </c>
      <c r="W1163">
        <v>0.023</v>
      </c>
      <c r="X1163" t="s">
        <v>92</v>
      </c>
      <c r="Y1163" t="s">
        <v>35</v>
      </c>
      <c r="Z1163" s="3">
        <f t="shared" si="74"/>
        <v>0.104413024060363</v>
      </c>
      <c r="AA1163">
        <f t="shared" si="76"/>
        <v>-0.603</v>
      </c>
      <c r="AB1163">
        <f t="shared" si="77"/>
        <v>0.356</v>
      </c>
      <c r="AC1163" t="s">
        <v>32</v>
      </c>
    </row>
    <row r="1164" spans="1:29">
      <c r="A1164" t="s">
        <v>98</v>
      </c>
      <c r="B1164">
        <v>3922.375</v>
      </c>
      <c r="C1164">
        <v>30.907</v>
      </c>
      <c r="D1164">
        <v>47.311</v>
      </c>
      <c r="E1164">
        <v>156.028</v>
      </c>
      <c r="F1164">
        <v>0.018</v>
      </c>
      <c r="G1164">
        <v>22.417</v>
      </c>
      <c r="H1164">
        <v>2.221</v>
      </c>
      <c r="I1164">
        <v>2.869</v>
      </c>
      <c r="J1164">
        <v>0.947</v>
      </c>
      <c r="K1164">
        <v>7.503</v>
      </c>
      <c r="L1164">
        <v>0.3</v>
      </c>
      <c r="M1164">
        <v>3.788</v>
      </c>
      <c r="N1164">
        <v>238.737</v>
      </c>
      <c r="O1164">
        <v>208.495</v>
      </c>
      <c r="P1164">
        <f t="shared" si="75"/>
        <v>2.37791973216373</v>
      </c>
      <c r="Q1164">
        <f t="shared" si="75"/>
        <v>2.31909564444912</v>
      </c>
      <c r="R1164">
        <v>40.101</v>
      </c>
      <c r="S1164">
        <v>41.342</v>
      </c>
      <c r="T1164">
        <v>42.62</v>
      </c>
      <c r="U1164">
        <v>4.199</v>
      </c>
      <c r="V1164">
        <v>96.224</v>
      </c>
      <c r="W1164">
        <v>0.01</v>
      </c>
      <c r="X1164" t="s">
        <v>92</v>
      </c>
      <c r="Y1164" t="s">
        <v>35</v>
      </c>
      <c r="Z1164" s="3">
        <f t="shared" si="74"/>
        <v>0.0588240877146062</v>
      </c>
      <c r="AA1164">
        <f t="shared" si="76"/>
        <v>-0.647</v>
      </c>
      <c r="AB1164">
        <f t="shared" si="77"/>
        <v>0.318</v>
      </c>
      <c r="AC1164" t="s">
        <v>32</v>
      </c>
    </row>
    <row r="1165" spans="1:29">
      <c r="A1165" t="s">
        <v>98</v>
      </c>
      <c r="B1165">
        <v>3922.5</v>
      </c>
      <c r="C1165">
        <v>36.911</v>
      </c>
      <c r="D1165">
        <v>47.021</v>
      </c>
      <c r="E1165">
        <v>155.835</v>
      </c>
      <c r="F1165">
        <v>0.014</v>
      </c>
      <c r="G1165">
        <v>22.417</v>
      </c>
      <c r="H1165">
        <v>2.297</v>
      </c>
      <c r="I1165">
        <v>2.858</v>
      </c>
      <c r="J1165">
        <v>0.918</v>
      </c>
      <c r="K1165">
        <v>7.623</v>
      </c>
      <c r="L1165">
        <v>0.309</v>
      </c>
      <c r="M1165">
        <v>3.846</v>
      </c>
      <c r="N1165">
        <v>226.303</v>
      </c>
      <c r="O1165">
        <v>214.29</v>
      </c>
      <c r="P1165">
        <f t="shared" si="75"/>
        <v>2.35469031124509</v>
      </c>
      <c r="Q1165">
        <f t="shared" si="75"/>
        <v>2.3310019048442</v>
      </c>
      <c r="R1165">
        <v>64.539</v>
      </c>
      <c r="S1165">
        <v>66.535</v>
      </c>
      <c r="T1165">
        <v>68.592</v>
      </c>
      <c r="U1165">
        <v>3.82</v>
      </c>
      <c r="V1165">
        <v>86.762</v>
      </c>
      <c r="W1165">
        <v>0.01</v>
      </c>
      <c r="X1165" t="s">
        <v>92</v>
      </c>
      <c r="Y1165" t="s">
        <v>35</v>
      </c>
      <c r="Z1165" s="3">
        <f t="shared" si="74"/>
        <v>0.0236884064008898</v>
      </c>
      <c r="AA1165">
        <f t="shared" si="76"/>
        <v>-0.609</v>
      </c>
      <c r="AB1165">
        <f t="shared" si="77"/>
        <v>0.323</v>
      </c>
      <c r="AC1165" t="s">
        <v>32</v>
      </c>
    </row>
    <row r="1166" s="2" customFormat="1" spans="1:29">
      <c r="A1166" s="2" t="s">
        <v>99</v>
      </c>
      <c r="B1166" s="2">
        <v>3252</v>
      </c>
      <c r="C1166" s="2">
        <v>25.087</v>
      </c>
      <c r="D1166" s="2">
        <v>-67.445</v>
      </c>
      <c r="E1166" s="2">
        <v>161.935</v>
      </c>
      <c r="F1166" s="2">
        <v>0.079</v>
      </c>
      <c r="G1166" s="2">
        <v>23.513</v>
      </c>
      <c r="H1166" s="2">
        <v>1.224</v>
      </c>
      <c r="I1166" s="2">
        <v>2.741</v>
      </c>
      <c r="J1166" s="2">
        <v>0.418</v>
      </c>
      <c r="K1166" s="2">
        <v>8.093</v>
      </c>
      <c r="L1166" s="2">
        <v>0.632</v>
      </c>
      <c r="M1166" s="2">
        <v>2.969</v>
      </c>
      <c r="N1166" s="2">
        <v>106.58</v>
      </c>
      <c r="O1166" s="2">
        <v>99.691</v>
      </c>
      <c r="P1166">
        <f t="shared" si="75"/>
        <v>2.02767571590489</v>
      </c>
      <c r="Q1166">
        <f t="shared" si="75"/>
        <v>1.99865595242634</v>
      </c>
      <c r="R1166" s="2">
        <v>43.572</v>
      </c>
      <c r="S1166" s="2">
        <v>-9999</v>
      </c>
      <c r="T1166" s="2">
        <v>43.908</v>
      </c>
      <c r="U1166" s="2">
        <v>3.669</v>
      </c>
      <c r="V1166" s="2">
        <v>100</v>
      </c>
      <c r="W1166" s="2">
        <v>0.01</v>
      </c>
      <c r="X1166" s="2" t="s">
        <v>92</v>
      </c>
      <c r="Y1166" s="2" t="s">
        <v>31</v>
      </c>
      <c r="Z1166" s="7">
        <f t="shared" si="74"/>
        <v>0.0290197634785558</v>
      </c>
      <c r="AA1166" s="2">
        <f t="shared" si="76"/>
        <v>0.214</v>
      </c>
      <c r="AB1166" s="2">
        <f t="shared" si="77"/>
        <v>0.711</v>
      </c>
      <c r="AC1166" t="s">
        <v>32</v>
      </c>
    </row>
    <row r="1167" s="2" customFormat="1" spans="1:29">
      <c r="A1167" s="2" t="s">
        <v>99</v>
      </c>
      <c r="B1167" s="2">
        <v>3252.125</v>
      </c>
      <c r="C1167" s="2">
        <v>24.433</v>
      </c>
      <c r="D1167" s="2">
        <v>-67.686</v>
      </c>
      <c r="E1167" s="2">
        <v>162.433</v>
      </c>
      <c r="F1167" s="2">
        <v>0.085</v>
      </c>
      <c r="G1167" s="2">
        <v>23.567</v>
      </c>
      <c r="H1167" s="2">
        <v>1.163</v>
      </c>
      <c r="I1167" s="2">
        <v>2.741</v>
      </c>
      <c r="J1167" s="2">
        <v>0.418</v>
      </c>
      <c r="K1167" s="2">
        <v>8.271</v>
      </c>
      <c r="L1167" s="2">
        <v>0.644</v>
      </c>
      <c r="M1167" s="2">
        <v>3.014</v>
      </c>
      <c r="N1167" s="2">
        <v>100.574</v>
      </c>
      <c r="O1167" s="2">
        <v>94.375</v>
      </c>
      <c r="P1167">
        <f t="shared" si="75"/>
        <v>2.00248572310618</v>
      </c>
      <c r="Q1167">
        <f t="shared" si="75"/>
        <v>1.97485696463724</v>
      </c>
      <c r="R1167" s="2">
        <v>36.756</v>
      </c>
      <c r="S1167" s="2">
        <v>-9999</v>
      </c>
      <c r="T1167" s="2">
        <v>36.719</v>
      </c>
      <c r="U1167" s="2">
        <v>3.659</v>
      </c>
      <c r="V1167" s="2">
        <v>100</v>
      </c>
      <c r="W1167" s="2">
        <v>0.01</v>
      </c>
      <c r="X1167" s="2" t="s">
        <v>92</v>
      </c>
      <c r="Y1167" s="2" t="s">
        <v>31</v>
      </c>
      <c r="Z1167" s="7">
        <f t="shared" si="74"/>
        <v>0.027628758468933</v>
      </c>
      <c r="AA1167" s="2">
        <f t="shared" si="76"/>
        <v>0.226</v>
      </c>
      <c r="AB1167" s="2">
        <f t="shared" si="77"/>
        <v>0.729</v>
      </c>
      <c r="AC1167" t="s">
        <v>32</v>
      </c>
    </row>
    <row r="1168" s="2" customFormat="1" spans="1:29">
      <c r="A1168" s="2" t="s">
        <v>99</v>
      </c>
      <c r="B1168" s="2">
        <v>3252.25</v>
      </c>
      <c r="C1168" s="2">
        <v>23.477</v>
      </c>
      <c r="D1168" s="2">
        <v>-68.189</v>
      </c>
      <c r="E1168" s="2">
        <v>162.684</v>
      </c>
      <c r="F1168" s="2">
        <v>0.088</v>
      </c>
      <c r="G1168" s="2">
        <v>23.575</v>
      </c>
      <c r="H1168" s="2">
        <v>1.046</v>
      </c>
      <c r="I1168" s="2">
        <v>2.75</v>
      </c>
      <c r="J1168" s="2">
        <v>0.442</v>
      </c>
      <c r="K1168" s="2">
        <v>8.278</v>
      </c>
      <c r="L1168" s="2">
        <v>0.645</v>
      </c>
      <c r="M1168" s="2">
        <v>3.009</v>
      </c>
      <c r="N1168" s="2">
        <v>96.529</v>
      </c>
      <c r="O1168" s="2">
        <v>90.783</v>
      </c>
      <c r="P1168">
        <f t="shared" si="75"/>
        <v>1.98465780710452</v>
      </c>
      <c r="Q1168">
        <f t="shared" si="75"/>
        <v>1.95800453026757</v>
      </c>
      <c r="R1168" s="2">
        <v>35.103</v>
      </c>
      <c r="S1168" s="2">
        <v>-9999</v>
      </c>
      <c r="T1168" s="2">
        <v>34.872</v>
      </c>
      <c r="U1168" s="2">
        <v>3.509</v>
      </c>
      <c r="V1168" s="2">
        <v>100</v>
      </c>
      <c r="W1168" s="2">
        <v>0.01</v>
      </c>
      <c r="X1168" s="2" t="s">
        <v>92</v>
      </c>
      <c r="Y1168" s="2" t="s">
        <v>31</v>
      </c>
      <c r="Z1168" s="7">
        <f t="shared" si="74"/>
        <v>0.0266532768369512</v>
      </c>
      <c r="AA1168" s="2">
        <f t="shared" si="76"/>
        <v>0.203</v>
      </c>
      <c r="AB1168" s="2">
        <f t="shared" si="77"/>
        <v>0.733</v>
      </c>
      <c r="AC1168" t="s">
        <v>32</v>
      </c>
    </row>
    <row r="1169" s="2" customFormat="1" spans="1:29">
      <c r="A1169" s="2" t="s">
        <v>99</v>
      </c>
      <c r="B1169" s="2">
        <v>3252.375</v>
      </c>
      <c r="C1169" s="2">
        <v>23.044</v>
      </c>
      <c r="D1169" s="2">
        <v>-68.445</v>
      </c>
      <c r="E1169" s="2">
        <v>162.238</v>
      </c>
      <c r="F1169" s="2">
        <v>0.083</v>
      </c>
      <c r="G1169" s="2">
        <v>23.538</v>
      </c>
      <c r="H1169" s="2">
        <v>0.988</v>
      </c>
      <c r="I1169" s="2">
        <v>2.756</v>
      </c>
      <c r="J1169" s="2">
        <v>0.458</v>
      </c>
      <c r="K1169" s="2">
        <v>8.22</v>
      </c>
      <c r="L1169" s="2">
        <v>0.641</v>
      </c>
      <c r="M1169" s="2">
        <v>2.962</v>
      </c>
      <c r="N1169" s="2">
        <v>93.926</v>
      </c>
      <c r="O1169" s="2">
        <v>88.514</v>
      </c>
      <c r="P1169">
        <f t="shared" si="75"/>
        <v>1.97278582755411</v>
      </c>
      <c r="Q1169">
        <f t="shared" si="75"/>
        <v>1.94701196721629</v>
      </c>
      <c r="R1169" s="2">
        <v>35.609</v>
      </c>
      <c r="S1169" s="2">
        <v>-9999</v>
      </c>
      <c r="T1169" s="2">
        <v>35.27</v>
      </c>
      <c r="U1169" s="2">
        <v>3.383</v>
      </c>
      <c r="V1169" s="2">
        <v>100</v>
      </c>
      <c r="W1169" s="2">
        <v>0.01</v>
      </c>
      <c r="X1169" s="2" t="s">
        <v>92</v>
      </c>
      <c r="Y1169" s="2" t="s">
        <v>31</v>
      </c>
      <c r="Z1169" s="7">
        <f t="shared" si="74"/>
        <v>0.0257738603378219</v>
      </c>
      <c r="AA1169" s="2">
        <f t="shared" si="76"/>
        <v>0.183</v>
      </c>
      <c r="AB1169" s="2">
        <f t="shared" si="77"/>
        <v>0.724</v>
      </c>
      <c r="AC1169" t="s">
        <v>32</v>
      </c>
    </row>
    <row r="1170" s="2" customFormat="1" spans="1:29">
      <c r="A1170" s="2" t="s">
        <v>99</v>
      </c>
      <c r="B1170" s="2">
        <v>3252.5</v>
      </c>
      <c r="C1170" s="2">
        <v>22.564</v>
      </c>
      <c r="D1170" s="2">
        <v>-68.478</v>
      </c>
      <c r="E1170" s="2">
        <v>160.774</v>
      </c>
      <c r="F1170" s="2">
        <v>0.066</v>
      </c>
      <c r="G1170" s="2">
        <v>23.513</v>
      </c>
      <c r="H1170" s="2">
        <v>0.901</v>
      </c>
      <c r="I1170" s="2">
        <v>2.76</v>
      </c>
      <c r="J1170" s="2">
        <v>0.468</v>
      </c>
      <c r="K1170" s="2">
        <v>8.227</v>
      </c>
      <c r="L1170" s="2">
        <v>0.641</v>
      </c>
      <c r="M1170" s="2">
        <v>2.947</v>
      </c>
      <c r="N1170" s="2">
        <v>93.734</v>
      </c>
      <c r="O1170" s="2">
        <v>88.65</v>
      </c>
      <c r="P1170">
        <f t="shared" si="75"/>
        <v>1.97189715048259</v>
      </c>
      <c r="Q1170">
        <f t="shared" si="75"/>
        <v>1.94767873993694</v>
      </c>
      <c r="R1170" s="2">
        <v>36.653</v>
      </c>
      <c r="S1170" s="2">
        <v>-9999</v>
      </c>
      <c r="T1170" s="2">
        <v>36.161</v>
      </c>
      <c r="U1170" s="2">
        <v>3.421</v>
      </c>
      <c r="V1170" s="2">
        <v>100</v>
      </c>
      <c r="W1170" s="2">
        <v>0.01</v>
      </c>
      <c r="X1170" s="2" t="s">
        <v>92</v>
      </c>
      <c r="Y1170" s="2" t="s">
        <v>31</v>
      </c>
      <c r="Z1170" s="7">
        <f t="shared" si="74"/>
        <v>0.0242184105456502</v>
      </c>
      <c r="AA1170" s="2">
        <f t="shared" si="76"/>
        <v>0.173</v>
      </c>
      <c r="AB1170" s="2">
        <f t="shared" si="77"/>
        <v>0.707</v>
      </c>
      <c r="AC1170" t="s">
        <v>32</v>
      </c>
    </row>
    <row r="1171" s="2" customFormat="1" spans="1:29">
      <c r="A1171" s="2" t="s">
        <v>99</v>
      </c>
      <c r="B1171" s="2">
        <v>3252.625</v>
      </c>
      <c r="C1171" s="2">
        <v>22.576</v>
      </c>
      <c r="D1171" s="2">
        <v>-68.478</v>
      </c>
      <c r="E1171" s="2">
        <v>159.493</v>
      </c>
      <c r="F1171" s="2">
        <v>0.052</v>
      </c>
      <c r="G1171" s="2">
        <v>23.503</v>
      </c>
      <c r="H1171" s="2">
        <v>0.846</v>
      </c>
      <c r="I1171" s="2">
        <v>2.76</v>
      </c>
      <c r="J1171" s="2">
        <v>0.468</v>
      </c>
      <c r="K1171" s="2">
        <v>8.348</v>
      </c>
      <c r="L1171" s="2">
        <v>0.65</v>
      </c>
      <c r="M1171" s="2">
        <v>2.964</v>
      </c>
      <c r="N1171" s="2">
        <v>93.509</v>
      </c>
      <c r="O1171" s="2">
        <v>88.979</v>
      </c>
      <c r="P1171">
        <f t="shared" si="75"/>
        <v>1.97085341260762</v>
      </c>
      <c r="Q1171">
        <f t="shared" si="75"/>
        <v>1.94928752057451</v>
      </c>
      <c r="R1171" s="2">
        <v>35.478</v>
      </c>
      <c r="S1171" s="2">
        <v>-9999</v>
      </c>
      <c r="T1171" s="2">
        <v>34.898</v>
      </c>
      <c r="U1171" s="2">
        <v>4.053</v>
      </c>
      <c r="V1171" s="2">
        <v>100</v>
      </c>
      <c r="W1171" s="2">
        <v>0.01</v>
      </c>
      <c r="X1171" s="2" t="s">
        <v>92</v>
      </c>
      <c r="Y1171" s="2" t="s">
        <v>31</v>
      </c>
      <c r="Z1171" s="7">
        <f t="shared" si="74"/>
        <v>0.021565892033115</v>
      </c>
      <c r="AA1171" s="2">
        <f t="shared" si="76"/>
        <v>0.182</v>
      </c>
      <c r="AB1171" s="2">
        <f t="shared" si="77"/>
        <v>0.702</v>
      </c>
      <c r="AC1171" t="s">
        <v>32</v>
      </c>
    </row>
    <row r="1172" s="2" customFormat="1" spans="1:29">
      <c r="A1172" s="2" t="s">
        <v>99</v>
      </c>
      <c r="B1172" s="2">
        <v>3252.75</v>
      </c>
      <c r="C1172" s="2">
        <v>22.668</v>
      </c>
      <c r="D1172" s="2">
        <v>-68.478</v>
      </c>
      <c r="E1172" s="2">
        <v>159.395</v>
      </c>
      <c r="F1172" s="2">
        <v>0.051</v>
      </c>
      <c r="G1172" s="2">
        <v>23.558</v>
      </c>
      <c r="H1172" s="2">
        <v>0.836</v>
      </c>
      <c r="I1172" s="2">
        <v>2.758</v>
      </c>
      <c r="J1172" s="2">
        <v>0.463</v>
      </c>
      <c r="K1172" s="2">
        <v>8.568</v>
      </c>
      <c r="L1172" s="2">
        <v>0.664</v>
      </c>
      <c r="M1172" s="2">
        <v>2.982</v>
      </c>
      <c r="N1172" s="2">
        <v>92.441</v>
      </c>
      <c r="O1172" s="2">
        <v>88.209</v>
      </c>
      <c r="P1172">
        <f t="shared" si="75"/>
        <v>1.96586463490457</v>
      </c>
      <c r="Q1172">
        <f t="shared" si="75"/>
        <v>1.94551289863442</v>
      </c>
      <c r="R1172" s="2">
        <v>33.821</v>
      </c>
      <c r="S1172" s="2">
        <v>-9999</v>
      </c>
      <c r="T1172" s="2">
        <v>33.212</v>
      </c>
      <c r="U1172" s="2">
        <v>4.067</v>
      </c>
      <c r="V1172" s="2">
        <v>100</v>
      </c>
      <c r="W1172" s="2">
        <v>0.01</v>
      </c>
      <c r="X1172" s="2" t="s">
        <v>92</v>
      </c>
      <c r="Y1172" s="2" t="s">
        <v>31</v>
      </c>
      <c r="Z1172" s="7">
        <f t="shared" si="74"/>
        <v>0.0203517362701464</v>
      </c>
      <c r="AA1172" s="2">
        <f t="shared" si="76"/>
        <v>0.201</v>
      </c>
      <c r="AB1172" s="2">
        <f t="shared" si="77"/>
        <v>0.715</v>
      </c>
      <c r="AC1172" t="s">
        <v>32</v>
      </c>
    </row>
    <row r="1173" s="2" customFormat="1" spans="1:29">
      <c r="A1173" s="2" t="s">
        <v>99</v>
      </c>
      <c r="B1173" s="2">
        <v>3252.875</v>
      </c>
      <c r="C1173" s="2">
        <v>22.703</v>
      </c>
      <c r="D1173" s="2">
        <v>-68.478</v>
      </c>
      <c r="E1173" s="2">
        <v>160.553</v>
      </c>
      <c r="F1173" s="2">
        <v>0.064</v>
      </c>
      <c r="G1173" s="2">
        <v>23.627</v>
      </c>
      <c r="H1173" s="2">
        <v>0.835</v>
      </c>
      <c r="I1173" s="2">
        <v>2.753</v>
      </c>
      <c r="J1173" s="2">
        <v>0.45</v>
      </c>
      <c r="K1173" s="2">
        <v>8.773</v>
      </c>
      <c r="L1173" s="2">
        <v>0.678</v>
      </c>
      <c r="M1173" s="2">
        <v>2.983</v>
      </c>
      <c r="N1173" s="2">
        <v>87.397</v>
      </c>
      <c r="O1173" s="2">
        <v>84.052</v>
      </c>
      <c r="P1173">
        <f t="shared" si="75"/>
        <v>1.94149652524531</v>
      </c>
      <c r="Q1173">
        <f t="shared" si="75"/>
        <v>1.92454805184604</v>
      </c>
      <c r="R1173" s="2">
        <v>30.648</v>
      </c>
      <c r="S1173" s="2">
        <v>-9999</v>
      </c>
      <c r="T1173" s="2">
        <v>30.047</v>
      </c>
      <c r="U1173" s="2">
        <v>4.224</v>
      </c>
      <c r="V1173" s="2">
        <v>100</v>
      </c>
      <c r="W1173" s="2">
        <v>0.011</v>
      </c>
      <c r="X1173" s="2" t="s">
        <v>92</v>
      </c>
      <c r="Y1173" s="2" t="s">
        <v>31</v>
      </c>
      <c r="Z1173" s="7">
        <f t="shared" si="74"/>
        <v>0.0169484733992673</v>
      </c>
      <c r="AA1173" s="2">
        <f t="shared" si="76"/>
        <v>0.228</v>
      </c>
      <c r="AB1173" s="2">
        <f t="shared" si="77"/>
        <v>0.742</v>
      </c>
      <c r="AC1173" t="s">
        <v>32</v>
      </c>
    </row>
    <row r="1174" s="2" customFormat="1" spans="1:29">
      <c r="A1174" s="2" t="s">
        <v>99</v>
      </c>
      <c r="B1174" s="2">
        <v>3253</v>
      </c>
      <c r="C1174" s="2">
        <v>22.51</v>
      </c>
      <c r="D1174" s="2">
        <v>-68.478</v>
      </c>
      <c r="E1174" s="2">
        <v>162.957</v>
      </c>
      <c r="F1174" s="2">
        <v>0.091</v>
      </c>
      <c r="G1174" s="2">
        <v>23.789</v>
      </c>
      <c r="H1174" s="2">
        <v>0.84</v>
      </c>
      <c r="I1174" s="2">
        <v>2.745</v>
      </c>
      <c r="J1174" s="2">
        <v>0.429</v>
      </c>
      <c r="K1174" s="2">
        <v>9.229</v>
      </c>
      <c r="L1174" s="2">
        <v>0.709</v>
      </c>
      <c r="M1174" s="2">
        <v>2.994</v>
      </c>
      <c r="N1174" s="2">
        <v>77.675</v>
      </c>
      <c r="O1174" s="2">
        <v>75.412</v>
      </c>
      <c r="P1174">
        <f t="shared" si="75"/>
        <v>1.89028126192701</v>
      </c>
      <c r="Q1174">
        <f t="shared" si="75"/>
        <v>1.8774404588554</v>
      </c>
      <c r="R1174" s="2">
        <v>28.668</v>
      </c>
      <c r="S1174" s="2">
        <v>-9999</v>
      </c>
      <c r="T1174" s="2">
        <v>28.089</v>
      </c>
      <c r="U1174" s="2">
        <v>5.045</v>
      </c>
      <c r="V1174" s="2">
        <v>100</v>
      </c>
      <c r="W1174" s="2">
        <v>0.021</v>
      </c>
      <c r="X1174" s="2" t="s">
        <v>92</v>
      </c>
      <c r="Y1174" s="2" t="s">
        <v>31</v>
      </c>
      <c r="Z1174" s="7">
        <f t="shared" si="74"/>
        <v>0.0128408030716156</v>
      </c>
      <c r="AA1174" s="2">
        <f t="shared" si="76"/>
        <v>0.28</v>
      </c>
      <c r="AB1174" s="2">
        <f t="shared" si="77"/>
        <v>0.8</v>
      </c>
      <c r="AC1174" t="s">
        <v>32</v>
      </c>
    </row>
    <row r="1175" s="2" customFormat="1" spans="1:29">
      <c r="A1175" s="2" t="s">
        <v>99</v>
      </c>
      <c r="B1175" s="2">
        <v>3253.125</v>
      </c>
      <c r="C1175" s="2">
        <v>22.525</v>
      </c>
      <c r="D1175" s="2">
        <v>-68.391</v>
      </c>
      <c r="E1175" s="2">
        <v>164.322</v>
      </c>
      <c r="F1175" s="2">
        <v>0.106</v>
      </c>
      <c r="G1175" s="2">
        <v>23.9</v>
      </c>
      <c r="H1175" s="2">
        <v>0.841</v>
      </c>
      <c r="I1175" s="2">
        <v>2.735</v>
      </c>
      <c r="J1175" s="2">
        <v>0.402</v>
      </c>
      <c r="K1175" s="2">
        <v>9.64</v>
      </c>
      <c r="L1175" s="2">
        <v>0.737</v>
      </c>
      <c r="M1175" s="2">
        <v>3.059</v>
      </c>
      <c r="N1175" s="2">
        <v>72.088</v>
      </c>
      <c r="O1175" s="2">
        <v>70.155</v>
      </c>
      <c r="P1175">
        <f t="shared" si="75"/>
        <v>1.85786297668166</v>
      </c>
      <c r="Q1175">
        <f t="shared" si="75"/>
        <v>1.84605862896419</v>
      </c>
      <c r="R1175" s="2">
        <v>27.931</v>
      </c>
      <c r="S1175" s="2">
        <v>-9999</v>
      </c>
      <c r="T1175" s="2">
        <v>27.37</v>
      </c>
      <c r="U1175" s="2">
        <v>5.129</v>
      </c>
      <c r="V1175" s="2">
        <v>100</v>
      </c>
      <c r="W1175" s="2">
        <v>0.022</v>
      </c>
      <c r="X1175" s="2" t="s">
        <v>92</v>
      </c>
      <c r="Y1175" s="2" t="s">
        <v>31</v>
      </c>
      <c r="Z1175" s="7">
        <f t="shared" si="74"/>
        <v>0.0118043477174752</v>
      </c>
      <c r="AA1175" s="2">
        <f t="shared" si="76"/>
        <v>0.335</v>
      </c>
      <c r="AB1175" s="2">
        <f t="shared" si="77"/>
        <v>0.843</v>
      </c>
      <c r="AC1175" t="s">
        <v>32</v>
      </c>
    </row>
    <row r="1176" s="2" customFormat="1" spans="1:29">
      <c r="A1176" s="2" t="s">
        <v>99</v>
      </c>
      <c r="B1176" s="2">
        <v>3253.25</v>
      </c>
      <c r="C1176" s="2">
        <v>23.081</v>
      </c>
      <c r="D1176" s="2">
        <v>-67.922</v>
      </c>
      <c r="E1176" s="2">
        <v>165.885</v>
      </c>
      <c r="F1176" s="2">
        <v>0.124</v>
      </c>
      <c r="G1176" s="2">
        <v>23.901</v>
      </c>
      <c r="H1176" s="2">
        <v>0.834</v>
      </c>
      <c r="I1176" s="2">
        <v>2.731</v>
      </c>
      <c r="J1176" s="2">
        <v>0.392</v>
      </c>
      <c r="K1176" s="2">
        <v>9.783</v>
      </c>
      <c r="L1176" s="2">
        <v>0.747</v>
      </c>
      <c r="M1176" s="2">
        <v>3.108</v>
      </c>
      <c r="N1176" s="2">
        <v>67.488</v>
      </c>
      <c r="O1176" s="2">
        <v>65.743</v>
      </c>
      <c r="P1176">
        <f t="shared" si="75"/>
        <v>1.82922655805939</v>
      </c>
      <c r="Q1176">
        <f t="shared" si="75"/>
        <v>1.81784951802547</v>
      </c>
      <c r="R1176" s="2">
        <v>26.916</v>
      </c>
      <c r="S1176" s="2">
        <v>-9999</v>
      </c>
      <c r="T1176" s="2">
        <v>26.407</v>
      </c>
      <c r="U1176" s="2">
        <v>5.186</v>
      </c>
      <c r="V1176" s="2">
        <v>100</v>
      </c>
      <c r="W1176" s="2">
        <v>0.023</v>
      </c>
      <c r="X1176" s="2" t="s">
        <v>92</v>
      </c>
      <c r="Y1176" s="2" t="s">
        <v>31</v>
      </c>
      <c r="Z1176" s="7">
        <f t="shared" si="74"/>
        <v>0.0113770400339188</v>
      </c>
      <c r="AA1176" s="2">
        <f t="shared" si="76"/>
        <v>0.355</v>
      </c>
      <c r="AB1176" s="2">
        <f t="shared" si="77"/>
        <v>0.871</v>
      </c>
      <c r="AC1176" t="s">
        <v>32</v>
      </c>
    </row>
    <row r="1177" s="2" customFormat="1" spans="1:29">
      <c r="A1177" s="2" t="s">
        <v>99</v>
      </c>
      <c r="B1177" s="2">
        <v>3253.375</v>
      </c>
      <c r="C1177" s="2">
        <v>24.293</v>
      </c>
      <c r="D1177" s="2">
        <v>-67.493</v>
      </c>
      <c r="E1177" s="2">
        <v>165.594</v>
      </c>
      <c r="F1177" s="2">
        <v>0.12</v>
      </c>
      <c r="G1177" s="2">
        <v>23.785</v>
      </c>
      <c r="H1177" s="2">
        <v>0.8</v>
      </c>
      <c r="I1177" s="2">
        <v>2.733</v>
      </c>
      <c r="J1177" s="2">
        <v>0.397</v>
      </c>
      <c r="K1177" s="2">
        <v>9.786</v>
      </c>
      <c r="L1177" s="2">
        <v>0.747</v>
      </c>
      <c r="M1177" s="2">
        <v>3.216</v>
      </c>
      <c r="N1177" s="2">
        <v>62.523</v>
      </c>
      <c r="O1177" s="2">
        <v>60.946</v>
      </c>
      <c r="P1177">
        <f t="shared" si="75"/>
        <v>1.79603980831368</v>
      </c>
      <c r="Q1177">
        <f t="shared" si="75"/>
        <v>1.78494520733039</v>
      </c>
      <c r="R1177" s="2">
        <v>26.331</v>
      </c>
      <c r="S1177" s="2">
        <v>-9999</v>
      </c>
      <c r="T1177" s="2">
        <v>25.91</v>
      </c>
      <c r="U1177" s="2">
        <v>5.124</v>
      </c>
      <c r="V1177" s="2">
        <v>100</v>
      </c>
      <c r="W1177" s="2">
        <v>0.022</v>
      </c>
      <c r="X1177" s="2" t="s">
        <v>92</v>
      </c>
      <c r="Y1177" s="2" t="s">
        <v>31</v>
      </c>
      <c r="Z1177" s="7">
        <f t="shared" si="74"/>
        <v>0.0110946009832906</v>
      </c>
      <c r="AA1177" s="2">
        <f t="shared" si="76"/>
        <v>0.35</v>
      </c>
      <c r="AB1177" s="2">
        <f t="shared" si="77"/>
        <v>0.867</v>
      </c>
      <c r="AC1177" t="s">
        <v>32</v>
      </c>
    </row>
    <row r="1178" s="2" customFormat="1" spans="1:29">
      <c r="A1178" s="2" t="s">
        <v>99</v>
      </c>
      <c r="B1178" s="2">
        <v>3253.5</v>
      </c>
      <c r="C1178" s="2">
        <v>25.051</v>
      </c>
      <c r="D1178" s="2">
        <v>-67.391</v>
      </c>
      <c r="E1178" s="2">
        <v>164.72</v>
      </c>
      <c r="F1178" s="2">
        <v>0.111</v>
      </c>
      <c r="G1178" s="2">
        <v>23.638</v>
      </c>
      <c r="H1178" s="2">
        <v>0.775</v>
      </c>
      <c r="I1178" s="2">
        <v>2.74</v>
      </c>
      <c r="J1178" s="2">
        <v>0.415</v>
      </c>
      <c r="K1178" s="2">
        <v>9.475</v>
      </c>
      <c r="L1178" s="2">
        <v>0.726</v>
      </c>
      <c r="M1178" s="2">
        <v>3.439</v>
      </c>
      <c r="N1178" s="2">
        <v>60.876</v>
      </c>
      <c r="O1178" s="2">
        <v>59.355</v>
      </c>
      <c r="P1178">
        <f t="shared" si="75"/>
        <v>1.78444610836503</v>
      </c>
      <c r="Q1178">
        <f t="shared" si="75"/>
        <v>1.77345730932171</v>
      </c>
      <c r="R1178" s="2">
        <v>26.186</v>
      </c>
      <c r="S1178" s="2">
        <v>-9999</v>
      </c>
      <c r="T1178" s="2">
        <v>25.901</v>
      </c>
      <c r="U1178" s="2">
        <v>4.98</v>
      </c>
      <c r="V1178" s="2">
        <v>100</v>
      </c>
      <c r="W1178" s="2">
        <v>0.02</v>
      </c>
      <c r="X1178" s="2" t="s">
        <v>92</v>
      </c>
      <c r="Y1178" s="2" t="s">
        <v>31</v>
      </c>
      <c r="Z1178" s="7">
        <f t="shared" si="74"/>
        <v>0.01098879904332</v>
      </c>
      <c r="AA1178" s="2">
        <f t="shared" si="76"/>
        <v>0.311</v>
      </c>
      <c r="AB1178" s="2">
        <f t="shared" si="77"/>
        <v>0.837</v>
      </c>
      <c r="AC1178" t="s">
        <v>32</v>
      </c>
    </row>
    <row r="1179" s="2" customFormat="1" spans="1:29">
      <c r="A1179" s="2" t="s">
        <v>99</v>
      </c>
      <c r="B1179" s="2">
        <v>3253.625</v>
      </c>
      <c r="C1179" s="2">
        <v>25.862</v>
      </c>
      <c r="D1179" s="2">
        <v>-67.391</v>
      </c>
      <c r="E1179" s="2">
        <v>162.784</v>
      </c>
      <c r="F1179" s="2">
        <v>0.089</v>
      </c>
      <c r="G1179" s="2">
        <v>23.574</v>
      </c>
      <c r="H1179" s="2">
        <v>0.745</v>
      </c>
      <c r="I1179" s="2">
        <v>2.751</v>
      </c>
      <c r="J1179" s="2">
        <v>0.444</v>
      </c>
      <c r="K1179" s="2">
        <v>9.168</v>
      </c>
      <c r="L1179" s="2">
        <v>0.705</v>
      </c>
      <c r="M1179" s="2">
        <v>3.614</v>
      </c>
      <c r="N1179" s="2">
        <v>62.088</v>
      </c>
      <c r="O1179" s="2">
        <v>60.538</v>
      </c>
      <c r="P1179">
        <f t="shared" si="75"/>
        <v>1.79300767042815</v>
      </c>
      <c r="Q1179">
        <f t="shared" si="75"/>
        <v>1.78202806902704</v>
      </c>
      <c r="R1179" s="2">
        <v>26.251</v>
      </c>
      <c r="S1179" s="2">
        <v>-9999</v>
      </c>
      <c r="T1179" s="2">
        <v>26.177</v>
      </c>
      <c r="U1179" s="2">
        <v>4.143</v>
      </c>
      <c r="V1179" s="2">
        <v>100</v>
      </c>
      <c r="W1179" s="2">
        <v>0.01</v>
      </c>
      <c r="X1179" s="2" t="s">
        <v>92</v>
      </c>
      <c r="Y1179" s="2" t="s">
        <v>31</v>
      </c>
      <c r="Z1179" s="7">
        <f t="shared" si="74"/>
        <v>0.0109796014011116</v>
      </c>
      <c r="AA1179" s="2">
        <f t="shared" si="76"/>
        <v>0.261</v>
      </c>
      <c r="AB1179" s="2">
        <f t="shared" si="77"/>
        <v>0.794</v>
      </c>
      <c r="AC1179" t="s">
        <v>32</v>
      </c>
    </row>
    <row r="1180" s="2" customFormat="1" spans="1:29">
      <c r="A1180" s="2" t="s">
        <v>99</v>
      </c>
      <c r="B1180" s="2">
        <v>3253.75</v>
      </c>
      <c r="C1180" s="2">
        <v>25.858</v>
      </c>
      <c r="D1180" s="2">
        <v>-67.391</v>
      </c>
      <c r="E1180" s="2">
        <v>161.803</v>
      </c>
      <c r="F1180" s="2">
        <v>0.078</v>
      </c>
      <c r="G1180" s="2">
        <v>23.526</v>
      </c>
      <c r="H1180" s="2">
        <v>0.741</v>
      </c>
      <c r="I1180" s="2">
        <v>2.759</v>
      </c>
      <c r="J1180" s="2">
        <v>0.466</v>
      </c>
      <c r="K1180" s="2">
        <v>8.731</v>
      </c>
      <c r="L1180" s="2">
        <v>0.675</v>
      </c>
      <c r="M1180" s="2">
        <v>3.891</v>
      </c>
      <c r="N1180" s="2">
        <v>63.064</v>
      </c>
      <c r="O1180" s="2">
        <v>61.484</v>
      </c>
      <c r="P1180">
        <f t="shared" si="75"/>
        <v>1.79978151355483</v>
      </c>
      <c r="Q1180">
        <f t="shared" si="75"/>
        <v>1.78876211389306</v>
      </c>
      <c r="R1180" s="2">
        <v>26.41</v>
      </c>
      <c r="S1180" s="2">
        <v>-9999</v>
      </c>
      <c r="T1180" s="2">
        <v>26.411</v>
      </c>
      <c r="U1180" s="2">
        <v>3.941</v>
      </c>
      <c r="V1180" s="2">
        <v>100</v>
      </c>
      <c r="W1180" s="2">
        <v>0.01</v>
      </c>
      <c r="X1180" s="2" t="s">
        <v>92</v>
      </c>
      <c r="Y1180" s="2" t="s">
        <v>31</v>
      </c>
      <c r="Z1180" s="7">
        <f t="shared" si="74"/>
        <v>0.011019399661764</v>
      </c>
      <c r="AA1180" s="2">
        <f t="shared" si="76"/>
        <v>0.209</v>
      </c>
      <c r="AB1180" s="2">
        <f t="shared" si="77"/>
        <v>0.753</v>
      </c>
      <c r="AC1180" t="s">
        <v>32</v>
      </c>
    </row>
    <row r="1181" s="2" customFormat="1" spans="1:29">
      <c r="A1181" s="2" t="s">
        <v>99</v>
      </c>
      <c r="B1181" s="2">
        <v>3253.875</v>
      </c>
      <c r="C1181" s="2">
        <v>25.681</v>
      </c>
      <c r="D1181" s="2">
        <v>-67.391</v>
      </c>
      <c r="E1181" s="2">
        <v>160.466</v>
      </c>
      <c r="F1181" s="2">
        <v>0.063</v>
      </c>
      <c r="G1181" s="2">
        <v>23.515</v>
      </c>
      <c r="H1181" s="2">
        <v>0.743</v>
      </c>
      <c r="I1181" s="2">
        <v>2.769</v>
      </c>
      <c r="J1181" s="2">
        <v>0.492</v>
      </c>
      <c r="K1181" s="2">
        <v>8.747</v>
      </c>
      <c r="L1181" s="2">
        <v>0.677</v>
      </c>
      <c r="M1181" s="2">
        <v>4.044</v>
      </c>
      <c r="N1181" s="2">
        <v>66.128</v>
      </c>
      <c r="O1181" s="2">
        <v>64.508</v>
      </c>
      <c r="P1181">
        <f t="shared" si="75"/>
        <v>1.82038538793763</v>
      </c>
      <c r="Q1181">
        <f t="shared" si="75"/>
        <v>1.80961357727727</v>
      </c>
      <c r="R1181" s="2">
        <v>26.735</v>
      </c>
      <c r="S1181" s="2">
        <v>-9999</v>
      </c>
      <c r="T1181" s="2">
        <v>26.766</v>
      </c>
      <c r="U1181" s="2">
        <v>3.858</v>
      </c>
      <c r="V1181" s="2">
        <v>100</v>
      </c>
      <c r="W1181" s="2">
        <v>0.01</v>
      </c>
      <c r="X1181" s="2" t="s">
        <v>92</v>
      </c>
      <c r="Y1181" s="2" t="s">
        <v>31</v>
      </c>
      <c r="Z1181" s="7">
        <f t="shared" si="74"/>
        <v>0.0107718106603636</v>
      </c>
      <c r="AA1181" s="2">
        <f t="shared" si="76"/>
        <v>0.185</v>
      </c>
      <c r="AB1181" s="2">
        <f t="shared" si="77"/>
        <v>0.74</v>
      </c>
      <c r="AC1181" t="s">
        <v>32</v>
      </c>
    </row>
    <row r="1182" s="2" customFormat="1" spans="1:29">
      <c r="A1182" s="2" t="s">
        <v>99</v>
      </c>
      <c r="B1182" s="2">
        <v>3254</v>
      </c>
      <c r="C1182" s="2">
        <v>25.97</v>
      </c>
      <c r="D1182" s="2">
        <v>-67.391</v>
      </c>
      <c r="E1182" s="2">
        <v>159.666</v>
      </c>
      <c r="F1182" s="2">
        <v>0.054</v>
      </c>
      <c r="G1182" s="2">
        <v>23.519</v>
      </c>
      <c r="H1182" s="2">
        <v>0.763</v>
      </c>
      <c r="I1182" s="2">
        <v>2.774</v>
      </c>
      <c r="J1182" s="2">
        <v>0.505</v>
      </c>
      <c r="K1182" s="2">
        <v>8.985</v>
      </c>
      <c r="L1182" s="2">
        <v>0.693</v>
      </c>
      <c r="M1182" s="2">
        <v>4.067</v>
      </c>
      <c r="N1182" s="2">
        <v>70.094</v>
      </c>
      <c r="O1182" s="2">
        <v>68.642</v>
      </c>
      <c r="P1182">
        <f t="shared" si="75"/>
        <v>1.8456808442375</v>
      </c>
      <c r="Q1182">
        <f t="shared" si="75"/>
        <v>1.83658992892442</v>
      </c>
      <c r="R1182" s="2">
        <v>27.18</v>
      </c>
      <c r="S1182" s="2">
        <v>-9999</v>
      </c>
      <c r="T1182" s="2">
        <v>27.412</v>
      </c>
      <c r="U1182" s="2">
        <v>3.821</v>
      </c>
      <c r="V1182" s="2">
        <v>100</v>
      </c>
      <c r="W1182" s="2">
        <v>0.01</v>
      </c>
      <c r="X1182" s="2" t="s">
        <v>92</v>
      </c>
      <c r="Y1182" s="2" t="s">
        <v>31</v>
      </c>
      <c r="Z1182" s="7">
        <f t="shared" si="74"/>
        <v>0.00909091531308115</v>
      </c>
      <c r="AA1182" s="2">
        <f t="shared" si="76"/>
        <v>0.188</v>
      </c>
      <c r="AB1182" s="2">
        <f t="shared" si="77"/>
        <v>0.747</v>
      </c>
      <c r="AC1182" t="s">
        <v>32</v>
      </c>
    </row>
    <row r="1183" s="2" customFormat="1" spans="1:29">
      <c r="A1183" s="2" t="s">
        <v>99</v>
      </c>
      <c r="B1183" s="2">
        <v>3254.125</v>
      </c>
      <c r="C1183" s="2">
        <v>26.234</v>
      </c>
      <c r="D1183" s="2">
        <v>-67.391</v>
      </c>
      <c r="E1183" s="2">
        <v>159.301</v>
      </c>
      <c r="F1183" s="2">
        <v>0.05</v>
      </c>
      <c r="G1183" s="2">
        <v>23.536</v>
      </c>
      <c r="H1183" s="2">
        <v>0.786</v>
      </c>
      <c r="I1183" s="2">
        <v>2.775</v>
      </c>
      <c r="J1183" s="2">
        <v>0.508</v>
      </c>
      <c r="K1183" s="2">
        <v>9.573</v>
      </c>
      <c r="L1183" s="2">
        <v>0.732</v>
      </c>
      <c r="M1183" s="2">
        <v>4.059</v>
      </c>
      <c r="N1183" s="2">
        <v>71.065</v>
      </c>
      <c r="O1183" s="2">
        <v>69.861</v>
      </c>
      <c r="P1183">
        <f t="shared" si="75"/>
        <v>1.8516557603728</v>
      </c>
      <c r="Q1183">
        <f t="shared" si="75"/>
        <v>1.8442347978973</v>
      </c>
      <c r="R1183" s="2">
        <v>27.778</v>
      </c>
      <c r="S1183" s="2">
        <v>-9999</v>
      </c>
      <c r="T1183" s="2">
        <v>28.177</v>
      </c>
      <c r="U1183" s="2">
        <v>4.407</v>
      </c>
      <c r="V1183" s="2">
        <v>100</v>
      </c>
      <c r="W1183" s="2">
        <v>0.011</v>
      </c>
      <c r="X1183" s="2" t="s">
        <v>92</v>
      </c>
      <c r="Y1183" s="2" t="s">
        <v>31</v>
      </c>
      <c r="Z1183" s="7">
        <f t="shared" si="74"/>
        <v>0.00742096247550528</v>
      </c>
      <c r="AA1183" s="2">
        <f t="shared" si="76"/>
        <v>0.224</v>
      </c>
      <c r="AB1183" s="2">
        <f t="shared" si="77"/>
        <v>0.782</v>
      </c>
      <c r="AC1183" t="s">
        <v>32</v>
      </c>
    </row>
    <row r="1184" s="2" customFormat="1" spans="1:29">
      <c r="A1184" s="2" t="s">
        <v>99</v>
      </c>
      <c r="B1184" s="2">
        <v>3254.25</v>
      </c>
      <c r="C1184" s="2">
        <v>26.657</v>
      </c>
      <c r="D1184" s="2">
        <v>-67.391</v>
      </c>
      <c r="E1184" s="2">
        <v>158.614</v>
      </c>
      <c r="F1184" s="2">
        <v>0.042</v>
      </c>
      <c r="G1184" s="2">
        <v>23.55</v>
      </c>
      <c r="H1184" s="2">
        <v>0.832</v>
      </c>
      <c r="I1184" s="2">
        <v>2.775</v>
      </c>
      <c r="J1184" s="2">
        <v>0.508</v>
      </c>
      <c r="K1184" s="2">
        <v>9.889</v>
      </c>
      <c r="L1184" s="2">
        <v>0.754</v>
      </c>
      <c r="M1184" s="2">
        <v>4.046</v>
      </c>
      <c r="N1184" s="2">
        <v>71.254</v>
      </c>
      <c r="O1184" s="2">
        <v>70.299</v>
      </c>
      <c r="P1184">
        <f t="shared" si="75"/>
        <v>1.85280924944078</v>
      </c>
      <c r="Q1184">
        <f t="shared" si="75"/>
        <v>1.84694914724499</v>
      </c>
      <c r="R1184" s="2">
        <v>29.532</v>
      </c>
      <c r="S1184" s="2">
        <v>-9999</v>
      </c>
      <c r="T1184" s="2">
        <v>30.309</v>
      </c>
      <c r="U1184" s="2">
        <v>4.41</v>
      </c>
      <c r="V1184" s="2">
        <v>100</v>
      </c>
      <c r="W1184" s="2">
        <v>0.012</v>
      </c>
      <c r="X1184" s="2" t="s">
        <v>92</v>
      </c>
      <c r="Y1184" s="2" t="s">
        <v>31</v>
      </c>
      <c r="Z1184" s="7">
        <f t="shared" si="74"/>
        <v>0.00586010219578981</v>
      </c>
      <c r="AA1184" s="2">
        <f t="shared" si="76"/>
        <v>0.246</v>
      </c>
      <c r="AB1184" s="2">
        <f t="shared" si="77"/>
        <v>0.796</v>
      </c>
      <c r="AC1184" t="s">
        <v>32</v>
      </c>
    </row>
    <row r="1185" s="2" customFormat="1" spans="1:29">
      <c r="A1185" s="2" t="s">
        <v>99</v>
      </c>
      <c r="B1185" s="2">
        <v>3254.375</v>
      </c>
      <c r="C1185" s="2">
        <v>27.392</v>
      </c>
      <c r="D1185" s="2">
        <v>-67.391</v>
      </c>
      <c r="E1185" s="2">
        <v>157.826</v>
      </c>
      <c r="F1185" s="2">
        <v>0.033</v>
      </c>
      <c r="G1185" s="2">
        <v>23.587</v>
      </c>
      <c r="H1185" s="2">
        <v>0.888</v>
      </c>
      <c r="I1185" s="2">
        <v>2.772</v>
      </c>
      <c r="J1185" s="2">
        <v>0.5</v>
      </c>
      <c r="K1185" s="2">
        <v>10.113</v>
      </c>
      <c r="L1185" s="2">
        <v>0.769</v>
      </c>
      <c r="M1185" s="2">
        <v>3.965</v>
      </c>
      <c r="N1185" s="2">
        <v>70.807</v>
      </c>
      <c r="O1185" s="2">
        <v>70.196</v>
      </c>
      <c r="P1185">
        <f t="shared" si="75"/>
        <v>1.85007619428719</v>
      </c>
      <c r="Q1185">
        <f t="shared" si="75"/>
        <v>1.84631236530044</v>
      </c>
      <c r="R1185" s="2">
        <v>31.69</v>
      </c>
      <c r="S1185" s="2">
        <v>-9999</v>
      </c>
      <c r="T1185" s="2">
        <v>32.983</v>
      </c>
      <c r="U1185" s="2">
        <v>4.466</v>
      </c>
      <c r="V1185" s="2">
        <v>100</v>
      </c>
      <c r="W1185" s="2">
        <v>0.012</v>
      </c>
      <c r="X1185" s="2" t="s">
        <v>92</v>
      </c>
      <c r="Y1185" s="2" t="s">
        <v>31</v>
      </c>
      <c r="Z1185" s="7">
        <f t="shared" si="74"/>
        <v>0.00376382898675875</v>
      </c>
      <c r="AA1185" s="2">
        <f t="shared" si="76"/>
        <v>0.269</v>
      </c>
      <c r="AB1185" s="2">
        <f t="shared" si="77"/>
        <v>0.802</v>
      </c>
      <c r="AC1185" t="s">
        <v>32</v>
      </c>
    </row>
    <row r="1186" s="2" customFormat="1" spans="1:29">
      <c r="A1186" s="2" t="s">
        <v>99</v>
      </c>
      <c r="B1186" s="2">
        <v>3254.5</v>
      </c>
      <c r="C1186" s="2">
        <v>27.991</v>
      </c>
      <c r="D1186" s="2">
        <v>-67.391</v>
      </c>
      <c r="E1186" s="2">
        <v>157.294</v>
      </c>
      <c r="F1186" s="2">
        <v>0.027</v>
      </c>
      <c r="G1186" s="2">
        <v>23.643</v>
      </c>
      <c r="H1186" s="2">
        <v>0.931</v>
      </c>
      <c r="I1186" s="2">
        <v>2.765</v>
      </c>
      <c r="J1186" s="2">
        <v>0.481</v>
      </c>
      <c r="K1186" s="2">
        <v>10.1</v>
      </c>
      <c r="L1186" s="2">
        <v>0.768</v>
      </c>
      <c r="M1186" s="2">
        <v>4.06</v>
      </c>
      <c r="N1186" s="2">
        <v>70.246</v>
      </c>
      <c r="O1186" s="2">
        <v>69.861</v>
      </c>
      <c r="P1186">
        <f t="shared" si="75"/>
        <v>1.84662159936165</v>
      </c>
      <c r="Q1186">
        <f t="shared" si="75"/>
        <v>1.8442347978973</v>
      </c>
      <c r="R1186" s="2">
        <v>32.786</v>
      </c>
      <c r="S1186" s="2">
        <v>-9999</v>
      </c>
      <c r="T1186" s="2">
        <v>34.485</v>
      </c>
      <c r="U1186" s="2">
        <v>4.528</v>
      </c>
      <c r="V1186" s="2">
        <v>100</v>
      </c>
      <c r="W1186" s="2">
        <v>0.013</v>
      </c>
      <c r="X1186" s="2" t="s">
        <v>92</v>
      </c>
      <c r="Y1186" s="2" t="s">
        <v>31</v>
      </c>
      <c r="Z1186" s="7">
        <f t="shared" si="74"/>
        <v>0.00238680146435155</v>
      </c>
      <c r="AA1186" s="2">
        <f t="shared" si="76"/>
        <v>0.287</v>
      </c>
      <c r="AB1186" s="2">
        <f t="shared" si="77"/>
        <v>0.795</v>
      </c>
      <c r="AC1186" t="s">
        <v>32</v>
      </c>
    </row>
    <row r="1187" s="2" customFormat="1" spans="1:29">
      <c r="A1187" s="2" t="s">
        <v>99</v>
      </c>
      <c r="B1187" s="2">
        <v>3254.625</v>
      </c>
      <c r="C1187" s="2">
        <v>29.124</v>
      </c>
      <c r="D1187" s="2">
        <v>-67.391</v>
      </c>
      <c r="E1187" s="2">
        <v>156.263</v>
      </c>
      <c r="F1187" s="2">
        <v>0.016</v>
      </c>
      <c r="G1187" s="2">
        <v>23.676</v>
      </c>
      <c r="H1187" s="2">
        <v>1.006</v>
      </c>
      <c r="I1187" s="2">
        <v>2.757</v>
      </c>
      <c r="J1187" s="2">
        <v>0.46</v>
      </c>
      <c r="K1187" s="2">
        <v>10.057</v>
      </c>
      <c r="L1187" s="2">
        <v>0.765</v>
      </c>
      <c r="M1187" s="2">
        <v>4.261</v>
      </c>
      <c r="N1187" s="2">
        <v>69.54</v>
      </c>
      <c r="O1187" s="2">
        <v>69.351</v>
      </c>
      <c r="P1187">
        <f t="shared" si="75"/>
        <v>1.84223468634724</v>
      </c>
      <c r="Q1187">
        <f t="shared" si="75"/>
        <v>1.8410527277215</v>
      </c>
      <c r="R1187" s="2">
        <v>34.768</v>
      </c>
      <c r="S1187" s="2">
        <v>-9999</v>
      </c>
      <c r="T1187" s="2">
        <v>37.221</v>
      </c>
      <c r="U1187" s="2">
        <v>4.63</v>
      </c>
      <c r="V1187" s="2">
        <v>100</v>
      </c>
      <c r="W1187" s="2">
        <v>0.014</v>
      </c>
      <c r="X1187" s="2" t="s">
        <v>92</v>
      </c>
      <c r="Y1187" s="2" t="s">
        <v>31</v>
      </c>
      <c r="Z1187" s="7">
        <f t="shared" si="74"/>
        <v>0.00118195862574044</v>
      </c>
      <c r="AA1187" s="2">
        <f t="shared" si="76"/>
        <v>0.305</v>
      </c>
      <c r="AB1187" s="2">
        <f t="shared" si="77"/>
        <v>0.781</v>
      </c>
      <c r="AC1187" t="s">
        <v>32</v>
      </c>
    </row>
    <row r="1188" s="2" customFormat="1" spans="1:29">
      <c r="A1188" s="2" t="s">
        <v>99</v>
      </c>
      <c r="B1188" s="2">
        <v>3254.75</v>
      </c>
      <c r="C1188" s="2">
        <v>30.227</v>
      </c>
      <c r="D1188" s="2">
        <v>-67.391</v>
      </c>
      <c r="E1188" s="2">
        <v>155.405</v>
      </c>
      <c r="F1188" s="2">
        <v>0.006</v>
      </c>
      <c r="G1188" s="2">
        <v>23.72</v>
      </c>
      <c r="H1188" s="2">
        <v>1.079</v>
      </c>
      <c r="I1188" s="2">
        <v>2.757</v>
      </c>
      <c r="J1188" s="2">
        <v>0.46</v>
      </c>
      <c r="K1188" s="2">
        <v>10.096</v>
      </c>
      <c r="L1188" s="2">
        <v>0.768</v>
      </c>
      <c r="M1188" s="2">
        <v>4.636</v>
      </c>
      <c r="N1188" s="2">
        <v>69.052</v>
      </c>
      <c r="O1188" s="2">
        <v>68.891</v>
      </c>
      <c r="P1188">
        <f t="shared" si="75"/>
        <v>1.83917626186302</v>
      </c>
      <c r="Q1188">
        <f t="shared" si="75"/>
        <v>1.83816248887945</v>
      </c>
      <c r="R1188" s="2">
        <v>38.035</v>
      </c>
      <c r="S1188" s="2">
        <v>-9999</v>
      </c>
      <c r="T1188" s="2">
        <v>41.144</v>
      </c>
      <c r="U1188" s="2">
        <v>4.614</v>
      </c>
      <c r="V1188" s="2">
        <v>100</v>
      </c>
      <c r="W1188" s="2">
        <v>0.014</v>
      </c>
      <c r="X1188" s="2" t="s">
        <v>92</v>
      </c>
      <c r="Y1188" s="2" t="s">
        <v>31</v>
      </c>
      <c r="Z1188" s="7">
        <f t="shared" si="74"/>
        <v>0.00101377298356953</v>
      </c>
      <c r="AA1188" s="2">
        <f t="shared" si="76"/>
        <v>0.308</v>
      </c>
      <c r="AB1188" s="2">
        <f t="shared" si="77"/>
        <v>0.774</v>
      </c>
      <c r="AC1188" t="s">
        <v>32</v>
      </c>
    </row>
    <row r="1189" s="2" customFormat="1" spans="1:29">
      <c r="A1189" s="2" t="s">
        <v>99</v>
      </c>
      <c r="B1189" s="2">
        <v>3254.875</v>
      </c>
      <c r="C1189" s="2">
        <v>30.78</v>
      </c>
      <c r="D1189" s="2">
        <v>-67.391</v>
      </c>
      <c r="E1189" s="2">
        <v>155.088</v>
      </c>
      <c r="F1189" s="2">
        <v>0.002</v>
      </c>
      <c r="G1189" s="2">
        <v>23.764</v>
      </c>
      <c r="H1189" s="2">
        <v>1.113</v>
      </c>
      <c r="I1189" s="2">
        <v>2.762</v>
      </c>
      <c r="J1189" s="2">
        <v>0.474</v>
      </c>
      <c r="K1189" s="2">
        <v>10.383</v>
      </c>
      <c r="L1189" s="2">
        <v>0.787</v>
      </c>
      <c r="M1189" s="2">
        <v>4.697</v>
      </c>
      <c r="N1189" s="2">
        <v>68.371</v>
      </c>
      <c r="O1189" s="2">
        <v>68.19</v>
      </c>
      <c r="P1189">
        <f t="shared" si="75"/>
        <v>1.83487193197413</v>
      </c>
      <c r="Q1189">
        <f t="shared" si="75"/>
        <v>1.83372069044463</v>
      </c>
      <c r="R1189" s="2">
        <v>41.272</v>
      </c>
      <c r="S1189" s="2">
        <v>-9999</v>
      </c>
      <c r="T1189" s="2">
        <v>44.9</v>
      </c>
      <c r="U1189" s="2">
        <v>4.544</v>
      </c>
      <c r="V1189" s="2">
        <v>100</v>
      </c>
      <c r="W1189" s="2">
        <v>0.013</v>
      </c>
      <c r="X1189" s="2" t="s">
        <v>92</v>
      </c>
      <c r="Y1189" s="2" t="s">
        <v>31</v>
      </c>
      <c r="Z1189" s="7">
        <f t="shared" ref="Z1189:Z1252" si="78">P1189-Q1189</f>
        <v>0.00115124152949964</v>
      </c>
      <c r="AA1189" s="2">
        <f t="shared" si="76"/>
        <v>0.313</v>
      </c>
      <c r="AB1189" s="2">
        <f t="shared" si="77"/>
        <v>0.789</v>
      </c>
      <c r="AC1189" t="s">
        <v>32</v>
      </c>
    </row>
    <row r="1190" s="2" customFormat="1" spans="1:29">
      <c r="A1190" s="2" t="s">
        <v>99</v>
      </c>
      <c r="B1190" s="2">
        <v>3255</v>
      </c>
      <c r="C1190" s="2">
        <v>31.121</v>
      </c>
      <c r="D1190" s="2">
        <v>-67.391</v>
      </c>
      <c r="E1190" s="2">
        <v>154.869</v>
      </c>
      <c r="F1190" s="2">
        <v>0</v>
      </c>
      <c r="G1190" s="2">
        <v>23.803</v>
      </c>
      <c r="H1190" s="2">
        <v>1.155</v>
      </c>
      <c r="I1190" s="2">
        <v>2.768</v>
      </c>
      <c r="J1190" s="2">
        <v>0.489</v>
      </c>
      <c r="K1190" s="2">
        <v>10.608</v>
      </c>
      <c r="L1190" s="2">
        <v>0.802</v>
      </c>
      <c r="M1190" s="2">
        <v>4.565</v>
      </c>
      <c r="N1190" s="2">
        <v>66.862</v>
      </c>
      <c r="O1190" s="2">
        <v>66.516</v>
      </c>
      <c r="P1190">
        <f t="shared" si="75"/>
        <v>1.82517936322234</v>
      </c>
      <c r="Q1190">
        <f t="shared" si="75"/>
        <v>1.82292612464009</v>
      </c>
      <c r="R1190" s="2">
        <v>47.988</v>
      </c>
      <c r="S1190" s="2">
        <v>-9999</v>
      </c>
      <c r="T1190" s="2">
        <v>52.623</v>
      </c>
      <c r="U1190" s="2">
        <v>4.417</v>
      </c>
      <c r="V1190" s="2">
        <v>100</v>
      </c>
      <c r="W1190" s="2">
        <v>0.012</v>
      </c>
      <c r="X1190" s="2" t="s">
        <v>92</v>
      </c>
      <c r="Y1190" s="2" t="s">
        <v>31</v>
      </c>
      <c r="Z1190" s="7">
        <f t="shared" si="78"/>
        <v>0.00225323858225646</v>
      </c>
      <c r="AA1190" s="2">
        <f t="shared" si="76"/>
        <v>0.313</v>
      </c>
      <c r="AB1190" s="2">
        <f t="shared" si="77"/>
        <v>0.802</v>
      </c>
      <c r="AC1190" t="s">
        <v>32</v>
      </c>
    </row>
    <row r="1191" s="2" customFormat="1" spans="1:29">
      <c r="A1191" s="2" t="s">
        <v>99</v>
      </c>
      <c r="B1191" s="2">
        <v>3255.125</v>
      </c>
      <c r="C1191" s="2">
        <v>29.924</v>
      </c>
      <c r="D1191" s="2">
        <v>-67.478</v>
      </c>
      <c r="E1191" s="2">
        <v>155.165</v>
      </c>
      <c r="F1191" s="2">
        <v>0.003</v>
      </c>
      <c r="G1191" s="2">
        <v>23.966</v>
      </c>
      <c r="H1191" s="2">
        <v>1.158</v>
      </c>
      <c r="I1191" s="2">
        <v>2.767</v>
      </c>
      <c r="J1191" s="2">
        <v>0.487</v>
      </c>
      <c r="K1191" s="2">
        <v>10.881</v>
      </c>
      <c r="L1191" s="2">
        <v>0.821</v>
      </c>
      <c r="M1191" s="2">
        <v>4.16</v>
      </c>
      <c r="N1191" s="2">
        <v>66</v>
      </c>
      <c r="O1191" s="2">
        <v>65.393</v>
      </c>
      <c r="P1191">
        <f t="shared" si="75"/>
        <v>1.81954393554187</v>
      </c>
      <c r="Q1191">
        <f t="shared" si="75"/>
        <v>1.81553126171755</v>
      </c>
      <c r="R1191" s="2">
        <v>52.227</v>
      </c>
      <c r="S1191" s="2">
        <v>-9999</v>
      </c>
      <c r="T1191" s="2">
        <v>57.461</v>
      </c>
      <c r="U1191" s="2">
        <v>4.536</v>
      </c>
      <c r="V1191" s="2">
        <v>98.265</v>
      </c>
      <c r="W1191" s="2">
        <v>0.013</v>
      </c>
      <c r="X1191" s="2" t="s">
        <v>92</v>
      </c>
      <c r="Y1191" s="2" t="s">
        <v>31</v>
      </c>
      <c r="Z1191" s="7">
        <f t="shared" si="78"/>
        <v>0.00401267382431936</v>
      </c>
      <c r="AA1191" s="2">
        <f t="shared" si="76"/>
        <v>0.334</v>
      </c>
      <c r="AB1191" s="2">
        <f t="shared" si="77"/>
        <v>0.824</v>
      </c>
      <c r="AC1191" t="s">
        <v>32</v>
      </c>
    </row>
    <row r="1192" s="2" customFormat="1" spans="1:29">
      <c r="A1192" s="2" t="s">
        <v>99</v>
      </c>
      <c r="B1192" s="2">
        <v>3255.25</v>
      </c>
      <c r="C1192" s="2">
        <v>28.929</v>
      </c>
      <c r="D1192" s="2">
        <v>-67.686</v>
      </c>
      <c r="E1192" s="2">
        <v>155.532</v>
      </c>
      <c r="F1192" s="2">
        <v>0.007</v>
      </c>
      <c r="G1192" s="2">
        <v>24.291</v>
      </c>
      <c r="H1192" s="2">
        <v>1.157</v>
      </c>
      <c r="I1192" s="2">
        <v>2.754</v>
      </c>
      <c r="J1192" s="2">
        <v>0.452</v>
      </c>
      <c r="K1192" s="2">
        <v>10.848</v>
      </c>
      <c r="L1192" s="2">
        <v>0.819</v>
      </c>
      <c r="M1192" s="2">
        <v>3.768</v>
      </c>
      <c r="N1192" s="2">
        <v>66.125</v>
      </c>
      <c r="O1192" s="2">
        <v>65.405</v>
      </c>
      <c r="P1192">
        <f t="shared" si="75"/>
        <v>1.82036568504324</v>
      </c>
      <c r="Q1192">
        <f t="shared" si="75"/>
        <v>1.81561094999715</v>
      </c>
      <c r="R1192" s="2">
        <v>59.751</v>
      </c>
      <c r="S1192" s="2">
        <v>-9999</v>
      </c>
      <c r="T1192" s="2">
        <v>65.931</v>
      </c>
      <c r="U1192" s="2">
        <v>5.356</v>
      </c>
      <c r="V1192" s="2">
        <v>79.303</v>
      </c>
      <c r="W1192" s="2">
        <v>0.027</v>
      </c>
      <c r="X1192" s="2" t="s">
        <v>92</v>
      </c>
      <c r="Y1192" s="2" t="s">
        <v>31</v>
      </c>
      <c r="Z1192" s="7">
        <f t="shared" si="78"/>
        <v>0.00475473504609436</v>
      </c>
      <c r="AA1192" s="2">
        <f t="shared" si="76"/>
        <v>0.367</v>
      </c>
      <c r="AB1192" s="2">
        <f t="shared" si="77"/>
        <v>0.826</v>
      </c>
      <c r="AC1192" t="s">
        <v>32</v>
      </c>
    </row>
    <row r="1193" s="2" customFormat="1" spans="1:29">
      <c r="A1193" s="2" t="s">
        <v>99</v>
      </c>
      <c r="B1193" s="2">
        <v>3255.375</v>
      </c>
      <c r="C1193" s="2">
        <v>27.689</v>
      </c>
      <c r="D1193" s="2">
        <v>-68.189</v>
      </c>
      <c r="E1193" s="2">
        <v>156.274</v>
      </c>
      <c r="F1193" s="2">
        <v>0.016</v>
      </c>
      <c r="G1193" s="2">
        <v>24.485</v>
      </c>
      <c r="H1193" s="2">
        <v>1.158</v>
      </c>
      <c r="I1193" s="2">
        <v>2.731</v>
      </c>
      <c r="J1193" s="2">
        <v>0.392</v>
      </c>
      <c r="K1193" s="2">
        <v>10.695</v>
      </c>
      <c r="L1193" s="2">
        <v>0.808</v>
      </c>
      <c r="M1193" s="2">
        <v>3.61</v>
      </c>
      <c r="N1193" s="2">
        <v>67.578</v>
      </c>
      <c r="O1193" s="2">
        <v>66.528</v>
      </c>
      <c r="P1193">
        <f t="shared" si="75"/>
        <v>1.82980533449693</v>
      </c>
      <c r="Q1193">
        <f t="shared" si="75"/>
        <v>1.82300446765138</v>
      </c>
      <c r="R1193" s="2">
        <v>68.012</v>
      </c>
      <c r="S1193" s="2">
        <v>-9999</v>
      </c>
      <c r="T1193" s="2">
        <v>74.962</v>
      </c>
      <c r="U1193" s="2">
        <v>5.059</v>
      </c>
      <c r="V1193" s="2">
        <v>77.85</v>
      </c>
      <c r="W1193" s="2">
        <v>0.021</v>
      </c>
      <c r="X1193" s="2" t="s">
        <v>92</v>
      </c>
      <c r="Y1193" s="2" t="s">
        <v>31</v>
      </c>
      <c r="Z1193" s="7">
        <f t="shared" si="78"/>
        <v>0.00680086684555481</v>
      </c>
      <c r="AA1193" s="2">
        <f t="shared" si="76"/>
        <v>0.416</v>
      </c>
      <c r="AB1193" s="2">
        <f t="shared" si="77"/>
        <v>0.824</v>
      </c>
      <c r="AC1193" t="s">
        <v>32</v>
      </c>
    </row>
    <row r="1194" s="2" customFormat="1" spans="1:29">
      <c r="A1194" s="2" t="s">
        <v>99</v>
      </c>
      <c r="B1194" s="2">
        <v>3255.5</v>
      </c>
      <c r="C1194" s="2">
        <v>27.604</v>
      </c>
      <c r="D1194" s="2">
        <v>-68.706</v>
      </c>
      <c r="E1194" s="2">
        <v>156.564</v>
      </c>
      <c r="F1194" s="2">
        <v>0.019</v>
      </c>
      <c r="G1194" s="2">
        <v>24.634</v>
      </c>
      <c r="H1194" s="2">
        <v>1.167</v>
      </c>
      <c r="I1194" s="2">
        <v>2.713</v>
      </c>
      <c r="J1194" s="2">
        <v>0.344</v>
      </c>
      <c r="K1194" s="2">
        <v>10.405</v>
      </c>
      <c r="L1194" s="2">
        <v>0.789</v>
      </c>
      <c r="M1194" s="2">
        <v>3.469</v>
      </c>
      <c r="N1194" s="2">
        <v>70.295</v>
      </c>
      <c r="O1194" s="2">
        <v>68.905</v>
      </c>
      <c r="P1194">
        <f t="shared" si="75"/>
        <v>1.84692443526684</v>
      </c>
      <c r="Q1194">
        <f t="shared" si="75"/>
        <v>1.83825073705454</v>
      </c>
      <c r="R1194" s="2">
        <v>74.392</v>
      </c>
      <c r="S1194" s="2">
        <v>-9999</v>
      </c>
      <c r="T1194" s="2">
        <v>81.784</v>
      </c>
      <c r="U1194" s="2">
        <v>5.505</v>
      </c>
      <c r="V1194" s="2">
        <v>66.221</v>
      </c>
      <c r="W1194" s="2">
        <v>0.031</v>
      </c>
      <c r="X1194" s="2" t="s">
        <v>92</v>
      </c>
      <c r="Y1194" s="2" t="s">
        <v>31</v>
      </c>
      <c r="Z1194" s="7">
        <f t="shared" si="78"/>
        <v>0.00867369821229635</v>
      </c>
      <c r="AA1194" s="2">
        <f t="shared" si="76"/>
        <v>0.445</v>
      </c>
      <c r="AB1194" s="2">
        <f t="shared" si="77"/>
        <v>0.808</v>
      </c>
      <c r="AC1194" t="s">
        <v>32</v>
      </c>
    </row>
    <row r="1195" s="2" customFormat="1" spans="1:29">
      <c r="A1195" s="2" t="s">
        <v>99</v>
      </c>
      <c r="B1195" s="2">
        <v>3255.625</v>
      </c>
      <c r="C1195" s="2">
        <v>28.358</v>
      </c>
      <c r="D1195" s="2">
        <v>-69.102</v>
      </c>
      <c r="E1195" s="2">
        <v>156.678</v>
      </c>
      <c r="F1195" s="2">
        <v>0.02</v>
      </c>
      <c r="G1195" s="2">
        <v>24.609</v>
      </c>
      <c r="H1195" s="2">
        <v>1.217</v>
      </c>
      <c r="I1195" s="2">
        <v>2.69</v>
      </c>
      <c r="J1195" s="2">
        <v>0.283</v>
      </c>
      <c r="K1195" s="2">
        <v>10.22</v>
      </c>
      <c r="L1195" s="2">
        <v>0.776</v>
      </c>
      <c r="M1195" s="2">
        <v>3.301</v>
      </c>
      <c r="N1195" s="2">
        <v>77.37</v>
      </c>
      <c r="O1195" s="2">
        <v>75.392</v>
      </c>
      <c r="P1195">
        <f t="shared" si="75"/>
        <v>1.8885725968576</v>
      </c>
      <c r="Q1195">
        <f t="shared" si="75"/>
        <v>1.87732526443497</v>
      </c>
      <c r="R1195" s="2">
        <v>87.293</v>
      </c>
      <c r="S1195" s="2">
        <v>-9999</v>
      </c>
      <c r="T1195" s="2">
        <v>95.331</v>
      </c>
      <c r="U1195" s="2">
        <v>5.674</v>
      </c>
      <c r="V1195" s="2">
        <v>62.022</v>
      </c>
      <c r="W1195" s="2">
        <v>0.035</v>
      </c>
      <c r="X1195" s="2" t="s">
        <v>92</v>
      </c>
      <c r="Y1195" s="2" t="s">
        <v>31</v>
      </c>
      <c r="Z1195" s="7">
        <f t="shared" si="78"/>
        <v>0.0112473324226299</v>
      </c>
      <c r="AA1195" s="2">
        <f t="shared" si="76"/>
        <v>0.493</v>
      </c>
      <c r="AB1195" s="2">
        <f t="shared" si="77"/>
        <v>0.796</v>
      </c>
      <c r="AC1195" t="s">
        <v>32</v>
      </c>
    </row>
    <row r="1196" s="2" customFormat="1" spans="1:29">
      <c r="A1196" s="2" t="s">
        <v>99</v>
      </c>
      <c r="B1196" s="2">
        <v>3255.75</v>
      </c>
      <c r="C1196" s="2">
        <v>29.799</v>
      </c>
      <c r="D1196" s="2">
        <v>-69.464</v>
      </c>
      <c r="E1196" s="2">
        <v>156.399</v>
      </c>
      <c r="F1196" s="2">
        <v>0.017</v>
      </c>
      <c r="G1196" s="2">
        <v>24.41</v>
      </c>
      <c r="H1196" s="2">
        <v>1.32</v>
      </c>
      <c r="I1196" s="2">
        <v>2.682</v>
      </c>
      <c r="J1196" s="2">
        <v>0.262</v>
      </c>
      <c r="K1196" s="2">
        <v>10.108</v>
      </c>
      <c r="L1196" s="2">
        <v>0.769</v>
      </c>
      <c r="M1196" s="2">
        <v>3.166</v>
      </c>
      <c r="N1196" s="2">
        <v>82.631</v>
      </c>
      <c r="O1196" s="2">
        <v>80.242</v>
      </c>
      <c r="P1196">
        <f t="shared" si="75"/>
        <v>1.91714300861816</v>
      </c>
      <c r="Q1196">
        <f t="shared" si="75"/>
        <v>1.90440174476484</v>
      </c>
      <c r="R1196" s="2">
        <v>98.924</v>
      </c>
      <c r="S1196" s="2">
        <v>-9999</v>
      </c>
      <c r="T1196" s="2">
        <v>107.085</v>
      </c>
      <c r="U1196" s="2">
        <v>5.743</v>
      </c>
      <c r="V1196" s="2">
        <v>58.504</v>
      </c>
      <c r="W1196" s="2">
        <v>0.037</v>
      </c>
      <c r="X1196" s="2" t="s">
        <v>92</v>
      </c>
      <c r="Y1196" s="2" t="s">
        <v>31</v>
      </c>
      <c r="Z1196" s="7">
        <f t="shared" si="78"/>
        <v>0.012741263853322</v>
      </c>
      <c r="AA1196" s="2">
        <f t="shared" si="76"/>
        <v>0.507</v>
      </c>
      <c r="AB1196" s="2">
        <f t="shared" si="77"/>
        <v>0.786</v>
      </c>
      <c r="AC1196" t="s">
        <v>32</v>
      </c>
    </row>
    <row r="1197" s="2" customFormat="1" spans="1:29">
      <c r="A1197" s="2" t="s">
        <v>99</v>
      </c>
      <c r="B1197" s="2">
        <v>3255.875</v>
      </c>
      <c r="C1197" s="2">
        <v>31.097</v>
      </c>
      <c r="D1197" s="2">
        <v>-69.652</v>
      </c>
      <c r="E1197" s="2">
        <v>156.337</v>
      </c>
      <c r="F1197" s="2">
        <v>0.016</v>
      </c>
      <c r="G1197" s="2">
        <v>24.243</v>
      </c>
      <c r="H1197" s="2">
        <v>1.397</v>
      </c>
      <c r="I1197" s="2">
        <v>2.686</v>
      </c>
      <c r="J1197" s="2">
        <v>0.272</v>
      </c>
      <c r="K1197" s="2">
        <v>9.657</v>
      </c>
      <c r="L1197" s="2">
        <v>0.738</v>
      </c>
      <c r="M1197" s="2">
        <v>2.895</v>
      </c>
      <c r="N1197" s="2">
        <v>89.812</v>
      </c>
      <c r="O1197" s="2">
        <v>86.79</v>
      </c>
      <c r="P1197">
        <f t="shared" si="75"/>
        <v>1.9533343676874</v>
      </c>
      <c r="Q1197">
        <f t="shared" si="75"/>
        <v>1.93846968836765</v>
      </c>
      <c r="R1197" s="2">
        <v>103.594</v>
      </c>
      <c r="S1197" s="2">
        <v>-9999</v>
      </c>
      <c r="T1197" s="2">
        <v>111.41</v>
      </c>
      <c r="U1197" s="2">
        <v>5.006</v>
      </c>
      <c r="V1197" s="2">
        <v>66.793</v>
      </c>
      <c r="W1197" s="2">
        <v>0.021</v>
      </c>
      <c r="X1197" s="2" t="s">
        <v>92</v>
      </c>
      <c r="Y1197" s="2" t="s">
        <v>31</v>
      </c>
      <c r="Z1197" s="7">
        <f t="shared" si="78"/>
        <v>0.0148646793197533</v>
      </c>
      <c r="AA1197" s="2">
        <f t="shared" si="76"/>
        <v>0.466</v>
      </c>
      <c r="AB1197" s="2">
        <f t="shared" si="77"/>
        <v>0.754</v>
      </c>
      <c r="AC1197" t="s">
        <v>32</v>
      </c>
    </row>
    <row r="1198" s="2" customFormat="1" spans="1:29">
      <c r="A1198" s="2" t="s">
        <v>99</v>
      </c>
      <c r="B1198" s="2">
        <v>3256</v>
      </c>
      <c r="C1198" s="2">
        <v>36.175</v>
      </c>
      <c r="D1198" s="2">
        <v>-70.121</v>
      </c>
      <c r="E1198" s="2">
        <v>156.762</v>
      </c>
      <c r="F1198" s="2">
        <v>0.021</v>
      </c>
      <c r="G1198" s="2">
        <v>24.181</v>
      </c>
      <c r="H1198" s="2">
        <v>1.653</v>
      </c>
      <c r="I1198" s="2">
        <v>2.702</v>
      </c>
      <c r="J1198" s="2">
        <v>0.315</v>
      </c>
      <c r="K1198" s="2">
        <v>9.228</v>
      </c>
      <c r="L1198" s="2">
        <v>0.709</v>
      </c>
      <c r="M1198" s="2">
        <v>2.741</v>
      </c>
      <c r="N1198" s="2">
        <v>109.18</v>
      </c>
      <c r="O1198" s="2">
        <v>104.21</v>
      </c>
      <c r="P1198">
        <f t="shared" si="75"/>
        <v>2.03814308996994</v>
      </c>
      <c r="Q1198">
        <f t="shared" si="75"/>
        <v>2.01790939589669</v>
      </c>
      <c r="R1198" s="2">
        <v>107.307</v>
      </c>
      <c r="S1198" s="2">
        <v>-9999</v>
      </c>
      <c r="T1198" s="2">
        <v>113.961</v>
      </c>
      <c r="U1198" s="2">
        <v>3.871</v>
      </c>
      <c r="V1198" s="2">
        <v>82.811</v>
      </c>
      <c r="W1198" s="2">
        <v>0.01</v>
      </c>
      <c r="X1198" s="2" t="s">
        <v>92</v>
      </c>
      <c r="Y1198" s="2" t="s">
        <v>31</v>
      </c>
      <c r="Z1198" s="7">
        <f t="shared" si="78"/>
        <v>0.0202336940732533</v>
      </c>
      <c r="AA1198" s="2">
        <f t="shared" si="76"/>
        <v>0.394</v>
      </c>
      <c r="AB1198" s="2">
        <f t="shared" si="77"/>
        <v>0.73</v>
      </c>
      <c r="AC1198" t="s">
        <v>32</v>
      </c>
    </row>
    <row r="1199" spans="1:29">
      <c r="A1199" t="s">
        <v>100</v>
      </c>
      <c r="B1199">
        <v>3269</v>
      </c>
      <c r="C1199">
        <v>19.693</v>
      </c>
      <c r="D1199">
        <v>13.302</v>
      </c>
      <c r="E1199">
        <v>167.582</v>
      </c>
      <c r="F1199">
        <v>0.29</v>
      </c>
      <c r="G1199">
        <v>22.113</v>
      </c>
      <c r="H1199">
        <v>1.863</v>
      </c>
      <c r="I1199">
        <v>2.739</v>
      </c>
      <c r="J1199">
        <v>0.761</v>
      </c>
      <c r="K1199">
        <v>11.743</v>
      </c>
      <c r="L1199">
        <v>0.747</v>
      </c>
      <c r="M1199">
        <v>3.176</v>
      </c>
      <c r="N1199">
        <v>36.285</v>
      </c>
      <c r="O1199">
        <v>41.621</v>
      </c>
      <c r="P1199">
        <f t="shared" si="75"/>
        <v>1.55972712741756</v>
      </c>
      <c r="Q1199">
        <f t="shared" si="75"/>
        <v>1.61931251050474</v>
      </c>
      <c r="R1199">
        <v>11.783</v>
      </c>
      <c r="S1199">
        <v>11.783</v>
      </c>
      <c r="T1199">
        <v>10.733</v>
      </c>
      <c r="U1199">
        <v>5.017</v>
      </c>
      <c r="V1199">
        <v>100</v>
      </c>
      <c r="W1199">
        <v>0.103</v>
      </c>
      <c r="X1199" t="s">
        <v>92</v>
      </c>
      <c r="Y1199" t="s">
        <v>31</v>
      </c>
      <c r="Z1199" s="3">
        <f t="shared" si="78"/>
        <v>-0.0595853830871826</v>
      </c>
      <c r="AA1199">
        <f t="shared" si="76"/>
        <v>-0.014</v>
      </c>
      <c r="AB1199">
        <f t="shared" si="77"/>
        <v>1.037</v>
      </c>
      <c r="AC1199" t="s">
        <v>32</v>
      </c>
    </row>
    <row r="1200" spans="1:29">
      <c r="A1200" t="s">
        <v>100</v>
      </c>
      <c r="B1200">
        <v>3269.125</v>
      </c>
      <c r="C1200">
        <v>20.284</v>
      </c>
      <c r="D1200">
        <v>12.512</v>
      </c>
      <c r="E1200">
        <v>168.845</v>
      </c>
      <c r="F1200">
        <v>0.311</v>
      </c>
      <c r="G1200">
        <v>22.125</v>
      </c>
      <c r="H1200">
        <v>1.761</v>
      </c>
      <c r="I1200">
        <v>2.711</v>
      </c>
      <c r="J1200">
        <v>0.81</v>
      </c>
      <c r="K1200">
        <v>12.16</v>
      </c>
      <c r="L1200">
        <v>0.684</v>
      </c>
      <c r="M1200">
        <v>3.228</v>
      </c>
      <c r="N1200">
        <v>31.86</v>
      </c>
      <c r="O1200">
        <v>36.871</v>
      </c>
      <c r="P1200">
        <f t="shared" si="75"/>
        <v>1.50324577146511</v>
      </c>
      <c r="Q1200">
        <f t="shared" si="75"/>
        <v>1.56668491652102</v>
      </c>
      <c r="R1200">
        <v>11.394</v>
      </c>
      <c r="S1200">
        <v>11.394</v>
      </c>
      <c r="T1200">
        <v>10.421</v>
      </c>
      <c r="U1200">
        <v>5.881</v>
      </c>
      <c r="V1200">
        <v>100</v>
      </c>
      <c r="W1200">
        <v>0.209</v>
      </c>
      <c r="X1200" t="s">
        <v>92</v>
      </c>
      <c r="Y1200" t="s">
        <v>31</v>
      </c>
      <c r="Z1200" s="3">
        <f t="shared" si="78"/>
        <v>-0.0634391450559069</v>
      </c>
      <c r="AA1200">
        <f t="shared" si="76"/>
        <v>-0.126</v>
      </c>
      <c r="AB1200">
        <f t="shared" si="77"/>
        <v>0.995</v>
      </c>
      <c r="AC1200" t="s">
        <v>32</v>
      </c>
    </row>
    <row r="1201" spans="1:29">
      <c r="A1201" t="s">
        <v>100</v>
      </c>
      <c r="B1201">
        <v>3269.25</v>
      </c>
      <c r="C1201">
        <v>21.75</v>
      </c>
      <c r="D1201">
        <v>11.786</v>
      </c>
      <c r="E1201">
        <v>169.485</v>
      </c>
      <c r="F1201">
        <v>0.321</v>
      </c>
      <c r="G1201">
        <v>22.115</v>
      </c>
      <c r="H1201">
        <v>1.703</v>
      </c>
      <c r="I1201">
        <v>2.692</v>
      </c>
      <c r="J1201">
        <v>0.85</v>
      </c>
      <c r="K1201">
        <v>12.497</v>
      </c>
      <c r="L1201">
        <v>0.641</v>
      </c>
      <c r="M1201">
        <v>3.258</v>
      </c>
      <c r="N1201">
        <v>29.63</v>
      </c>
      <c r="O1201">
        <v>34.398</v>
      </c>
      <c r="P1201">
        <f t="shared" si="75"/>
        <v>1.47173165148005</v>
      </c>
      <c r="Q1201">
        <f t="shared" si="75"/>
        <v>1.53653319215832</v>
      </c>
      <c r="R1201">
        <v>11.435</v>
      </c>
      <c r="S1201">
        <v>11.435</v>
      </c>
      <c r="T1201">
        <v>10.501</v>
      </c>
      <c r="U1201">
        <v>6.417</v>
      </c>
      <c r="V1201">
        <v>100</v>
      </c>
      <c r="W1201">
        <v>0.304</v>
      </c>
      <c r="X1201" t="s">
        <v>92</v>
      </c>
      <c r="Y1201" t="s">
        <v>31</v>
      </c>
      <c r="Z1201" s="3">
        <f t="shared" si="78"/>
        <v>-0.0648015406782678</v>
      </c>
      <c r="AA1201">
        <f t="shared" si="76"/>
        <v>-0.209</v>
      </c>
      <c r="AB1201">
        <f t="shared" si="77"/>
        <v>0.962</v>
      </c>
      <c r="AC1201" t="s">
        <v>32</v>
      </c>
    </row>
    <row r="1202" spans="1:29">
      <c r="A1202" t="s">
        <v>100</v>
      </c>
      <c r="B1202">
        <v>3269.375</v>
      </c>
      <c r="C1202">
        <v>22.3</v>
      </c>
      <c r="D1202">
        <v>11.136</v>
      </c>
      <c r="E1202">
        <v>169.636</v>
      </c>
      <c r="F1202">
        <v>0.324</v>
      </c>
      <c r="G1202">
        <v>22.116</v>
      </c>
      <c r="H1202">
        <v>1.627</v>
      </c>
      <c r="I1202">
        <v>2.683</v>
      </c>
      <c r="J1202">
        <v>0.869</v>
      </c>
      <c r="K1202">
        <v>12.656</v>
      </c>
      <c r="L1202">
        <v>0.621</v>
      </c>
      <c r="M1202">
        <v>3.238</v>
      </c>
      <c r="N1202">
        <v>28.952</v>
      </c>
      <c r="O1202">
        <v>33.719</v>
      </c>
      <c r="P1202">
        <f t="shared" si="75"/>
        <v>1.46167857010014</v>
      </c>
      <c r="Q1202">
        <f t="shared" si="75"/>
        <v>1.52787468632869</v>
      </c>
      <c r="R1202">
        <v>11.829</v>
      </c>
      <c r="S1202">
        <v>11.829</v>
      </c>
      <c r="T1202">
        <v>10.919</v>
      </c>
      <c r="U1202">
        <v>6.673</v>
      </c>
      <c r="V1202">
        <v>100</v>
      </c>
      <c r="W1202">
        <v>0.36</v>
      </c>
      <c r="X1202" t="s">
        <v>92</v>
      </c>
      <c r="Y1202" t="s">
        <v>31</v>
      </c>
      <c r="Z1202" s="3">
        <f t="shared" si="78"/>
        <v>-0.066196116228548</v>
      </c>
      <c r="AA1202">
        <f t="shared" si="76"/>
        <v>-0.248</v>
      </c>
      <c r="AB1202">
        <f t="shared" si="77"/>
        <v>0.945</v>
      </c>
      <c r="AC1202" t="s">
        <v>32</v>
      </c>
    </row>
    <row r="1203" spans="1:29">
      <c r="A1203" t="s">
        <v>100</v>
      </c>
      <c r="B1203">
        <v>3269.5</v>
      </c>
      <c r="C1203">
        <v>21.121</v>
      </c>
      <c r="D1203">
        <v>10.569</v>
      </c>
      <c r="E1203">
        <v>169.48</v>
      </c>
      <c r="F1203">
        <v>0.321</v>
      </c>
      <c r="G1203">
        <v>22.146</v>
      </c>
      <c r="H1203">
        <v>1.568</v>
      </c>
      <c r="I1203">
        <v>2.684</v>
      </c>
      <c r="J1203">
        <v>0.88</v>
      </c>
      <c r="K1203">
        <v>12.742</v>
      </c>
      <c r="L1203">
        <v>0.623</v>
      </c>
      <c r="M1203">
        <v>3.176</v>
      </c>
      <c r="N1203">
        <v>29.081</v>
      </c>
      <c r="O1203">
        <v>33.988</v>
      </c>
      <c r="P1203">
        <f t="shared" si="75"/>
        <v>1.46360933640347</v>
      </c>
      <c r="Q1203">
        <f t="shared" si="75"/>
        <v>1.53132560958103</v>
      </c>
      <c r="R1203">
        <v>12.46</v>
      </c>
      <c r="S1203">
        <v>12.46</v>
      </c>
      <c r="T1203">
        <v>11.587</v>
      </c>
      <c r="U1203">
        <v>6.796</v>
      </c>
      <c r="V1203">
        <v>100</v>
      </c>
      <c r="W1203">
        <v>0.39</v>
      </c>
      <c r="X1203" t="s">
        <v>92</v>
      </c>
      <c r="Y1203" t="s">
        <v>31</v>
      </c>
      <c r="Z1203" s="3">
        <f t="shared" si="78"/>
        <v>-0.0677162731775616</v>
      </c>
      <c r="AA1203">
        <f t="shared" si="76"/>
        <v>-0.257</v>
      </c>
      <c r="AB1203">
        <f t="shared" si="77"/>
        <v>0.944</v>
      </c>
      <c r="AC1203" t="s">
        <v>32</v>
      </c>
    </row>
    <row r="1204" spans="1:29">
      <c r="A1204" t="s">
        <v>100</v>
      </c>
      <c r="B1204">
        <v>3269.625</v>
      </c>
      <c r="C1204">
        <v>19.98</v>
      </c>
      <c r="D1204">
        <v>10.097</v>
      </c>
      <c r="E1204">
        <v>169.345</v>
      </c>
      <c r="F1204">
        <v>0.319</v>
      </c>
      <c r="G1204">
        <v>22.166</v>
      </c>
      <c r="H1204">
        <v>1.62</v>
      </c>
      <c r="I1204">
        <v>2.691</v>
      </c>
      <c r="J1204">
        <v>0.893</v>
      </c>
      <c r="K1204">
        <v>12.854</v>
      </c>
      <c r="L1204">
        <v>0.639</v>
      </c>
      <c r="M1204">
        <v>3.068</v>
      </c>
      <c r="N1204">
        <v>29.649</v>
      </c>
      <c r="O1204">
        <v>34.62</v>
      </c>
      <c r="P1204">
        <f t="shared" si="75"/>
        <v>1.47201005008457</v>
      </c>
      <c r="Q1204">
        <f t="shared" si="75"/>
        <v>1.53932706353937</v>
      </c>
      <c r="R1204">
        <v>13.197</v>
      </c>
      <c r="S1204">
        <v>13.197</v>
      </c>
      <c r="T1204">
        <v>12.405</v>
      </c>
      <c r="U1204">
        <v>6.765</v>
      </c>
      <c r="V1204">
        <v>100</v>
      </c>
      <c r="W1204">
        <v>0.383</v>
      </c>
      <c r="X1204" t="s">
        <v>92</v>
      </c>
      <c r="Y1204" t="s">
        <v>31</v>
      </c>
      <c r="Z1204" s="3">
        <f t="shared" si="78"/>
        <v>-0.067317013454802</v>
      </c>
      <c r="AA1204">
        <f t="shared" si="76"/>
        <v>-0.254</v>
      </c>
      <c r="AB1204">
        <f t="shared" si="77"/>
        <v>0.958</v>
      </c>
      <c r="AC1204" t="s">
        <v>32</v>
      </c>
    </row>
    <row r="1205" spans="1:29">
      <c r="A1205" t="s">
        <v>100</v>
      </c>
      <c r="B1205">
        <v>3269.75</v>
      </c>
      <c r="C1205">
        <v>20.294</v>
      </c>
      <c r="D1205">
        <v>9.697</v>
      </c>
      <c r="E1205">
        <v>169.309</v>
      </c>
      <c r="F1205">
        <v>0.319</v>
      </c>
      <c r="G1205">
        <v>22.162</v>
      </c>
      <c r="H1205">
        <v>1.764</v>
      </c>
      <c r="I1205">
        <v>2.701</v>
      </c>
      <c r="J1205">
        <v>0.903</v>
      </c>
      <c r="K1205">
        <v>12.936</v>
      </c>
      <c r="L1205">
        <v>0.661</v>
      </c>
      <c r="M1205">
        <v>2.919</v>
      </c>
      <c r="N1205">
        <v>29.936</v>
      </c>
      <c r="O1205">
        <v>35.207</v>
      </c>
      <c r="P1205">
        <f t="shared" si="75"/>
        <v>1.47619377015593</v>
      </c>
      <c r="Q1205">
        <f t="shared" si="75"/>
        <v>1.54662902027173</v>
      </c>
      <c r="R1205">
        <v>13.913</v>
      </c>
      <c r="S1205">
        <v>13.913</v>
      </c>
      <c r="T1205">
        <v>13.251</v>
      </c>
      <c r="U1205">
        <v>6.559</v>
      </c>
      <c r="V1205">
        <v>100</v>
      </c>
      <c r="W1205">
        <v>0.335</v>
      </c>
      <c r="X1205" t="s">
        <v>92</v>
      </c>
      <c r="Y1205" t="s">
        <v>31</v>
      </c>
      <c r="Z1205" s="3">
        <f t="shared" si="78"/>
        <v>-0.0704352501157919</v>
      </c>
      <c r="AA1205">
        <f t="shared" si="76"/>
        <v>-0.242</v>
      </c>
      <c r="AB1205">
        <f t="shared" si="77"/>
        <v>0.98</v>
      </c>
      <c r="AC1205" t="s">
        <v>32</v>
      </c>
    </row>
    <row r="1206" spans="1:29">
      <c r="A1206" t="s">
        <v>100</v>
      </c>
      <c r="B1206">
        <v>3269.875</v>
      </c>
      <c r="C1206">
        <v>21.023</v>
      </c>
      <c r="D1206">
        <v>9.351</v>
      </c>
      <c r="E1206">
        <v>169.103</v>
      </c>
      <c r="F1206">
        <v>0.315</v>
      </c>
      <c r="G1206">
        <v>22.117</v>
      </c>
      <c r="H1206">
        <v>1.937</v>
      </c>
      <c r="I1206">
        <v>2.711</v>
      </c>
      <c r="J1206">
        <v>0.9</v>
      </c>
      <c r="K1206">
        <v>12.913</v>
      </c>
      <c r="L1206">
        <v>0.684</v>
      </c>
      <c r="M1206">
        <v>2.772</v>
      </c>
      <c r="N1206">
        <v>29.978</v>
      </c>
      <c r="O1206">
        <v>35.582</v>
      </c>
      <c r="P1206">
        <f t="shared" si="75"/>
        <v>1.47680265526552</v>
      </c>
      <c r="Q1206">
        <f t="shared" si="75"/>
        <v>1.55123035534297</v>
      </c>
      <c r="R1206">
        <v>14.565</v>
      </c>
      <c r="S1206">
        <v>14.565</v>
      </c>
      <c r="T1206">
        <v>14.092</v>
      </c>
      <c r="U1206">
        <v>6.253</v>
      </c>
      <c r="V1206">
        <v>100</v>
      </c>
      <c r="W1206">
        <v>0.271</v>
      </c>
      <c r="X1206" t="s">
        <v>92</v>
      </c>
      <c r="Y1206" t="s">
        <v>31</v>
      </c>
      <c r="Z1206" s="3">
        <f t="shared" si="78"/>
        <v>-0.0744277000774551</v>
      </c>
      <c r="AA1206">
        <f t="shared" si="76"/>
        <v>-0.216</v>
      </c>
      <c r="AB1206">
        <f t="shared" si="77"/>
        <v>0.999</v>
      </c>
      <c r="AC1206" t="s">
        <v>32</v>
      </c>
    </row>
    <row r="1207" spans="1:29">
      <c r="A1207" t="s">
        <v>100</v>
      </c>
      <c r="B1207">
        <v>3270</v>
      </c>
      <c r="C1207">
        <v>20.507</v>
      </c>
      <c r="D1207">
        <v>9.04</v>
      </c>
      <c r="E1207">
        <v>168.556</v>
      </c>
      <c r="F1207">
        <v>0.306</v>
      </c>
      <c r="G1207">
        <v>22.113</v>
      </c>
      <c r="H1207">
        <v>2.1</v>
      </c>
      <c r="I1207">
        <v>2.719</v>
      </c>
      <c r="J1207">
        <v>0.886</v>
      </c>
      <c r="K1207">
        <v>12.799</v>
      </c>
      <c r="L1207">
        <v>0.702</v>
      </c>
      <c r="M1207">
        <v>2.675</v>
      </c>
      <c r="N1207">
        <v>31.031</v>
      </c>
      <c r="O1207">
        <v>36.732</v>
      </c>
      <c r="P1207">
        <f t="shared" si="75"/>
        <v>1.49179577131359</v>
      </c>
      <c r="Q1207">
        <f t="shared" si="75"/>
        <v>1.56504457564496</v>
      </c>
      <c r="R1207">
        <v>15.144</v>
      </c>
      <c r="S1207">
        <v>15.144</v>
      </c>
      <c r="T1207">
        <v>14.93</v>
      </c>
      <c r="U1207">
        <v>6.03</v>
      </c>
      <c r="V1207">
        <v>100</v>
      </c>
      <c r="W1207">
        <v>0.231</v>
      </c>
      <c r="X1207" t="s">
        <v>92</v>
      </c>
      <c r="Y1207" t="s">
        <v>31</v>
      </c>
      <c r="Z1207" s="3">
        <f t="shared" si="78"/>
        <v>-0.0732488043313682</v>
      </c>
      <c r="AA1207">
        <f t="shared" si="76"/>
        <v>-0.184</v>
      </c>
      <c r="AB1207">
        <f t="shared" si="77"/>
        <v>1.008</v>
      </c>
      <c r="AC1207" t="s">
        <v>32</v>
      </c>
    </row>
    <row r="1208" spans="1:29">
      <c r="A1208" t="s">
        <v>100</v>
      </c>
      <c r="B1208">
        <v>3270.125</v>
      </c>
      <c r="C1208">
        <v>18.696</v>
      </c>
      <c r="D1208">
        <v>8.743</v>
      </c>
      <c r="E1208">
        <v>167.766</v>
      </c>
      <c r="F1208">
        <v>0.293</v>
      </c>
      <c r="G1208">
        <v>22.162</v>
      </c>
      <c r="H1208">
        <v>2.288</v>
      </c>
      <c r="I1208">
        <v>2.724</v>
      </c>
      <c r="J1208">
        <v>0.861</v>
      </c>
      <c r="K1208">
        <v>12.585</v>
      </c>
      <c r="L1208">
        <v>0.713</v>
      </c>
      <c r="M1208">
        <v>2.657</v>
      </c>
      <c r="N1208">
        <v>32.615</v>
      </c>
      <c r="O1208">
        <v>38.754</v>
      </c>
      <c r="P1208">
        <f t="shared" ref="P1208:Q1271" si="79">LOG(N1208)</f>
        <v>1.51341738285851</v>
      </c>
      <c r="Q1208">
        <f t="shared" si="79"/>
        <v>1.58831653492679</v>
      </c>
      <c r="R1208">
        <v>15.633</v>
      </c>
      <c r="S1208">
        <v>15.633</v>
      </c>
      <c r="T1208">
        <v>15.73</v>
      </c>
      <c r="U1208">
        <v>5.94</v>
      </c>
      <c r="V1208">
        <v>100</v>
      </c>
      <c r="W1208">
        <v>0.216</v>
      </c>
      <c r="X1208" t="s">
        <v>92</v>
      </c>
      <c r="Y1208" t="s">
        <v>31</v>
      </c>
      <c r="Z1208" s="3">
        <f t="shared" si="78"/>
        <v>-0.0748991520682867</v>
      </c>
      <c r="AA1208">
        <f t="shared" si="76"/>
        <v>-0.148</v>
      </c>
      <c r="AB1208">
        <f t="shared" si="77"/>
        <v>1.006</v>
      </c>
      <c r="AC1208" t="s">
        <v>32</v>
      </c>
    </row>
    <row r="1209" spans="1:29">
      <c r="A1209" t="s">
        <v>100</v>
      </c>
      <c r="B1209">
        <v>3270.25</v>
      </c>
      <c r="C1209">
        <v>17.511</v>
      </c>
      <c r="D1209">
        <v>8.443</v>
      </c>
      <c r="E1209">
        <v>166.81</v>
      </c>
      <c r="F1209">
        <v>0.277</v>
      </c>
      <c r="G1209">
        <v>22.255</v>
      </c>
      <c r="H1209">
        <v>2.446</v>
      </c>
      <c r="I1209">
        <v>2.728</v>
      </c>
      <c r="J1209">
        <v>0.826</v>
      </c>
      <c r="K1209">
        <v>12.294</v>
      </c>
      <c r="L1209">
        <v>0.722</v>
      </c>
      <c r="M1209">
        <v>2.696</v>
      </c>
      <c r="N1209">
        <v>33.67</v>
      </c>
      <c r="O1209">
        <v>40.336</v>
      </c>
      <c r="P1209">
        <f t="shared" si="79"/>
        <v>1.52724311638809</v>
      </c>
      <c r="Q1209">
        <f t="shared" si="79"/>
        <v>1.60569282833237</v>
      </c>
      <c r="R1209">
        <v>16.024</v>
      </c>
      <c r="S1209">
        <v>16.024</v>
      </c>
      <c r="T1209">
        <v>16.466</v>
      </c>
      <c r="U1209">
        <v>5.774</v>
      </c>
      <c r="V1209">
        <v>100</v>
      </c>
      <c r="W1209">
        <v>0.191</v>
      </c>
      <c r="X1209" t="s">
        <v>92</v>
      </c>
      <c r="Y1209" t="s">
        <v>31</v>
      </c>
      <c r="Z1209" s="3">
        <f t="shared" si="78"/>
        <v>-0.078449711944282</v>
      </c>
      <c r="AA1209">
        <f t="shared" si="76"/>
        <v>-0.104</v>
      </c>
      <c r="AB1209">
        <f t="shared" si="77"/>
        <v>0.999</v>
      </c>
      <c r="AC1209" t="s">
        <v>32</v>
      </c>
    </row>
    <row r="1210" spans="1:29">
      <c r="A1210" t="s">
        <v>100</v>
      </c>
      <c r="B1210">
        <v>3270.375</v>
      </c>
      <c r="C1210">
        <v>17.875</v>
      </c>
      <c r="D1210">
        <v>8.138</v>
      </c>
      <c r="E1210">
        <v>165.598</v>
      </c>
      <c r="F1210">
        <v>0.258</v>
      </c>
      <c r="G1210">
        <v>22.276</v>
      </c>
      <c r="H1210">
        <v>2.503</v>
      </c>
      <c r="I1210">
        <v>2.731</v>
      </c>
      <c r="J1210">
        <v>0.792</v>
      </c>
      <c r="K1210">
        <v>12.01</v>
      </c>
      <c r="L1210">
        <v>0.729</v>
      </c>
      <c r="M1210">
        <v>2.767</v>
      </c>
      <c r="N1210">
        <v>34.68</v>
      </c>
      <c r="O1210">
        <v>41.529</v>
      </c>
      <c r="P1210">
        <f t="shared" si="79"/>
        <v>1.54007908880417</v>
      </c>
      <c r="Q1210">
        <f t="shared" si="79"/>
        <v>1.61835147361624</v>
      </c>
      <c r="R1210">
        <v>16.353</v>
      </c>
      <c r="S1210">
        <v>16.353</v>
      </c>
      <c r="T1210">
        <v>17.181</v>
      </c>
      <c r="U1210">
        <v>5.499</v>
      </c>
      <c r="V1210">
        <v>100</v>
      </c>
      <c r="W1210">
        <v>0.154</v>
      </c>
      <c r="X1210" t="s">
        <v>92</v>
      </c>
      <c r="Y1210" t="s">
        <v>31</v>
      </c>
      <c r="Z1210" s="3">
        <f t="shared" si="78"/>
        <v>-0.0782723848120703</v>
      </c>
      <c r="AA1210">
        <f t="shared" ref="AA1210:AA1273" si="80">L1210-J1210</f>
        <v>-0.0630000000000001</v>
      </c>
      <c r="AB1210">
        <f t="shared" ref="AB1210:AB1273" si="81">L1210+F1210</f>
        <v>0.987</v>
      </c>
      <c r="AC1210" t="s">
        <v>32</v>
      </c>
    </row>
    <row r="1211" spans="1:29">
      <c r="A1211" t="s">
        <v>100</v>
      </c>
      <c r="B1211">
        <v>3270.5</v>
      </c>
      <c r="C1211">
        <v>19.293</v>
      </c>
      <c r="D1211">
        <v>7.832</v>
      </c>
      <c r="E1211">
        <v>164.312</v>
      </c>
      <c r="F1211">
        <v>0.236</v>
      </c>
      <c r="G1211">
        <v>22.265</v>
      </c>
      <c r="H1211">
        <v>2.478</v>
      </c>
      <c r="I1211">
        <v>2.735</v>
      </c>
      <c r="J1211">
        <v>0.769</v>
      </c>
      <c r="K1211">
        <v>11.811</v>
      </c>
      <c r="L1211">
        <v>0.738</v>
      </c>
      <c r="M1211">
        <v>2.809</v>
      </c>
      <c r="N1211">
        <v>36.602</v>
      </c>
      <c r="O1211">
        <v>43.518</v>
      </c>
      <c r="P1211">
        <f t="shared" si="79"/>
        <v>1.56350481668492</v>
      </c>
      <c r="Q1211">
        <f t="shared" si="79"/>
        <v>1.63866892784539</v>
      </c>
      <c r="R1211">
        <v>16.728</v>
      </c>
      <c r="S1211">
        <v>16.728</v>
      </c>
      <c r="T1211">
        <v>17.995</v>
      </c>
      <c r="U1211">
        <v>5.18</v>
      </c>
      <c r="V1211">
        <v>100</v>
      </c>
      <c r="W1211">
        <v>0.118</v>
      </c>
      <c r="X1211" t="s">
        <v>92</v>
      </c>
      <c r="Y1211" t="s">
        <v>31</v>
      </c>
      <c r="Z1211" s="3">
        <f t="shared" si="78"/>
        <v>-0.0751641111604675</v>
      </c>
      <c r="AA1211">
        <f t="shared" si="80"/>
        <v>-0.031</v>
      </c>
      <c r="AB1211">
        <f t="shared" si="81"/>
        <v>0.974</v>
      </c>
      <c r="AC1211" t="s">
        <v>32</v>
      </c>
    </row>
    <row r="1212" spans="1:29">
      <c r="A1212" t="s">
        <v>100</v>
      </c>
      <c r="B1212">
        <v>3270.625</v>
      </c>
      <c r="C1212">
        <v>20.729</v>
      </c>
      <c r="D1212">
        <v>7.543</v>
      </c>
      <c r="E1212">
        <v>163.504</v>
      </c>
      <c r="F1212">
        <v>0.223</v>
      </c>
      <c r="G1212">
        <v>22.247</v>
      </c>
      <c r="H1212">
        <v>2.41</v>
      </c>
      <c r="I1212">
        <v>2.741</v>
      </c>
      <c r="J1212">
        <v>0.757</v>
      </c>
      <c r="K1212">
        <v>11.71</v>
      </c>
      <c r="L1212">
        <v>0.752</v>
      </c>
      <c r="M1212">
        <v>2.785</v>
      </c>
      <c r="N1212">
        <v>38.715</v>
      </c>
      <c r="O1212">
        <v>45.887</v>
      </c>
      <c r="P1212">
        <f t="shared" si="79"/>
        <v>1.58787926359955</v>
      </c>
      <c r="Q1212">
        <f t="shared" si="79"/>
        <v>1.66168966532084</v>
      </c>
      <c r="R1212">
        <v>17.309</v>
      </c>
      <c r="S1212">
        <v>17.309</v>
      </c>
      <c r="T1212">
        <v>19.112</v>
      </c>
      <c r="U1212">
        <v>4.871</v>
      </c>
      <c r="V1212">
        <v>100</v>
      </c>
      <c r="W1212">
        <v>0.1</v>
      </c>
      <c r="X1212" t="s">
        <v>92</v>
      </c>
      <c r="Y1212" t="s">
        <v>31</v>
      </c>
      <c r="Z1212" s="3">
        <f t="shared" si="78"/>
        <v>-0.0738104017212862</v>
      </c>
      <c r="AA1212">
        <f t="shared" si="80"/>
        <v>-0.005</v>
      </c>
      <c r="AB1212">
        <f t="shared" si="81"/>
        <v>0.975</v>
      </c>
      <c r="AC1212" t="s">
        <v>32</v>
      </c>
    </row>
    <row r="1213" spans="1:29">
      <c r="A1213" t="s">
        <v>100</v>
      </c>
      <c r="B1213">
        <v>3270.75</v>
      </c>
      <c r="C1213">
        <v>21.936</v>
      </c>
      <c r="D1213">
        <v>7.283</v>
      </c>
      <c r="E1213">
        <v>163.179</v>
      </c>
      <c r="F1213">
        <v>0.218</v>
      </c>
      <c r="G1213">
        <v>22.25</v>
      </c>
      <c r="H1213">
        <v>2.314</v>
      </c>
      <c r="I1213">
        <v>2.746</v>
      </c>
      <c r="J1213">
        <v>0.755</v>
      </c>
      <c r="K1213">
        <v>11.7</v>
      </c>
      <c r="L1213">
        <v>0.763</v>
      </c>
      <c r="M1213">
        <v>2.757</v>
      </c>
      <c r="N1213">
        <v>39.664</v>
      </c>
      <c r="O1213">
        <v>46.771</v>
      </c>
      <c r="P1213">
        <f t="shared" si="79"/>
        <v>1.59839650942375</v>
      </c>
      <c r="Q1213">
        <f t="shared" si="79"/>
        <v>1.66997665555826</v>
      </c>
      <c r="R1213">
        <v>18.122</v>
      </c>
      <c r="S1213">
        <v>18.122</v>
      </c>
      <c r="T1213">
        <v>20.57</v>
      </c>
      <c r="U1213">
        <v>4.641</v>
      </c>
      <c r="V1213">
        <v>100</v>
      </c>
      <c r="W1213">
        <v>0.1</v>
      </c>
      <c r="X1213" t="s">
        <v>92</v>
      </c>
      <c r="Y1213" t="s">
        <v>31</v>
      </c>
      <c r="Z1213" s="3">
        <f t="shared" si="78"/>
        <v>-0.071580146134514</v>
      </c>
      <c r="AA1213">
        <f t="shared" si="80"/>
        <v>0.00800000000000001</v>
      </c>
      <c r="AB1213">
        <f t="shared" si="81"/>
        <v>0.981</v>
      </c>
      <c r="AC1213" t="s">
        <v>32</v>
      </c>
    </row>
    <row r="1214" spans="1:29">
      <c r="A1214" t="s">
        <v>100</v>
      </c>
      <c r="B1214">
        <v>3270.875</v>
      </c>
      <c r="C1214">
        <v>22.813</v>
      </c>
      <c r="D1214">
        <v>7.062</v>
      </c>
      <c r="E1214">
        <v>162.858</v>
      </c>
      <c r="F1214">
        <v>0.212</v>
      </c>
      <c r="G1214">
        <v>22.262</v>
      </c>
      <c r="H1214">
        <v>2.214</v>
      </c>
      <c r="I1214">
        <v>2.751</v>
      </c>
      <c r="J1214">
        <v>0.766</v>
      </c>
      <c r="K1214">
        <v>11.789</v>
      </c>
      <c r="L1214">
        <v>0.774</v>
      </c>
      <c r="M1214">
        <v>2.743</v>
      </c>
      <c r="N1214">
        <v>39.836</v>
      </c>
      <c r="O1214">
        <v>46.428</v>
      </c>
      <c r="P1214">
        <f t="shared" si="79"/>
        <v>1.60027572369892</v>
      </c>
      <c r="Q1214">
        <f t="shared" si="79"/>
        <v>1.66677997576887</v>
      </c>
      <c r="R1214">
        <v>19.12</v>
      </c>
      <c r="S1214">
        <v>19.12</v>
      </c>
      <c r="T1214">
        <v>22.364</v>
      </c>
      <c r="U1214">
        <v>4.51</v>
      </c>
      <c r="V1214">
        <v>100</v>
      </c>
      <c r="W1214">
        <v>0.1</v>
      </c>
      <c r="X1214" t="s">
        <v>92</v>
      </c>
      <c r="Y1214" t="s">
        <v>31</v>
      </c>
      <c r="Z1214" s="3">
        <f t="shared" si="78"/>
        <v>-0.066504252069949</v>
      </c>
      <c r="AA1214">
        <f t="shared" si="80"/>
        <v>0.00800000000000001</v>
      </c>
      <c r="AB1214">
        <f t="shared" si="81"/>
        <v>0.986</v>
      </c>
      <c r="AC1214" t="s">
        <v>32</v>
      </c>
    </row>
    <row r="1215" spans="1:29">
      <c r="A1215" t="s">
        <v>100</v>
      </c>
      <c r="B1215">
        <v>3271</v>
      </c>
      <c r="C1215">
        <v>23.083</v>
      </c>
      <c r="D1215">
        <v>6.884</v>
      </c>
      <c r="E1215">
        <v>162.254</v>
      </c>
      <c r="F1215">
        <v>0.203</v>
      </c>
      <c r="G1215">
        <v>22.248</v>
      </c>
      <c r="H1215">
        <v>2.136</v>
      </c>
      <c r="I1215">
        <v>2.754</v>
      </c>
      <c r="J1215">
        <v>0.782</v>
      </c>
      <c r="K1215">
        <v>11.927</v>
      </c>
      <c r="L1215">
        <v>0.781</v>
      </c>
      <c r="M1215">
        <v>2.734</v>
      </c>
      <c r="N1215">
        <v>40.351</v>
      </c>
      <c r="O1215">
        <v>46.571</v>
      </c>
      <c r="P1215">
        <f t="shared" si="79"/>
        <v>1.6058543021089</v>
      </c>
      <c r="Q1215">
        <f t="shared" si="79"/>
        <v>1.66811556346031</v>
      </c>
      <c r="R1215">
        <v>20.327</v>
      </c>
      <c r="S1215">
        <v>20.327</v>
      </c>
      <c r="T1215">
        <v>24.597</v>
      </c>
      <c r="U1215">
        <v>4.496</v>
      </c>
      <c r="V1215">
        <v>100</v>
      </c>
      <c r="W1215">
        <v>0.1</v>
      </c>
      <c r="X1215" t="s">
        <v>92</v>
      </c>
      <c r="Y1215" t="s">
        <v>31</v>
      </c>
      <c r="Z1215" s="3">
        <f t="shared" si="78"/>
        <v>-0.0622612613514013</v>
      </c>
      <c r="AA1215">
        <f t="shared" si="80"/>
        <v>-0.001</v>
      </c>
      <c r="AB1215">
        <f t="shared" si="81"/>
        <v>0.984</v>
      </c>
      <c r="AC1215" t="s">
        <v>32</v>
      </c>
    </row>
    <row r="1216" spans="1:29">
      <c r="A1216" t="s">
        <v>100</v>
      </c>
      <c r="B1216">
        <v>3271.125</v>
      </c>
      <c r="C1216">
        <v>22.616</v>
      </c>
      <c r="D1216">
        <v>6.752</v>
      </c>
      <c r="E1216">
        <v>161.692</v>
      </c>
      <c r="F1216">
        <v>0.193</v>
      </c>
      <c r="G1216">
        <v>22.252</v>
      </c>
      <c r="H1216">
        <v>2.039</v>
      </c>
      <c r="I1216">
        <v>2.754</v>
      </c>
      <c r="J1216">
        <v>0.797</v>
      </c>
      <c r="K1216">
        <v>12.048</v>
      </c>
      <c r="L1216">
        <v>0.781</v>
      </c>
      <c r="M1216">
        <v>2.727</v>
      </c>
      <c r="N1216">
        <v>41.232</v>
      </c>
      <c r="O1216">
        <v>47.069</v>
      </c>
      <c r="P1216">
        <f t="shared" si="79"/>
        <v>1.61523440120683</v>
      </c>
      <c r="Q1216">
        <f t="shared" si="79"/>
        <v>1.67273497164216</v>
      </c>
      <c r="R1216">
        <v>22.408</v>
      </c>
      <c r="S1216">
        <v>22.408</v>
      </c>
      <c r="T1216">
        <v>28.266</v>
      </c>
      <c r="U1216">
        <v>4.601</v>
      </c>
      <c r="V1216">
        <v>100</v>
      </c>
      <c r="W1216">
        <v>0.1</v>
      </c>
      <c r="X1216" t="s">
        <v>92</v>
      </c>
      <c r="Y1216" t="s">
        <v>31</v>
      </c>
      <c r="Z1216" s="3">
        <f t="shared" si="78"/>
        <v>-0.0575005704353282</v>
      </c>
      <c r="AA1216">
        <f t="shared" si="80"/>
        <v>-0.016</v>
      </c>
      <c r="AB1216">
        <f t="shared" si="81"/>
        <v>0.974</v>
      </c>
      <c r="AC1216" t="s">
        <v>32</v>
      </c>
    </row>
    <row r="1217" spans="1:29">
      <c r="A1217" t="s">
        <v>100</v>
      </c>
      <c r="B1217">
        <v>3271.25</v>
      </c>
      <c r="C1217">
        <v>22.035</v>
      </c>
      <c r="D1217">
        <v>6.651</v>
      </c>
      <c r="E1217">
        <v>161.36</v>
      </c>
      <c r="F1217">
        <v>0.188</v>
      </c>
      <c r="G1217">
        <v>22.346</v>
      </c>
      <c r="H1217">
        <v>1.977</v>
      </c>
      <c r="I1217">
        <v>2.751</v>
      </c>
      <c r="J1217">
        <v>0.808</v>
      </c>
      <c r="K1217">
        <v>12.14</v>
      </c>
      <c r="L1217">
        <v>0.774</v>
      </c>
      <c r="M1217">
        <v>2.714</v>
      </c>
      <c r="N1217">
        <v>41.137</v>
      </c>
      <c r="O1217">
        <v>46.406</v>
      </c>
      <c r="P1217">
        <f t="shared" si="79"/>
        <v>1.61423261669871</v>
      </c>
      <c r="Q1217">
        <f t="shared" si="79"/>
        <v>1.66657413569345</v>
      </c>
      <c r="R1217">
        <v>26.542</v>
      </c>
      <c r="S1217">
        <v>26.542</v>
      </c>
      <c r="T1217">
        <v>35.091</v>
      </c>
      <c r="U1217">
        <v>4.753</v>
      </c>
      <c r="V1217">
        <v>100</v>
      </c>
      <c r="W1217">
        <v>0.1</v>
      </c>
      <c r="X1217" t="s">
        <v>92</v>
      </c>
      <c r="Y1217" t="s">
        <v>31</v>
      </c>
      <c r="Z1217" s="3">
        <f t="shared" si="78"/>
        <v>-0.0523415189947423</v>
      </c>
      <c r="AA1217">
        <f t="shared" si="80"/>
        <v>-0.034</v>
      </c>
      <c r="AB1217">
        <f t="shared" si="81"/>
        <v>0.962</v>
      </c>
      <c r="AC1217" t="s">
        <v>32</v>
      </c>
    </row>
    <row r="1218" spans="1:29">
      <c r="A1218" t="s">
        <v>100</v>
      </c>
      <c r="B1218">
        <v>3271.375</v>
      </c>
      <c r="C1218">
        <v>21.811</v>
      </c>
      <c r="D1218">
        <v>6.567</v>
      </c>
      <c r="E1218">
        <v>160.952</v>
      </c>
      <c r="F1218">
        <v>0.181</v>
      </c>
      <c r="G1218">
        <v>22.438</v>
      </c>
      <c r="H1218">
        <v>2.053</v>
      </c>
      <c r="I1218">
        <v>2.748</v>
      </c>
      <c r="J1218">
        <v>0.811</v>
      </c>
      <c r="K1218">
        <v>12.169</v>
      </c>
      <c r="L1218">
        <v>0.767</v>
      </c>
      <c r="M1218">
        <v>2.696</v>
      </c>
      <c r="N1218">
        <v>41.13</v>
      </c>
      <c r="O1218">
        <v>45.757</v>
      </c>
      <c r="P1218">
        <f t="shared" si="79"/>
        <v>1.61415870950918</v>
      </c>
      <c r="Q1218">
        <f t="shared" si="79"/>
        <v>1.66045754274835</v>
      </c>
      <c r="R1218">
        <v>34.019</v>
      </c>
      <c r="S1218">
        <v>34.019</v>
      </c>
      <c r="T1218">
        <v>47.197</v>
      </c>
      <c r="U1218">
        <v>4.868</v>
      </c>
      <c r="V1218">
        <v>100</v>
      </c>
      <c r="W1218">
        <v>0.1</v>
      </c>
      <c r="X1218" t="s">
        <v>92</v>
      </c>
      <c r="Y1218" t="s">
        <v>31</v>
      </c>
      <c r="Z1218" s="3">
        <f t="shared" si="78"/>
        <v>-0.0462988332391725</v>
      </c>
      <c r="AA1218">
        <f t="shared" si="80"/>
        <v>-0.044</v>
      </c>
      <c r="AB1218">
        <f t="shared" si="81"/>
        <v>0.948</v>
      </c>
      <c r="AC1218" t="s">
        <v>32</v>
      </c>
    </row>
    <row r="1219" spans="1:29">
      <c r="A1219" t="s">
        <v>100</v>
      </c>
      <c r="B1219">
        <v>3271.5</v>
      </c>
      <c r="C1219">
        <v>21.857</v>
      </c>
      <c r="D1219">
        <v>6.494</v>
      </c>
      <c r="E1219">
        <v>160.128</v>
      </c>
      <c r="F1219">
        <v>0.168</v>
      </c>
      <c r="G1219">
        <v>22.477</v>
      </c>
      <c r="H1219">
        <v>2.29</v>
      </c>
      <c r="I1219">
        <v>2.745</v>
      </c>
      <c r="J1219">
        <v>0.798</v>
      </c>
      <c r="K1219">
        <v>12.056</v>
      </c>
      <c r="L1219">
        <v>0.761</v>
      </c>
      <c r="M1219">
        <v>2.692</v>
      </c>
      <c r="N1219">
        <v>42.446</v>
      </c>
      <c r="O1219">
        <v>46.57</v>
      </c>
      <c r="P1219">
        <f t="shared" si="79"/>
        <v>1.62783676973242</v>
      </c>
      <c r="Q1219">
        <f t="shared" si="79"/>
        <v>1.66810623793273</v>
      </c>
      <c r="R1219">
        <v>56.141</v>
      </c>
      <c r="S1219">
        <v>56.141</v>
      </c>
      <c r="T1219">
        <v>64.93</v>
      </c>
      <c r="U1219">
        <v>4.865</v>
      </c>
      <c r="V1219">
        <v>100</v>
      </c>
      <c r="W1219">
        <v>0.1</v>
      </c>
      <c r="X1219" t="s">
        <v>92</v>
      </c>
      <c r="Y1219" t="s">
        <v>31</v>
      </c>
      <c r="Z1219" s="3">
        <f t="shared" si="78"/>
        <v>-0.0402694682003122</v>
      </c>
      <c r="AA1219">
        <f t="shared" si="80"/>
        <v>-0.037</v>
      </c>
      <c r="AB1219">
        <f t="shared" si="81"/>
        <v>0.929</v>
      </c>
      <c r="AC1219" t="s">
        <v>32</v>
      </c>
    </row>
    <row r="1220" spans="1:29">
      <c r="A1220" t="s">
        <v>100</v>
      </c>
      <c r="B1220">
        <v>3271.625</v>
      </c>
      <c r="C1220">
        <v>22.131</v>
      </c>
      <c r="D1220">
        <v>6.426</v>
      </c>
      <c r="E1220">
        <v>158.625</v>
      </c>
      <c r="F1220">
        <v>0.143</v>
      </c>
      <c r="G1220">
        <v>22.548</v>
      </c>
      <c r="H1220">
        <v>2.659</v>
      </c>
      <c r="I1220">
        <v>2.744</v>
      </c>
      <c r="J1220">
        <v>0.763</v>
      </c>
      <c r="K1220">
        <v>11.767</v>
      </c>
      <c r="L1220">
        <v>0.758</v>
      </c>
      <c r="M1220">
        <v>2.7</v>
      </c>
      <c r="N1220">
        <v>44.825</v>
      </c>
      <c r="O1220">
        <v>48.439</v>
      </c>
      <c r="P1220">
        <f t="shared" si="79"/>
        <v>1.65152029823422</v>
      </c>
      <c r="Q1220">
        <f t="shared" si="79"/>
        <v>1.68519516876158</v>
      </c>
      <c r="R1220">
        <v>71.535</v>
      </c>
      <c r="S1220">
        <v>71.535</v>
      </c>
      <c r="T1220">
        <v>83.186</v>
      </c>
      <c r="U1220">
        <v>4.712</v>
      </c>
      <c r="V1220">
        <v>100</v>
      </c>
      <c r="W1220">
        <v>0.1</v>
      </c>
      <c r="X1220" t="s">
        <v>92</v>
      </c>
      <c r="Y1220" t="s">
        <v>31</v>
      </c>
      <c r="Z1220" s="3">
        <f t="shared" si="78"/>
        <v>-0.0336748705273644</v>
      </c>
      <c r="AA1220">
        <f t="shared" si="80"/>
        <v>-0.005</v>
      </c>
      <c r="AB1220">
        <f t="shared" si="81"/>
        <v>0.901</v>
      </c>
      <c r="AC1220" t="s">
        <v>32</v>
      </c>
    </row>
    <row r="1221" spans="1:29">
      <c r="A1221" t="s">
        <v>100</v>
      </c>
      <c r="B1221">
        <v>3271.75</v>
      </c>
      <c r="C1221">
        <v>22.656</v>
      </c>
      <c r="D1221">
        <v>6.366</v>
      </c>
      <c r="E1221">
        <v>156.822</v>
      </c>
      <c r="F1221">
        <v>0.113</v>
      </c>
      <c r="G1221">
        <v>22.571</v>
      </c>
      <c r="H1221">
        <v>3.042</v>
      </c>
      <c r="I1221">
        <v>2.746</v>
      </c>
      <c r="J1221">
        <v>0.723</v>
      </c>
      <c r="K1221">
        <v>11.426</v>
      </c>
      <c r="L1221">
        <v>0.763</v>
      </c>
      <c r="M1221">
        <v>2.678</v>
      </c>
      <c r="N1221">
        <v>48.054</v>
      </c>
      <c r="O1221">
        <v>51.347</v>
      </c>
      <c r="P1221">
        <f t="shared" si="79"/>
        <v>1.6817295440467</v>
      </c>
      <c r="Q1221">
        <f t="shared" si="79"/>
        <v>1.71051507458362</v>
      </c>
      <c r="R1221">
        <v>76.245</v>
      </c>
      <c r="S1221">
        <v>76.245</v>
      </c>
      <c r="T1221">
        <v>94.13</v>
      </c>
      <c r="U1221">
        <v>4.44</v>
      </c>
      <c r="V1221">
        <v>100</v>
      </c>
      <c r="W1221">
        <v>0.1</v>
      </c>
      <c r="X1221" t="s">
        <v>92</v>
      </c>
      <c r="Y1221" t="s">
        <v>31</v>
      </c>
      <c r="Z1221" s="3">
        <f t="shared" si="78"/>
        <v>-0.0287855305369185</v>
      </c>
      <c r="AA1221">
        <f t="shared" si="80"/>
        <v>0.04</v>
      </c>
      <c r="AB1221">
        <f t="shared" si="81"/>
        <v>0.876</v>
      </c>
      <c r="AC1221" t="s">
        <v>32</v>
      </c>
    </row>
    <row r="1222" spans="1:29">
      <c r="A1222" t="s">
        <v>100</v>
      </c>
      <c r="B1222">
        <v>3271.875</v>
      </c>
      <c r="C1222">
        <v>23.439</v>
      </c>
      <c r="D1222">
        <v>6.32</v>
      </c>
      <c r="E1222">
        <v>155.489</v>
      </c>
      <c r="F1222">
        <v>0.091</v>
      </c>
      <c r="G1222">
        <v>22.504</v>
      </c>
      <c r="H1222">
        <v>3.323</v>
      </c>
      <c r="I1222">
        <v>2.751</v>
      </c>
      <c r="J1222">
        <v>0.681</v>
      </c>
      <c r="K1222">
        <v>11.079</v>
      </c>
      <c r="L1222">
        <v>0.774</v>
      </c>
      <c r="M1222">
        <v>2.623</v>
      </c>
      <c r="N1222">
        <v>53.186</v>
      </c>
      <c r="O1222">
        <v>55.928</v>
      </c>
      <c r="P1222">
        <f t="shared" si="79"/>
        <v>1.72579732923296</v>
      </c>
      <c r="Q1222">
        <f t="shared" si="79"/>
        <v>1.74762928912095</v>
      </c>
      <c r="R1222">
        <v>77.929</v>
      </c>
      <c r="S1222">
        <v>77.929</v>
      </c>
      <c r="T1222">
        <v>96.208</v>
      </c>
      <c r="U1222">
        <v>4.079</v>
      </c>
      <c r="V1222">
        <v>100</v>
      </c>
      <c r="W1222">
        <v>0.1</v>
      </c>
      <c r="X1222" t="s">
        <v>92</v>
      </c>
      <c r="Y1222" t="s">
        <v>31</v>
      </c>
      <c r="Z1222" s="3">
        <f t="shared" si="78"/>
        <v>-0.021831959887993</v>
      </c>
      <c r="AA1222">
        <f t="shared" si="80"/>
        <v>0.093</v>
      </c>
      <c r="AB1222">
        <f t="shared" si="81"/>
        <v>0.865</v>
      </c>
      <c r="AC1222" t="s">
        <v>32</v>
      </c>
    </row>
    <row r="1223" spans="1:29">
      <c r="A1223" t="s">
        <v>100</v>
      </c>
      <c r="B1223">
        <v>3272</v>
      </c>
      <c r="C1223">
        <v>24.178</v>
      </c>
      <c r="D1223">
        <v>6.298</v>
      </c>
      <c r="E1223">
        <v>155.347</v>
      </c>
      <c r="F1223">
        <v>0.089</v>
      </c>
      <c r="G1223">
        <v>22.425</v>
      </c>
      <c r="H1223">
        <v>3.417</v>
      </c>
      <c r="I1223">
        <v>2.752</v>
      </c>
      <c r="J1223">
        <v>0.637</v>
      </c>
      <c r="K1223">
        <v>10.711</v>
      </c>
      <c r="L1223">
        <v>0.777</v>
      </c>
      <c r="M1223">
        <v>2.566</v>
      </c>
      <c r="N1223">
        <v>60.179</v>
      </c>
      <c r="O1223">
        <v>62.174</v>
      </c>
      <c r="P1223">
        <f t="shared" si="79"/>
        <v>1.77944496675251</v>
      </c>
      <c r="Q1223">
        <f t="shared" si="79"/>
        <v>1.79360880885191</v>
      </c>
      <c r="R1223">
        <v>76.422</v>
      </c>
      <c r="S1223">
        <v>76.422</v>
      </c>
      <c r="T1223">
        <v>94.348</v>
      </c>
      <c r="U1223">
        <v>3.798</v>
      </c>
      <c r="V1223">
        <v>100</v>
      </c>
      <c r="W1223">
        <v>0.1</v>
      </c>
      <c r="X1223" t="s">
        <v>92</v>
      </c>
      <c r="Y1223" t="s">
        <v>31</v>
      </c>
      <c r="Z1223" s="3">
        <f t="shared" si="78"/>
        <v>-0.0141638420994015</v>
      </c>
      <c r="AA1223">
        <f t="shared" si="80"/>
        <v>0.14</v>
      </c>
      <c r="AB1223">
        <f t="shared" si="81"/>
        <v>0.866</v>
      </c>
      <c r="AC1223" t="s">
        <v>32</v>
      </c>
    </row>
    <row r="1224" spans="1:29">
      <c r="A1224" t="s">
        <v>100</v>
      </c>
      <c r="B1224">
        <v>3272.125</v>
      </c>
      <c r="C1224">
        <v>24.37</v>
      </c>
      <c r="D1224">
        <v>6.316</v>
      </c>
      <c r="E1224">
        <v>156.665</v>
      </c>
      <c r="F1224">
        <v>0.111</v>
      </c>
      <c r="G1224">
        <v>22.607</v>
      </c>
      <c r="H1224">
        <v>3.297</v>
      </c>
      <c r="I1224">
        <v>2.74</v>
      </c>
      <c r="J1224">
        <v>0.603</v>
      </c>
      <c r="K1224">
        <v>10.425</v>
      </c>
      <c r="L1224">
        <v>0.749</v>
      </c>
      <c r="M1224">
        <v>2.531</v>
      </c>
      <c r="N1224">
        <v>68.567</v>
      </c>
      <c r="O1224">
        <v>69.932</v>
      </c>
      <c r="P1224">
        <f t="shared" si="79"/>
        <v>1.83611514827028</v>
      </c>
      <c r="Q1224">
        <f t="shared" si="79"/>
        <v>1.84467594889723</v>
      </c>
      <c r="R1224">
        <v>77.946</v>
      </c>
      <c r="S1224">
        <v>77.946</v>
      </c>
      <c r="T1224">
        <v>96.23</v>
      </c>
      <c r="U1224">
        <v>3.902</v>
      </c>
      <c r="V1224">
        <v>100</v>
      </c>
      <c r="W1224">
        <v>0.1</v>
      </c>
      <c r="X1224" t="s">
        <v>92</v>
      </c>
      <c r="Y1224" t="s">
        <v>31</v>
      </c>
      <c r="Z1224" s="3">
        <f t="shared" si="78"/>
        <v>-0.00856080062694864</v>
      </c>
      <c r="AA1224">
        <f t="shared" si="80"/>
        <v>0.146</v>
      </c>
      <c r="AB1224">
        <f t="shared" si="81"/>
        <v>0.86</v>
      </c>
      <c r="AC1224" t="s">
        <v>32</v>
      </c>
    </row>
    <row r="1225" spans="1:29">
      <c r="A1225" t="s">
        <v>100</v>
      </c>
      <c r="B1225">
        <v>3272.25</v>
      </c>
      <c r="C1225">
        <v>24.291</v>
      </c>
      <c r="D1225">
        <v>6.374</v>
      </c>
      <c r="E1225">
        <v>158.586</v>
      </c>
      <c r="F1225">
        <v>0.142</v>
      </c>
      <c r="G1225">
        <v>22.913</v>
      </c>
      <c r="H1225">
        <v>3.074</v>
      </c>
      <c r="I1225">
        <v>2.711</v>
      </c>
      <c r="J1225">
        <v>0.596</v>
      </c>
      <c r="K1225">
        <v>10.361</v>
      </c>
      <c r="L1225">
        <v>0.684</v>
      </c>
      <c r="M1225">
        <v>2.526</v>
      </c>
      <c r="N1225">
        <v>77.898</v>
      </c>
      <c r="O1225">
        <v>78.62</v>
      </c>
      <c r="P1225">
        <f t="shared" si="79"/>
        <v>1.89152630747855</v>
      </c>
      <c r="Q1225">
        <f t="shared" si="79"/>
        <v>1.89553303948407</v>
      </c>
      <c r="R1225">
        <v>84.509</v>
      </c>
      <c r="S1225">
        <v>84.509</v>
      </c>
      <c r="T1225">
        <v>104.333</v>
      </c>
      <c r="U1225">
        <v>4.554</v>
      </c>
      <c r="V1225">
        <v>100</v>
      </c>
      <c r="W1225">
        <v>0.1</v>
      </c>
      <c r="X1225" t="s">
        <v>92</v>
      </c>
      <c r="Y1225" t="s">
        <v>31</v>
      </c>
      <c r="Z1225" s="3">
        <f t="shared" si="78"/>
        <v>-0.00400673200552459</v>
      </c>
      <c r="AA1225">
        <f t="shared" si="80"/>
        <v>0.0880000000000001</v>
      </c>
      <c r="AB1225">
        <f t="shared" si="81"/>
        <v>0.826</v>
      </c>
      <c r="AC1225" t="s">
        <v>32</v>
      </c>
    </row>
    <row r="1226" spans="1:29">
      <c r="A1226" t="s">
        <v>100</v>
      </c>
      <c r="B1226">
        <v>3272.375</v>
      </c>
      <c r="C1226">
        <v>24.024</v>
      </c>
      <c r="D1226">
        <v>6.472</v>
      </c>
      <c r="E1226">
        <v>160.151</v>
      </c>
      <c r="F1226">
        <v>0.168</v>
      </c>
      <c r="G1226">
        <v>23.216</v>
      </c>
      <c r="H1226">
        <v>2.762</v>
      </c>
      <c r="I1226">
        <v>2.673</v>
      </c>
      <c r="J1226">
        <v>0.616</v>
      </c>
      <c r="K1226">
        <v>10.533</v>
      </c>
      <c r="L1226">
        <v>0.598</v>
      </c>
      <c r="M1226">
        <v>2.536</v>
      </c>
      <c r="N1226">
        <v>86.472</v>
      </c>
      <c r="O1226">
        <v>86.588</v>
      </c>
      <c r="P1226">
        <f t="shared" si="79"/>
        <v>1.93687550383417</v>
      </c>
      <c r="Q1226">
        <f t="shared" si="79"/>
        <v>1.93745770847355</v>
      </c>
      <c r="R1226">
        <v>94.087</v>
      </c>
      <c r="S1226">
        <v>94.087</v>
      </c>
      <c r="T1226">
        <v>116.157</v>
      </c>
      <c r="U1226">
        <v>5.589</v>
      </c>
      <c r="V1226">
        <v>100</v>
      </c>
      <c r="W1226">
        <v>0.173</v>
      </c>
      <c r="X1226" t="s">
        <v>92</v>
      </c>
      <c r="Y1226" t="s">
        <v>31</v>
      </c>
      <c r="Z1226" s="3">
        <f t="shared" si="78"/>
        <v>-0.000582204639379524</v>
      </c>
      <c r="AA1226">
        <f t="shared" si="80"/>
        <v>-0.018</v>
      </c>
      <c r="AB1226">
        <f t="shared" si="81"/>
        <v>0.766</v>
      </c>
      <c r="AC1226" t="s">
        <v>32</v>
      </c>
    </row>
    <row r="1227" spans="1:29">
      <c r="A1227" t="s">
        <v>100</v>
      </c>
      <c r="B1227">
        <v>3272.5</v>
      </c>
      <c r="C1227">
        <v>23.56</v>
      </c>
      <c r="D1227">
        <v>6.606</v>
      </c>
      <c r="E1227">
        <v>160.451</v>
      </c>
      <c r="F1227">
        <v>0.173</v>
      </c>
      <c r="G1227">
        <v>23.289</v>
      </c>
      <c r="H1227">
        <v>2.4</v>
      </c>
      <c r="I1227">
        <v>2.642</v>
      </c>
      <c r="J1227">
        <v>0.655</v>
      </c>
      <c r="K1227">
        <v>10.854</v>
      </c>
      <c r="L1227">
        <v>0.528</v>
      </c>
      <c r="M1227">
        <v>2.516</v>
      </c>
      <c r="N1227">
        <v>95.966</v>
      </c>
      <c r="O1227">
        <v>95.343</v>
      </c>
      <c r="P1227">
        <f t="shared" si="79"/>
        <v>1.98211739316648</v>
      </c>
      <c r="Q1227">
        <f t="shared" si="79"/>
        <v>1.97928881302995</v>
      </c>
      <c r="R1227">
        <v>102.174</v>
      </c>
      <c r="S1227">
        <v>102.174</v>
      </c>
      <c r="T1227">
        <v>126.14</v>
      </c>
      <c r="U1227">
        <v>6.555</v>
      </c>
      <c r="V1227">
        <v>100</v>
      </c>
      <c r="W1227">
        <v>0.333</v>
      </c>
      <c r="X1227" t="s">
        <v>92</v>
      </c>
      <c r="Y1227" t="s">
        <v>31</v>
      </c>
      <c r="Z1227" s="3">
        <f t="shared" si="78"/>
        <v>0.0028285801365211</v>
      </c>
      <c r="AA1227">
        <f t="shared" si="80"/>
        <v>-0.127</v>
      </c>
      <c r="AB1227">
        <f t="shared" si="81"/>
        <v>0.701</v>
      </c>
      <c r="AC1227" t="s">
        <v>32</v>
      </c>
    </row>
    <row r="1228" spans="1:29">
      <c r="A1228" t="s">
        <v>100</v>
      </c>
      <c r="B1228">
        <v>3272.625</v>
      </c>
      <c r="C1228">
        <v>23.532</v>
      </c>
      <c r="D1228">
        <v>6.775</v>
      </c>
      <c r="E1228">
        <v>159.223</v>
      </c>
      <c r="F1228">
        <v>0.153</v>
      </c>
      <c r="G1228">
        <v>23.26</v>
      </c>
      <c r="H1228">
        <v>2.207</v>
      </c>
      <c r="I1228">
        <v>2.634</v>
      </c>
      <c r="J1228">
        <v>0.697</v>
      </c>
      <c r="K1228">
        <v>11.208</v>
      </c>
      <c r="L1228">
        <v>0.51</v>
      </c>
      <c r="M1228">
        <v>2.442</v>
      </c>
      <c r="N1228">
        <v>110.126</v>
      </c>
      <c r="O1228">
        <v>108.62</v>
      </c>
      <c r="P1228">
        <f t="shared" si="79"/>
        <v>2.04188986505243</v>
      </c>
      <c r="Q1228">
        <f t="shared" si="79"/>
        <v>2.03590979845661</v>
      </c>
      <c r="R1228">
        <v>105.401</v>
      </c>
      <c r="S1228">
        <v>105.401</v>
      </c>
      <c r="T1228">
        <v>130.125</v>
      </c>
      <c r="U1228">
        <v>6.943</v>
      </c>
      <c r="V1228">
        <v>100</v>
      </c>
      <c r="W1228">
        <v>0.429</v>
      </c>
      <c r="X1228" t="s">
        <v>92</v>
      </c>
      <c r="Y1228" t="s">
        <v>31</v>
      </c>
      <c r="Z1228" s="3">
        <f t="shared" si="78"/>
        <v>0.00598006659582362</v>
      </c>
      <c r="AA1228">
        <f t="shared" si="80"/>
        <v>-0.187</v>
      </c>
      <c r="AB1228">
        <f t="shared" si="81"/>
        <v>0.663</v>
      </c>
      <c r="AC1228" t="s">
        <v>32</v>
      </c>
    </row>
    <row r="1229" spans="1:29">
      <c r="A1229" t="s">
        <v>100</v>
      </c>
      <c r="B1229">
        <v>3272.75</v>
      </c>
      <c r="C1229">
        <v>24.524</v>
      </c>
      <c r="D1229">
        <v>6.961</v>
      </c>
      <c r="E1229">
        <v>157.84</v>
      </c>
      <c r="F1229">
        <v>0.13</v>
      </c>
      <c r="G1229">
        <v>23.165</v>
      </c>
      <c r="H1229">
        <v>2.274</v>
      </c>
      <c r="I1229">
        <v>2.638</v>
      </c>
      <c r="J1229">
        <v>0.727</v>
      </c>
      <c r="K1229">
        <v>11.461</v>
      </c>
      <c r="L1229">
        <v>0.519</v>
      </c>
      <c r="M1229">
        <v>2.33</v>
      </c>
      <c r="N1229">
        <v>125.199</v>
      </c>
      <c r="O1229">
        <v>122.808</v>
      </c>
      <c r="P1229">
        <f t="shared" si="79"/>
        <v>2.09760086005479</v>
      </c>
      <c r="Q1229">
        <f t="shared" si="79"/>
        <v>2.08922665868372</v>
      </c>
      <c r="R1229">
        <v>107.628</v>
      </c>
      <c r="S1229">
        <v>107.628</v>
      </c>
      <c r="T1229">
        <v>132.874</v>
      </c>
      <c r="U1229">
        <v>6.908</v>
      </c>
      <c r="V1229">
        <v>100</v>
      </c>
      <c r="W1229">
        <v>0.42</v>
      </c>
      <c r="X1229" t="s">
        <v>92</v>
      </c>
      <c r="Y1229" t="s">
        <v>31</v>
      </c>
      <c r="Z1229" s="3">
        <f t="shared" si="78"/>
        <v>0.00837420137106859</v>
      </c>
      <c r="AA1229">
        <f t="shared" si="80"/>
        <v>-0.208</v>
      </c>
      <c r="AB1229">
        <f t="shared" si="81"/>
        <v>0.649</v>
      </c>
      <c r="AC1229" t="s">
        <v>32</v>
      </c>
    </row>
    <row r="1230" spans="1:29">
      <c r="A1230" t="s">
        <v>100</v>
      </c>
      <c r="B1230">
        <v>3272.875</v>
      </c>
      <c r="C1230">
        <v>26.117</v>
      </c>
      <c r="D1230">
        <v>7.156</v>
      </c>
      <c r="E1230">
        <v>157.289</v>
      </c>
      <c r="F1230">
        <v>0.121</v>
      </c>
      <c r="G1230">
        <v>23.132</v>
      </c>
      <c r="H1230">
        <v>2.617</v>
      </c>
      <c r="I1230">
        <v>2.646</v>
      </c>
      <c r="J1230">
        <v>0.73</v>
      </c>
      <c r="K1230">
        <v>11.488</v>
      </c>
      <c r="L1230">
        <v>0.537</v>
      </c>
      <c r="M1230">
        <v>2.2</v>
      </c>
      <c r="N1230">
        <v>139.03</v>
      </c>
      <c r="O1230">
        <v>135.866</v>
      </c>
      <c r="P1230">
        <f t="shared" si="79"/>
        <v>2.14310852276251</v>
      </c>
      <c r="Q1230">
        <f t="shared" si="79"/>
        <v>2.13311078962578</v>
      </c>
      <c r="R1230">
        <v>113.708</v>
      </c>
      <c r="S1230">
        <v>113.708</v>
      </c>
      <c r="T1230">
        <v>140.38</v>
      </c>
      <c r="U1230">
        <v>6.605</v>
      </c>
      <c r="V1230">
        <v>100</v>
      </c>
      <c r="W1230">
        <v>0.345</v>
      </c>
      <c r="X1230" t="s">
        <v>92</v>
      </c>
      <c r="Y1230" t="s">
        <v>31</v>
      </c>
      <c r="Z1230" s="3">
        <f t="shared" si="78"/>
        <v>0.00999773313673336</v>
      </c>
      <c r="AA1230">
        <f t="shared" si="80"/>
        <v>-0.193</v>
      </c>
      <c r="AB1230">
        <f t="shared" si="81"/>
        <v>0.658</v>
      </c>
      <c r="AC1230" t="s">
        <v>32</v>
      </c>
    </row>
    <row r="1231" spans="1:29">
      <c r="A1231" t="s">
        <v>100</v>
      </c>
      <c r="B1231">
        <v>3273</v>
      </c>
      <c r="C1231">
        <v>27.316</v>
      </c>
      <c r="D1231">
        <v>7.351</v>
      </c>
      <c r="E1231">
        <v>157.505</v>
      </c>
      <c r="F1231">
        <v>0.124</v>
      </c>
      <c r="G1231">
        <v>23.206</v>
      </c>
      <c r="H1231">
        <v>3.166</v>
      </c>
      <c r="I1231">
        <v>2.649</v>
      </c>
      <c r="J1231">
        <v>0.699</v>
      </c>
      <c r="K1231">
        <v>11.227</v>
      </c>
      <c r="L1231">
        <v>0.544</v>
      </c>
      <c r="M1231">
        <v>2.085</v>
      </c>
      <c r="N1231">
        <v>153.814</v>
      </c>
      <c r="O1231">
        <v>148.706</v>
      </c>
      <c r="P1231">
        <f t="shared" si="79"/>
        <v>2.1869958663239</v>
      </c>
      <c r="Q1231">
        <f t="shared" si="79"/>
        <v>2.17232849181934</v>
      </c>
      <c r="R1231">
        <v>127.07</v>
      </c>
      <c r="S1231">
        <v>127.07</v>
      </c>
      <c r="T1231">
        <v>156.876</v>
      </c>
      <c r="U1231">
        <v>6.27</v>
      </c>
      <c r="V1231">
        <v>100</v>
      </c>
      <c r="W1231">
        <v>0.274</v>
      </c>
      <c r="X1231" t="s">
        <v>92</v>
      </c>
      <c r="Y1231" t="s">
        <v>31</v>
      </c>
      <c r="Z1231" s="3">
        <f t="shared" si="78"/>
        <v>0.014667374504552</v>
      </c>
      <c r="AA1231">
        <f t="shared" si="80"/>
        <v>-0.155</v>
      </c>
      <c r="AB1231">
        <f t="shared" si="81"/>
        <v>0.668</v>
      </c>
      <c r="AC1231" t="s">
        <v>32</v>
      </c>
    </row>
    <row r="1232" spans="1:29">
      <c r="A1232" t="s">
        <v>101</v>
      </c>
      <c r="B1232">
        <v>3710</v>
      </c>
      <c r="C1232">
        <v>42.993</v>
      </c>
      <c r="D1232">
        <v>64.173</v>
      </c>
      <c r="E1232">
        <v>153.134</v>
      </c>
      <c r="F1232">
        <v>0.01</v>
      </c>
      <c r="G1232">
        <v>22.004</v>
      </c>
      <c r="H1232">
        <v>1.993</v>
      </c>
      <c r="I1232">
        <v>2.714</v>
      </c>
      <c r="J1232">
        <v>0.502</v>
      </c>
      <c r="K1232">
        <v>4.707</v>
      </c>
      <c r="L1232">
        <v>0.274</v>
      </c>
      <c r="M1232">
        <v>3.803</v>
      </c>
      <c r="N1232">
        <v>389.679</v>
      </c>
      <c r="O1232">
        <v>396.06</v>
      </c>
      <c r="P1232">
        <f t="shared" si="79"/>
        <v>2.59070700207224</v>
      </c>
      <c r="Q1232">
        <f t="shared" si="79"/>
        <v>2.59776098313523</v>
      </c>
      <c r="R1232">
        <v>106.532</v>
      </c>
      <c r="S1232">
        <v>-9999</v>
      </c>
      <c r="T1232">
        <v>101.594</v>
      </c>
      <c r="U1232">
        <v>2.001</v>
      </c>
      <c r="V1232">
        <v>100</v>
      </c>
      <c r="W1232">
        <v>0.1</v>
      </c>
      <c r="X1232" t="s">
        <v>92</v>
      </c>
      <c r="Y1232" t="s">
        <v>31</v>
      </c>
      <c r="Z1232" s="3">
        <f t="shared" si="78"/>
        <v>-0.00705398106299349</v>
      </c>
      <c r="AA1232">
        <f t="shared" si="80"/>
        <v>-0.228</v>
      </c>
      <c r="AB1232">
        <f t="shared" si="81"/>
        <v>0.284</v>
      </c>
      <c r="AC1232" t="s">
        <v>32</v>
      </c>
    </row>
    <row r="1233" spans="1:29">
      <c r="A1233" t="s">
        <v>101</v>
      </c>
      <c r="B1233">
        <v>3710.125</v>
      </c>
      <c r="C1233">
        <v>36.54</v>
      </c>
      <c r="D1233">
        <v>63.558</v>
      </c>
      <c r="E1233">
        <v>152.878</v>
      </c>
      <c r="F1233">
        <v>0.007</v>
      </c>
      <c r="G1233">
        <v>21.837</v>
      </c>
      <c r="H1233">
        <v>1.653</v>
      </c>
      <c r="I1233">
        <v>2.719</v>
      </c>
      <c r="J1233">
        <v>0.52</v>
      </c>
      <c r="K1233">
        <v>4.544</v>
      </c>
      <c r="L1233">
        <v>0.258</v>
      </c>
      <c r="M1233">
        <v>3.745</v>
      </c>
      <c r="N1233">
        <v>276.314</v>
      </c>
      <c r="O1233">
        <v>284.777</v>
      </c>
      <c r="P1233">
        <f t="shared" si="79"/>
        <v>2.44140288987023</v>
      </c>
      <c r="Q1233">
        <f t="shared" si="79"/>
        <v>2.45450491060933</v>
      </c>
      <c r="R1233">
        <v>94.544</v>
      </c>
      <c r="S1233">
        <v>-9999</v>
      </c>
      <c r="T1233">
        <v>89.06</v>
      </c>
      <c r="U1233">
        <v>1.976</v>
      </c>
      <c r="V1233">
        <v>100</v>
      </c>
      <c r="W1233">
        <v>0.1</v>
      </c>
      <c r="X1233" t="s">
        <v>92</v>
      </c>
      <c r="Y1233" t="s">
        <v>31</v>
      </c>
      <c r="Z1233" s="3">
        <f t="shared" si="78"/>
        <v>-0.0131020207390931</v>
      </c>
      <c r="AA1233">
        <f t="shared" si="80"/>
        <v>-0.262</v>
      </c>
      <c r="AB1233">
        <f t="shared" si="81"/>
        <v>0.265</v>
      </c>
      <c r="AC1233" t="s">
        <v>32</v>
      </c>
    </row>
    <row r="1234" spans="1:29">
      <c r="A1234" t="s">
        <v>101</v>
      </c>
      <c r="B1234">
        <v>3710.25</v>
      </c>
      <c r="C1234">
        <v>30.526</v>
      </c>
      <c r="D1234">
        <v>62.803</v>
      </c>
      <c r="E1234">
        <v>153.818</v>
      </c>
      <c r="F1234">
        <v>0.018</v>
      </c>
      <c r="G1234">
        <v>21.654</v>
      </c>
      <c r="H1234">
        <v>1.346</v>
      </c>
      <c r="I1234">
        <v>2.721</v>
      </c>
      <c r="J1234">
        <v>0.527</v>
      </c>
      <c r="K1234">
        <v>4.364</v>
      </c>
      <c r="L1234">
        <v>0.24</v>
      </c>
      <c r="M1234">
        <v>3.676</v>
      </c>
      <c r="N1234">
        <v>209.448</v>
      </c>
      <c r="O1234">
        <v>216.352</v>
      </c>
      <c r="P1234">
        <f t="shared" si="79"/>
        <v>2.32107621767833</v>
      </c>
      <c r="Q1234">
        <f t="shared" si="79"/>
        <v>2.33516091425602</v>
      </c>
      <c r="R1234">
        <v>83.226</v>
      </c>
      <c r="S1234">
        <v>-9999</v>
      </c>
      <c r="T1234">
        <v>77.448</v>
      </c>
      <c r="U1234">
        <v>1.961</v>
      </c>
      <c r="V1234">
        <v>100</v>
      </c>
      <c r="W1234">
        <v>0.1</v>
      </c>
      <c r="X1234" t="s">
        <v>92</v>
      </c>
      <c r="Y1234" t="s">
        <v>31</v>
      </c>
      <c r="Z1234" s="3">
        <f t="shared" si="78"/>
        <v>-0.0140846965776964</v>
      </c>
      <c r="AA1234">
        <f t="shared" si="80"/>
        <v>-0.287</v>
      </c>
      <c r="AB1234">
        <f t="shared" si="81"/>
        <v>0.258</v>
      </c>
      <c r="AC1234" t="s">
        <v>32</v>
      </c>
    </row>
    <row r="1235" spans="1:29">
      <c r="A1235" t="s">
        <v>101</v>
      </c>
      <c r="B1235">
        <v>3710.375</v>
      </c>
      <c r="C1235">
        <v>26.303</v>
      </c>
      <c r="D1235">
        <v>61.961</v>
      </c>
      <c r="E1235">
        <v>156.048</v>
      </c>
      <c r="F1235">
        <v>0.046</v>
      </c>
      <c r="G1235">
        <v>21.466</v>
      </c>
      <c r="H1235">
        <v>1.142</v>
      </c>
      <c r="I1235">
        <v>2.723</v>
      </c>
      <c r="J1235">
        <v>0.534</v>
      </c>
      <c r="K1235">
        <v>4.342</v>
      </c>
      <c r="L1235">
        <v>0.238</v>
      </c>
      <c r="M1235">
        <v>3.588</v>
      </c>
      <c r="N1235">
        <v>178.877</v>
      </c>
      <c r="O1235">
        <v>183.922</v>
      </c>
      <c r="P1235">
        <f t="shared" si="79"/>
        <v>2.25255450258395</v>
      </c>
      <c r="Q1235">
        <f t="shared" si="79"/>
        <v>2.26463368088106</v>
      </c>
      <c r="R1235">
        <v>75.915</v>
      </c>
      <c r="S1235">
        <v>-9999</v>
      </c>
      <c r="T1235">
        <v>70.129</v>
      </c>
      <c r="U1235">
        <v>2.014</v>
      </c>
      <c r="V1235">
        <v>100</v>
      </c>
      <c r="W1235">
        <v>0.1</v>
      </c>
      <c r="X1235" t="s">
        <v>92</v>
      </c>
      <c r="Y1235" t="s">
        <v>31</v>
      </c>
      <c r="Z1235" s="3">
        <f t="shared" si="78"/>
        <v>-0.0120791782971135</v>
      </c>
      <c r="AA1235">
        <f t="shared" si="80"/>
        <v>-0.296</v>
      </c>
      <c r="AB1235">
        <f t="shared" si="81"/>
        <v>0.284</v>
      </c>
      <c r="AC1235" t="s">
        <v>32</v>
      </c>
    </row>
    <row r="1236" spans="1:29">
      <c r="A1236" t="s">
        <v>101</v>
      </c>
      <c r="B1236">
        <v>3710.5</v>
      </c>
      <c r="C1236">
        <v>24.255</v>
      </c>
      <c r="D1236">
        <v>61.084</v>
      </c>
      <c r="E1236">
        <v>158.502</v>
      </c>
      <c r="F1236">
        <v>0.076</v>
      </c>
      <c r="G1236">
        <v>21.362</v>
      </c>
      <c r="H1236">
        <v>1.025</v>
      </c>
      <c r="I1236">
        <v>2.723</v>
      </c>
      <c r="J1236">
        <v>0.534</v>
      </c>
      <c r="K1236">
        <v>4.609</v>
      </c>
      <c r="L1236">
        <v>0.264</v>
      </c>
      <c r="M1236">
        <v>3.479</v>
      </c>
      <c r="N1236">
        <v>170.695</v>
      </c>
      <c r="O1236">
        <v>173.896</v>
      </c>
      <c r="P1236">
        <f t="shared" si="79"/>
        <v>2.23222079994184</v>
      </c>
      <c r="Q1236">
        <f t="shared" si="79"/>
        <v>2.24028959236552</v>
      </c>
      <c r="R1236">
        <v>69.388</v>
      </c>
      <c r="S1236">
        <v>-9999</v>
      </c>
      <c r="T1236">
        <v>63.29</v>
      </c>
      <c r="U1236">
        <v>2.188</v>
      </c>
      <c r="V1236">
        <v>100</v>
      </c>
      <c r="W1236">
        <v>0.1</v>
      </c>
      <c r="X1236" t="s">
        <v>92</v>
      </c>
      <c r="Y1236" t="s">
        <v>31</v>
      </c>
      <c r="Z1236" s="3">
        <f t="shared" si="78"/>
        <v>-0.00806879242368241</v>
      </c>
      <c r="AA1236">
        <f t="shared" si="80"/>
        <v>-0.27</v>
      </c>
      <c r="AB1236">
        <f t="shared" si="81"/>
        <v>0.34</v>
      </c>
      <c r="AC1236" t="s">
        <v>32</v>
      </c>
    </row>
    <row r="1237" spans="1:29">
      <c r="A1237" t="s">
        <v>101</v>
      </c>
      <c r="B1237">
        <v>3710.625</v>
      </c>
      <c r="C1237">
        <v>23.307</v>
      </c>
      <c r="D1237">
        <v>60.239</v>
      </c>
      <c r="E1237">
        <v>160.039</v>
      </c>
      <c r="F1237">
        <v>0.094</v>
      </c>
      <c r="G1237">
        <v>21.345</v>
      </c>
      <c r="H1237">
        <v>0.882</v>
      </c>
      <c r="I1237">
        <v>2.723</v>
      </c>
      <c r="J1237">
        <v>0.534</v>
      </c>
      <c r="K1237">
        <v>5.372</v>
      </c>
      <c r="L1237">
        <v>0.339</v>
      </c>
      <c r="M1237">
        <v>3.357</v>
      </c>
      <c r="N1237">
        <v>168.81</v>
      </c>
      <c r="O1237">
        <v>169.186</v>
      </c>
      <c r="P1237">
        <f t="shared" si="79"/>
        <v>2.22739816987366</v>
      </c>
      <c r="Q1237">
        <f t="shared" si="79"/>
        <v>2.22836442268467</v>
      </c>
      <c r="R1237">
        <v>63.187</v>
      </c>
      <c r="S1237">
        <v>-9999</v>
      </c>
      <c r="T1237">
        <v>56.458</v>
      </c>
      <c r="U1237">
        <v>2.601</v>
      </c>
      <c r="V1237">
        <v>100</v>
      </c>
      <c r="W1237">
        <v>0.1</v>
      </c>
      <c r="X1237" t="s">
        <v>92</v>
      </c>
      <c r="Y1237" t="s">
        <v>31</v>
      </c>
      <c r="Z1237" s="3">
        <f t="shared" si="78"/>
        <v>-0.000966252811014812</v>
      </c>
      <c r="AA1237">
        <f t="shared" si="80"/>
        <v>-0.195</v>
      </c>
      <c r="AB1237">
        <f t="shared" si="81"/>
        <v>0.433</v>
      </c>
      <c r="AC1237" t="s">
        <v>32</v>
      </c>
    </row>
    <row r="1238" spans="1:29">
      <c r="A1238" t="s">
        <v>101</v>
      </c>
      <c r="B1238">
        <v>3710.75</v>
      </c>
      <c r="C1238">
        <v>23.047</v>
      </c>
      <c r="D1238">
        <v>59.472</v>
      </c>
      <c r="E1238">
        <v>160.164</v>
      </c>
      <c r="F1238">
        <v>0.096</v>
      </c>
      <c r="G1238">
        <v>21.392</v>
      </c>
      <c r="H1238">
        <v>0.738</v>
      </c>
      <c r="I1238">
        <v>2.719</v>
      </c>
      <c r="J1238">
        <v>0.52</v>
      </c>
      <c r="K1238">
        <v>5.947</v>
      </c>
      <c r="L1238">
        <v>0.396</v>
      </c>
      <c r="M1238">
        <v>3.255</v>
      </c>
      <c r="N1238">
        <v>167.417</v>
      </c>
      <c r="O1238">
        <v>167.146</v>
      </c>
      <c r="P1238">
        <f t="shared" si="79"/>
        <v>2.22379955539759</v>
      </c>
      <c r="Q1238">
        <f t="shared" si="79"/>
        <v>2.22309598787616</v>
      </c>
      <c r="R1238">
        <v>60.093</v>
      </c>
      <c r="S1238">
        <v>-9999</v>
      </c>
      <c r="T1238">
        <v>53.11</v>
      </c>
      <c r="U1238">
        <v>2.982</v>
      </c>
      <c r="V1238">
        <v>100</v>
      </c>
      <c r="W1238">
        <v>0.1</v>
      </c>
      <c r="X1238" t="s">
        <v>92</v>
      </c>
      <c r="Y1238" t="s">
        <v>31</v>
      </c>
      <c r="Z1238" s="3">
        <f t="shared" si="78"/>
        <v>0.000703567521430415</v>
      </c>
      <c r="AA1238">
        <f t="shared" si="80"/>
        <v>-0.124</v>
      </c>
      <c r="AB1238">
        <f t="shared" si="81"/>
        <v>0.492</v>
      </c>
      <c r="AC1238" t="s">
        <v>32</v>
      </c>
    </row>
    <row r="1239" spans="1:29">
      <c r="A1239" t="s">
        <v>101</v>
      </c>
      <c r="B1239">
        <v>3710.875</v>
      </c>
      <c r="C1239">
        <v>23.701</v>
      </c>
      <c r="D1239">
        <v>58.775</v>
      </c>
      <c r="E1239">
        <v>159.461</v>
      </c>
      <c r="F1239">
        <v>0.087</v>
      </c>
      <c r="G1239">
        <v>21.508</v>
      </c>
      <c r="H1239">
        <v>0.601</v>
      </c>
      <c r="I1239">
        <v>2.712</v>
      </c>
      <c r="J1239">
        <v>0.495</v>
      </c>
      <c r="K1239">
        <v>6.189</v>
      </c>
      <c r="L1239">
        <v>0.419</v>
      </c>
      <c r="M1239">
        <v>3.194</v>
      </c>
      <c r="N1239">
        <v>167.046</v>
      </c>
      <c r="O1239">
        <v>165.467</v>
      </c>
      <c r="P1239">
        <f t="shared" si="79"/>
        <v>2.22283608070012</v>
      </c>
      <c r="Q1239">
        <f t="shared" si="79"/>
        <v>2.21871139299431</v>
      </c>
      <c r="R1239">
        <v>61.685</v>
      </c>
      <c r="S1239">
        <v>-9999</v>
      </c>
      <c r="T1239">
        <v>55.252</v>
      </c>
      <c r="U1239">
        <v>3.258</v>
      </c>
      <c r="V1239">
        <v>100</v>
      </c>
      <c r="W1239">
        <v>0.1</v>
      </c>
      <c r="X1239" t="s">
        <v>92</v>
      </c>
      <c r="Y1239" t="s">
        <v>31</v>
      </c>
      <c r="Z1239" s="3">
        <f t="shared" si="78"/>
        <v>0.00412468770581587</v>
      </c>
      <c r="AA1239">
        <f t="shared" si="80"/>
        <v>-0.076</v>
      </c>
      <c r="AB1239">
        <f t="shared" si="81"/>
        <v>0.506</v>
      </c>
      <c r="AC1239" t="s">
        <v>32</v>
      </c>
    </row>
    <row r="1240" spans="1:29">
      <c r="A1240" t="s">
        <v>101</v>
      </c>
      <c r="B1240">
        <v>3711</v>
      </c>
      <c r="C1240">
        <v>24.536</v>
      </c>
      <c r="D1240">
        <v>58.097</v>
      </c>
      <c r="E1240">
        <v>158.784</v>
      </c>
      <c r="F1240">
        <v>0.079</v>
      </c>
      <c r="G1240">
        <v>21.639</v>
      </c>
      <c r="H1240">
        <v>0.526</v>
      </c>
      <c r="I1240">
        <v>2.702</v>
      </c>
      <c r="J1240">
        <v>0.458</v>
      </c>
      <c r="K1240">
        <v>6.128</v>
      </c>
      <c r="L1240">
        <v>0.413</v>
      </c>
      <c r="M1240">
        <v>3.119</v>
      </c>
      <c r="N1240">
        <v>163.273</v>
      </c>
      <c r="O1240">
        <v>158.284</v>
      </c>
      <c r="P1240">
        <f t="shared" si="79"/>
        <v>2.21291437260867</v>
      </c>
      <c r="Q1240">
        <f t="shared" si="79"/>
        <v>2.19943701680234</v>
      </c>
      <c r="R1240">
        <v>67.474</v>
      </c>
      <c r="S1240">
        <v>-9999</v>
      </c>
      <c r="T1240">
        <v>62.856</v>
      </c>
      <c r="U1240">
        <v>3.426</v>
      </c>
      <c r="V1240">
        <v>100</v>
      </c>
      <c r="W1240">
        <v>0.1</v>
      </c>
      <c r="X1240" t="s">
        <v>92</v>
      </c>
      <c r="Y1240" t="s">
        <v>31</v>
      </c>
      <c r="Z1240" s="3">
        <f t="shared" si="78"/>
        <v>0.0134773558063337</v>
      </c>
      <c r="AA1240">
        <f t="shared" si="80"/>
        <v>-0.045</v>
      </c>
      <c r="AB1240">
        <f t="shared" si="81"/>
        <v>0.492</v>
      </c>
      <c r="AC1240" t="s">
        <v>32</v>
      </c>
    </row>
    <row r="1241" spans="1:29">
      <c r="A1241" t="s">
        <v>101</v>
      </c>
      <c r="B1241">
        <v>3711.125</v>
      </c>
      <c r="C1241">
        <v>24.193</v>
      </c>
      <c r="D1241">
        <v>57.41</v>
      </c>
      <c r="E1241">
        <v>158.548</v>
      </c>
      <c r="F1241">
        <v>0.076</v>
      </c>
      <c r="G1241">
        <v>21.649</v>
      </c>
      <c r="H1241">
        <v>0.516</v>
      </c>
      <c r="I1241">
        <v>2.693</v>
      </c>
      <c r="J1241">
        <v>0.426</v>
      </c>
      <c r="K1241">
        <v>6.311</v>
      </c>
      <c r="L1241">
        <v>0.431</v>
      </c>
      <c r="M1241">
        <v>3.077</v>
      </c>
      <c r="N1241">
        <v>151.823</v>
      </c>
      <c r="O1241">
        <v>145.809</v>
      </c>
      <c r="P1241">
        <f t="shared" si="79"/>
        <v>2.18133756876918</v>
      </c>
      <c r="Q1241">
        <f t="shared" si="79"/>
        <v>2.16378433145592</v>
      </c>
      <c r="R1241">
        <v>73.624</v>
      </c>
      <c r="S1241">
        <v>-9999</v>
      </c>
      <c r="T1241">
        <v>71.839</v>
      </c>
      <c r="U1241">
        <v>3.739</v>
      </c>
      <c r="V1241">
        <v>100</v>
      </c>
      <c r="W1241">
        <v>0.1</v>
      </c>
      <c r="X1241" t="s">
        <v>92</v>
      </c>
      <c r="Y1241" t="s">
        <v>31</v>
      </c>
      <c r="Z1241" s="3">
        <f t="shared" si="78"/>
        <v>0.017553237313253</v>
      </c>
      <c r="AA1241">
        <f t="shared" si="80"/>
        <v>0.005</v>
      </c>
      <c r="AB1241">
        <f t="shared" si="81"/>
        <v>0.507</v>
      </c>
      <c r="AC1241" t="s">
        <v>32</v>
      </c>
    </row>
    <row r="1242" spans="1:29">
      <c r="A1242" t="s">
        <v>101</v>
      </c>
      <c r="B1242">
        <v>3711.25</v>
      </c>
      <c r="C1242">
        <v>23.719</v>
      </c>
      <c r="D1242">
        <v>56.765</v>
      </c>
      <c r="E1242">
        <v>158.833</v>
      </c>
      <c r="F1242">
        <v>0.08</v>
      </c>
      <c r="G1242">
        <v>21.652</v>
      </c>
      <c r="H1242">
        <v>0.567</v>
      </c>
      <c r="I1242">
        <v>2.688</v>
      </c>
      <c r="J1242">
        <v>0.408</v>
      </c>
      <c r="K1242">
        <v>6.815</v>
      </c>
      <c r="L1242">
        <v>0.481</v>
      </c>
      <c r="M1242">
        <v>3.029</v>
      </c>
      <c r="N1242">
        <v>143.239</v>
      </c>
      <c r="O1242">
        <v>136.515</v>
      </c>
      <c r="P1242">
        <f t="shared" si="79"/>
        <v>2.1560612803935</v>
      </c>
      <c r="Q1242">
        <f t="shared" si="79"/>
        <v>2.13518037342307</v>
      </c>
      <c r="R1242">
        <v>75.828</v>
      </c>
      <c r="S1242">
        <v>-9999</v>
      </c>
      <c r="T1242">
        <v>75.859</v>
      </c>
      <c r="U1242">
        <v>4.145</v>
      </c>
      <c r="V1242">
        <v>100</v>
      </c>
      <c r="W1242">
        <v>0.1</v>
      </c>
      <c r="X1242" t="s">
        <v>92</v>
      </c>
      <c r="Y1242" t="s">
        <v>31</v>
      </c>
      <c r="Z1242" s="3">
        <f t="shared" si="78"/>
        <v>0.0208809069704232</v>
      </c>
      <c r="AA1242">
        <f t="shared" si="80"/>
        <v>0.073</v>
      </c>
      <c r="AB1242">
        <f t="shared" si="81"/>
        <v>0.561</v>
      </c>
      <c r="AC1242" t="s">
        <v>32</v>
      </c>
    </row>
    <row r="1243" spans="1:29">
      <c r="A1243" t="s">
        <v>101</v>
      </c>
      <c r="B1243">
        <v>3711.375</v>
      </c>
      <c r="C1243">
        <v>23.312</v>
      </c>
      <c r="D1243">
        <v>56.242</v>
      </c>
      <c r="E1243">
        <v>160.637</v>
      </c>
      <c r="F1243">
        <v>0.102</v>
      </c>
      <c r="G1243">
        <v>21.64</v>
      </c>
      <c r="H1243">
        <v>0.698</v>
      </c>
      <c r="I1243">
        <v>2.685</v>
      </c>
      <c r="J1243">
        <v>0.397</v>
      </c>
      <c r="K1243">
        <v>7.245</v>
      </c>
      <c r="L1243">
        <v>0.523</v>
      </c>
      <c r="M1243">
        <v>2.954</v>
      </c>
      <c r="N1243">
        <v>142.497</v>
      </c>
      <c r="O1243">
        <v>134.943</v>
      </c>
      <c r="P1243">
        <f t="shared" si="79"/>
        <v>2.15380572120656</v>
      </c>
      <c r="Q1243">
        <f t="shared" si="79"/>
        <v>2.13015036099167</v>
      </c>
      <c r="R1243">
        <v>73.254</v>
      </c>
      <c r="S1243">
        <v>-9999</v>
      </c>
      <c r="T1243">
        <v>72.916</v>
      </c>
      <c r="U1243">
        <v>4.441</v>
      </c>
      <c r="V1243">
        <v>100</v>
      </c>
      <c r="W1243">
        <v>0.1</v>
      </c>
      <c r="X1243" t="s">
        <v>92</v>
      </c>
      <c r="Y1243" t="s">
        <v>31</v>
      </c>
      <c r="Z1243" s="3">
        <f t="shared" si="78"/>
        <v>0.0236553602148897</v>
      </c>
      <c r="AA1243">
        <f t="shared" si="80"/>
        <v>0.126</v>
      </c>
      <c r="AB1243">
        <f t="shared" si="81"/>
        <v>0.625</v>
      </c>
      <c r="AC1243" t="s">
        <v>32</v>
      </c>
    </row>
    <row r="1244" spans="1:29">
      <c r="A1244" t="s">
        <v>101</v>
      </c>
      <c r="B1244">
        <v>3711.5</v>
      </c>
      <c r="C1244">
        <v>22.748</v>
      </c>
      <c r="D1244">
        <v>55.891</v>
      </c>
      <c r="E1244">
        <v>161.238</v>
      </c>
      <c r="F1244">
        <v>0.109</v>
      </c>
      <c r="G1244">
        <v>21.583</v>
      </c>
      <c r="H1244">
        <v>0.854</v>
      </c>
      <c r="I1244">
        <v>2.685</v>
      </c>
      <c r="J1244">
        <v>0.397</v>
      </c>
      <c r="K1244">
        <v>7.498</v>
      </c>
      <c r="L1244">
        <v>0.548</v>
      </c>
      <c r="M1244">
        <v>2.909</v>
      </c>
      <c r="N1244">
        <v>145.128</v>
      </c>
      <c r="O1244">
        <v>136.85</v>
      </c>
      <c r="P1244">
        <f t="shared" si="79"/>
        <v>2.16175121031755</v>
      </c>
      <c r="Q1244">
        <f t="shared" si="79"/>
        <v>2.13624480174614</v>
      </c>
      <c r="R1244">
        <v>67.888</v>
      </c>
      <c r="S1244">
        <v>-9999</v>
      </c>
      <c r="T1244">
        <v>65.604</v>
      </c>
      <c r="U1244">
        <v>4.596</v>
      </c>
      <c r="V1244">
        <v>100</v>
      </c>
      <c r="W1244">
        <v>0.1</v>
      </c>
      <c r="X1244" t="s">
        <v>92</v>
      </c>
      <c r="Y1244" t="s">
        <v>31</v>
      </c>
      <c r="Z1244" s="3">
        <f t="shared" si="78"/>
        <v>0.0255064085714052</v>
      </c>
      <c r="AA1244">
        <f t="shared" si="80"/>
        <v>0.151</v>
      </c>
      <c r="AB1244">
        <f t="shared" si="81"/>
        <v>0.657</v>
      </c>
      <c r="AC1244" t="s">
        <v>32</v>
      </c>
    </row>
    <row r="1245" spans="1:29">
      <c r="A1245" t="s">
        <v>101</v>
      </c>
      <c r="B1245">
        <v>3711.625</v>
      </c>
      <c r="C1245">
        <v>24.189</v>
      </c>
      <c r="D1245">
        <v>55.699</v>
      </c>
      <c r="E1245">
        <v>161.49</v>
      </c>
      <c r="F1245">
        <v>0.112</v>
      </c>
      <c r="G1245">
        <v>21.513</v>
      </c>
      <c r="H1245">
        <v>0.967</v>
      </c>
      <c r="I1245">
        <v>2.686</v>
      </c>
      <c r="J1245">
        <v>0.401</v>
      </c>
      <c r="K1245">
        <v>7.494</v>
      </c>
      <c r="L1245">
        <v>0.547</v>
      </c>
      <c r="M1245">
        <v>2.884</v>
      </c>
      <c r="N1245">
        <v>147.593</v>
      </c>
      <c r="O1245">
        <v>138.608</v>
      </c>
      <c r="P1245">
        <f t="shared" si="79"/>
        <v>2.16906576037683</v>
      </c>
      <c r="Q1245">
        <f t="shared" si="79"/>
        <v>2.14178829705493</v>
      </c>
      <c r="R1245">
        <v>65.416</v>
      </c>
      <c r="S1245">
        <v>-9999</v>
      </c>
      <c r="T1245">
        <v>61.818</v>
      </c>
      <c r="U1245">
        <v>4.555</v>
      </c>
      <c r="V1245">
        <v>100</v>
      </c>
      <c r="W1245">
        <v>0.1</v>
      </c>
      <c r="X1245" t="s">
        <v>92</v>
      </c>
      <c r="Y1245" t="s">
        <v>31</v>
      </c>
      <c r="Z1245" s="3">
        <f t="shared" si="78"/>
        <v>0.0272774633219046</v>
      </c>
      <c r="AA1245">
        <f t="shared" si="80"/>
        <v>0.146</v>
      </c>
      <c r="AB1245">
        <f t="shared" si="81"/>
        <v>0.659</v>
      </c>
      <c r="AC1245" t="s">
        <v>32</v>
      </c>
    </row>
    <row r="1246" spans="1:29">
      <c r="A1246" t="s">
        <v>101</v>
      </c>
      <c r="B1246">
        <v>3711.75</v>
      </c>
      <c r="C1246">
        <v>25.264</v>
      </c>
      <c r="D1246">
        <v>55.534</v>
      </c>
      <c r="E1246">
        <v>162.227</v>
      </c>
      <c r="F1246">
        <v>0.121</v>
      </c>
      <c r="G1246">
        <v>21.451</v>
      </c>
      <c r="H1246">
        <v>1.025</v>
      </c>
      <c r="I1246">
        <v>2.686</v>
      </c>
      <c r="J1246">
        <v>0.401</v>
      </c>
      <c r="K1246">
        <v>7.561</v>
      </c>
      <c r="L1246">
        <v>0.554</v>
      </c>
      <c r="M1246">
        <v>2.9</v>
      </c>
      <c r="N1246">
        <v>150.512</v>
      </c>
      <c r="O1246">
        <v>140.775</v>
      </c>
      <c r="P1246">
        <f t="shared" si="79"/>
        <v>2.17757112668086</v>
      </c>
      <c r="Q1246">
        <f t="shared" si="79"/>
        <v>2.14852553601305</v>
      </c>
      <c r="R1246">
        <v>67.186</v>
      </c>
      <c r="S1246">
        <v>-9999</v>
      </c>
      <c r="T1246">
        <v>63.703</v>
      </c>
      <c r="U1246">
        <v>4.551</v>
      </c>
      <c r="V1246">
        <v>100</v>
      </c>
      <c r="W1246">
        <v>0.1</v>
      </c>
      <c r="X1246" t="s">
        <v>92</v>
      </c>
      <c r="Y1246" t="s">
        <v>31</v>
      </c>
      <c r="Z1246" s="3">
        <f t="shared" si="78"/>
        <v>0.0290455906678133</v>
      </c>
      <c r="AA1246">
        <f t="shared" si="80"/>
        <v>0.153</v>
      </c>
      <c r="AB1246">
        <f t="shared" si="81"/>
        <v>0.675</v>
      </c>
      <c r="AC1246" t="s">
        <v>32</v>
      </c>
    </row>
    <row r="1247" spans="1:29">
      <c r="A1247" t="s">
        <v>101</v>
      </c>
      <c r="B1247">
        <v>3711.875</v>
      </c>
      <c r="C1247">
        <v>23.789</v>
      </c>
      <c r="D1247">
        <v>55.328</v>
      </c>
      <c r="E1247">
        <v>162.295</v>
      </c>
      <c r="F1247">
        <v>0.122</v>
      </c>
      <c r="G1247">
        <v>21.453</v>
      </c>
      <c r="H1247">
        <v>1.087</v>
      </c>
      <c r="I1247">
        <v>2.689</v>
      </c>
      <c r="J1247">
        <v>0.412</v>
      </c>
      <c r="K1247">
        <v>7.755</v>
      </c>
      <c r="L1247">
        <v>0.573</v>
      </c>
      <c r="M1247">
        <v>2.887</v>
      </c>
      <c r="N1247">
        <v>154.726</v>
      </c>
      <c r="O1247">
        <v>144.098</v>
      </c>
      <c r="P1247">
        <f t="shared" si="79"/>
        <v>2.18956329823561</v>
      </c>
      <c r="Q1247">
        <f t="shared" si="79"/>
        <v>2.15865795309025</v>
      </c>
      <c r="R1247">
        <v>75.028</v>
      </c>
      <c r="S1247">
        <v>-9999</v>
      </c>
      <c r="T1247">
        <v>73.146</v>
      </c>
      <c r="U1247">
        <v>4.624</v>
      </c>
      <c r="V1247">
        <v>100</v>
      </c>
      <c r="W1247">
        <v>0.1</v>
      </c>
      <c r="X1247" t="s">
        <v>92</v>
      </c>
      <c r="Y1247" t="s">
        <v>31</v>
      </c>
      <c r="Z1247" s="3">
        <f t="shared" si="78"/>
        <v>0.0309053451453671</v>
      </c>
      <c r="AA1247">
        <f t="shared" si="80"/>
        <v>0.161</v>
      </c>
      <c r="AB1247">
        <f t="shared" si="81"/>
        <v>0.695</v>
      </c>
      <c r="AC1247" t="s">
        <v>32</v>
      </c>
    </row>
    <row r="1248" spans="1:29">
      <c r="A1248" t="s">
        <v>101</v>
      </c>
      <c r="B1248">
        <v>3712</v>
      </c>
      <c r="C1248">
        <v>22.688</v>
      </c>
      <c r="D1248">
        <v>55.102</v>
      </c>
      <c r="E1248">
        <v>161.51</v>
      </c>
      <c r="F1248">
        <v>0.112</v>
      </c>
      <c r="G1248">
        <v>21.553</v>
      </c>
      <c r="H1248">
        <v>1.099</v>
      </c>
      <c r="I1248">
        <v>2.695</v>
      </c>
      <c r="J1248">
        <v>0.433</v>
      </c>
      <c r="K1248">
        <v>7.998</v>
      </c>
      <c r="L1248">
        <v>0.597</v>
      </c>
      <c r="M1248">
        <v>2.81</v>
      </c>
      <c r="N1248">
        <v>159.03</v>
      </c>
      <c r="O1248">
        <v>147.456</v>
      </c>
      <c r="P1248">
        <f t="shared" si="79"/>
        <v>2.20147905894609</v>
      </c>
      <c r="Q1248">
        <f t="shared" si="79"/>
        <v>2.16866244873506</v>
      </c>
      <c r="R1248">
        <v>86.248</v>
      </c>
      <c r="S1248">
        <v>-9999</v>
      </c>
      <c r="T1248">
        <v>86.695</v>
      </c>
      <c r="U1248">
        <v>4.656</v>
      </c>
      <c r="V1248">
        <v>100</v>
      </c>
      <c r="W1248">
        <v>0.1</v>
      </c>
      <c r="X1248" t="s">
        <v>92</v>
      </c>
      <c r="Y1248" t="s">
        <v>31</v>
      </c>
      <c r="Z1248" s="3">
        <f t="shared" si="78"/>
        <v>0.0328166102110274</v>
      </c>
      <c r="AA1248">
        <f t="shared" si="80"/>
        <v>0.164</v>
      </c>
      <c r="AB1248">
        <f t="shared" si="81"/>
        <v>0.709</v>
      </c>
      <c r="AC1248" t="s">
        <v>32</v>
      </c>
    </row>
    <row r="1249" spans="1:29">
      <c r="A1249" t="s">
        <v>101</v>
      </c>
      <c r="B1249">
        <v>3712.125</v>
      </c>
      <c r="C1249">
        <v>23.361</v>
      </c>
      <c r="D1249">
        <v>54.933</v>
      </c>
      <c r="E1249">
        <v>159.773</v>
      </c>
      <c r="F1249">
        <v>0.091</v>
      </c>
      <c r="G1249">
        <v>21.677</v>
      </c>
      <c r="H1249">
        <v>1.091</v>
      </c>
      <c r="I1249">
        <v>2.702</v>
      </c>
      <c r="J1249">
        <v>0.458</v>
      </c>
      <c r="K1249">
        <v>8.09</v>
      </c>
      <c r="L1249">
        <v>0.606</v>
      </c>
      <c r="M1249">
        <v>2.758</v>
      </c>
      <c r="N1249">
        <v>161.886</v>
      </c>
      <c r="O1249">
        <v>149.469</v>
      </c>
      <c r="P1249">
        <f t="shared" si="79"/>
        <v>2.20920929232567</v>
      </c>
      <c r="Q1249">
        <f t="shared" si="79"/>
        <v>2.17455112894824</v>
      </c>
      <c r="R1249">
        <v>85.027</v>
      </c>
      <c r="S1249">
        <v>-9999</v>
      </c>
      <c r="T1249">
        <v>86.641</v>
      </c>
      <c r="U1249">
        <v>4.523</v>
      </c>
      <c r="V1249">
        <v>100</v>
      </c>
      <c r="W1249">
        <v>0.1</v>
      </c>
      <c r="X1249" t="s">
        <v>92</v>
      </c>
      <c r="Y1249" t="s">
        <v>31</v>
      </c>
      <c r="Z1249" s="3">
        <f t="shared" si="78"/>
        <v>0.0346581633774266</v>
      </c>
      <c r="AA1249">
        <f t="shared" si="80"/>
        <v>0.148</v>
      </c>
      <c r="AB1249">
        <f t="shared" si="81"/>
        <v>0.697</v>
      </c>
      <c r="AC1249" t="s">
        <v>32</v>
      </c>
    </row>
    <row r="1250" spans="1:29">
      <c r="A1250" t="s">
        <v>101</v>
      </c>
      <c r="B1250">
        <v>3712.25</v>
      </c>
      <c r="C1250">
        <v>25.162</v>
      </c>
      <c r="D1250">
        <v>54.831</v>
      </c>
      <c r="E1250">
        <v>159.255</v>
      </c>
      <c r="F1250">
        <v>0.085</v>
      </c>
      <c r="G1250">
        <v>21.815</v>
      </c>
      <c r="H1250">
        <v>1.1</v>
      </c>
      <c r="I1250">
        <v>2.708</v>
      </c>
      <c r="J1250">
        <v>0.48</v>
      </c>
      <c r="K1250">
        <v>8.003</v>
      </c>
      <c r="L1250">
        <v>0.597</v>
      </c>
      <c r="M1250">
        <v>2.772</v>
      </c>
      <c r="N1250">
        <v>163.363</v>
      </c>
      <c r="O1250">
        <v>150.313</v>
      </c>
      <c r="P1250">
        <f t="shared" si="79"/>
        <v>2.2131537002049</v>
      </c>
      <c r="Q1250">
        <f t="shared" si="79"/>
        <v>2.17699654269013</v>
      </c>
      <c r="R1250">
        <v>82.718</v>
      </c>
      <c r="S1250">
        <v>-9999</v>
      </c>
      <c r="T1250">
        <v>85.994</v>
      </c>
      <c r="U1250">
        <v>4.288</v>
      </c>
      <c r="V1250">
        <v>100</v>
      </c>
      <c r="W1250">
        <v>0.1</v>
      </c>
      <c r="X1250" t="s">
        <v>92</v>
      </c>
      <c r="Y1250" t="s">
        <v>31</v>
      </c>
      <c r="Z1250" s="3">
        <f t="shared" si="78"/>
        <v>0.0361571575147654</v>
      </c>
      <c r="AA1250">
        <f t="shared" si="80"/>
        <v>0.117</v>
      </c>
      <c r="AB1250">
        <f t="shared" si="81"/>
        <v>0.682</v>
      </c>
      <c r="AC1250" t="s">
        <v>32</v>
      </c>
    </row>
    <row r="1251" spans="1:29">
      <c r="A1251" t="s">
        <v>101</v>
      </c>
      <c r="B1251">
        <v>3712.375</v>
      </c>
      <c r="C1251">
        <v>25.916</v>
      </c>
      <c r="D1251">
        <v>54.744</v>
      </c>
      <c r="E1251">
        <v>159.221</v>
      </c>
      <c r="F1251">
        <v>0.084</v>
      </c>
      <c r="G1251">
        <v>21.885</v>
      </c>
      <c r="H1251">
        <v>1.094</v>
      </c>
      <c r="I1251">
        <v>2.712</v>
      </c>
      <c r="J1251">
        <v>0.495</v>
      </c>
      <c r="K1251">
        <v>8.002</v>
      </c>
      <c r="L1251">
        <v>0.597</v>
      </c>
      <c r="M1251">
        <v>2.806</v>
      </c>
      <c r="N1251">
        <v>164.44</v>
      </c>
      <c r="O1251">
        <v>150.836</v>
      </c>
      <c r="P1251">
        <f t="shared" si="79"/>
        <v>2.21600746810831</v>
      </c>
      <c r="Q1251">
        <f t="shared" si="79"/>
        <v>2.17850500688817</v>
      </c>
      <c r="R1251">
        <v>82.658</v>
      </c>
      <c r="S1251">
        <v>-9999</v>
      </c>
      <c r="T1251">
        <v>87.829</v>
      </c>
      <c r="U1251">
        <v>4.169</v>
      </c>
      <c r="V1251">
        <v>100</v>
      </c>
      <c r="W1251">
        <v>0.1</v>
      </c>
      <c r="X1251" t="s">
        <v>92</v>
      </c>
      <c r="Y1251" t="s">
        <v>31</v>
      </c>
      <c r="Z1251" s="3">
        <f t="shared" si="78"/>
        <v>0.0375024612201376</v>
      </c>
      <c r="AA1251">
        <f t="shared" si="80"/>
        <v>0.102</v>
      </c>
      <c r="AB1251">
        <f t="shared" si="81"/>
        <v>0.681</v>
      </c>
      <c r="AC1251" t="s">
        <v>32</v>
      </c>
    </row>
    <row r="1252" spans="1:29">
      <c r="A1252" t="s">
        <v>101</v>
      </c>
      <c r="B1252">
        <v>3712.5</v>
      </c>
      <c r="C1252">
        <v>27.876</v>
      </c>
      <c r="D1252">
        <v>54.602</v>
      </c>
      <c r="E1252">
        <v>159.623</v>
      </c>
      <c r="F1252">
        <v>0.089</v>
      </c>
      <c r="G1252">
        <v>21.742</v>
      </c>
      <c r="H1252">
        <v>0.88</v>
      </c>
      <c r="I1252">
        <v>2.715</v>
      </c>
      <c r="J1252">
        <v>0.505</v>
      </c>
      <c r="K1252">
        <v>8.136</v>
      </c>
      <c r="L1252">
        <v>0.61</v>
      </c>
      <c r="M1252">
        <v>2.854</v>
      </c>
      <c r="N1252">
        <v>165.717</v>
      </c>
      <c r="O1252">
        <v>151.509</v>
      </c>
      <c r="P1252">
        <f t="shared" si="79"/>
        <v>2.21936706259851</v>
      </c>
      <c r="Q1252">
        <f t="shared" si="79"/>
        <v>2.18043843174422</v>
      </c>
      <c r="R1252">
        <v>79.692</v>
      </c>
      <c r="S1252">
        <v>-9999</v>
      </c>
      <c r="T1252">
        <v>87.023</v>
      </c>
      <c r="U1252">
        <v>4.141</v>
      </c>
      <c r="V1252">
        <v>100</v>
      </c>
      <c r="W1252">
        <v>0.1</v>
      </c>
      <c r="X1252" t="s">
        <v>92</v>
      </c>
      <c r="Y1252" t="s">
        <v>31</v>
      </c>
      <c r="Z1252" s="3">
        <f t="shared" si="78"/>
        <v>0.0389286308542864</v>
      </c>
      <c r="AA1252">
        <f t="shared" si="80"/>
        <v>0.105</v>
      </c>
      <c r="AB1252">
        <f t="shared" si="81"/>
        <v>0.699</v>
      </c>
      <c r="AC1252" t="s">
        <v>32</v>
      </c>
    </row>
    <row r="1253" spans="1:29">
      <c r="A1253" t="s">
        <v>101</v>
      </c>
      <c r="B1253">
        <v>3712.625</v>
      </c>
      <c r="C1253">
        <v>27.944</v>
      </c>
      <c r="D1253">
        <v>54.354</v>
      </c>
      <c r="E1253">
        <v>160.958</v>
      </c>
      <c r="F1253">
        <v>0.106</v>
      </c>
      <c r="G1253">
        <v>21.647</v>
      </c>
      <c r="H1253">
        <v>0.761</v>
      </c>
      <c r="I1253">
        <v>2.716</v>
      </c>
      <c r="J1253">
        <v>0.509</v>
      </c>
      <c r="K1253">
        <v>8.33</v>
      </c>
      <c r="L1253">
        <v>0.629</v>
      </c>
      <c r="M1253">
        <v>2.816</v>
      </c>
      <c r="N1253">
        <v>166.446</v>
      </c>
      <c r="O1253">
        <v>151.43</v>
      </c>
      <c r="P1253">
        <f t="shared" si="79"/>
        <v>2.22127336273209</v>
      </c>
      <c r="Q1253">
        <f t="shared" si="79"/>
        <v>2.18021192234894</v>
      </c>
      <c r="R1253">
        <v>71.196</v>
      </c>
      <c r="S1253">
        <v>-9999</v>
      </c>
      <c r="T1253">
        <v>80.719</v>
      </c>
      <c r="U1253">
        <v>4.218</v>
      </c>
      <c r="V1253">
        <v>100</v>
      </c>
      <c r="W1253">
        <v>0.1</v>
      </c>
      <c r="X1253" t="s">
        <v>92</v>
      </c>
      <c r="Y1253" t="s">
        <v>31</v>
      </c>
      <c r="Z1253" s="3">
        <f t="shared" ref="Z1253:Z1316" si="82">P1253-Q1253</f>
        <v>0.0410614403831491</v>
      </c>
      <c r="AA1253">
        <f t="shared" si="80"/>
        <v>0.12</v>
      </c>
      <c r="AB1253">
        <f t="shared" si="81"/>
        <v>0.735</v>
      </c>
      <c r="AC1253" t="s">
        <v>32</v>
      </c>
    </row>
    <row r="1254" spans="1:29">
      <c r="A1254" t="s">
        <v>101</v>
      </c>
      <c r="B1254">
        <v>3712.75</v>
      </c>
      <c r="C1254">
        <v>26.278</v>
      </c>
      <c r="D1254">
        <v>54.064</v>
      </c>
      <c r="E1254">
        <v>161.8</v>
      </c>
      <c r="F1254">
        <v>0.116</v>
      </c>
      <c r="G1254">
        <v>21.609</v>
      </c>
      <c r="H1254">
        <v>0.829</v>
      </c>
      <c r="I1254">
        <v>2.716</v>
      </c>
      <c r="J1254">
        <v>0.509</v>
      </c>
      <c r="K1254">
        <v>8.414</v>
      </c>
      <c r="L1254">
        <v>0.637</v>
      </c>
      <c r="M1254">
        <v>2.831</v>
      </c>
      <c r="N1254">
        <v>166.542</v>
      </c>
      <c r="O1254">
        <v>150.566</v>
      </c>
      <c r="P1254">
        <f t="shared" si="79"/>
        <v>2.22152377578852</v>
      </c>
      <c r="Q1254">
        <f t="shared" si="79"/>
        <v>2.17772691290419</v>
      </c>
      <c r="R1254">
        <v>64.471</v>
      </c>
      <c r="S1254">
        <v>-9999</v>
      </c>
      <c r="T1254">
        <v>76.088</v>
      </c>
      <c r="U1254">
        <v>4.307</v>
      </c>
      <c r="V1254">
        <v>100</v>
      </c>
      <c r="W1254">
        <v>0.1</v>
      </c>
      <c r="X1254" t="s">
        <v>92</v>
      </c>
      <c r="Y1254" t="s">
        <v>31</v>
      </c>
      <c r="Z1254" s="3">
        <f t="shared" si="82"/>
        <v>0.0437968628843315</v>
      </c>
      <c r="AA1254">
        <f t="shared" si="80"/>
        <v>0.128</v>
      </c>
      <c r="AB1254">
        <f t="shared" si="81"/>
        <v>0.753</v>
      </c>
      <c r="AC1254" t="s">
        <v>32</v>
      </c>
    </row>
    <row r="1255" spans="1:29">
      <c r="A1255" t="s">
        <v>101</v>
      </c>
      <c r="B1255">
        <v>3712.875</v>
      </c>
      <c r="C1255">
        <v>24.513</v>
      </c>
      <c r="D1255">
        <v>53.845</v>
      </c>
      <c r="E1255">
        <v>161.039</v>
      </c>
      <c r="F1255">
        <v>0.107</v>
      </c>
      <c r="G1255">
        <v>21.579</v>
      </c>
      <c r="H1255">
        <v>0.996</v>
      </c>
      <c r="I1255">
        <v>2.714</v>
      </c>
      <c r="J1255">
        <v>0.502</v>
      </c>
      <c r="K1255">
        <v>8.398</v>
      </c>
      <c r="L1255">
        <v>0.636</v>
      </c>
      <c r="M1255">
        <v>2.864</v>
      </c>
      <c r="N1255">
        <v>166.78</v>
      </c>
      <c r="O1255">
        <v>149.598</v>
      </c>
      <c r="P1255">
        <f t="shared" si="79"/>
        <v>2.22214396950066</v>
      </c>
      <c r="Q1255">
        <f t="shared" si="79"/>
        <v>2.17492578741367</v>
      </c>
      <c r="R1255">
        <v>64.603</v>
      </c>
      <c r="S1255">
        <v>-9999</v>
      </c>
      <c r="T1255">
        <v>78.636</v>
      </c>
      <c r="U1255">
        <v>4.365</v>
      </c>
      <c r="V1255">
        <v>100</v>
      </c>
      <c r="W1255">
        <v>0.1</v>
      </c>
      <c r="X1255" t="s">
        <v>92</v>
      </c>
      <c r="Y1255" t="s">
        <v>31</v>
      </c>
      <c r="Z1255" s="3">
        <f t="shared" si="82"/>
        <v>0.0472181820869917</v>
      </c>
      <c r="AA1255">
        <f t="shared" si="80"/>
        <v>0.134</v>
      </c>
      <c r="AB1255">
        <f t="shared" si="81"/>
        <v>0.743</v>
      </c>
      <c r="AC1255" t="s">
        <v>32</v>
      </c>
    </row>
    <row r="1256" spans="1:29">
      <c r="A1256" t="s">
        <v>101</v>
      </c>
      <c r="B1256">
        <v>3713</v>
      </c>
      <c r="C1256">
        <v>23.801</v>
      </c>
      <c r="D1256">
        <v>53.799</v>
      </c>
      <c r="E1256">
        <v>160.246</v>
      </c>
      <c r="F1256">
        <v>0.097</v>
      </c>
      <c r="G1256">
        <v>21.593</v>
      </c>
      <c r="H1256">
        <v>1.179</v>
      </c>
      <c r="I1256">
        <v>2.711</v>
      </c>
      <c r="J1256">
        <v>0.491</v>
      </c>
      <c r="K1256">
        <v>8.454</v>
      </c>
      <c r="L1256">
        <v>0.641</v>
      </c>
      <c r="M1256">
        <v>2.917</v>
      </c>
      <c r="N1256">
        <v>167.807</v>
      </c>
      <c r="O1256">
        <v>149.343</v>
      </c>
      <c r="P1256">
        <f t="shared" si="79"/>
        <v>2.22481007328627</v>
      </c>
      <c r="Q1256">
        <f t="shared" si="79"/>
        <v>2.17418487118106</v>
      </c>
      <c r="R1256">
        <v>74.408</v>
      </c>
      <c r="S1256">
        <v>-9999</v>
      </c>
      <c r="T1256">
        <v>93.449</v>
      </c>
      <c r="U1256">
        <v>4.484</v>
      </c>
      <c r="V1256">
        <v>100</v>
      </c>
      <c r="W1256">
        <v>0.1</v>
      </c>
      <c r="X1256" t="s">
        <v>92</v>
      </c>
      <c r="Y1256" t="s">
        <v>31</v>
      </c>
      <c r="Z1256" s="3">
        <f t="shared" si="82"/>
        <v>0.0506252021052109</v>
      </c>
      <c r="AA1256">
        <f t="shared" si="80"/>
        <v>0.15</v>
      </c>
      <c r="AB1256">
        <f t="shared" si="81"/>
        <v>0.738</v>
      </c>
      <c r="AC1256" t="s">
        <v>32</v>
      </c>
    </row>
    <row r="1257" spans="1:29">
      <c r="A1257" t="s">
        <v>101</v>
      </c>
      <c r="B1257">
        <v>3713.125</v>
      </c>
      <c r="C1257">
        <v>23.229</v>
      </c>
      <c r="D1257">
        <v>53.979</v>
      </c>
      <c r="E1257">
        <v>160.286</v>
      </c>
      <c r="F1257">
        <v>0.097</v>
      </c>
      <c r="G1257">
        <v>21.625</v>
      </c>
      <c r="H1257">
        <v>1.265</v>
      </c>
      <c r="I1257">
        <v>2.705</v>
      </c>
      <c r="J1257">
        <v>0.469</v>
      </c>
      <c r="K1257">
        <v>8.568</v>
      </c>
      <c r="L1257">
        <v>0.653</v>
      </c>
      <c r="M1257">
        <v>2.996</v>
      </c>
      <c r="N1257">
        <v>169.643</v>
      </c>
      <c r="O1257">
        <v>149.999</v>
      </c>
      <c r="P1257">
        <f t="shared" si="79"/>
        <v>2.22953594400416</v>
      </c>
      <c r="Q1257">
        <f t="shared" si="79"/>
        <v>2.17608836374948</v>
      </c>
      <c r="R1257">
        <v>93.482</v>
      </c>
      <c r="S1257">
        <v>-9999</v>
      </c>
      <c r="T1257">
        <v>128.971</v>
      </c>
      <c r="U1257">
        <v>4.704</v>
      </c>
      <c r="V1257">
        <v>100</v>
      </c>
      <c r="W1257">
        <v>0.1</v>
      </c>
      <c r="X1257" t="s">
        <v>92</v>
      </c>
      <c r="Y1257" t="s">
        <v>31</v>
      </c>
      <c r="Z1257" s="3">
        <f t="shared" si="82"/>
        <v>0.0534475802546779</v>
      </c>
      <c r="AA1257">
        <f t="shared" si="80"/>
        <v>0.184</v>
      </c>
      <c r="AB1257">
        <f t="shared" si="81"/>
        <v>0.75</v>
      </c>
      <c r="AC1257" t="s">
        <v>32</v>
      </c>
    </row>
    <row r="1258" spans="1:29">
      <c r="A1258" t="s">
        <v>101</v>
      </c>
      <c r="B1258">
        <v>3713.25</v>
      </c>
      <c r="C1258">
        <v>24.061</v>
      </c>
      <c r="D1258">
        <v>54.288</v>
      </c>
      <c r="E1258">
        <v>160.646</v>
      </c>
      <c r="F1258">
        <v>0.102</v>
      </c>
      <c r="G1258">
        <v>21.658</v>
      </c>
      <c r="H1258">
        <v>1.288</v>
      </c>
      <c r="I1258">
        <v>2.697</v>
      </c>
      <c r="J1258">
        <v>0.44</v>
      </c>
      <c r="K1258">
        <v>8.669</v>
      </c>
      <c r="L1258">
        <v>0.662</v>
      </c>
      <c r="M1258">
        <v>3.094</v>
      </c>
      <c r="N1258">
        <v>171.92</v>
      </c>
      <c r="O1258">
        <v>151.078</v>
      </c>
      <c r="P1258">
        <f t="shared" si="79"/>
        <v>2.23532640248339</v>
      </c>
      <c r="Q1258">
        <f t="shared" si="79"/>
        <v>2.17920122691857</v>
      </c>
      <c r="R1258">
        <v>108.587</v>
      </c>
      <c r="S1258">
        <v>-9999</v>
      </c>
      <c r="T1258">
        <v>166.226</v>
      </c>
      <c r="U1258">
        <v>4.936</v>
      </c>
      <c r="V1258">
        <v>100</v>
      </c>
      <c r="W1258">
        <v>0.102</v>
      </c>
      <c r="X1258" t="s">
        <v>92</v>
      </c>
      <c r="Y1258" t="s">
        <v>31</v>
      </c>
      <c r="Z1258" s="3">
        <f t="shared" si="82"/>
        <v>0.056125175564814</v>
      </c>
      <c r="AA1258">
        <f t="shared" si="80"/>
        <v>0.222</v>
      </c>
      <c r="AB1258">
        <f t="shared" si="81"/>
        <v>0.764</v>
      </c>
      <c r="AC1258" t="s">
        <v>32</v>
      </c>
    </row>
    <row r="1259" spans="1:29">
      <c r="A1259" t="s">
        <v>101</v>
      </c>
      <c r="B1259">
        <v>3713.375</v>
      </c>
      <c r="C1259">
        <v>25.385</v>
      </c>
      <c r="D1259">
        <v>54.641</v>
      </c>
      <c r="E1259">
        <v>161.405</v>
      </c>
      <c r="F1259">
        <v>0.111</v>
      </c>
      <c r="G1259">
        <v>21.64</v>
      </c>
      <c r="H1259">
        <v>1.297</v>
      </c>
      <c r="I1259">
        <v>2.689</v>
      </c>
      <c r="J1259">
        <v>0.412</v>
      </c>
      <c r="K1259">
        <v>8.713</v>
      </c>
      <c r="L1259">
        <v>0.667</v>
      </c>
      <c r="M1259">
        <v>3.201</v>
      </c>
      <c r="N1259">
        <v>174.141</v>
      </c>
      <c r="O1259">
        <v>151.995</v>
      </c>
      <c r="P1259">
        <f t="shared" si="79"/>
        <v>2.24090103405501</v>
      </c>
      <c r="Q1259">
        <f t="shared" si="79"/>
        <v>2.18182930170711</v>
      </c>
      <c r="R1259">
        <v>112.363</v>
      </c>
      <c r="S1259">
        <v>-9999</v>
      </c>
      <c r="T1259">
        <v>176.847</v>
      </c>
      <c r="U1259">
        <v>5.12</v>
      </c>
      <c r="V1259">
        <v>100</v>
      </c>
      <c r="W1259">
        <v>0.112</v>
      </c>
      <c r="X1259" t="s">
        <v>92</v>
      </c>
      <c r="Y1259" t="s">
        <v>31</v>
      </c>
      <c r="Z1259" s="3">
        <f t="shared" si="82"/>
        <v>0.0590717323479053</v>
      </c>
      <c r="AA1259">
        <f t="shared" si="80"/>
        <v>0.255</v>
      </c>
      <c r="AB1259">
        <f t="shared" si="81"/>
        <v>0.778</v>
      </c>
      <c r="AC1259" t="s">
        <v>32</v>
      </c>
    </row>
    <row r="1260" spans="1:29">
      <c r="A1260" t="s">
        <v>101</v>
      </c>
      <c r="B1260">
        <v>3713.5</v>
      </c>
      <c r="C1260">
        <v>26.661</v>
      </c>
      <c r="D1260">
        <v>54.969</v>
      </c>
      <c r="E1260">
        <v>162.295</v>
      </c>
      <c r="F1260">
        <v>0.122</v>
      </c>
      <c r="G1260">
        <v>21.612</v>
      </c>
      <c r="H1260">
        <v>1.317</v>
      </c>
      <c r="I1260">
        <v>2.685</v>
      </c>
      <c r="J1260">
        <v>0.397</v>
      </c>
      <c r="K1260">
        <v>8.671</v>
      </c>
      <c r="L1260">
        <v>0.663</v>
      </c>
      <c r="M1260">
        <v>3.301</v>
      </c>
      <c r="N1260">
        <v>176.757</v>
      </c>
      <c r="O1260">
        <v>153.233</v>
      </c>
      <c r="P1260">
        <f t="shared" si="79"/>
        <v>2.24737662190982</v>
      </c>
      <c r="Q1260">
        <f t="shared" si="79"/>
        <v>2.18535230429505</v>
      </c>
      <c r="R1260">
        <v>108.138</v>
      </c>
      <c r="S1260">
        <v>-9999</v>
      </c>
      <c r="T1260">
        <v>159.456</v>
      </c>
      <c r="U1260">
        <v>5.17</v>
      </c>
      <c r="V1260">
        <v>100</v>
      </c>
      <c r="W1260">
        <v>0.117</v>
      </c>
      <c r="X1260" t="s">
        <v>92</v>
      </c>
      <c r="Y1260" t="s">
        <v>31</v>
      </c>
      <c r="Z1260" s="3">
        <f t="shared" si="82"/>
        <v>0.0620243176147683</v>
      </c>
      <c r="AA1260">
        <f t="shared" si="80"/>
        <v>0.266</v>
      </c>
      <c r="AB1260">
        <f t="shared" si="81"/>
        <v>0.785</v>
      </c>
      <c r="AC1260" t="s">
        <v>32</v>
      </c>
    </row>
    <row r="1261" spans="1:29">
      <c r="A1261" t="s">
        <v>101</v>
      </c>
      <c r="B1261">
        <v>3713.625</v>
      </c>
      <c r="C1261">
        <v>26.548</v>
      </c>
      <c r="D1261">
        <v>55.278</v>
      </c>
      <c r="E1261">
        <v>162.159</v>
      </c>
      <c r="F1261">
        <v>0.12</v>
      </c>
      <c r="G1261">
        <v>21.556</v>
      </c>
      <c r="H1261">
        <v>1.395</v>
      </c>
      <c r="I1261">
        <v>2.687</v>
      </c>
      <c r="J1261">
        <v>0.404</v>
      </c>
      <c r="K1261">
        <v>8.736</v>
      </c>
      <c r="L1261">
        <v>0.669</v>
      </c>
      <c r="M1261">
        <v>3.375</v>
      </c>
      <c r="N1261">
        <v>179.529</v>
      </c>
      <c r="O1261">
        <v>154.759</v>
      </c>
      <c r="P1261">
        <f t="shared" si="79"/>
        <v>2.25413461181517</v>
      </c>
      <c r="Q1261">
        <f t="shared" si="79"/>
        <v>2.1896559147951</v>
      </c>
      <c r="R1261">
        <v>100.465</v>
      </c>
      <c r="S1261">
        <v>-9999</v>
      </c>
      <c r="T1261">
        <v>136.098</v>
      </c>
      <c r="U1261">
        <v>5.145</v>
      </c>
      <c r="V1261">
        <v>100</v>
      </c>
      <c r="W1261">
        <v>0.115</v>
      </c>
      <c r="X1261" t="s">
        <v>92</v>
      </c>
      <c r="Y1261" t="s">
        <v>31</v>
      </c>
      <c r="Z1261" s="3">
        <f t="shared" si="82"/>
        <v>0.0644786970200615</v>
      </c>
      <c r="AA1261">
        <f t="shared" si="80"/>
        <v>0.265</v>
      </c>
      <c r="AB1261">
        <f t="shared" si="81"/>
        <v>0.789</v>
      </c>
      <c r="AC1261" t="s">
        <v>32</v>
      </c>
    </row>
    <row r="1262" spans="1:29">
      <c r="A1262" t="s">
        <v>101</v>
      </c>
      <c r="B1262">
        <v>3713.75</v>
      </c>
      <c r="C1262">
        <v>26.554</v>
      </c>
      <c r="D1262">
        <v>55.646</v>
      </c>
      <c r="E1262">
        <v>162.084</v>
      </c>
      <c r="F1262">
        <v>0.119</v>
      </c>
      <c r="G1262">
        <v>21.573</v>
      </c>
      <c r="H1262">
        <v>1.432</v>
      </c>
      <c r="I1262">
        <v>2.694</v>
      </c>
      <c r="J1262">
        <v>0.43</v>
      </c>
      <c r="K1262">
        <v>8.85</v>
      </c>
      <c r="L1262">
        <v>0.68</v>
      </c>
      <c r="M1262">
        <v>3.418</v>
      </c>
      <c r="N1262">
        <v>181.158</v>
      </c>
      <c r="O1262">
        <v>155.378</v>
      </c>
      <c r="P1262">
        <f t="shared" si="79"/>
        <v>2.25805751738872</v>
      </c>
      <c r="Q1262">
        <f t="shared" si="79"/>
        <v>2.19138952698111</v>
      </c>
      <c r="R1262">
        <v>90.742</v>
      </c>
      <c r="S1262">
        <v>-9999</v>
      </c>
      <c r="T1262">
        <v>115.054</v>
      </c>
      <c r="U1262">
        <v>5.034</v>
      </c>
      <c r="V1262">
        <v>100</v>
      </c>
      <c r="W1262">
        <v>0.105</v>
      </c>
      <c r="X1262" t="s">
        <v>92</v>
      </c>
      <c r="Y1262" t="s">
        <v>31</v>
      </c>
      <c r="Z1262" s="3">
        <f t="shared" si="82"/>
        <v>0.0666679904076051</v>
      </c>
      <c r="AA1262">
        <f t="shared" si="80"/>
        <v>0.25</v>
      </c>
      <c r="AB1262">
        <f t="shared" si="81"/>
        <v>0.799</v>
      </c>
      <c r="AC1262" t="s">
        <v>32</v>
      </c>
    </row>
    <row r="1263" spans="1:29">
      <c r="A1263" t="s">
        <v>101</v>
      </c>
      <c r="B1263">
        <v>3713.875</v>
      </c>
      <c r="C1263">
        <v>26.242</v>
      </c>
      <c r="D1263">
        <v>56.123</v>
      </c>
      <c r="E1263">
        <v>163.305</v>
      </c>
      <c r="F1263">
        <v>0.134</v>
      </c>
      <c r="G1263">
        <v>21.609</v>
      </c>
      <c r="H1263">
        <v>1.369</v>
      </c>
      <c r="I1263">
        <v>2.702</v>
      </c>
      <c r="J1263">
        <v>0.458</v>
      </c>
      <c r="K1263">
        <v>8.964</v>
      </c>
      <c r="L1263">
        <v>0.691</v>
      </c>
      <c r="M1263">
        <v>3.433</v>
      </c>
      <c r="N1263">
        <v>182.272</v>
      </c>
      <c r="O1263">
        <v>155.537</v>
      </c>
      <c r="P1263">
        <f t="shared" si="79"/>
        <v>2.26071995894871</v>
      </c>
      <c r="Q1263">
        <f t="shared" si="79"/>
        <v>2.19183371802138</v>
      </c>
      <c r="R1263">
        <v>83.603</v>
      </c>
      <c r="S1263">
        <v>-9999</v>
      </c>
      <c r="T1263">
        <v>101.467</v>
      </c>
      <c r="U1263">
        <v>4.913</v>
      </c>
      <c r="V1263">
        <v>100</v>
      </c>
      <c r="W1263">
        <v>0.1</v>
      </c>
      <c r="X1263" t="s">
        <v>92</v>
      </c>
      <c r="Y1263" t="s">
        <v>31</v>
      </c>
      <c r="Z1263" s="3">
        <f t="shared" si="82"/>
        <v>0.0688862409273283</v>
      </c>
      <c r="AA1263">
        <f t="shared" si="80"/>
        <v>0.233</v>
      </c>
      <c r="AB1263">
        <f t="shared" si="81"/>
        <v>0.825</v>
      </c>
      <c r="AC1263" t="s">
        <v>32</v>
      </c>
    </row>
    <row r="1264" spans="1:29">
      <c r="A1264" t="s">
        <v>101</v>
      </c>
      <c r="B1264">
        <v>3714</v>
      </c>
      <c r="C1264">
        <v>27.247</v>
      </c>
      <c r="D1264">
        <v>56.703</v>
      </c>
      <c r="E1264">
        <v>164.326</v>
      </c>
      <c r="F1264">
        <v>0.147</v>
      </c>
      <c r="G1264">
        <v>21.627</v>
      </c>
      <c r="H1264">
        <v>1.274</v>
      </c>
      <c r="I1264">
        <v>2.706</v>
      </c>
      <c r="J1264">
        <v>0.473</v>
      </c>
      <c r="K1264">
        <v>9.053</v>
      </c>
      <c r="L1264">
        <v>0.7</v>
      </c>
      <c r="M1264">
        <v>3.426</v>
      </c>
      <c r="N1264">
        <v>184.217</v>
      </c>
      <c r="O1264">
        <v>156.555</v>
      </c>
      <c r="P1264">
        <f t="shared" si="79"/>
        <v>2.26532970547821</v>
      </c>
      <c r="Q1264">
        <f t="shared" si="79"/>
        <v>2.19466694252293</v>
      </c>
      <c r="R1264">
        <v>84.572</v>
      </c>
      <c r="S1264">
        <v>-9999</v>
      </c>
      <c r="T1264">
        <v>102.402</v>
      </c>
      <c r="U1264">
        <v>4.848</v>
      </c>
      <c r="V1264">
        <v>100</v>
      </c>
      <c r="W1264">
        <v>0.1</v>
      </c>
      <c r="X1264" t="s">
        <v>92</v>
      </c>
      <c r="Y1264" t="s">
        <v>31</v>
      </c>
      <c r="Z1264" s="3">
        <f t="shared" si="82"/>
        <v>0.0706627629552745</v>
      </c>
      <c r="AA1264">
        <f t="shared" si="80"/>
        <v>0.227</v>
      </c>
      <c r="AB1264">
        <f t="shared" si="81"/>
        <v>0.847</v>
      </c>
      <c r="AC1264" t="s">
        <v>32</v>
      </c>
    </row>
    <row r="1265" spans="1:29">
      <c r="A1265" t="s">
        <v>102</v>
      </c>
      <c r="B1265">
        <v>3717</v>
      </c>
      <c r="C1265">
        <v>21.473</v>
      </c>
      <c r="D1265">
        <v>83.706</v>
      </c>
      <c r="E1265">
        <v>167.607</v>
      </c>
      <c r="F1265">
        <v>0.205</v>
      </c>
      <c r="G1265">
        <v>23.5</v>
      </c>
      <c r="H1265">
        <v>1.413</v>
      </c>
      <c r="I1265">
        <v>2.743</v>
      </c>
      <c r="J1265">
        <v>0.556</v>
      </c>
      <c r="K1265">
        <v>7.486</v>
      </c>
      <c r="L1265">
        <v>0.369</v>
      </c>
      <c r="M1265">
        <v>2.977</v>
      </c>
      <c r="N1265">
        <v>41.723</v>
      </c>
      <c r="O1265">
        <v>39.746</v>
      </c>
      <c r="P1265">
        <f t="shared" si="79"/>
        <v>1.62037552786102</v>
      </c>
      <c r="Q1265">
        <f t="shared" si="79"/>
        <v>1.5992934282041</v>
      </c>
      <c r="R1265">
        <v>83.393</v>
      </c>
      <c r="S1265">
        <v>83.393</v>
      </c>
      <c r="T1265">
        <v>91.612</v>
      </c>
      <c r="U1265">
        <v>6.086</v>
      </c>
      <c r="V1265">
        <v>38.864</v>
      </c>
      <c r="W1265">
        <v>0.05</v>
      </c>
      <c r="X1265" t="s">
        <v>92</v>
      </c>
      <c r="Y1265" t="s">
        <v>31</v>
      </c>
      <c r="Z1265" s="3">
        <f t="shared" si="82"/>
        <v>0.0210820996569201</v>
      </c>
      <c r="AA1265">
        <f t="shared" si="80"/>
        <v>-0.187</v>
      </c>
      <c r="AB1265">
        <f t="shared" si="81"/>
        <v>0.574</v>
      </c>
      <c r="AC1265" t="s">
        <v>32</v>
      </c>
    </row>
    <row r="1266" spans="1:29">
      <c r="A1266" t="s">
        <v>102</v>
      </c>
      <c r="B1266">
        <v>3717.125</v>
      </c>
      <c r="C1266">
        <v>21.55</v>
      </c>
      <c r="D1266">
        <v>84.345</v>
      </c>
      <c r="E1266">
        <v>168.847</v>
      </c>
      <c r="F1266">
        <v>0.222</v>
      </c>
      <c r="G1266">
        <v>23.5</v>
      </c>
      <c r="H1266">
        <v>1.451</v>
      </c>
      <c r="I1266">
        <v>2.717</v>
      </c>
      <c r="J1266">
        <v>0.423</v>
      </c>
      <c r="K1266">
        <v>8.016</v>
      </c>
      <c r="L1266">
        <v>0.427</v>
      </c>
      <c r="M1266">
        <v>3.03</v>
      </c>
      <c r="N1266">
        <v>39.302</v>
      </c>
      <c r="O1266">
        <v>37.417</v>
      </c>
      <c r="P1266">
        <f t="shared" si="79"/>
        <v>1.59441465131342</v>
      </c>
      <c r="Q1266">
        <f t="shared" si="79"/>
        <v>1.57306896393162</v>
      </c>
      <c r="R1266">
        <v>70.603</v>
      </c>
      <c r="S1266">
        <v>70.603</v>
      </c>
      <c r="T1266">
        <v>79.656</v>
      </c>
      <c r="U1266">
        <v>7.215</v>
      </c>
      <c r="V1266">
        <v>35.604</v>
      </c>
      <c r="W1266">
        <v>0.103</v>
      </c>
      <c r="X1266" t="s">
        <v>92</v>
      </c>
      <c r="Y1266" t="s">
        <v>31</v>
      </c>
      <c r="Z1266" s="3">
        <f t="shared" si="82"/>
        <v>0.0213456873817959</v>
      </c>
      <c r="AA1266">
        <f t="shared" si="80"/>
        <v>0.004</v>
      </c>
      <c r="AB1266">
        <f t="shared" si="81"/>
        <v>0.649</v>
      </c>
      <c r="AC1266" t="s">
        <v>32</v>
      </c>
    </row>
    <row r="1267" spans="1:29">
      <c r="A1267" t="s">
        <v>102</v>
      </c>
      <c r="B1267">
        <v>3717.25</v>
      </c>
      <c r="C1267">
        <v>21.41</v>
      </c>
      <c r="D1267">
        <v>84.345</v>
      </c>
      <c r="E1267">
        <v>169.392</v>
      </c>
      <c r="F1267">
        <v>0.229</v>
      </c>
      <c r="G1267">
        <v>23.5</v>
      </c>
      <c r="H1267">
        <v>1.492</v>
      </c>
      <c r="I1267">
        <v>2.69</v>
      </c>
      <c r="J1267">
        <v>0.286</v>
      </c>
      <c r="K1267">
        <v>8.895</v>
      </c>
      <c r="L1267">
        <v>0.525</v>
      </c>
      <c r="M1267">
        <v>3.063</v>
      </c>
      <c r="N1267">
        <v>38.815</v>
      </c>
      <c r="O1267">
        <v>36.944</v>
      </c>
      <c r="P1267">
        <f t="shared" si="79"/>
        <v>1.58899959049944</v>
      </c>
      <c r="Q1267">
        <f t="shared" si="79"/>
        <v>1.5675439155731</v>
      </c>
      <c r="R1267">
        <v>59.08</v>
      </c>
      <c r="S1267">
        <v>59.08</v>
      </c>
      <c r="T1267">
        <v>68.674</v>
      </c>
      <c r="U1267">
        <v>8.186</v>
      </c>
      <c r="V1267">
        <v>31.868</v>
      </c>
      <c r="W1267">
        <v>0.178</v>
      </c>
      <c r="X1267" t="s">
        <v>92</v>
      </c>
      <c r="Y1267" t="s">
        <v>31</v>
      </c>
      <c r="Z1267" s="3">
        <f t="shared" si="82"/>
        <v>0.0214556749263344</v>
      </c>
      <c r="AA1267">
        <f t="shared" si="80"/>
        <v>0.239</v>
      </c>
      <c r="AB1267">
        <f t="shared" si="81"/>
        <v>0.754</v>
      </c>
      <c r="AC1267" t="s">
        <v>32</v>
      </c>
    </row>
    <row r="1268" spans="1:29">
      <c r="A1268" t="s">
        <v>102</v>
      </c>
      <c r="B1268">
        <v>3717.375</v>
      </c>
      <c r="C1268">
        <v>21.335</v>
      </c>
      <c r="D1268">
        <v>84.345</v>
      </c>
      <c r="E1268">
        <v>169.192</v>
      </c>
      <c r="F1268">
        <v>0.226</v>
      </c>
      <c r="G1268">
        <v>23.5</v>
      </c>
      <c r="H1268">
        <v>1.529</v>
      </c>
      <c r="I1268">
        <v>2.67</v>
      </c>
      <c r="J1268">
        <v>0.184</v>
      </c>
      <c r="K1268">
        <v>9.803</v>
      </c>
      <c r="L1268">
        <v>0.626</v>
      </c>
      <c r="M1268">
        <v>3.099</v>
      </c>
      <c r="N1268">
        <v>38.796</v>
      </c>
      <c r="O1268">
        <v>36.923</v>
      </c>
      <c r="P1268">
        <f t="shared" si="79"/>
        <v>1.58878695065918</v>
      </c>
      <c r="Q1268">
        <f t="shared" si="79"/>
        <v>1.56729698028764</v>
      </c>
      <c r="R1268">
        <v>48.441</v>
      </c>
      <c r="S1268">
        <v>48.441</v>
      </c>
      <c r="T1268">
        <v>57.697</v>
      </c>
      <c r="U1268">
        <v>8.496</v>
      </c>
      <c r="V1268">
        <v>33.262</v>
      </c>
      <c r="W1268">
        <v>0.206</v>
      </c>
      <c r="X1268" t="s">
        <v>92</v>
      </c>
      <c r="Y1268" t="s">
        <v>31</v>
      </c>
      <c r="Z1268" s="3">
        <f t="shared" si="82"/>
        <v>0.0214899703715437</v>
      </c>
      <c r="AA1268">
        <f t="shared" si="80"/>
        <v>0.442</v>
      </c>
      <c r="AB1268">
        <f t="shared" si="81"/>
        <v>0.852</v>
      </c>
      <c r="AC1268" t="s">
        <v>32</v>
      </c>
    </row>
    <row r="1269" spans="1:29">
      <c r="A1269" t="s">
        <v>102</v>
      </c>
      <c r="B1269">
        <v>3717.5</v>
      </c>
      <c r="C1269">
        <v>21.742</v>
      </c>
      <c r="D1269">
        <v>84.345</v>
      </c>
      <c r="E1269">
        <v>168.487</v>
      </c>
      <c r="F1269">
        <v>0.217</v>
      </c>
      <c r="G1269">
        <v>23.5</v>
      </c>
      <c r="H1269">
        <v>1.563</v>
      </c>
      <c r="I1269">
        <v>2.658</v>
      </c>
      <c r="J1269">
        <v>0.122</v>
      </c>
      <c r="K1269">
        <v>10.493</v>
      </c>
      <c r="L1269">
        <v>0.702</v>
      </c>
      <c r="M1269">
        <v>3.099</v>
      </c>
      <c r="N1269">
        <v>38.83</v>
      </c>
      <c r="O1269">
        <v>36.954</v>
      </c>
      <c r="P1269">
        <f t="shared" si="79"/>
        <v>1.58916739054605</v>
      </c>
      <c r="Q1269">
        <f t="shared" si="79"/>
        <v>1.5676614544739</v>
      </c>
      <c r="R1269">
        <v>38.796</v>
      </c>
      <c r="S1269">
        <v>38.796</v>
      </c>
      <c r="T1269">
        <v>47.914</v>
      </c>
      <c r="U1269">
        <v>9.176</v>
      </c>
      <c r="V1269">
        <v>33.293</v>
      </c>
      <c r="W1269">
        <v>0.292</v>
      </c>
      <c r="X1269" t="s">
        <v>92</v>
      </c>
      <c r="Y1269" t="s">
        <v>31</v>
      </c>
      <c r="Z1269" s="3">
        <f t="shared" si="82"/>
        <v>0.0215059360721495</v>
      </c>
      <c r="AA1269">
        <f t="shared" si="80"/>
        <v>0.58</v>
      </c>
      <c r="AB1269">
        <f t="shared" si="81"/>
        <v>0.919</v>
      </c>
      <c r="AC1269" t="s">
        <v>32</v>
      </c>
    </row>
    <row r="1270" spans="1:29">
      <c r="A1270" t="s">
        <v>102</v>
      </c>
      <c r="B1270">
        <v>3717.625</v>
      </c>
      <c r="C1270">
        <v>22.446</v>
      </c>
      <c r="D1270">
        <v>84.345</v>
      </c>
      <c r="E1270">
        <v>167.637</v>
      </c>
      <c r="F1270">
        <v>0.206</v>
      </c>
      <c r="G1270">
        <v>23.5</v>
      </c>
      <c r="H1270">
        <v>1.578</v>
      </c>
      <c r="I1270">
        <v>2.653</v>
      </c>
      <c r="J1270">
        <v>0.097</v>
      </c>
      <c r="K1270">
        <v>10.886</v>
      </c>
      <c r="L1270">
        <v>0.746</v>
      </c>
      <c r="M1270">
        <v>3.122</v>
      </c>
      <c r="N1270">
        <v>38.765</v>
      </c>
      <c r="O1270">
        <v>36.892</v>
      </c>
      <c r="P1270">
        <f t="shared" si="79"/>
        <v>1.58843978830553</v>
      </c>
      <c r="Q1270">
        <f t="shared" si="79"/>
        <v>1.56693219996574</v>
      </c>
      <c r="R1270">
        <v>38.057</v>
      </c>
      <c r="S1270">
        <v>38.057</v>
      </c>
      <c r="T1270">
        <v>42.453</v>
      </c>
      <c r="U1270">
        <v>9.386</v>
      </c>
      <c r="V1270">
        <v>32.769</v>
      </c>
      <c r="W1270">
        <v>0.319</v>
      </c>
      <c r="X1270" t="s">
        <v>92</v>
      </c>
      <c r="Y1270" t="s">
        <v>31</v>
      </c>
      <c r="Z1270" s="3">
        <f t="shared" si="82"/>
        <v>0.0215075883397886</v>
      </c>
      <c r="AA1270">
        <f t="shared" si="80"/>
        <v>0.649</v>
      </c>
      <c r="AB1270">
        <f t="shared" si="81"/>
        <v>0.952</v>
      </c>
      <c r="AC1270" t="s">
        <v>32</v>
      </c>
    </row>
    <row r="1271" spans="1:29">
      <c r="A1271" t="s">
        <v>102</v>
      </c>
      <c r="B1271">
        <v>3717.75</v>
      </c>
      <c r="C1271">
        <v>22.597</v>
      </c>
      <c r="D1271">
        <v>84.345</v>
      </c>
      <c r="E1271">
        <v>167.127</v>
      </c>
      <c r="F1271">
        <v>0.199</v>
      </c>
      <c r="G1271">
        <v>23.5</v>
      </c>
      <c r="H1271">
        <v>1.56</v>
      </c>
      <c r="I1271">
        <v>2.651</v>
      </c>
      <c r="J1271">
        <v>0.087</v>
      </c>
      <c r="K1271">
        <v>11.041</v>
      </c>
      <c r="L1271">
        <v>0.763</v>
      </c>
      <c r="M1271">
        <v>3.112</v>
      </c>
      <c r="N1271">
        <v>38.526</v>
      </c>
      <c r="O1271">
        <v>36.662</v>
      </c>
      <c r="P1271">
        <f t="shared" si="79"/>
        <v>1.58575392030014</v>
      </c>
      <c r="Q1271">
        <f t="shared" si="79"/>
        <v>1.56421615307769</v>
      </c>
      <c r="R1271">
        <v>36.006</v>
      </c>
      <c r="S1271">
        <v>36.006</v>
      </c>
      <c r="T1271">
        <v>41.959</v>
      </c>
      <c r="U1271">
        <v>8.742</v>
      </c>
      <c r="V1271">
        <v>33.22</v>
      </c>
      <c r="W1271">
        <v>0.237</v>
      </c>
      <c r="X1271" t="s">
        <v>92</v>
      </c>
      <c r="Y1271" t="s">
        <v>31</v>
      </c>
      <c r="Z1271" s="3">
        <f t="shared" si="82"/>
        <v>0.0215377672224519</v>
      </c>
      <c r="AA1271">
        <f t="shared" si="80"/>
        <v>0.676</v>
      </c>
      <c r="AB1271">
        <f t="shared" si="81"/>
        <v>0.962</v>
      </c>
      <c r="AC1271" t="s">
        <v>32</v>
      </c>
    </row>
    <row r="1272" spans="1:29">
      <c r="A1272" t="s">
        <v>102</v>
      </c>
      <c r="B1272">
        <v>3717.875</v>
      </c>
      <c r="C1272">
        <v>21.929</v>
      </c>
      <c r="D1272">
        <v>84.345</v>
      </c>
      <c r="E1272">
        <v>167.124</v>
      </c>
      <c r="F1272">
        <v>0.199</v>
      </c>
      <c r="G1272">
        <v>23.5</v>
      </c>
      <c r="H1272">
        <v>1.521</v>
      </c>
      <c r="I1272">
        <v>2.652</v>
      </c>
      <c r="J1272">
        <v>0.092</v>
      </c>
      <c r="K1272">
        <v>10.991</v>
      </c>
      <c r="L1272">
        <v>0.757</v>
      </c>
      <c r="M1272">
        <v>3.063</v>
      </c>
      <c r="N1272">
        <v>38.213</v>
      </c>
      <c r="O1272">
        <v>36.361</v>
      </c>
      <c r="P1272">
        <f t="shared" ref="P1272:Q1335" si="83">LOG(N1272)</f>
        <v>1.58221113432022</v>
      </c>
      <c r="Q1272">
        <f t="shared" si="83"/>
        <v>1.56063581867836</v>
      </c>
      <c r="R1272">
        <v>36.983</v>
      </c>
      <c r="S1272">
        <v>36.983</v>
      </c>
      <c r="T1272">
        <v>45.781</v>
      </c>
      <c r="U1272">
        <v>8.502</v>
      </c>
      <c r="V1272">
        <v>31.902</v>
      </c>
      <c r="W1272">
        <v>0.207</v>
      </c>
      <c r="X1272" t="s">
        <v>92</v>
      </c>
      <c r="Y1272" t="s">
        <v>31</v>
      </c>
      <c r="Z1272" s="3">
        <f t="shared" si="82"/>
        <v>0.0215753156418541</v>
      </c>
      <c r="AA1272">
        <f t="shared" si="80"/>
        <v>0.665</v>
      </c>
      <c r="AB1272">
        <f t="shared" si="81"/>
        <v>0.956</v>
      </c>
      <c r="AC1272" t="s">
        <v>32</v>
      </c>
    </row>
    <row r="1273" spans="1:29">
      <c r="A1273" t="s">
        <v>102</v>
      </c>
      <c r="B1273">
        <v>3718</v>
      </c>
      <c r="C1273">
        <v>20.751</v>
      </c>
      <c r="D1273">
        <v>84.345</v>
      </c>
      <c r="E1273">
        <v>167.348</v>
      </c>
      <c r="F1273">
        <v>0.202</v>
      </c>
      <c r="G1273">
        <v>23.5</v>
      </c>
      <c r="H1273">
        <v>1.489</v>
      </c>
      <c r="I1273">
        <v>2.655</v>
      </c>
      <c r="J1273">
        <v>0.107</v>
      </c>
      <c r="K1273">
        <v>10.826</v>
      </c>
      <c r="L1273">
        <v>0.739</v>
      </c>
      <c r="M1273">
        <v>3.113</v>
      </c>
      <c r="N1273">
        <v>38.44</v>
      </c>
      <c r="O1273">
        <v>36.576</v>
      </c>
      <c r="P1273">
        <f t="shared" si="83"/>
        <v>1.58478337899651</v>
      </c>
      <c r="Q1273">
        <f t="shared" si="83"/>
        <v>1.56319620871519</v>
      </c>
      <c r="R1273">
        <v>41.506</v>
      </c>
      <c r="S1273">
        <v>41.506</v>
      </c>
      <c r="T1273">
        <v>51.737</v>
      </c>
      <c r="U1273">
        <v>8.483</v>
      </c>
      <c r="V1273">
        <v>31.461</v>
      </c>
      <c r="W1273">
        <v>0.204</v>
      </c>
      <c r="X1273" t="s">
        <v>92</v>
      </c>
      <c r="Y1273" t="s">
        <v>31</v>
      </c>
      <c r="Z1273" s="3">
        <f t="shared" si="82"/>
        <v>0.02158717028132</v>
      </c>
      <c r="AA1273">
        <f t="shared" si="80"/>
        <v>0.632</v>
      </c>
      <c r="AB1273">
        <f t="shared" si="81"/>
        <v>0.941</v>
      </c>
      <c r="AC1273" t="s">
        <v>32</v>
      </c>
    </row>
    <row r="1274" spans="1:29">
      <c r="A1274" t="s">
        <v>102</v>
      </c>
      <c r="B1274">
        <v>3718.125</v>
      </c>
      <c r="C1274">
        <v>19.711</v>
      </c>
      <c r="D1274">
        <v>84.345</v>
      </c>
      <c r="E1274">
        <v>167.406</v>
      </c>
      <c r="F1274">
        <v>0.203</v>
      </c>
      <c r="G1274">
        <v>23.5</v>
      </c>
      <c r="H1274">
        <v>1.465</v>
      </c>
      <c r="I1274">
        <v>2.657</v>
      </c>
      <c r="J1274">
        <v>0.117</v>
      </c>
      <c r="K1274">
        <v>10.724</v>
      </c>
      <c r="L1274">
        <v>0.728</v>
      </c>
      <c r="M1274">
        <v>3.161</v>
      </c>
      <c r="N1274">
        <v>39.863</v>
      </c>
      <c r="O1274">
        <v>37.932</v>
      </c>
      <c r="P1274">
        <f t="shared" si="83"/>
        <v>1.60056997962334</v>
      </c>
      <c r="Q1274">
        <f t="shared" si="83"/>
        <v>1.5790057418872</v>
      </c>
      <c r="R1274">
        <v>47.662</v>
      </c>
      <c r="S1274">
        <v>47.662</v>
      </c>
      <c r="T1274">
        <v>57.277</v>
      </c>
      <c r="U1274">
        <v>8.489</v>
      </c>
      <c r="V1274">
        <v>30.462</v>
      </c>
      <c r="W1274">
        <v>0.205</v>
      </c>
      <c r="X1274" t="s">
        <v>92</v>
      </c>
      <c r="Y1274" t="s">
        <v>31</v>
      </c>
      <c r="Z1274" s="3">
        <f t="shared" si="82"/>
        <v>0.0215642377361311</v>
      </c>
      <c r="AA1274">
        <f t="shared" ref="AA1274:AA1337" si="84">L1274-J1274</f>
        <v>0.611</v>
      </c>
      <c r="AB1274">
        <f t="shared" ref="AB1274:AB1337" si="85">L1274+F1274</f>
        <v>0.931</v>
      </c>
      <c r="AC1274" t="s">
        <v>32</v>
      </c>
    </row>
    <row r="1275" spans="1:29">
      <c r="A1275" t="s">
        <v>102</v>
      </c>
      <c r="B1275">
        <v>3718.25</v>
      </c>
      <c r="C1275">
        <v>19.301</v>
      </c>
      <c r="D1275">
        <v>84.345</v>
      </c>
      <c r="E1275">
        <v>167.246</v>
      </c>
      <c r="F1275">
        <v>0.2</v>
      </c>
      <c r="G1275">
        <v>23.5</v>
      </c>
      <c r="H1275">
        <v>1.453</v>
      </c>
      <c r="I1275">
        <v>2.658</v>
      </c>
      <c r="J1275">
        <v>0.122</v>
      </c>
      <c r="K1275">
        <v>10.699</v>
      </c>
      <c r="L1275">
        <v>0.725</v>
      </c>
      <c r="M1275">
        <v>3.169</v>
      </c>
      <c r="N1275">
        <v>42.686</v>
      </c>
      <c r="O1275">
        <v>40.626</v>
      </c>
      <c r="P1275">
        <f t="shared" si="83"/>
        <v>1.63028546004362</v>
      </c>
      <c r="Q1275">
        <f t="shared" si="83"/>
        <v>1.60880406418107</v>
      </c>
      <c r="R1275">
        <v>51.765</v>
      </c>
      <c r="S1275">
        <v>51.765</v>
      </c>
      <c r="T1275">
        <v>61.321</v>
      </c>
      <c r="U1275">
        <v>8.503</v>
      </c>
      <c r="V1275">
        <v>29.299</v>
      </c>
      <c r="W1275">
        <v>0.207</v>
      </c>
      <c r="X1275" t="s">
        <v>92</v>
      </c>
      <c r="Y1275" t="s">
        <v>31</v>
      </c>
      <c r="Z1275" s="3">
        <f t="shared" si="82"/>
        <v>0.0214813958625506</v>
      </c>
      <c r="AA1275">
        <f t="shared" si="84"/>
        <v>0.603</v>
      </c>
      <c r="AB1275">
        <f t="shared" si="85"/>
        <v>0.925</v>
      </c>
      <c r="AC1275" t="s">
        <v>32</v>
      </c>
    </row>
    <row r="1276" spans="1:29">
      <c r="A1276" t="s">
        <v>102</v>
      </c>
      <c r="B1276">
        <v>3718.375</v>
      </c>
      <c r="C1276">
        <v>19.597</v>
      </c>
      <c r="D1276">
        <v>83.706</v>
      </c>
      <c r="E1276">
        <v>167.015</v>
      </c>
      <c r="F1276">
        <v>0.197</v>
      </c>
      <c r="G1276">
        <v>23.5</v>
      </c>
      <c r="H1276">
        <v>1.463</v>
      </c>
      <c r="I1276">
        <v>2.656</v>
      </c>
      <c r="J1276">
        <v>0.112</v>
      </c>
      <c r="K1276">
        <v>10.598</v>
      </c>
      <c r="L1276">
        <v>0.714</v>
      </c>
      <c r="M1276">
        <v>3.182</v>
      </c>
      <c r="N1276">
        <v>46.042</v>
      </c>
      <c r="O1276">
        <v>43.831</v>
      </c>
      <c r="P1276">
        <f t="shared" si="83"/>
        <v>1.66315418051159</v>
      </c>
      <c r="Q1276">
        <f t="shared" si="83"/>
        <v>1.64178137915334</v>
      </c>
      <c r="R1276">
        <v>55.868</v>
      </c>
      <c r="S1276">
        <v>55.868</v>
      </c>
      <c r="T1276">
        <v>65.085</v>
      </c>
      <c r="U1276">
        <v>8.506</v>
      </c>
      <c r="V1276">
        <v>28.305</v>
      </c>
      <c r="W1276">
        <v>0.207</v>
      </c>
      <c r="X1276" t="s">
        <v>92</v>
      </c>
      <c r="Y1276" t="s">
        <v>31</v>
      </c>
      <c r="Z1276" s="3">
        <f t="shared" si="82"/>
        <v>0.0213728013582497</v>
      </c>
      <c r="AA1276">
        <f t="shared" si="84"/>
        <v>0.602</v>
      </c>
      <c r="AB1276">
        <f t="shared" si="85"/>
        <v>0.911</v>
      </c>
      <c r="AC1276" t="s">
        <v>32</v>
      </c>
    </row>
    <row r="1277" spans="1:29">
      <c r="A1277" t="s">
        <v>102</v>
      </c>
      <c r="B1277">
        <v>3718.5</v>
      </c>
      <c r="C1277">
        <v>19.985</v>
      </c>
      <c r="D1277">
        <v>83.706</v>
      </c>
      <c r="E1277">
        <v>166.581</v>
      </c>
      <c r="F1277">
        <v>0.192</v>
      </c>
      <c r="G1277">
        <v>23.5</v>
      </c>
      <c r="H1277">
        <v>1.487</v>
      </c>
      <c r="I1277">
        <v>2.655</v>
      </c>
      <c r="J1277">
        <v>0.107</v>
      </c>
      <c r="K1277">
        <v>10.373</v>
      </c>
      <c r="L1277">
        <v>0.689</v>
      </c>
      <c r="M1277">
        <v>3.24</v>
      </c>
      <c r="N1277">
        <v>48.788</v>
      </c>
      <c r="O1277">
        <v>46.455</v>
      </c>
      <c r="P1277">
        <f t="shared" si="83"/>
        <v>1.68831301514512</v>
      </c>
      <c r="Q1277">
        <f t="shared" si="83"/>
        <v>1.66703246441247</v>
      </c>
      <c r="R1277">
        <v>59.97</v>
      </c>
      <c r="S1277">
        <v>59.97</v>
      </c>
      <c r="T1277">
        <v>68.857</v>
      </c>
      <c r="U1277">
        <v>7.81</v>
      </c>
      <c r="V1277">
        <v>30.015</v>
      </c>
      <c r="W1277">
        <v>0.145</v>
      </c>
      <c r="X1277" t="s">
        <v>92</v>
      </c>
      <c r="Y1277" t="s">
        <v>31</v>
      </c>
      <c r="Z1277" s="3">
        <f t="shared" si="82"/>
        <v>0.0212805507326557</v>
      </c>
      <c r="AA1277">
        <f t="shared" si="84"/>
        <v>0.582</v>
      </c>
      <c r="AB1277">
        <f t="shared" si="85"/>
        <v>0.881</v>
      </c>
      <c r="AC1277" t="s">
        <v>32</v>
      </c>
    </row>
    <row r="1278" spans="1:29">
      <c r="A1278" t="s">
        <v>102</v>
      </c>
      <c r="B1278">
        <v>3718.625</v>
      </c>
      <c r="C1278">
        <v>20.051</v>
      </c>
      <c r="D1278">
        <v>84.212</v>
      </c>
      <c r="E1278">
        <v>165.541</v>
      </c>
      <c r="F1278">
        <v>0.178</v>
      </c>
      <c r="G1278">
        <v>23.5</v>
      </c>
      <c r="H1278">
        <v>1.512</v>
      </c>
      <c r="I1278">
        <v>2.658</v>
      </c>
      <c r="J1278">
        <v>0.122</v>
      </c>
      <c r="K1278">
        <v>10.077</v>
      </c>
      <c r="L1278">
        <v>0.656</v>
      </c>
      <c r="M1278">
        <v>3.272</v>
      </c>
      <c r="N1278">
        <v>50.268</v>
      </c>
      <c r="O1278">
        <v>47.873</v>
      </c>
      <c r="P1278">
        <f t="shared" si="83"/>
        <v>1.70129160640884</v>
      </c>
      <c r="Q1278">
        <f t="shared" si="83"/>
        <v>1.68009064374729</v>
      </c>
      <c r="R1278">
        <v>64.069</v>
      </c>
      <c r="S1278">
        <v>64.069</v>
      </c>
      <c r="T1278">
        <v>72.875</v>
      </c>
      <c r="U1278">
        <v>7.523</v>
      </c>
      <c r="V1278">
        <v>30.919</v>
      </c>
      <c r="W1278">
        <v>0.121</v>
      </c>
      <c r="X1278" t="s">
        <v>92</v>
      </c>
      <c r="Y1278" t="s">
        <v>31</v>
      </c>
      <c r="Z1278" s="3">
        <f t="shared" si="82"/>
        <v>0.0212009626615577</v>
      </c>
      <c r="AA1278">
        <f t="shared" si="84"/>
        <v>0.534</v>
      </c>
      <c r="AB1278">
        <f t="shared" si="85"/>
        <v>0.834</v>
      </c>
      <c r="AC1278" t="s">
        <v>32</v>
      </c>
    </row>
    <row r="1279" spans="1:29">
      <c r="A1279" t="s">
        <v>102</v>
      </c>
      <c r="B1279">
        <v>3718.75</v>
      </c>
      <c r="C1279">
        <v>20.161</v>
      </c>
      <c r="D1279">
        <v>84.345</v>
      </c>
      <c r="E1279">
        <v>163.861</v>
      </c>
      <c r="F1279">
        <v>0.156</v>
      </c>
      <c r="G1279">
        <v>23.5</v>
      </c>
      <c r="H1279">
        <v>1.548</v>
      </c>
      <c r="I1279">
        <v>2.669</v>
      </c>
      <c r="J1279">
        <v>0.179</v>
      </c>
      <c r="K1279">
        <v>9.704</v>
      </c>
      <c r="L1279">
        <v>0.615</v>
      </c>
      <c r="M1279">
        <v>3.304</v>
      </c>
      <c r="N1279">
        <v>50.776</v>
      </c>
      <c r="O1279">
        <v>48.361</v>
      </c>
      <c r="P1279">
        <f t="shared" si="83"/>
        <v>1.7056584853059</v>
      </c>
      <c r="Q1279">
        <f t="shared" si="83"/>
        <v>1.68449527254423</v>
      </c>
      <c r="R1279">
        <v>68.167</v>
      </c>
      <c r="S1279">
        <v>68.167</v>
      </c>
      <c r="T1279">
        <v>77.082</v>
      </c>
      <c r="U1279">
        <v>6.715</v>
      </c>
      <c r="V1279">
        <v>34.239</v>
      </c>
      <c r="W1279">
        <v>0.076</v>
      </c>
      <c r="X1279" t="s">
        <v>92</v>
      </c>
      <c r="Y1279" t="s">
        <v>31</v>
      </c>
      <c r="Z1279" s="3">
        <f t="shared" si="82"/>
        <v>0.0211632127616708</v>
      </c>
      <c r="AA1279">
        <f t="shared" si="84"/>
        <v>0.436</v>
      </c>
      <c r="AB1279">
        <f t="shared" si="85"/>
        <v>0.771</v>
      </c>
      <c r="AC1279" t="s">
        <v>32</v>
      </c>
    </row>
    <row r="1280" spans="1:29">
      <c r="A1280" t="s">
        <v>102</v>
      </c>
      <c r="B1280">
        <v>3718.875</v>
      </c>
      <c r="C1280">
        <v>20.773</v>
      </c>
      <c r="D1280">
        <v>84.345</v>
      </c>
      <c r="E1280">
        <v>161.933</v>
      </c>
      <c r="F1280">
        <v>0.131</v>
      </c>
      <c r="G1280">
        <v>23.5</v>
      </c>
      <c r="H1280">
        <v>1.592</v>
      </c>
      <c r="I1280">
        <v>2.684</v>
      </c>
      <c r="J1280">
        <v>0.255</v>
      </c>
      <c r="K1280">
        <v>9.197</v>
      </c>
      <c r="L1280">
        <v>0.558</v>
      </c>
      <c r="M1280">
        <v>3.31</v>
      </c>
      <c r="N1280">
        <v>50.84</v>
      </c>
      <c r="O1280">
        <v>48.424</v>
      </c>
      <c r="P1280">
        <f t="shared" si="83"/>
        <v>1.70620554188197</v>
      </c>
      <c r="Q1280">
        <f t="shared" si="83"/>
        <v>1.6850606609045</v>
      </c>
      <c r="R1280">
        <v>72.27</v>
      </c>
      <c r="S1280">
        <v>72.27</v>
      </c>
      <c r="T1280">
        <v>81.013</v>
      </c>
      <c r="U1280">
        <v>6.317</v>
      </c>
      <c r="V1280">
        <v>35.819</v>
      </c>
      <c r="W1280">
        <v>0.056</v>
      </c>
      <c r="X1280" t="s">
        <v>92</v>
      </c>
      <c r="Y1280" t="s">
        <v>31</v>
      </c>
      <c r="Z1280" s="3">
        <f t="shared" si="82"/>
        <v>0.021144880977475</v>
      </c>
      <c r="AA1280">
        <f t="shared" si="84"/>
        <v>0.303</v>
      </c>
      <c r="AB1280">
        <f t="shared" si="85"/>
        <v>0.689</v>
      </c>
      <c r="AC1280" t="s">
        <v>32</v>
      </c>
    </row>
    <row r="1281" spans="1:29">
      <c r="A1281" t="s">
        <v>102</v>
      </c>
      <c r="B1281">
        <v>3719</v>
      </c>
      <c r="C1281">
        <v>21.537</v>
      </c>
      <c r="D1281">
        <v>84.345</v>
      </c>
      <c r="E1281">
        <v>160.214</v>
      </c>
      <c r="F1281">
        <v>0.108</v>
      </c>
      <c r="G1281">
        <v>23.5</v>
      </c>
      <c r="H1281">
        <v>1.627</v>
      </c>
      <c r="I1281">
        <v>2.701</v>
      </c>
      <c r="J1281">
        <v>0.342</v>
      </c>
      <c r="K1281">
        <v>8.62</v>
      </c>
      <c r="L1281">
        <v>0.494</v>
      </c>
      <c r="M1281">
        <v>3.292</v>
      </c>
      <c r="N1281">
        <v>50.725</v>
      </c>
      <c r="O1281">
        <v>48.315</v>
      </c>
      <c r="P1281">
        <f t="shared" si="83"/>
        <v>1.70522205570538</v>
      </c>
      <c r="Q1281">
        <f t="shared" si="83"/>
        <v>1.68408198387537</v>
      </c>
      <c r="R1281">
        <v>76.372</v>
      </c>
      <c r="S1281">
        <v>76.372</v>
      </c>
      <c r="T1281">
        <v>82.687</v>
      </c>
      <c r="U1281">
        <v>6.22</v>
      </c>
      <c r="V1281">
        <v>36.491</v>
      </c>
      <c r="W1281">
        <v>0.052</v>
      </c>
      <c r="X1281" t="s">
        <v>92</v>
      </c>
      <c r="Y1281" t="s">
        <v>31</v>
      </c>
      <c r="Z1281" s="3">
        <f t="shared" si="82"/>
        <v>0.021140071830011</v>
      </c>
      <c r="AA1281">
        <f t="shared" si="84"/>
        <v>0.152</v>
      </c>
      <c r="AB1281">
        <f t="shared" si="85"/>
        <v>0.602</v>
      </c>
      <c r="AC1281" t="s">
        <v>32</v>
      </c>
    </row>
    <row r="1282" spans="1:29">
      <c r="A1282" t="s">
        <v>103</v>
      </c>
      <c r="B1282">
        <v>3601</v>
      </c>
      <c r="C1282">
        <v>38.112</v>
      </c>
      <c r="D1282">
        <v>58.508</v>
      </c>
      <c r="E1282">
        <v>157.208</v>
      </c>
      <c r="F1282">
        <v>0.064</v>
      </c>
      <c r="G1282">
        <v>22.382</v>
      </c>
      <c r="H1282">
        <v>1.957</v>
      </c>
      <c r="I1282">
        <v>2.766</v>
      </c>
      <c r="J1282">
        <v>0.551</v>
      </c>
      <c r="K1282">
        <v>6.227</v>
      </c>
      <c r="L1282">
        <v>0.34</v>
      </c>
      <c r="M1282">
        <v>3.207</v>
      </c>
      <c r="N1282">
        <v>306.76</v>
      </c>
      <c r="O1282">
        <v>284.591</v>
      </c>
      <c r="P1282">
        <f t="shared" si="83"/>
        <v>2.48679872909759</v>
      </c>
      <c r="Q1282">
        <f t="shared" si="83"/>
        <v>2.45422116169296</v>
      </c>
      <c r="R1282">
        <v>180.071</v>
      </c>
      <c r="S1282">
        <v>180.071</v>
      </c>
      <c r="T1282">
        <v>191.362</v>
      </c>
      <c r="U1282">
        <v>0</v>
      </c>
      <c r="V1282">
        <v>100</v>
      </c>
      <c r="W1282">
        <v>0.1</v>
      </c>
      <c r="X1282" t="s">
        <v>92</v>
      </c>
      <c r="Y1282" t="s">
        <v>31</v>
      </c>
      <c r="Z1282" s="3">
        <f t="shared" si="82"/>
        <v>0.0325775674046369</v>
      </c>
      <c r="AA1282">
        <f t="shared" si="84"/>
        <v>-0.211</v>
      </c>
      <c r="AB1282">
        <f t="shared" si="85"/>
        <v>0.404</v>
      </c>
      <c r="AC1282" t="s">
        <v>32</v>
      </c>
    </row>
    <row r="1283" spans="1:29">
      <c r="A1283" t="s">
        <v>103</v>
      </c>
      <c r="B1283">
        <v>3601.125</v>
      </c>
      <c r="C1283">
        <v>34.874</v>
      </c>
      <c r="D1283">
        <v>58.151</v>
      </c>
      <c r="E1283">
        <v>157.235</v>
      </c>
      <c r="F1283">
        <v>0.065</v>
      </c>
      <c r="G1283">
        <v>22.34</v>
      </c>
      <c r="H1283">
        <v>1.903</v>
      </c>
      <c r="I1283">
        <v>2.769</v>
      </c>
      <c r="J1283">
        <v>0.567</v>
      </c>
      <c r="K1283">
        <v>6.269</v>
      </c>
      <c r="L1283">
        <v>0.347</v>
      </c>
      <c r="M1283">
        <v>3.178</v>
      </c>
      <c r="N1283">
        <v>263.11</v>
      </c>
      <c r="O1283">
        <v>244.631</v>
      </c>
      <c r="P1283">
        <f t="shared" si="83"/>
        <v>2.42013735459383</v>
      </c>
      <c r="Q1283">
        <f t="shared" si="83"/>
        <v>2.38851149062287</v>
      </c>
      <c r="R1283">
        <v>175.474</v>
      </c>
      <c r="S1283">
        <v>175.474</v>
      </c>
      <c r="T1283">
        <v>187.042</v>
      </c>
      <c r="U1283">
        <v>0</v>
      </c>
      <c r="V1283">
        <v>100</v>
      </c>
      <c r="W1283">
        <v>0.1</v>
      </c>
      <c r="X1283" t="s">
        <v>92</v>
      </c>
      <c r="Y1283" t="s">
        <v>31</v>
      </c>
      <c r="Z1283" s="3">
        <f t="shared" si="82"/>
        <v>0.0316258639709535</v>
      </c>
      <c r="AA1283">
        <f t="shared" si="84"/>
        <v>-0.22</v>
      </c>
      <c r="AB1283">
        <f t="shared" si="85"/>
        <v>0.412</v>
      </c>
      <c r="AC1283" t="s">
        <v>32</v>
      </c>
    </row>
    <row r="1284" spans="1:29">
      <c r="A1284" t="s">
        <v>103</v>
      </c>
      <c r="B1284">
        <v>3601.25</v>
      </c>
      <c r="C1284">
        <v>30.748</v>
      </c>
      <c r="D1284">
        <v>57.859</v>
      </c>
      <c r="E1284">
        <v>157.544</v>
      </c>
      <c r="F1284">
        <v>0.07</v>
      </c>
      <c r="G1284">
        <v>22.329</v>
      </c>
      <c r="H1284">
        <v>1.855</v>
      </c>
      <c r="I1284">
        <v>2.771</v>
      </c>
      <c r="J1284">
        <v>0.578</v>
      </c>
      <c r="K1284">
        <v>6.244</v>
      </c>
      <c r="L1284">
        <v>0.343</v>
      </c>
      <c r="M1284">
        <v>3.141</v>
      </c>
      <c r="N1284">
        <v>223.702</v>
      </c>
      <c r="O1284">
        <v>208.769</v>
      </c>
      <c r="P1284">
        <f t="shared" si="83"/>
        <v>2.34966986690879</v>
      </c>
      <c r="Q1284">
        <f t="shared" si="83"/>
        <v>2.31966601095639</v>
      </c>
      <c r="R1284">
        <v>172.183</v>
      </c>
      <c r="S1284">
        <v>172.183</v>
      </c>
      <c r="T1284">
        <v>183.864</v>
      </c>
      <c r="U1284">
        <v>0.694</v>
      </c>
      <c r="V1284">
        <v>100</v>
      </c>
      <c r="W1284">
        <v>0.1</v>
      </c>
      <c r="X1284" t="s">
        <v>92</v>
      </c>
      <c r="Y1284" t="s">
        <v>31</v>
      </c>
      <c r="Z1284" s="3">
        <f t="shared" si="82"/>
        <v>0.0300038559524003</v>
      </c>
      <c r="AA1284">
        <f t="shared" si="84"/>
        <v>-0.235</v>
      </c>
      <c r="AB1284">
        <f t="shared" si="85"/>
        <v>0.413</v>
      </c>
      <c r="AC1284" t="s">
        <v>32</v>
      </c>
    </row>
    <row r="1285" spans="1:29">
      <c r="A1285" t="s">
        <v>103</v>
      </c>
      <c r="B1285">
        <v>3601.375</v>
      </c>
      <c r="C1285">
        <v>26.377</v>
      </c>
      <c r="D1285">
        <v>57.607</v>
      </c>
      <c r="E1285">
        <v>158.101</v>
      </c>
      <c r="F1285">
        <v>0.078</v>
      </c>
      <c r="G1285">
        <v>22.326</v>
      </c>
      <c r="H1285">
        <v>1.745</v>
      </c>
      <c r="I1285">
        <v>2.775</v>
      </c>
      <c r="J1285">
        <v>0.599</v>
      </c>
      <c r="K1285">
        <v>6.19</v>
      </c>
      <c r="L1285">
        <v>0.334</v>
      </c>
      <c r="M1285">
        <v>3.099</v>
      </c>
      <c r="N1285">
        <v>192.206</v>
      </c>
      <c r="O1285">
        <v>180.27</v>
      </c>
      <c r="P1285">
        <f t="shared" si="83"/>
        <v>2.28376694070099</v>
      </c>
      <c r="Q1285">
        <f t="shared" si="83"/>
        <v>2.2559234587329</v>
      </c>
      <c r="R1285">
        <v>169.224</v>
      </c>
      <c r="S1285">
        <v>169.224</v>
      </c>
      <c r="T1285">
        <v>180.653</v>
      </c>
      <c r="U1285">
        <v>1.415</v>
      </c>
      <c r="V1285">
        <v>100</v>
      </c>
      <c r="W1285">
        <v>0.1</v>
      </c>
      <c r="X1285" t="s">
        <v>92</v>
      </c>
      <c r="Y1285" t="s">
        <v>31</v>
      </c>
      <c r="Z1285" s="3">
        <f t="shared" si="82"/>
        <v>0.0278434819680933</v>
      </c>
      <c r="AA1285">
        <f t="shared" si="84"/>
        <v>-0.265</v>
      </c>
      <c r="AB1285">
        <f t="shared" si="85"/>
        <v>0.412</v>
      </c>
      <c r="AC1285" t="s">
        <v>32</v>
      </c>
    </row>
    <row r="1286" spans="1:29">
      <c r="A1286" t="s">
        <v>103</v>
      </c>
      <c r="B1286">
        <v>3601.5</v>
      </c>
      <c r="C1286">
        <v>22.857</v>
      </c>
      <c r="D1286">
        <v>57.367</v>
      </c>
      <c r="E1286">
        <v>158.753</v>
      </c>
      <c r="F1286">
        <v>0.088</v>
      </c>
      <c r="G1286">
        <v>22.321</v>
      </c>
      <c r="H1286">
        <v>1.572</v>
      </c>
      <c r="I1286">
        <v>2.777</v>
      </c>
      <c r="J1286">
        <v>0.61</v>
      </c>
      <c r="K1286">
        <v>6.131</v>
      </c>
      <c r="L1286">
        <v>0.325</v>
      </c>
      <c r="M1286">
        <v>3.054</v>
      </c>
      <c r="N1286">
        <v>172.062</v>
      </c>
      <c r="O1286">
        <v>161.975</v>
      </c>
      <c r="P1286">
        <f t="shared" si="83"/>
        <v>2.2356849667102</v>
      </c>
      <c r="Q1286">
        <f t="shared" si="83"/>
        <v>2.20944798861736</v>
      </c>
      <c r="R1286">
        <v>165.902</v>
      </c>
      <c r="S1286">
        <v>165.902</v>
      </c>
      <c r="T1286">
        <v>176.865</v>
      </c>
      <c r="U1286">
        <v>1.437</v>
      </c>
      <c r="V1286">
        <v>100</v>
      </c>
      <c r="W1286">
        <v>0.1</v>
      </c>
      <c r="X1286" t="s">
        <v>92</v>
      </c>
      <c r="Y1286" t="s">
        <v>31</v>
      </c>
      <c r="Z1286" s="3">
        <f t="shared" si="82"/>
        <v>0.0262369780928333</v>
      </c>
      <c r="AA1286">
        <f t="shared" si="84"/>
        <v>-0.285</v>
      </c>
      <c r="AB1286">
        <f t="shared" si="85"/>
        <v>0.413</v>
      </c>
      <c r="AC1286" t="s">
        <v>32</v>
      </c>
    </row>
    <row r="1287" spans="1:29">
      <c r="A1287" t="s">
        <v>103</v>
      </c>
      <c r="B1287">
        <v>3601.625</v>
      </c>
      <c r="C1287">
        <v>21.888</v>
      </c>
      <c r="D1287">
        <v>57.109</v>
      </c>
      <c r="E1287">
        <v>159.288</v>
      </c>
      <c r="F1287">
        <v>0.097</v>
      </c>
      <c r="G1287">
        <v>22.312</v>
      </c>
      <c r="H1287">
        <v>1.432</v>
      </c>
      <c r="I1287">
        <v>2.779</v>
      </c>
      <c r="J1287">
        <v>0.62</v>
      </c>
      <c r="K1287">
        <v>6.079</v>
      </c>
      <c r="L1287">
        <v>0.316</v>
      </c>
      <c r="M1287">
        <v>3.01</v>
      </c>
      <c r="N1287">
        <v>166.419</v>
      </c>
      <c r="O1287">
        <v>156.509</v>
      </c>
      <c r="P1287">
        <f t="shared" si="83"/>
        <v>2.22120290803702</v>
      </c>
      <c r="Q1287">
        <f t="shared" si="83"/>
        <v>2.19453931656587</v>
      </c>
      <c r="R1287">
        <v>163.058</v>
      </c>
      <c r="S1287">
        <v>163.058</v>
      </c>
      <c r="T1287">
        <v>174.183</v>
      </c>
      <c r="U1287">
        <v>1.408</v>
      </c>
      <c r="V1287">
        <v>100</v>
      </c>
      <c r="W1287">
        <v>0.1</v>
      </c>
      <c r="X1287" t="s">
        <v>92</v>
      </c>
      <c r="Y1287" t="s">
        <v>31</v>
      </c>
      <c r="Z1287" s="3">
        <f t="shared" si="82"/>
        <v>0.0266635914711535</v>
      </c>
      <c r="AA1287">
        <f t="shared" si="84"/>
        <v>-0.304</v>
      </c>
      <c r="AB1287">
        <f t="shared" si="85"/>
        <v>0.413</v>
      </c>
      <c r="AC1287" t="s">
        <v>32</v>
      </c>
    </row>
    <row r="1288" spans="1:29">
      <c r="A1288" t="s">
        <v>103</v>
      </c>
      <c r="B1288">
        <v>3601.75</v>
      </c>
      <c r="C1288">
        <v>22.641</v>
      </c>
      <c r="D1288">
        <v>56.887</v>
      </c>
      <c r="E1288">
        <v>159.688</v>
      </c>
      <c r="F1288">
        <v>0.103</v>
      </c>
      <c r="G1288">
        <v>22.306</v>
      </c>
      <c r="H1288">
        <v>1.451</v>
      </c>
      <c r="I1288">
        <v>2.78</v>
      </c>
      <c r="J1288">
        <v>0.626</v>
      </c>
      <c r="K1288">
        <v>6.026</v>
      </c>
      <c r="L1288">
        <v>0.308</v>
      </c>
      <c r="M1288">
        <v>2.974</v>
      </c>
      <c r="N1288">
        <v>170.677</v>
      </c>
      <c r="O1288">
        <v>159.934</v>
      </c>
      <c r="P1288">
        <f t="shared" si="83"/>
        <v>2.23217500063386</v>
      </c>
      <c r="Q1288">
        <f t="shared" si="83"/>
        <v>2.20394079922302</v>
      </c>
      <c r="R1288">
        <v>161.857</v>
      </c>
      <c r="S1288">
        <v>161.857</v>
      </c>
      <c r="T1288">
        <v>174.149</v>
      </c>
      <c r="U1288">
        <v>1.351</v>
      </c>
      <c r="V1288">
        <v>100</v>
      </c>
      <c r="W1288">
        <v>0.1</v>
      </c>
      <c r="X1288" t="s">
        <v>92</v>
      </c>
      <c r="Y1288" t="s">
        <v>31</v>
      </c>
      <c r="Z1288" s="3">
        <f t="shared" si="82"/>
        <v>0.0282342014108488</v>
      </c>
      <c r="AA1288">
        <f t="shared" si="84"/>
        <v>-0.318</v>
      </c>
      <c r="AB1288">
        <f t="shared" si="85"/>
        <v>0.411</v>
      </c>
      <c r="AC1288" t="s">
        <v>32</v>
      </c>
    </row>
    <row r="1289" spans="1:29">
      <c r="A1289" t="s">
        <v>103</v>
      </c>
      <c r="B1289">
        <v>3601.875</v>
      </c>
      <c r="C1289">
        <v>22.516</v>
      </c>
      <c r="D1289">
        <v>56.754</v>
      </c>
      <c r="E1289">
        <v>160.118</v>
      </c>
      <c r="F1289">
        <v>0.11</v>
      </c>
      <c r="G1289">
        <v>22.307</v>
      </c>
      <c r="H1289">
        <v>1.546</v>
      </c>
      <c r="I1289">
        <v>2.78</v>
      </c>
      <c r="J1289">
        <v>0.626</v>
      </c>
      <c r="K1289">
        <v>5.973</v>
      </c>
      <c r="L1289">
        <v>0.299</v>
      </c>
      <c r="M1289">
        <v>2.951</v>
      </c>
      <c r="N1289">
        <v>180.904</v>
      </c>
      <c r="O1289">
        <v>168.997</v>
      </c>
      <c r="P1289">
        <f t="shared" si="83"/>
        <v>2.25744816972727</v>
      </c>
      <c r="Q1289">
        <f t="shared" si="83"/>
        <v>2.22787899517574</v>
      </c>
      <c r="R1289">
        <v>169.031</v>
      </c>
      <c r="S1289">
        <v>169.031</v>
      </c>
      <c r="T1289">
        <v>185.945</v>
      </c>
      <c r="U1289">
        <v>1.334</v>
      </c>
      <c r="V1289">
        <v>100</v>
      </c>
      <c r="W1289">
        <v>0.1</v>
      </c>
      <c r="X1289" t="s">
        <v>92</v>
      </c>
      <c r="Y1289" t="s">
        <v>31</v>
      </c>
      <c r="Z1289" s="3">
        <f t="shared" si="82"/>
        <v>0.0295691745515203</v>
      </c>
      <c r="AA1289">
        <f t="shared" si="84"/>
        <v>-0.327</v>
      </c>
      <c r="AB1289">
        <f t="shared" si="85"/>
        <v>0.409</v>
      </c>
      <c r="AC1289" t="s">
        <v>32</v>
      </c>
    </row>
    <row r="1290" spans="1:29">
      <c r="A1290" t="s">
        <v>103</v>
      </c>
      <c r="B1290">
        <v>3602</v>
      </c>
      <c r="C1290">
        <v>21.485</v>
      </c>
      <c r="D1290">
        <v>56.696</v>
      </c>
      <c r="E1290">
        <v>160.742</v>
      </c>
      <c r="F1290">
        <v>0.119</v>
      </c>
      <c r="G1290">
        <v>22.308</v>
      </c>
      <c r="H1290">
        <v>1.522</v>
      </c>
      <c r="I1290">
        <v>2.778</v>
      </c>
      <c r="J1290">
        <v>0.615</v>
      </c>
      <c r="K1290">
        <v>5.936</v>
      </c>
      <c r="L1290">
        <v>0.293</v>
      </c>
      <c r="M1290">
        <v>2.946</v>
      </c>
      <c r="N1290">
        <v>194.072</v>
      </c>
      <c r="O1290">
        <v>181.069</v>
      </c>
      <c r="P1290">
        <f t="shared" si="83"/>
        <v>2.28796288148486</v>
      </c>
      <c r="Q1290">
        <f t="shared" si="83"/>
        <v>2.2578441030951</v>
      </c>
      <c r="R1290">
        <v>190.355</v>
      </c>
      <c r="S1290">
        <v>190.355</v>
      </c>
      <c r="T1290">
        <v>215.506</v>
      </c>
      <c r="U1290">
        <v>1.37</v>
      </c>
      <c r="V1290">
        <v>100</v>
      </c>
      <c r="W1290">
        <v>0.1</v>
      </c>
      <c r="X1290" t="s">
        <v>92</v>
      </c>
      <c r="Y1290" t="s">
        <v>31</v>
      </c>
      <c r="Z1290" s="3">
        <f t="shared" si="82"/>
        <v>0.0301187783897667</v>
      </c>
      <c r="AA1290">
        <f t="shared" si="84"/>
        <v>-0.322</v>
      </c>
      <c r="AB1290">
        <f t="shared" si="85"/>
        <v>0.412</v>
      </c>
      <c r="AC1290" t="s">
        <v>32</v>
      </c>
    </row>
    <row r="1291" spans="1:29">
      <c r="A1291" t="s">
        <v>103</v>
      </c>
      <c r="B1291">
        <v>3602.125</v>
      </c>
      <c r="C1291">
        <v>21.186</v>
      </c>
      <c r="D1291">
        <v>56.622</v>
      </c>
      <c r="E1291">
        <v>161.449</v>
      </c>
      <c r="F1291">
        <v>0.13</v>
      </c>
      <c r="G1291">
        <v>22.303</v>
      </c>
      <c r="H1291">
        <v>1.468</v>
      </c>
      <c r="I1291">
        <v>2.775</v>
      </c>
      <c r="J1291">
        <v>0.599</v>
      </c>
      <c r="K1291">
        <v>5.913</v>
      </c>
      <c r="L1291">
        <v>0.289</v>
      </c>
      <c r="M1291">
        <v>2.966</v>
      </c>
      <c r="N1291">
        <v>209.211</v>
      </c>
      <c r="O1291">
        <v>195.052</v>
      </c>
      <c r="P1291">
        <f t="shared" si="83"/>
        <v>2.32058451534681</v>
      </c>
      <c r="Q1291">
        <f t="shared" si="83"/>
        <v>2.29015040778552</v>
      </c>
      <c r="R1291">
        <v>208.32</v>
      </c>
      <c r="S1291">
        <v>208.32</v>
      </c>
      <c r="T1291">
        <v>227.587</v>
      </c>
      <c r="U1291">
        <v>1.414</v>
      </c>
      <c r="V1291">
        <v>100</v>
      </c>
      <c r="W1291">
        <v>0.1</v>
      </c>
      <c r="X1291" t="s">
        <v>92</v>
      </c>
      <c r="Y1291" t="s">
        <v>31</v>
      </c>
      <c r="Z1291" s="3">
        <f t="shared" si="82"/>
        <v>0.0304341075612862</v>
      </c>
      <c r="AA1291">
        <f t="shared" si="84"/>
        <v>-0.31</v>
      </c>
      <c r="AB1291">
        <f t="shared" si="85"/>
        <v>0.419</v>
      </c>
      <c r="AC1291" t="s">
        <v>32</v>
      </c>
    </row>
    <row r="1292" spans="1:29">
      <c r="A1292" t="s">
        <v>103</v>
      </c>
      <c r="B1292">
        <v>3602.25</v>
      </c>
      <c r="C1292">
        <v>21.952</v>
      </c>
      <c r="D1292">
        <v>56.477</v>
      </c>
      <c r="E1292">
        <v>161.774</v>
      </c>
      <c r="F1292">
        <v>0.135</v>
      </c>
      <c r="G1292">
        <v>22.301</v>
      </c>
      <c r="H1292">
        <v>1.452</v>
      </c>
      <c r="I1292">
        <v>2.772</v>
      </c>
      <c r="J1292">
        <v>0.583</v>
      </c>
      <c r="K1292">
        <v>5.89</v>
      </c>
      <c r="L1292">
        <v>0.285</v>
      </c>
      <c r="M1292">
        <v>3.006</v>
      </c>
      <c r="N1292">
        <v>225.276</v>
      </c>
      <c r="O1292">
        <v>209.64</v>
      </c>
      <c r="P1292">
        <f t="shared" si="83"/>
        <v>2.35271492619892</v>
      </c>
      <c r="Q1292">
        <f t="shared" si="83"/>
        <v>2.32147415103056</v>
      </c>
      <c r="R1292">
        <v>212.305</v>
      </c>
      <c r="S1292">
        <v>212.305</v>
      </c>
      <c r="T1292">
        <v>227.858</v>
      </c>
      <c r="U1292">
        <v>1.439</v>
      </c>
      <c r="V1292">
        <v>100</v>
      </c>
      <c r="W1292">
        <v>0.1</v>
      </c>
      <c r="X1292" t="s">
        <v>92</v>
      </c>
      <c r="Y1292" t="s">
        <v>31</v>
      </c>
      <c r="Z1292" s="3">
        <f t="shared" si="82"/>
        <v>0.0312407751683668</v>
      </c>
      <c r="AA1292">
        <f t="shared" si="84"/>
        <v>-0.298</v>
      </c>
      <c r="AB1292">
        <f t="shared" si="85"/>
        <v>0.42</v>
      </c>
      <c r="AC1292" t="s">
        <v>32</v>
      </c>
    </row>
    <row r="1293" spans="1:29">
      <c r="A1293" t="s">
        <v>103</v>
      </c>
      <c r="B1293">
        <v>3602.375</v>
      </c>
      <c r="C1293">
        <v>22.778</v>
      </c>
      <c r="D1293">
        <v>56.297</v>
      </c>
      <c r="E1293">
        <v>161.364</v>
      </c>
      <c r="F1293">
        <v>0.129</v>
      </c>
      <c r="G1293">
        <v>22.31</v>
      </c>
      <c r="H1293">
        <v>1.434</v>
      </c>
      <c r="I1293">
        <v>2.77</v>
      </c>
      <c r="J1293">
        <v>0.572</v>
      </c>
      <c r="K1293">
        <v>5.877</v>
      </c>
      <c r="L1293">
        <v>0.283</v>
      </c>
      <c r="M1293">
        <v>3.063</v>
      </c>
      <c r="N1293">
        <v>240.186</v>
      </c>
      <c r="O1293">
        <v>222.986</v>
      </c>
      <c r="P1293">
        <f t="shared" si="83"/>
        <v>2.38054768957837</v>
      </c>
      <c r="Q1293">
        <f t="shared" si="83"/>
        <v>2.34827759706784</v>
      </c>
      <c r="R1293">
        <v>212.791</v>
      </c>
      <c r="S1293">
        <v>212.791</v>
      </c>
      <c r="T1293">
        <v>229.534</v>
      </c>
      <c r="U1293">
        <v>1.449</v>
      </c>
      <c r="V1293">
        <v>100</v>
      </c>
      <c r="W1293">
        <v>0.1</v>
      </c>
      <c r="X1293" t="s">
        <v>92</v>
      </c>
      <c r="Y1293" t="s">
        <v>31</v>
      </c>
      <c r="Z1293" s="3">
        <f t="shared" si="82"/>
        <v>0.0322700925105215</v>
      </c>
      <c r="AA1293">
        <f t="shared" si="84"/>
        <v>-0.289</v>
      </c>
      <c r="AB1293">
        <f t="shared" si="85"/>
        <v>0.412</v>
      </c>
      <c r="AC1293" t="s">
        <v>32</v>
      </c>
    </row>
    <row r="1294" spans="1:29">
      <c r="A1294" t="s">
        <v>103</v>
      </c>
      <c r="B1294">
        <v>3602.5</v>
      </c>
      <c r="C1294">
        <v>22.845</v>
      </c>
      <c r="D1294">
        <v>56.159</v>
      </c>
      <c r="E1294">
        <v>160.254</v>
      </c>
      <c r="F1294">
        <v>0.112</v>
      </c>
      <c r="G1294">
        <v>22.333</v>
      </c>
      <c r="H1294">
        <v>1.457</v>
      </c>
      <c r="I1294">
        <v>2.769</v>
      </c>
      <c r="J1294">
        <v>0.567</v>
      </c>
      <c r="K1294">
        <v>5.879</v>
      </c>
      <c r="L1294">
        <v>0.283</v>
      </c>
      <c r="M1294">
        <v>3.131</v>
      </c>
      <c r="N1294">
        <v>250.87</v>
      </c>
      <c r="O1294">
        <v>232.704</v>
      </c>
      <c r="P1294">
        <f t="shared" si="83"/>
        <v>2.39944872981423</v>
      </c>
      <c r="Q1294">
        <f t="shared" si="83"/>
        <v>2.36680384853382</v>
      </c>
      <c r="R1294">
        <v>220.07</v>
      </c>
      <c r="S1294">
        <v>220.07</v>
      </c>
      <c r="T1294">
        <v>240.569</v>
      </c>
      <c r="U1294">
        <v>1.452</v>
      </c>
      <c r="V1294">
        <v>100</v>
      </c>
      <c r="W1294">
        <v>0.1</v>
      </c>
      <c r="X1294" t="s">
        <v>92</v>
      </c>
      <c r="Y1294" t="s">
        <v>31</v>
      </c>
      <c r="Z1294" s="3">
        <f t="shared" si="82"/>
        <v>0.0326448812804143</v>
      </c>
      <c r="AA1294">
        <f t="shared" si="84"/>
        <v>-0.284</v>
      </c>
      <c r="AB1294">
        <f t="shared" si="85"/>
        <v>0.395</v>
      </c>
      <c r="AC1294" t="s">
        <v>32</v>
      </c>
    </row>
    <row r="1295" spans="1:29">
      <c r="A1295" t="s">
        <v>103</v>
      </c>
      <c r="B1295">
        <v>3602.625</v>
      </c>
      <c r="C1295">
        <v>22.377</v>
      </c>
      <c r="D1295">
        <v>56.094</v>
      </c>
      <c r="E1295">
        <v>158.965</v>
      </c>
      <c r="F1295">
        <v>0.092</v>
      </c>
      <c r="G1295">
        <v>22.36</v>
      </c>
      <c r="H1295">
        <v>1.572</v>
      </c>
      <c r="I1295">
        <v>2.771</v>
      </c>
      <c r="J1295">
        <v>0.578</v>
      </c>
      <c r="K1295">
        <v>5.891</v>
      </c>
      <c r="L1295">
        <v>0.285</v>
      </c>
      <c r="M1295">
        <v>3.203</v>
      </c>
      <c r="N1295">
        <v>255.201</v>
      </c>
      <c r="O1295">
        <v>237.116</v>
      </c>
      <c r="P1295">
        <f t="shared" si="83"/>
        <v>2.40688237182668</v>
      </c>
      <c r="Q1295">
        <f t="shared" si="83"/>
        <v>2.37496086008221</v>
      </c>
      <c r="R1295">
        <v>232.251</v>
      </c>
      <c r="S1295">
        <v>232.251</v>
      </c>
      <c r="T1295">
        <v>253.865</v>
      </c>
      <c r="U1295">
        <v>1.444</v>
      </c>
      <c r="V1295">
        <v>100</v>
      </c>
      <c r="W1295">
        <v>0.1</v>
      </c>
      <c r="X1295" t="s">
        <v>92</v>
      </c>
      <c r="Y1295" t="s">
        <v>31</v>
      </c>
      <c r="Z1295" s="3">
        <f t="shared" si="82"/>
        <v>0.0319215117444629</v>
      </c>
      <c r="AA1295">
        <f t="shared" si="84"/>
        <v>-0.293</v>
      </c>
      <c r="AB1295">
        <f t="shared" si="85"/>
        <v>0.377</v>
      </c>
      <c r="AC1295" t="s">
        <v>32</v>
      </c>
    </row>
    <row r="1296" spans="1:29">
      <c r="A1296" t="s">
        <v>103</v>
      </c>
      <c r="B1296">
        <v>3602.75</v>
      </c>
      <c r="C1296">
        <v>21.915</v>
      </c>
      <c r="D1296">
        <v>56.039</v>
      </c>
      <c r="E1296">
        <v>158.158</v>
      </c>
      <c r="F1296">
        <v>0.079</v>
      </c>
      <c r="G1296">
        <v>22.385</v>
      </c>
      <c r="H1296">
        <v>1.545</v>
      </c>
      <c r="I1296">
        <v>2.772</v>
      </c>
      <c r="J1296">
        <v>0.583</v>
      </c>
      <c r="K1296">
        <v>5.898</v>
      </c>
      <c r="L1296">
        <v>0.287</v>
      </c>
      <c r="M1296">
        <v>3.27</v>
      </c>
      <c r="N1296">
        <v>256.364</v>
      </c>
      <c r="O1296">
        <v>238.58</v>
      </c>
      <c r="P1296">
        <f t="shared" si="83"/>
        <v>2.40885703918124</v>
      </c>
      <c r="Q1296">
        <f t="shared" si="83"/>
        <v>2.37763403424759</v>
      </c>
      <c r="R1296">
        <v>244.469</v>
      </c>
      <c r="S1296">
        <v>244.469</v>
      </c>
      <c r="T1296">
        <v>267.57</v>
      </c>
      <c r="U1296">
        <v>1.442</v>
      </c>
      <c r="V1296">
        <v>100</v>
      </c>
      <c r="W1296">
        <v>0.1</v>
      </c>
      <c r="X1296" t="s">
        <v>92</v>
      </c>
      <c r="Y1296" t="s">
        <v>31</v>
      </c>
      <c r="Z1296" s="3">
        <f t="shared" si="82"/>
        <v>0.0312230049336488</v>
      </c>
      <c r="AA1296">
        <f t="shared" si="84"/>
        <v>-0.296</v>
      </c>
      <c r="AB1296">
        <f t="shared" si="85"/>
        <v>0.366</v>
      </c>
      <c r="AC1296" t="s">
        <v>32</v>
      </c>
    </row>
    <row r="1297" spans="1:29">
      <c r="A1297" t="s">
        <v>103</v>
      </c>
      <c r="B1297">
        <v>3602.875</v>
      </c>
      <c r="C1297">
        <v>21.268</v>
      </c>
      <c r="D1297">
        <v>55.975</v>
      </c>
      <c r="E1297">
        <v>158.017</v>
      </c>
      <c r="F1297">
        <v>0.077</v>
      </c>
      <c r="G1297">
        <v>22.406</v>
      </c>
      <c r="H1297">
        <v>1.348</v>
      </c>
      <c r="I1297">
        <v>2.771</v>
      </c>
      <c r="J1297">
        <v>0.578</v>
      </c>
      <c r="K1297">
        <v>5.891</v>
      </c>
      <c r="L1297">
        <v>0.285</v>
      </c>
      <c r="M1297">
        <v>3.327</v>
      </c>
      <c r="N1297">
        <v>256.603</v>
      </c>
      <c r="O1297">
        <v>238.724</v>
      </c>
      <c r="P1297">
        <f t="shared" si="83"/>
        <v>2.40926172949733</v>
      </c>
      <c r="Q1297">
        <f t="shared" si="83"/>
        <v>2.37789608278392</v>
      </c>
      <c r="R1297">
        <v>264.225</v>
      </c>
      <c r="S1297">
        <v>264.225</v>
      </c>
      <c r="T1297">
        <v>292.923</v>
      </c>
      <c r="U1297">
        <v>1.469</v>
      </c>
      <c r="V1297">
        <v>100</v>
      </c>
      <c r="W1297">
        <v>0.1</v>
      </c>
      <c r="X1297" t="s">
        <v>92</v>
      </c>
      <c r="Y1297" t="s">
        <v>31</v>
      </c>
      <c r="Z1297" s="3">
        <f t="shared" si="82"/>
        <v>0.0313656467134065</v>
      </c>
      <c r="AA1297">
        <f t="shared" si="84"/>
        <v>-0.293</v>
      </c>
      <c r="AB1297">
        <f t="shared" si="85"/>
        <v>0.362</v>
      </c>
      <c r="AC1297" t="s">
        <v>32</v>
      </c>
    </row>
    <row r="1298" spans="1:29">
      <c r="A1298" t="s">
        <v>103</v>
      </c>
      <c r="B1298">
        <v>3603</v>
      </c>
      <c r="C1298">
        <v>20.69</v>
      </c>
      <c r="D1298">
        <v>55.906</v>
      </c>
      <c r="E1298">
        <v>158.286</v>
      </c>
      <c r="F1298">
        <v>0.081</v>
      </c>
      <c r="G1298">
        <v>22.436</v>
      </c>
      <c r="H1298">
        <v>1.28</v>
      </c>
      <c r="I1298">
        <v>2.768</v>
      </c>
      <c r="J1298">
        <v>0.561</v>
      </c>
      <c r="K1298">
        <v>5.88</v>
      </c>
      <c r="L1298">
        <v>0.284</v>
      </c>
      <c r="M1298">
        <v>3.367</v>
      </c>
      <c r="N1298">
        <v>255.462</v>
      </c>
      <c r="O1298">
        <v>237.303</v>
      </c>
      <c r="P1298">
        <f t="shared" si="83"/>
        <v>2.40732630792405</v>
      </c>
      <c r="Q1298">
        <f t="shared" si="83"/>
        <v>2.3753032286312</v>
      </c>
      <c r="R1298">
        <v>292.409</v>
      </c>
      <c r="S1298">
        <v>292.409</v>
      </c>
      <c r="T1298">
        <v>325.521</v>
      </c>
      <c r="U1298">
        <v>1.53</v>
      </c>
      <c r="V1298">
        <v>100</v>
      </c>
      <c r="W1298">
        <v>0.1</v>
      </c>
      <c r="X1298" t="s">
        <v>92</v>
      </c>
      <c r="Y1298" t="s">
        <v>31</v>
      </c>
      <c r="Z1298" s="3">
        <f t="shared" si="82"/>
        <v>0.0320230792928462</v>
      </c>
      <c r="AA1298">
        <f t="shared" si="84"/>
        <v>-0.277</v>
      </c>
      <c r="AB1298">
        <f t="shared" si="85"/>
        <v>0.365</v>
      </c>
      <c r="AC1298" t="s">
        <v>32</v>
      </c>
    </row>
    <row r="1299" spans="1:29">
      <c r="A1299" t="s">
        <v>103</v>
      </c>
      <c r="B1299">
        <v>3603.125</v>
      </c>
      <c r="C1299">
        <v>21.227</v>
      </c>
      <c r="D1299">
        <v>55.811</v>
      </c>
      <c r="E1299">
        <v>158.359</v>
      </c>
      <c r="F1299">
        <v>0.082</v>
      </c>
      <c r="G1299">
        <v>22.474</v>
      </c>
      <c r="H1299">
        <v>1.349</v>
      </c>
      <c r="I1299">
        <v>2.764</v>
      </c>
      <c r="J1299">
        <v>0.54</v>
      </c>
      <c r="K1299">
        <v>5.904</v>
      </c>
      <c r="L1299">
        <v>0.288</v>
      </c>
      <c r="M1299">
        <v>3.38</v>
      </c>
      <c r="N1299">
        <v>249.851</v>
      </c>
      <c r="O1299">
        <v>232.127</v>
      </c>
      <c r="P1299">
        <f t="shared" si="83"/>
        <v>2.39768109199599</v>
      </c>
      <c r="Q1299">
        <f t="shared" si="83"/>
        <v>2.36572565863355</v>
      </c>
      <c r="R1299">
        <v>309.229</v>
      </c>
      <c r="S1299">
        <v>309.229</v>
      </c>
      <c r="T1299">
        <v>335.163</v>
      </c>
      <c r="U1299">
        <v>1.584</v>
      </c>
      <c r="V1299">
        <v>100</v>
      </c>
      <c r="W1299">
        <v>0.1</v>
      </c>
      <c r="X1299" t="s">
        <v>92</v>
      </c>
      <c r="Y1299" t="s">
        <v>31</v>
      </c>
      <c r="Z1299" s="3">
        <f t="shared" si="82"/>
        <v>0.0319554333624339</v>
      </c>
      <c r="AA1299">
        <f t="shared" si="84"/>
        <v>-0.252</v>
      </c>
      <c r="AB1299">
        <f t="shared" si="85"/>
        <v>0.37</v>
      </c>
      <c r="AC1299" t="s">
        <v>32</v>
      </c>
    </row>
    <row r="1300" spans="1:29">
      <c r="A1300" t="s">
        <v>103</v>
      </c>
      <c r="B1300">
        <v>3603.25</v>
      </c>
      <c r="C1300">
        <v>21.422</v>
      </c>
      <c r="D1300">
        <v>55.73</v>
      </c>
      <c r="E1300">
        <v>157.842</v>
      </c>
      <c r="F1300">
        <v>0.074</v>
      </c>
      <c r="G1300">
        <v>22.49</v>
      </c>
      <c r="H1300">
        <v>1.36</v>
      </c>
      <c r="I1300">
        <v>2.763</v>
      </c>
      <c r="J1300">
        <v>0.535</v>
      </c>
      <c r="K1300">
        <v>5.951</v>
      </c>
      <c r="L1300">
        <v>0.295</v>
      </c>
      <c r="M1300">
        <v>3.368</v>
      </c>
      <c r="N1300">
        <v>240.242</v>
      </c>
      <c r="O1300">
        <v>223.831</v>
      </c>
      <c r="P1300">
        <f t="shared" si="83"/>
        <v>2.38064893468105</v>
      </c>
      <c r="Q1300">
        <f t="shared" si="83"/>
        <v>2.34992023499212</v>
      </c>
      <c r="R1300">
        <v>311.651</v>
      </c>
      <c r="S1300">
        <v>311.651</v>
      </c>
      <c r="T1300">
        <v>334.543</v>
      </c>
      <c r="U1300">
        <v>1.616</v>
      </c>
      <c r="V1300">
        <v>100</v>
      </c>
      <c r="W1300">
        <v>0.1</v>
      </c>
      <c r="X1300" t="s">
        <v>92</v>
      </c>
      <c r="Y1300" t="s">
        <v>31</v>
      </c>
      <c r="Z1300" s="3">
        <f t="shared" si="82"/>
        <v>0.0307286996889351</v>
      </c>
      <c r="AA1300">
        <f t="shared" si="84"/>
        <v>-0.24</v>
      </c>
      <c r="AB1300">
        <f t="shared" si="85"/>
        <v>0.369</v>
      </c>
      <c r="AC1300" t="s">
        <v>32</v>
      </c>
    </row>
    <row r="1301" spans="1:29">
      <c r="A1301" t="s">
        <v>103</v>
      </c>
      <c r="B1301">
        <v>3603.375</v>
      </c>
      <c r="C1301">
        <v>21.504</v>
      </c>
      <c r="D1301">
        <v>55.761</v>
      </c>
      <c r="E1301">
        <v>156.784</v>
      </c>
      <c r="F1301">
        <v>0.058</v>
      </c>
      <c r="G1301">
        <v>22.47</v>
      </c>
      <c r="H1301">
        <v>1.356</v>
      </c>
      <c r="I1301">
        <v>2.766</v>
      </c>
      <c r="J1301">
        <v>0.551</v>
      </c>
      <c r="K1301">
        <v>5.977</v>
      </c>
      <c r="L1301">
        <v>0.3</v>
      </c>
      <c r="M1301">
        <v>3.332</v>
      </c>
      <c r="N1301">
        <v>230.362</v>
      </c>
      <c r="O1301">
        <v>215.642</v>
      </c>
      <c r="P1301">
        <f t="shared" si="83"/>
        <v>2.36241084041349</v>
      </c>
      <c r="Q1301">
        <f t="shared" si="83"/>
        <v>2.33373335109639</v>
      </c>
      <c r="R1301">
        <v>319.587</v>
      </c>
      <c r="S1301">
        <v>319.587</v>
      </c>
      <c r="T1301">
        <v>349.728</v>
      </c>
      <c r="U1301">
        <v>1.583</v>
      </c>
      <c r="V1301">
        <v>100</v>
      </c>
      <c r="W1301">
        <v>0.1</v>
      </c>
      <c r="X1301" t="s">
        <v>92</v>
      </c>
      <c r="Y1301" t="s">
        <v>31</v>
      </c>
      <c r="Z1301" s="3">
        <f t="shared" si="82"/>
        <v>0.0286774893171047</v>
      </c>
      <c r="AA1301">
        <f t="shared" si="84"/>
        <v>-0.251</v>
      </c>
      <c r="AB1301">
        <f t="shared" si="85"/>
        <v>0.358</v>
      </c>
      <c r="AC1301" t="s">
        <v>32</v>
      </c>
    </row>
    <row r="1302" spans="1:29">
      <c r="A1302" t="s">
        <v>103</v>
      </c>
      <c r="B1302">
        <v>3603.5</v>
      </c>
      <c r="C1302">
        <v>21.84</v>
      </c>
      <c r="D1302">
        <v>55.942</v>
      </c>
      <c r="E1302">
        <v>155.619</v>
      </c>
      <c r="F1302">
        <v>0.039</v>
      </c>
      <c r="G1302">
        <v>22.442</v>
      </c>
      <c r="H1302">
        <v>1.361</v>
      </c>
      <c r="I1302">
        <v>2.773</v>
      </c>
      <c r="J1302">
        <v>0.588</v>
      </c>
      <c r="K1302">
        <v>5.95</v>
      </c>
      <c r="L1302">
        <v>0.295</v>
      </c>
      <c r="M1302">
        <v>3.278</v>
      </c>
      <c r="N1302">
        <v>226.547</v>
      </c>
      <c r="O1302">
        <v>213.059</v>
      </c>
      <c r="P1302">
        <f t="shared" si="83"/>
        <v>2.35515831550186</v>
      </c>
      <c r="Q1302">
        <f t="shared" si="83"/>
        <v>2.32849988431343</v>
      </c>
      <c r="R1302">
        <v>328.795</v>
      </c>
      <c r="S1302">
        <v>328.795</v>
      </c>
      <c r="T1302">
        <v>351.828</v>
      </c>
      <c r="U1302">
        <v>1.456</v>
      </c>
      <c r="V1302">
        <v>100</v>
      </c>
      <c r="W1302">
        <v>0.1</v>
      </c>
      <c r="X1302" t="s">
        <v>92</v>
      </c>
      <c r="Y1302" t="s">
        <v>31</v>
      </c>
      <c r="Z1302" s="3">
        <f t="shared" si="82"/>
        <v>0.0266584311884306</v>
      </c>
      <c r="AA1302">
        <f t="shared" si="84"/>
        <v>-0.293</v>
      </c>
      <c r="AB1302">
        <f t="shared" si="85"/>
        <v>0.334</v>
      </c>
      <c r="AC1302" t="s">
        <v>32</v>
      </c>
    </row>
    <row r="1303" spans="1:29">
      <c r="A1303" t="s">
        <v>103</v>
      </c>
      <c r="B1303">
        <v>3603.625</v>
      </c>
      <c r="C1303">
        <v>22.611</v>
      </c>
      <c r="D1303">
        <v>56.212</v>
      </c>
      <c r="E1303">
        <v>155.107</v>
      </c>
      <c r="F1303">
        <v>0.031</v>
      </c>
      <c r="G1303">
        <v>22.437</v>
      </c>
      <c r="H1303">
        <v>1.257</v>
      </c>
      <c r="I1303">
        <v>2.78</v>
      </c>
      <c r="J1303">
        <v>0.626</v>
      </c>
      <c r="K1303">
        <v>5.881</v>
      </c>
      <c r="L1303">
        <v>0.284</v>
      </c>
      <c r="M1303">
        <v>3.219</v>
      </c>
      <c r="N1303">
        <v>238.973</v>
      </c>
      <c r="O1303">
        <v>224.885</v>
      </c>
      <c r="P1303">
        <f t="shared" si="83"/>
        <v>2.37834883562008</v>
      </c>
      <c r="Q1303">
        <f t="shared" si="83"/>
        <v>2.35196048863047</v>
      </c>
      <c r="R1303">
        <v>314.176</v>
      </c>
      <c r="S1303">
        <v>314.176</v>
      </c>
      <c r="T1303">
        <v>330.293</v>
      </c>
      <c r="U1303">
        <v>1.293</v>
      </c>
      <c r="V1303">
        <v>100</v>
      </c>
      <c r="W1303">
        <v>0.1</v>
      </c>
      <c r="X1303" t="s">
        <v>92</v>
      </c>
      <c r="Y1303" t="s">
        <v>31</v>
      </c>
      <c r="Z1303" s="3">
        <f t="shared" si="82"/>
        <v>0.0263883469896147</v>
      </c>
      <c r="AA1303">
        <f t="shared" si="84"/>
        <v>-0.342</v>
      </c>
      <c r="AB1303">
        <f t="shared" si="85"/>
        <v>0.315</v>
      </c>
      <c r="AC1303" t="s">
        <v>32</v>
      </c>
    </row>
    <row r="1304" spans="1:29">
      <c r="A1304" t="s">
        <v>103</v>
      </c>
      <c r="B1304">
        <v>3603.75</v>
      </c>
      <c r="C1304">
        <v>22.977</v>
      </c>
      <c r="D1304">
        <v>56.475</v>
      </c>
      <c r="E1304">
        <v>155.532</v>
      </c>
      <c r="F1304">
        <v>0.038</v>
      </c>
      <c r="G1304">
        <v>22.442</v>
      </c>
      <c r="H1304">
        <v>1.127</v>
      </c>
      <c r="I1304">
        <v>2.784</v>
      </c>
      <c r="J1304">
        <v>0.647</v>
      </c>
      <c r="K1304">
        <v>5.812</v>
      </c>
      <c r="L1304">
        <v>0.273</v>
      </c>
      <c r="M1304">
        <v>3.172</v>
      </c>
      <c r="N1304">
        <v>269.99</v>
      </c>
      <c r="O1304">
        <v>252.862</v>
      </c>
      <c r="P1304">
        <f t="shared" si="83"/>
        <v>2.4313476788803</v>
      </c>
      <c r="Q1304">
        <f t="shared" si="83"/>
        <v>2.4028835686473</v>
      </c>
      <c r="R1304">
        <v>308.918</v>
      </c>
      <c r="S1304">
        <v>308.918</v>
      </c>
      <c r="T1304">
        <v>333.173</v>
      </c>
      <c r="U1304">
        <v>1.189</v>
      </c>
      <c r="V1304">
        <v>100</v>
      </c>
      <c r="W1304">
        <v>0.1</v>
      </c>
      <c r="X1304" t="s">
        <v>92</v>
      </c>
      <c r="Y1304" t="s">
        <v>31</v>
      </c>
      <c r="Z1304" s="3">
        <f t="shared" si="82"/>
        <v>0.0284641102329943</v>
      </c>
      <c r="AA1304">
        <f t="shared" si="84"/>
        <v>-0.374</v>
      </c>
      <c r="AB1304">
        <f t="shared" si="85"/>
        <v>0.311</v>
      </c>
      <c r="AC1304" t="s">
        <v>32</v>
      </c>
    </row>
    <row r="1305" spans="1:29">
      <c r="A1305" t="s">
        <v>103</v>
      </c>
      <c r="B1305">
        <v>3603.875</v>
      </c>
      <c r="C1305">
        <v>23.369</v>
      </c>
      <c r="D1305">
        <v>56.711</v>
      </c>
      <c r="E1305">
        <v>156.683</v>
      </c>
      <c r="F1305">
        <v>0.056</v>
      </c>
      <c r="G1305">
        <v>22.449</v>
      </c>
      <c r="H1305">
        <v>1.046</v>
      </c>
      <c r="I1305">
        <v>2.783</v>
      </c>
      <c r="J1305">
        <v>0.642</v>
      </c>
      <c r="K1305">
        <v>5.735</v>
      </c>
      <c r="L1305">
        <v>0.26</v>
      </c>
      <c r="M1305">
        <v>3.148</v>
      </c>
      <c r="N1305">
        <v>316.999</v>
      </c>
      <c r="O1305">
        <v>294.781</v>
      </c>
      <c r="P1305">
        <f t="shared" si="83"/>
        <v>2.50105789220145</v>
      </c>
      <c r="Q1305">
        <f t="shared" si="83"/>
        <v>2.46949948779937</v>
      </c>
      <c r="R1305">
        <v>317.088</v>
      </c>
      <c r="S1305">
        <v>317.088</v>
      </c>
      <c r="T1305">
        <v>344.7</v>
      </c>
      <c r="U1305">
        <v>1.159</v>
      </c>
      <c r="V1305">
        <v>100</v>
      </c>
      <c r="W1305">
        <v>0.1</v>
      </c>
      <c r="X1305" t="s">
        <v>92</v>
      </c>
      <c r="Y1305" t="s">
        <v>31</v>
      </c>
      <c r="Z1305" s="3">
        <f t="shared" si="82"/>
        <v>0.0315584044020816</v>
      </c>
      <c r="AA1305">
        <f t="shared" si="84"/>
        <v>-0.382</v>
      </c>
      <c r="AB1305">
        <f t="shared" si="85"/>
        <v>0.316</v>
      </c>
      <c r="AC1305" t="s">
        <v>32</v>
      </c>
    </row>
    <row r="1306" spans="1:29">
      <c r="A1306" t="s">
        <v>103</v>
      </c>
      <c r="B1306">
        <v>3604</v>
      </c>
      <c r="C1306">
        <v>24.059</v>
      </c>
      <c r="D1306">
        <v>56.921</v>
      </c>
      <c r="E1306">
        <v>157.947</v>
      </c>
      <c r="F1306">
        <v>0.076</v>
      </c>
      <c r="G1306">
        <v>22.457</v>
      </c>
      <c r="H1306">
        <v>1</v>
      </c>
      <c r="I1306">
        <v>2.775</v>
      </c>
      <c r="J1306">
        <v>0.599</v>
      </c>
      <c r="K1306">
        <v>5.615</v>
      </c>
      <c r="L1306">
        <v>0.24</v>
      </c>
      <c r="M1306">
        <v>3.148</v>
      </c>
      <c r="N1306">
        <v>371.329</v>
      </c>
      <c r="O1306">
        <v>343.72</v>
      </c>
      <c r="P1306">
        <f t="shared" si="83"/>
        <v>2.56975886802002</v>
      </c>
      <c r="Q1306">
        <f t="shared" si="83"/>
        <v>2.53620480312044</v>
      </c>
      <c r="R1306">
        <v>328.647</v>
      </c>
      <c r="S1306">
        <v>328.647</v>
      </c>
      <c r="T1306">
        <v>357.426</v>
      </c>
      <c r="U1306">
        <v>1.211</v>
      </c>
      <c r="V1306">
        <v>100</v>
      </c>
      <c r="W1306">
        <v>0.1</v>
      </c>
      <c r="X1306" t="s">
        <v>92</v>
      </c>
      <c r="Y1306" t="s">
        <v>31</v>
      </c>
      <c r="Z1306" s="3">
        <f t="shared" si="82"/>
        <v>0.033554064899576</v>
      </c>
      <c r="AA1306">
        <f t="shared" si="84"/>
        <v>-0.359</v>
      </c>
      <c r="AB1306">
        <f t="shared" si="85"/>
        <v>0.316</v>
      </c>
      <c r="AC1306" t="s">
        <v>32</v>
      </c>
    </row>
    <row r="1307" spans="1:29">
      <c r="A1307" t="s">
        <v>104</v>
      </c>
      <c r="B1307">
        <v>3546</v>
      </c>
      <c r="C1307">
        <v>23.996</v>
      </c>
      <c r="D1307">
        <v>33.094</v>
      </c>
      <c r="E1307">
        <v>160.075</v>
      </c>
      <c r="F1307">
        <v>0.099</v>
      </c>
      <c r="G1307">
        <v>21.818</v>
      </c>
      <c r="H1307">
        <v>1.398</v>
      </c>
      <c r="I1307">
        <v>2.733</v>
      </c>
      <c r="J1307">
        <v>0.6</v>
      </c>
      <c r="K1307">
        <v>8.115</v>
      </c>
      <c r="L1307">
        <v>0.74</v>
      </c>
      <c r="M1307">
        <v>4.001</v>
      </c>
      <c r="N1307">
        <v>132.09</v>
      </c>
      <c r="O1307">
        <v>128.127</v>
      </c>
      <c r="P1307">
        <f t="shared" si="83"/>
        <v>2.12086994017919</v>
      </c>
      <c r="Q1307">
        <f t="shared" si="83"/>
        <v>2.10764065757786</v>
      </c>
      <c r="R1307">
        <v>112.756</v>
      </c>
      <c r="S1307">
        <v>-9999</v>
      </c>
      <c r="T1307">
        <v>118.616</v>
      </c>
      <c r="U1307">
        <v>2.104</v>
      </c>
      <c r="V1307">
        <v>100</v>
      </c>
      <c r="W1307">
        <v>0.1</v>
      </c>
      <c r="X1307" t="s">
        <v>92</v>
      </c>
      <c r="Y1307" t="s">
        <v>31</v>
      </c>
      <c r="Z1307" s="3">
        <f t="shared" si="82"/>
        <v>0.013229282601332</v>
      </c>
      <c r="AA1307">
        <f t="shared" si="84"/>
        <v>0.14</v>
      </c>
      <c r="AB1307">
        <f t="shared" si="85"/>
        <v>0.839</v>
      </c>
      <c r="AC1307" t="s">
        <v>32</v>
      </c>
    </row>
    <row r="1308" spans="1:29">
      <c r="A1308" t="s">
        <v>104</v>
      </c>
      <c r="B1308">
        <v>3546.125</v>
      </c>
      <c r="C1308">
        <v>24.286</v>
      </c>
      <c r="D1308">
        <v>32.387</v>
      </c>
      <c r="E1308">
        <v>159.785</v>
      </c>
      <c r="F1308">
        <v>0.096</v>
      </c>
      <c r="G1308">
        <v>21.824</v>
      </c>
      <c r="H1308">
        <v>1.451</v>
      </c>
      <c r="I1308">
        <v>2.723</v>
      </c>
      <c r="J1308">
        <v>0.579</v>
      </c>
      <c r="K1308">
        <v>8.032</v>
      </c>
      <c r="L1308">
        <v>0.731</v>
      </c>
      <c r="M1308">
        <v>4.029</v>
      </c>
      <c r="N1308">
        <v>142.009</v>
      </c>
      <c r="O1308">
        <v>137.748</v>
      </c>
      <c r="P1308">
        <f t="shared" si="83"/>
        <v>2.1523158692174</v>
      </c>
      <c r="Q1308">
        <f t="shared" si="83"/>
        <v>2.13908530193203</v>
      </c>
      <c r="R1308">
        <v>123.257</v>
      </c>
      <c r="S1308">
        <v>-9999</v>
      </c>
      <c r="T1308">
        <v>129.663</v>
      </c>
      <c r="U1308">
        <v>2.226</v>
      </c>
      <c r="V1308">
        <v>100</v>
      </c>
      <c r="W1308">
        <v>0.1</v>
      </c>
      <c r="X1308" t="s">
        <v>92</v>
      </c>
      <c r="Y1308" t="s">
        <v>31</v>
      </c>
      <c r="Z1308" s="3">
        <f t="shared" si="82"/>
        <v>0.013230567285369</v>
      </c>
      <c r="AA1308">
        <f t="shared" si="84"/>
        <v>0.152</v>
      </c>
      <c r="AB1308">
        <f t="shared" si="85"/>
        <v>0.827</v>
      </c>
      <c r="AC1308" t="s">
        <v>32</v>
      </c>
    </row>
    <row r="1309" spans="1:29">
      <c r="A1309" t="s">
        <v>104</v>
      </c>
      <c r="B1309">
        <v>3546.25</v>
      </c>
      <c r="C1309">
        <v>23.125</v>
      </c>
      <c r="D1309">
        <v>31.794</v>
      </c>
      <c r="E1309">
        <v>158.971</v>
      </c>
      <c r="F1309">
        <v>0.088</v>
      </c>
      <c r="G1309">
        <v>21.853</v>
      </c>
      <c r="H1309">
        <v>1.415</v>
      </c>
      <c r="I1309">
        <v>2.718</v>
      </c>
      <c r="J1309">
        <v>0.569</v>
      </c>
      <c r="K1309">
        <v>7.954</v>
      </c>
      <c r="L1309">
        <v>0.722</v>
      </c>
      <c r="M1309">
        <v>4.053</v>
      </c>
      <c r="N1309">
        <v>154.117</v>
      </c>
      <c r="O1309">
        <v>149.493</v>
      </c>
      <c r="P1309">
        <f t="shared" si="83"/>
        <v>2.18785054656386</v>
      </c>
      <c r="Q1309">
        <f t="shared" si="83"/>
        <v>2.17462085732568</v>
      </c>
      <c r="R1309">
        <v>135.83</v>
      </c>
      <c r="S1309">
        <v>-9999</v>
      </c>
      <c r="T1309">
        <v>142.888</v>
      </c>
      <c r="U1309">
        <v>2.31</v>
      </c>
      <c r="V1309">
        <v>100</v>
      </c>
      <c r="W1309">
        <v>0.1</v>
      </c>
      <c r="X1309" t="s">
        <v>92</v>
      </c>
      <c r="Y1309" t="s">
        <v>31</v>
      </c>
      <c r="Z1309" s="3">
        <f t="shared" si="82"/>
        <v>0.0132296892381829</v>
      </c>
      <c r="AA1309">
        <f t="shared" si="84"/>
        <v>0.153</v>
      </c>
      <c r="AB1309">
        <f t="shared" si="85"/>
        <v>0.81</v>
      </c>
      <c r="AC1309" t="s">
        <v>32</v>
      </c>
    </row>
    <row r="1310" spans="1:29">
      <c r="A1310" t="s">
        <v>104</v>
      </c>
      <c r="B1310">
        <v>3546.375</v>
      </c>
      <c r="C1310">
        <v>21.828</v>
      </c>
      <c r="D1310">
        <v>31.294</v>
      </c>
      <c r="E1310">
        <v>158.248</v>
      </c>
      <c r="F1310">
        <v>0.08</v>
      </c>
      <c r="G1310">
        <v>21.857</v>
      </c>
      <c r="H1310">
        <v>1.346</v>
      </c>
      <c r="I1310">
        <v>2.722</v>
      </c>
      <c r="J1310">
        <v>0.577</v>
      </c>
      <c r="K1310">
        <v>7.915</v>
      </c>
      <c r="L1310">
        <v>0.718</v>
      </c>
      <c r="M1310">
        <v>4.07</v>
      </c>
      <c r="N1310">
        <v>165.096</v>
      </c>
      <c r="O1310">
        <v>160.143</v>
      </c>
      <c r="P1310">
        <f t="shared" si="83"/>
        <v>2.21773655116121</v>
      </c>
      <c r="Q1310">
        <f t="shared" si="83"/>
        <v>2.20450795999757</v>
      </c>
      <c r="R1310">
        <v>147.879</v>
      </c>
      <c r="S1310">
        <v>-9999</v>
      </c>
      <c r="T1310">
        <v>155.564</v>
      </c>
      <c r="U1310">
        <v>2.269</v>
      </c>
      <c r="V1310">
        <v>100</v>
      </c>
      <c r="W1310">
        <v>0.1</v>
      </c>
      <c r="X1310" t="s">
        <v>92</v>
      </c>
      <c r="Y1310" t="s">
        <v>31</v>
      </c>
      <c r="Z1310" s="3">
        <f t="shared" si="82"/>
        <v>0.0132285911636414</v>
      </c>
      <c r="AA1310">
        <f t="shared" si="84"/>
        <v>0.141</v>
      </c>
      <c r="AB1310">
        <f t="shared" si="85"/>
        <v>0.798</v>
      </c>
      <c r="AC1310" t="s">
        <v>32</v>
      </c>
    </row>
    <row r="1311" spans="1:29">
      <c r="A1311" t="s">
        <v>104</v>
      </c>
      <c r="B1311">
        <v>3546.5</v>
      </c>
      <c r="C1311">
        <v>20.385</v>
      </c>
      <c r="D1311">
        <v>30.875</v>
      </c>
      <c r="E1311">
        <v>158.013</v>
      </c>
      <c r="F1311">
        <v>0.078</v>
      </c>
      <c r="G1311">
        <v>21.869</v>
      </c>
      <c r="H1311">
        <v>1.386</v>
      </c>
      <c r="I1311">
        <v>2.73</v>
      </c>
      <c r="J1311">
        <v>0.594</v>
      </c>
      <c r="K1311">
        <v>7.923</v>
      </c>
      <c r="L1311">
        <v>0.719</v>
      </c>
      <c r="M1311">
        <v>4.079</v>
      </c>
      <c r="N1311">
        <v>175.334</v>
      </c>
      <c r="O1311">
        <v>170.074</v>
      </c>
      <c r="P1311">
        <f t="shared" si="83"/>
        <v>2.24386614074075</v>
      </c>
      <c r="Q1311">
        <f t="shared" si="83"/>
        <v>2.23063792607824</v>
      </c>
      <c r="R1311">
        <v>156.529</v>
      </c>
      <c r="S1311">
        <v>-9999</v>
      </c>
      <c r="T1311">
        <v>164.663</v>
      </c>
      <c r="U1311">
        <v>2.168</v>
      </c>
      <c r="V1311">
        <v>100</v>
      </c>
      <c r="W1311">
        <v>0.1</v>
      </c>
      <c r="X1311" t="s">
        <v>92</v>
      </c>
      <c r="Y1311" t="s">
        <v>31</v>
      </c>
      <c r="Z1311" s="3">
        <f t="shared" si="82"/>
        <v>0.0132282146625147</v>
      </c>
      <c r="AA1311">
        <f t="shared" si="84"/>
        <v>0.125</v>
      </c>
      <c r="AB1311">
        <f t="shared" si="85"/>
        <v>0.797</v>
      </c>
      <c r="AC1311" t="s">
        <v>32</v>
      </c>
    </row>
    <row r="1312" spans="1:29">
      <c r="A1312" t="s">
        <v>104</v>
      </c>
      <c r="B1312">
        <v>3546.625</v>
      </c>
      <c r="C1312">
        <v>19.005</v>
      </c>
      <c r="D1312">
        <v>30.535</v>
      </c>
      <c r="E1312">
        <v>158.401</v>
      </c>
      <c r="F1312">
        <v>0.082</v>
      </c>
      <c r="G1312">
        <v>21.862</v>
      </c>
      <c r="H1312">
        <v>1.298</v>
      </c>
      <c r="I1312">
        <v>2.738</v>
      </c>
      <c r="J1312">
        <v>0.611</v>
      </c>
      <c r="K1312">
        <v>7.972</v>
      </c>
      <c r="L1312">
        <v>0.724</v>
      </c>
      <c r="M1312">
        <v>4.077</v>
      </c>
      <c r="N1312">
        <v>177.094</v>
      </c>
      <c r="O1312">
        <v>171.781</v>
      </c>
      <c r="P1312">
        <f t="shared" si="83"/>
        <v>2.24820384740671</v>
      </c>
      <c r="Q1312">
        <f t="shared" si="83"/>
        <v>2.23497512659955</v>
      </c>
      <c r="R1312">
        <v>160.626</v>
      </c>
      <c r="S1312">
        <v>-9999</v>
      </c>
      <c r="T1312">
        <v>168.973</v>
      </c>
      <c r="U1312">
        <v>2.106</v>
      </c>
      <c r="V1312">
        <v>100</v>
      </c>
      <c r="W1312">
        <v>0.1</v>
      </c>
      <c r="X1312" t="s">
        <v>92</v>
      </c>
      <c r="Y1312" t="s">
        <v>31</v>
      </c>
      <c r="Z1312" s="3">
        <f t="shared" si="82"/>
        <v>0.0132287208071671</v>
      </c>
      <c r="AA1312">
        <f t="shared" si="84"/>
        <v>0.113</v>
      </c>
      <c r="AB1312">
        <f t="shared" si="85"/>
        <v>0.806</v>
      </c>
      <c r="AC1312" t="s">
        <v>32</v>
      </c>
    </row>
    <row r="1313" spans="1:29">
      <c r="A1313" t="s">
        <v>104</v>
      </c>
      <c r="B1313">
        <v>3546.75</v>
      </c>
      <c r="C1313">
        <v>19.28</v>
      </c>
      <c r="D1313">
        <v>30.237</v>
      </c>
      <c r="E1313">
        <v>158.632</v>
      </c>
      <c r="F1313">
        <v>0.084</v>
      </c>
      <c r="G1313">
        <v>21.857</v>
      </c>
      <c r="H1313">
        <v>1.208</v>
      </c>
      <c r="I1313">
        <v>2.74</v>
      </c>
      <c r="J1313">
        <v>0.615</v>
      </c>
      <c r="K1313">
        <v>8.072</v>
      </c>
      <c r="L1313">
        <v>0.735</v>
      </c>
      <c r="M1313">
        <v>4.061</v>
      </c>
      <c r="N1313">
        <v>171.796</v>
      </c>
      <c r="O1313">
        <v>166.642</v>
      </c>
      <c r="P1313">
        <f t="shared" si="83"/>
        <v>2.23501304774813</v>
      </c>
      <c r="Q1313">
        <f t="shared" si="83"/>
        <v>2.22178446927617</v>
      </c>
      <c r="R1313">
        <v>160.233</v>
      </c>
      <c r="S1313">
        <v>-9999</v>
      </c>
      <c r="T1313">
        <v>168.56</v>
      </c>
      <c r="U1313">
        <v>2.118</v>
      </c>
      <c r="V1313">
        <v>100</v>
      </c>
      <c r="W1313">
        <v>0.1</v>
      </c>
      <c r="X1313" t="s">
        <v>92</v>
      </c>
      <c r="Y1313" t="s">
        <v>31</v>
      </c>
      <c r="Z1313" s="3">
        <f t="shared" si="82"/>
        <v>0.013228578471955</v>
      </c>
      <c r="AA1313">
        <f t="shared" si="84"/>
        <v>0.12</v>
      </c>
      <c r="AB1313">
        <f t="shared" si="85"/>
        <v>0.819</v>
      </c>
      <c r="AC1313" t="s">
        <v>32</v>
      </c>
    </row>
    <row r="1314" spans="1:29">
      <c r="A1314" t="s">
        <v>104</v>
      </c>
      <c r="B1314">
        <v>3546.875</v>
      </c>
      <c r="C1314">
        <v>18.754</v>
      </c>
      <c r="D1314">
        <v>29.966</v>
      </c>
      <c r="E1314">
        <v>158.473</v>
      </c>
      <c r="F1314">
        <v>0.082</v>
      </c>
      <c r="G1314">
        <v>21.859</v>
      </c>
      <c r="H1314">
        <v>1.187</v>
      </c>
      <c r="I1314">
        <v>2.738</v>
      </c>
      <c r="J1314">
        <v>0.611</v>
      </c>
      <c r="K1314">
        <v>8.19</v>
      </c>
      <c r="L1314">
        <v>0.748</v>
      </c>
      <c r="M1314">
        <v>4.032</v>
      </c>
      <c r="N1314">
        <v>164.793</v>
      </c>
      <c r="O1314">
        <v>159.85</v>
      </c>
      <c r="P1314">
        <f t="shared" si="83"/>
        <v>2.21693875999496</v>
      </c>
      <c r="Q1314">
        <f t="shared" si="83"/>
        <v>2.20371264060771</v>
      </c>
      <c r="R1314">
        <v>157.212</v>
      </c>
      <c r="S1314">
        <v>-9999</v>
      </c>
      <c r="T1314">
        <v>165.381</v>
      </c>
      <c r="U1314">
        <v>2.219</v>
      </c>
      <c r="V1314">
        <v>100</v>
      </c>
      <c r="W1314">
        <v>0.1</v>
      </c>
      <c r="X1314" t="s">
        <v>92</v>
      </c>
      <c r="Y1314" t="s">
        <v>31</v>
      </c>
      <c r="Z1314" s="3">
        <f t="shared" si="82"/>
        <v>0.013226119387252</v>
      </c>
      <c r="AA1314">
        <f t="shared" si="84"/>
        <v>0.137</v>
      </c>
      <c r="AB1314">
        <f t="shared" si="85"/>
        <v>0.83</v>
      </c>
      <c r="AC1314" t="s">
        <v>32</v>
      </c>
    </row>
    <row r="1315" spans="1:29">
      <c r="A1315" t="s">
        <v>104</v>
      </c>
      <c r="B1315">
        <v>3547</v>
      </c>
      <c r="C1315">
        <v>17.238</v>
      </c>
      <c r="D1315">
        <v>29.726</v>
      </c>
      <c r="E1315">
        <v>158.257</v>
      </c>
      <c r="F1315">
        <v>0.08</v>
      </c>
      <c r="G1315">
        <v>21.85</v>
      </c>
      <c r="H1315">
        <v>1.204</v>
      </c>
      <c r="I1315">
        <v>2.736</v>
      </c>
      <c r="J1315">
        <v>0.607</v>
      </c>
      <c r="K1315">
        <v>8.248</v>
      </c>
      <c r="L1315">
        <v>0.754</v>
      </c>
      <c r="M1315">
        <v>3.993</v>
      </c>
      <c r="N1315">
        <v>155.055</v>
      </c>
      <c r="O1315">
        <v>150.404</v>
      </c>
      <c r="P1315">
        <f t="shared" si="83"/>
        <v>2.19048577532922</v>
      </c>
      <c r="Q1315">
        <f t="shared" si="83"/>
        <v>2.17725938648719</v>
      </c>
      <c r="R1315">
        <v>155.581</v>
      </c>
      <c r="S1315">
        <v>-9999</v>
      </c>
      <c r="T1315">
        <v>163.666</v>
      </c>
      <c r="U1315">
        <v>2.308</v>
      </c>
      <c r="V1315">
        <v>100</v>
      </c>
      <c r="W1315">
        <v>0.1</v>
      </c>
      <c r="X1315" t="s">
        <v>92</v>
      </c>
      <c r="Y1315" t="s">
        <v>31</v>
      </c>
      <c r="Z1315" s="3">
        <f t="shared" si="82"/>
        <v>0.0132263888420288</v>
      </c>
      <c r="AA1315">
        <f t="shared" si="84"/>
        <v>0.147</v>
      </c>
      <c r="AB1315">
        <f t="shared" si="85"/>
        <v>0.834</v>
      </c>
      <c r="AC1315" t="s">
        <v>32</v>
      </c>
    </row>
    <row r="1316" spans="1:29">
      <c r="A1316" t="s">
        <v>104</v>
      </c>
      <c r="B1316">
        <v>3547.125</v>
      </c>
      <c r="C1316">
        <v>18.429</v>
      </c>
      <c r="D1316">
        <v>29.546</v>
      </c>
      <c r="E1316">
        <v>158.826</v>
      </c>
      <c r="F1316">
        <v>0.086</v>
      </c>
      <c r="G1316">
        <v>21.915</v>
      </c>
      <c r="H1316">
        <v>1.146</v>
      </c>
      <c r="I1316">
        <v>2.734</v>
      </c>
      <c r="J1316">
        <v>0.603</v>
      </c>
      <c r="K1316">
        <v>8.209</v>
      </c>
      <c r="L1316">
        <v>0.75</v>
      </c>
      <c r="M1316">
        <v>3.948</v>
      </c>
      <c r="N1316">
        <v>147.136</v>
      </c>
      <c r="O1316">
        <v>142.722</v>
      </c>
      <c r="P1316">
        <f t="shared" si="83"/>
        <v>2.16771894525317</v>
      </c>
      <c r="Q1316">
        <f t="shared" si="83"/>
        <v>2.15449092295468</v>
      </c>
      <c r="R1316">
        <v>157.644</v>
      </c>
      <c r="S1316">
        <v>-9999</v>
      </c>
      <c r="T1316">
        <v>165.836</v>
      </c>
      <c r="U1316">
        <v>2.301</v>
      </c>
      <c r="V1316">
        <v>100</v>
      </c>
      <c r="W1316">
        <v>0.1</v>
      </c>
      <c r="X1316" t="s">
        <v>92</v>
      </c>
      <c r="Y1316" t="s">
        <v>31</v>
      </c>
      <c r="Z1316" s="3">
        <f t="shared" si="82"/>
        <v>0.0132280222984873</v>
      </c>
      <c r="AA1316">
        <f t="shared" si="84"/>
        <v>0.147</v>
      </c>
      <c r="AB1316">
        <f t="shared" si="85"/>
        <v>0.836</v>
      </c>
      <c r="AC1316" t="s">
        <v>32</v>
      </c>
    </row>
    <row r="1317" spans="1:29">
      <c r="A1317" t="s">
        <v>104</v>
      </c>
      <c r="B1317">
        <v>3547.25</v>
      </c>
      <c r="C1317">
        <v>19.817</v>
      </c>
      <c r="D1317">
        <v>29.419</v>
      </c>
      <c r="E1317">
        <v>161.458</v>
      </c>
      <c r="F1317">
        <v>0.113</v>
      </c>
      <c r="G1317">
        <v>22.147</v>
      </c>
      <c r="H1317">
        <v>1.142</v>
      </c>
      <c r="I1317">
        <v>2.726</v>
      </c>
      <c r="J1317">
        <v>0.586</v>
      </c>
      <c r="K1317">
        <v>8.138</v>
      </c>
      <c r="L1317">
        <v>0.742</v>
      </c>
      <c r="M1317">
        <v>3.904</v>
      </c>
      <c r="N1317">
        <v>139.949</v>
      </c>
      <c r="O1317">
        <v>135.75</v>
      </c>
      <c r="P1317">
        <f t="shared" si="83"/>
        <v>2.14596979957936</v>
      </c>
      <c r="Q1317">
        <f t="shared" si="83"/>
        <v>2.13273983826088</v>
      </c>
      <c r="R1317">
        <v>162.283</v>
      </c>
      <c r="S1317">
        <v>-9999</v>
      </c>
      <c r="T1317">
        <v>170.716</v>
      </c>
      <c r="U1317">
        <v>2.369</v>
      </c>
      <c r="V1317">
        <v>100</v>
      </c>
      <c r="W1317">
        <v>0.1</v>
      </c>
      <c r="X1317" t="s">
        <v>92</v>
      </c>
      <c r="Y1317" t="s">
        <v>31</v>
      </c>
      <c r="Z1317" s="3">
        <f t="shared" ref="Z1317:Z1380" si="86">P1317-Q1317</f>
        <v>0.0132299613184776</v>
      </c>
      <c r="AA1317">
        <f t="shared" si="84"/>
        <v>0.156</v>
      </c>
      <c r="AB1317">
        <f t="shared" si="85"/>
        <v>0.855</v>
      </c>
      <c r="AC1317" t="s">
        <v>32</v>
      </c>
    </row>
    <row r="1318" spans="1:29">
      <c r="A1318" t="s">
        <v>104</v>
      </c>
      <c r="B1318">
        <v>3547.375</v>
      </c>
      <c r="C1318">
        <v>19.906</v>
      </c>
      <c r="D1318">
        <v>29.322</v>
      </c>
      <c r="E1318">
        <v>165.864</v>
      </c>
      <c r="F1318">
        <v>0.159</v>
      </c>
      <c r="G1318">
        <v>22.503</v>
      </c>
      <c r="H1318">
        <v>1.179</v>
      </c>
      <c r="I1318">
        <v>2.716</v>
      </c>
      <c r="J1318">
        <v>0.565</v>
      </c>
      <c r="K1318">
        <v>8.096</v>
      </c>
      <c r="L1318">
        <v>0.738</v>
      </c>
      <c r="M1318">
        <v>3.867</v>
      </c>
      <c r="N1318">
        <v>136.111</v>
      </c>
      <c r="O1318">
        <v>132.028</v>
      </c>
      <c r="P1318">
        <f t="shared" si="83"/>
        <v>2.13389322473497</v>
      </c>
      <c r="Q1318">
        <f t="shared" si="83"/>
        <v>2.12066604450852</v>
      </c>
      <c r="R1318">
        <v>165.466</v>
      </c>
      <c r="S1318">
        <v>-9999</v>
      </c>
      <c r="T1318">
        <v>174.065</v>
      </c>
      <c r="U1318">
        <v>2.54</v>
      </c>
      <c r="V1318">
        <v>100</v>
      </c>
      <c r="W1318">
        <v>0.1</v>
      </c>
      <c r="X1318" t="s">
        <v>92</v>
      </c>
      <c r="Y1318" t="s">
        <v>31</v>
      </c>
      <c r="Z1318" s="3">
        <f t="shared" si="86"/>
        <v>0.0132271802264525</v>
      </c>
      <c r="AA1318">
        <f t="shared" si="84"/>
        <v>0.173</v>
      </c>
      <c r="AB1318">
        <f t="shared" si="85"/>
        <v>0.897</v>
      </c>
      <c r="AC1318" t="s">
        <v>32</v>
      </c>
    </row>
    <row r="1319" spans="1:29">
      <c r="A1319" t="s">
        <v>104</v>
      </c>
      <c r="B1319">
        <v>3547.5</v>
      </c>
      <c r="C1319">
        <v>19.268</v>
      </c>
      <c r="D1319">
        <v>29.245</v>
      </c>
      <c r="E1319">
        <v>171.643</v>
      </c>
      <c r="F1319">
        <v>0.219</v>
      </c>
      <c r="G1319">
        <v>22.773</v>
      </c>
      <c r="H1319">
        <v>1.09</v>
      </c>
      <c r="I1319">
        <v>2.707</v>
      </c>
      <c r="J1319">
        <v>0.546</v>
      </c>
      <c r="K1319">
        <v>8.066</v>
      </c>
      <c r="L1319">
        <v>0.734</v>
      </c>
      <c r="M1319">
        <v>3.839</v>
      </c>
      <c r="N1319">
        <v>135.371</v>
      </c>
      <c r="O1319">
        <v>131.31</v>
      </c>
      <c r="P1319">
        <f t="shared" si="83"/>
        <v>2.13152563710453</v>
      </c>
      <c r="Q1319">
        <f t="shared" si="83"/>
        <v>2.11829780133278</v>
      </c>
      <c r="R1319">
        <v>165.7</v>
      </c>
      <c r="S1319">
        <v>-9999</v>
      </c>
      <c r="T1319">
        <v>174.311</v>
      </c>
      <c r="U1319">
        <v>2.711</v>
      </c>
      <c r="V1319">
        <v>100</v>
      </c>
      <c r="W1319">
        <v>0.1</v>
      </c>
      <c r="X1319" t="s">
        <v>92</v>
      </c>
      <c r="Y1319" t="s">
        <v>31</v>
      </c>
      <c r="Z1319" s="3">
        <f t="shared" si="86"/>
        <v>0.0132278357717523</v>
      </c>
      <c r="AA1319">
        <f t="shared" si="84"/>
        <v>0.188</v>
      </c>
      <c r="AB1319">
        <f t="shared" si="85"/>
        <v>0.953</v>
      </c>
      <c r="AC1319" t="s">
        <v>32</v>
      </c>
    </row>
    <row r="1320" spans="1:29">
      <c r="A1320" t="s">
        <v>104</v>
      </c>
      <c r="B1320">
        <v>3547.625</v>
      </c>
      <c r="C1320">
        <v>20.555</v>
      </c>
      <c r="D1320">
        <v>29.216</v>
      </c>
      <c r="E1320">
        <v>175.637</v>
      </c>
      <c r="F1320">
        <v>0.261</v>
      </c>
      <c r="G1320">
        <v>22.747</v>
      </c>
      <c r="H1320">
        <v>1.114</v>
      </c>
      <c r="I1320">
        <v>2.697</v>
      </c>
      <c r="J1320">
        <v>0.525</v>
      </c>
      <c r="K1320">
        <v>7.982</v>
      </c>
      <c r="L1320">
        <v>0.725</v>
      </c>
      <c r="M1320">
        <v>3.827</v>
      </c>
      <c r="N1320">
        <v>136.842</v>
      </c>
      <c r="O1320">
        <v>132.736</v>
      </c>
      <c r="P1320">
        <f t="shared" si="83"/>
        <v>2.13621941294518</v>
      </c>
      <c r="Q1320">
        <f t="shared" si="83"/>
        <v>2.12298872603691</v>
      </c>
      <c r="R1320">
        <v>166.53</v>
      </c>
      <c r="S1320">
        <v>-9999</v>
      </c>
      <c r="T1320">
        <v>175.184</v>
      </c>
      <c r="U1320">
        <v>2.81</v>
      </c>
      <c r="V1320">
        <v>100</v>
      </c>
      <c r="W1320">
        <v>0.1</v>
      </c>
      <c r="X1320" t="s">
        <v>92</v>
      </c>
      <c r="Y1320" t="s">
        <v>31</v>
      </c>
      <c r="Z1320" s="3">
        <f t="shared" si="86"/>
        <v>0.013230686908273</v>
      </c>
      <c r="AA1320">
        <f t="shared" si="84"/>
        <v>0.2</v>
      </c>
      <c r="AB1320">
        <f t="shared" si="85"/>
        <v>0.986</v>
      </c>
      <c r="AC1320" t="s">
        <v>32</v>
      </c>
    </row>
    <row r="1321" spans="1:29">
      <c r="A1321" t="s">
        <v>104</v>
      </c>
      <c r="B1321">
        <v>3547.75</v>
      </c>
      <c r="C1321">
        <v>22.376</v>
      </c>
      <c r="D1321">
        <v>29.254</v>
      </c>
      <c r="E1321">
        <v>175.967</v>
      </c>
      <c r="F1321">
        <v>0.264</v>
      </c>
      <c r="G1321">
        <v>22.722</v>
      </c>
      <c r="H1321">
        <v>1.231</v>
      </c>
      <c r="I1321">
        <v>2.682</v>
      </c>
      <c r="J1321">
        <v>0.494</v>
      </c>
      <c r="K1321">
        <v>7.871</v>
      </c>
      <c r="L1321">
        <v>0.713</v>
      </c>
      <c r="M1321">
        <v>3.833</v>
      </c>
      <c r="N1321">
        <v>141.799</v>
      </c>
      <c r="O1321">
        <v>137.545</v>
      </c>
      <c r="P1321">
        <f t="shared" si="83"/>
        <v>2.15167316811071</v>
      </c>
      <c r="Q1321">
        <f t="shared" si="83"/>
        <v>2.1384448076528</v>
      </c>
      <c r="R1321">
        <v>173.77</v>
      </c>
      <c r="S1321">
        <v>-9999</v>
      </c>
      <c r="T1321">
        <v>182.8</v>
      </c>
      <c r="U1321">
        <v>3.007</v>
      </c>
      <c r="V1321">
        <v>100</v>
      </c>
      <c r="W1321">
        <v>0.1</v>
      </c>
      <c r="X1321" t="s">
        <v>92</v>
      </c>
      <c r="Y1321" t="s">
        <v>31</v>
      </c>
      <c r="Z1321" s="3">
        <f t="shared" si="86"/>
        <v>0.0132283604579038</v>
      </c>
      <c r="AA1321">
        <f t="shared" si="84"/>
        <v>0.219</v>
      </c>
      <c r="AB1321">
        <f t="shared" si="85"/>
        <v>0.977</v>
      </c>
      <c r="AC1321" t="s">
        <v>32</v>
      </c>
    </row>
    <row r="1322" spans="1:29">
      <c r="A1322" t="s">
        <v>104</v>
      </c>
      <c r="B1322">
        <v>3547.875</v>
      </c>
      <c r="C1322">
        <v>22.426</v>
      </c>
      <c r="D1322">
        <v>29.346</v>
      </c>
      <c r="E1322">
        <v>171.945</v>
      </c>
      <c r="F1322">
        <v>0.222</v>
      </c>
      <c r="G1322">
        <v>22.807</v>
      </c>
      <c r="H1322">
        <v>1.202</v>
      </c>
      <c r="I1322">
        <v>2.665</v>
      </c>
      <c r="J1322">
        <v>0.458</v>
      </c>
      <c r="K1322">
        <v>7.793</v>
      </c>
      <c r="L1322">
        <v>0.705</v>
      </c>
      <c r="M1322">
        <v>3.856</v>
      </c>
      <c r="N1322">
        <v>150.91</v>
      </c>
      <c r="O1322">
        <v>146.383</v>
      </c>
      <c r="P1322">
        <f t="shared" si="83"/>
        <v>2.17871801910577</v>
      </c>
      <c r="Q1322">
        <f t="shared" si="83"/>
        <v>2.16549064342399</v>
      </c>
      <c r="R1322">
        <v>189.552</v>
      </c>
      <c r="S1322">
        <v>-9999</v>
      </c>
      <c r="T1322">
        <v>199.402</v>
      </c>
      <c r="U1322">
        <v>3.321</v>
      </c>
      <c r="V1322">
        <v>100</v>
      </c>
      <c r="W1322">
        <v>0.1</v>
      </c>
      <c r="X1322" t="s">
        <v>92</v>
      </c>
      <c r="Y1322" t="s">
        <v>31</v>
      </c>
      <c r="Z1322" s="3">
        <f t="shared" si="86"/>
        <v>0.0132273756817813</v>
      </c>
      <c r="AA1322">
        <f t="shared" si="84"/>
        <v>0.247</v>
      </c>
      <c r="AB1322">
        <f t="shared" si="85"/>
        <v>0.927</v>
      </c>
      <c r="AC1322" t="s">
        <v>32</v>
      </c>
    </row>
    <row r="1323" spans="1:29">
      <c r="A1323" t="s">
        <v>104</v>
      </c>
      <c r="B1323">
        <v>3548</v>
      </c>
      <c r="C1323">
        <v>22.641</v>
      </c>
      <c r="D1323">
        <v>29.46</v>
      </c>
      <c r="E1323">
        <v>166.358</v>
      </c>
      <c r="F1323">
        <v>0.164</v>
      </c>
      <c r="G1323">
        <v>22.269</v>
      </c>
      <c r="H1323">
        <v>1.015</v>
      </c>
      <c r="I1323">
        <v>2.654</v>
      </c>
      <c r="J1323">
        <v>0.435</v>
      </c>
      <c r="K1323">
        <v>7.744</v>
      </c>
      <c r="L1323">
        <v>0.7</v>
      </c>
      <c r="M1323">
        <v>3.893</v>
      </c>
      <c r="N1323">
        <v>167.86</v>
      </c>
      <c r="O1323">
        <v>162.824</v>
      </c>
      <c r="P1323">
        <f t="shared" si="83"/>
        <v>2.22494721877709</v>
      </c>
      <c r="Q1323">
        <f t="shared" si="83"/>
        <v>2.211718419591</v>
      </c>
      <c r="R1323">
        <v>210.678</v>
      </c>
      <c r="S1323">
        <v>-9999</v>
      </c>
      <c r="T1323">
        <v>221.627</v>
      </c>
      <c r="U1323">
        <v>3.526</v>
      </c>
      <c r="V1323">
        <v>100</v>
      </c>
      <c r="W1323">
        <v>0.1</v>
      </c>
      <c r="X1323" t="s">
        <v>92</v>
      </c>
      <c r="Y1323" t="s">
        <v>31</v>
      </c>
      <c r="Z1323" s="3">
        <f t="shared" si="86"/>
        <v>0.0132287991860904</v>
      </c>
      <c r="AA1323">
        <f t="shared" si="84"/>
        <v>0.265</v>
      </c>
      <c r="AB1323">
        <f t="shared" si="85"/>
        <v>0.864</v>
      </c>
      <c r="AC1323" t="s">
        <v>32</v>
      </c>
    </row>
    <row r="1324" spans="1:29">
      <c r="A1324" t="s">
        <v>104</v>
      </c>
      <c r="B1324">
        <v>3548.125</v>
      </c>
      <c r="C1324">
        <v>23.537</v>
      </c>
      <c r="D1324">
        <v>29.584</v>
      </c>
      <c r="E1324">
        <v>161.6</v>
      </c>
      <c r="F1324">
        <v>0.115</v>
      </c>
      <c r="G1324">
        <v>22.004</v>
      </c>
      <c r="H1324">
        <v>0.966</v>
      </c>
      <c r="I1324">
        <v>2.663</v>
      </c>
      <c r="J1324">
        <v>0.454</v>
      </c>
      <c r="K1324">
        <v>7.652</v>
      </c>
      <c r="L1324">
        <v>0.69</v>
      </c>
      <c r="M1324">
        <v>3.936</v>
      </c>
      <c r="N1324">
        <v>182.921</v>
      </c>
      <c r="O1324">
        <v>177.433</v>
      </c>
      <c r="P1324">
        <f t="shared" si="83"/>
        <v>2.26226356693396</v>
      </c>
      <c r="Q1324">
        <f t="shared" si="83"/>
        <v>2.2490343955694</v>
      </c>
      <c r="R1324">
        <v>235.965</v>
      </c>
      <c r="S1324">
        <v>-9999</v>
      </c>
      <c r="T1324">
        <v>248.228</v>
      </c>
      <c r="U1324">
        <v>3.254</v>
      </c>
      <c r="V1324">
        <v>100</v>
      </c>
      <c r="W1324">
        <v>0.1</v>
      </c>
      <c r="X1324" t="s">
        <v>92</v>
      </c>
      <c r="Y1324" t="s">
        <v>31</v>
      </c>
      <c r="Z1324" s="3">
        <f t="shared" si="86"/>
        <v>0.0132291713645607</v>
      </c>
      <c r="AA1324">
        <f t="shared" si="84"/>
        <v>0.236</v>
      </c>
      <c r="AB1324">
        <f t="shared" si="85"/>
        <v>0.805</v>
      </c>
      <c r="AC1324" t="s">
        <v>32</v>
      </c>
    </row>
    <row r="1325" spans="1:29">
      <c r="A1325" t="s">
        <v>104</v>
      </c>
      <c r="B1325">
        <v>3548.25</v>
      </c>
      <c r="C1325">
        <v>23.419</v>
      </c>
      <c r="D1325">
        <v>29.731</v>
      </c>
      <c r="E1325">
        <v>158.415</v>
      </c>
      <c r="F1325">
        <v>0.082</v>
      </c>
      <c r="G1325">
        <v>21.889</v>
      </c>
      <c r="H1325">
        <v>1.02</v>
      </c>
      <c r="I1325">
        <v>2.691</v>
      </c>
      <c r="J1325">
        <v>0.513</v>
      </c>
      <c r="K1325">
        <v>7.534</v>
      </c>
      <c r="L1325">
        <v>0.677</v>
      </c>
      <c r="M1325">
        <v>3.973</v>
      </c>
      <c r="N1325">
        <v>200.171</v>
      </c>
      <c r="O1325">
        <v>194.166</v>
      </c>
      <c r="P1325">
        <f t="shared" si="83"/>
        <v>2.30140115879637</v>
      </c>
      <c r="Q1325">
        <f t="shared" si="83"/>
        <v>2.28817318383598</v>
      </c>
      <c r="R1325">
        <v>267.082</v>
      </c>
      <c r="S1325">
        <v>-9999</v>
      </c>
      <c r="T1325">
        <v>280.961</v>
      </c>
      <c r="U1325">
        <v>2.629</v>
      </c>
      <c r="V1325">
        <v>100</v>
      </c>
      <c r="W1325">
        <v>0.1</v>
      </c>
      <c r="X1325" t="s">
        <v>92</v>
      </c>
      <c r="Y1325" t="s">
        <v>31</v>
      </c>
      <c r="Z1325" s="3">
        <f t="shared" si="86"/>
        <v>0.0132279749603885</v>
      </c>
      <c r="AA1325">
        <f t="shared" si="84"/>
        <v>0.164</v>
      </c>
      <c r="AB1325">
        <f t="shared" si="85"/>
        <v>0.759</v>
      </c>
      <c r="AC1325" t="s">
        <v>32</v>
      </c>
    </row>
    <row r="1326" spans="1:29">
      <c r="A1326" t="s">
        <v>104</v>
      </c>
      <c r="B1326">
        <v>3548.375</v>
      </c>
      <c r="C1326">
        <v>22.218</v>
      </c>
      <c r="D1326">
        <v>29.914</v>
      </c>
      <c r="E1326">
        <v>155.593</v>
      </c>
      <c r="F1326">
        <v>0.053</v>
      </c>
      <c r="G1326">
        <v>21.964</v>
      </c>
      <c r="H1326">
        <v>1.152</v>
      </c>
      <c r="I1326">
        <v>2.726</v>
      </c>
      <c r="J1326">
        <v>0.586</v>
      </c>
      <c r="K1326">
        <v>7.441</v>
      </c>
      <c r="L1326">
        <v>0.667</v>
      </c>
      <c r="M1326">
        <v>3.997</v>
      </c>
      <c r="N1326">
        <v>217.002</v>
      </c>
      <c r="O1326">
        <v>210.491</v>
      </c>
      <c r="P1326">
        <f t="shared" si="83"/>
        <v>2.3364637365442</v>
      </c>
      <c r="Q1326">
        <f t="shared" si="83"/>
        <v>2.32323353136457</v>
      </c>
      <c r="R1326">
        <v>305.364</v>
      </c>
      <c r="S1326">
        <v>-9999</v>
      </c>
      <c r="T1326">
        <v>321.233</v>
      </c>
      <c r="U1326">
        <v>1.97</v>
      </c>
      <c r="V1326">
        <v>100</v>
      </c>
      <c r="W1326">
        <v>0.1</v>
      </c>
      <c r="X1326" t="s">
        <v>92</v>
      </c>
      <c r="Y1326" t="s">
        <v>31</v>
      </c>
      <c r="Z1326" s="3">
        <f t="shared" si="86"/>
        <v>0.0132302051796289</v>
      </c>
      <c r="AA1326">
        <f t="shared" si="84"/>
        <v>0.0810000000000001</v>
      </c>
      <c r="AB1326">
        <f t="shared" si="85"/>
        <v>0.72</v>
      </c>
      <c r="AC1326" t="s">
        <v>32</v>
      </c>
    </row>
    <row r="1327" spans="1:29">
      <c r="A1327" t="s">
        <v>104</v>
      </c>
      <c r="B1327">
        <v>3548.5</v>
      </c>
      <c r="C1327">
        <v>23.218</v>
      </c>
      <c r="D1327">
        <v>30.127</v>
      </c>
      <c r="E1327">
        <v>152.962</v>
      </c>
      <c r="F1327">
        <v>0.025</v>
      </c>
      <c r="G1327">
        <v>21.963</v>
      </c>
      <c r="H1327">
        <v>1.206</v>
      </c>
      <c r="I1327">
        <v>2.754</v>
      </c>
      <c r="J1327">
        <v>0.644</v>
      </c>
      <c r="K1327">
        <v>7.372</v>
      </c>
      <c r="L1327">
        <v>0.659</v>
      </c>
      <c r="M1327">
        <v>4.005</v>
      </c>
      <c r="N1327">
        <v>235.974</v>
      </c>
      <c r="O1327">
        <v>228.894</v>
      </c>
      <c r="P1327">
        <f t="shared" si="83"/>
        <v>2.37286415433208</v>
      </c>
      <c r="Q1327">
        <f t="shared" si="83"/>
        <v>2.3596344086595</v>
      </c>
      <c r="R1327">
        <v>347.588</v>
      </c>
      <c r="S1327">
        <v>-9999</v>
      </c>
      <c r="T1327">
        <v>365.651</v>
      </c>
      <c r="U1327">
        <v>1.487</v>
      </c>
      <c r="V1327">
        <v>100</v>
      </c>
      <c r="W1327">
        <v>0.1</v>
      </c>
      <c r="X1327" t="s">
        <v>92</v>
      </c>
      <c r="Y1327" t="s">
        <v>31</v>
      </c>
      <c r="Z1327" s="3">
        <f t="shared" si="86"/>
        <v>0.0132297456725854</v>
      </c>
      <c r="AA1327">
        <f t="shared" si="84"/>
        <v>0.015</v>
      </c>
      <c r="AB1327">
        <f t="shared" si="85"/>
        <v>0.684</v>
      </c>
      <c r="AC1327" t="s">
        <v>32</v>
      </c>
    </row>
    <row r="1328" spans="1:29">
      <c r="A1328" t="s">
        <v>104</v>
      </c>
      <c r="B1328">
        <v>3548.625</v>
      </c>
      <c r="C1328">
        <v>24.337</v>
      </c>
      <c r="D1328">
        <v>30.363</v>
      </c>
      <c r="E1328">
        <v>150.947</v>
      </c>
      <c r="F1328">
        <v>0.004</v>
      </c>
      <c r="G1328">
        <v>21.998</v>
      </c>
      <c r="H1328">
        <v>1.133</v>
      </c>
      <c r="I1328">
        <v>2.76</v>
      </c>
      <c r="J1328">
        <v>0.657</v>
      </c>
      <c r="K1328">
        <v>7.307</v>
      </c>
      <c r="L1328">
        <v>0.652</v>
      </c>
      <c r="M1328">
        <v>3.998</v>
      </c>
      <c r="N1328">
        <v>254.749</v>
      </c>
      <c r="O1328">
        <v>247.107</v>
      </c>
      <c r="P1328">
        <f t="shared" si="83"/>
        <v>2.40611248788814</v>
      </c>
      <c r="Q1328">
        <f t="shared" si="83"/>
        <v>2.39288504818765</v>
      </c>
      <c r="R1328">
        <v>385.46</v>
      </c>
      <c r="S1328">
        <v>-9999</v>
      </c>
      <c r="T1328">
        <v>405.491</v>
      </c>
      <c r="U1328">
        <v>1.345</v>
      </c>
      <c r="V1328">
        <v>100</v>
      </c>
      <c r="W1328">
        <v>0.1</v>
      </c>
      <c r="X1328" t="s">
        <v>92</v>
      </c>
      <c r="Y1328" t="s">
        <v>31</v>
      </c>
      <c r="Z1328" s="3">
        <f t="shared" si="86"/>
        <v>0.0132274397004961</v>
      </c>
      <c r="AA1328">
        <f t="shared" si="84"/>
        <v>-0.005</v>
      </c>
      <c r="AB1328">
        <f t="shared" si="85"/>
        <v>0.656</v>
      </c>
      <c r="AC1328" t="s">
        <v>32</v>
      </c>
    </row>
    <row r="1329" spans="1:29">
      <c r="A1329" t="s">
        <v>104</v>
      </c>
      <c r="B1329">
        <v>3548.75</v>
      </c>
      <c r="C1329">
        <v>25.861</v>
      </c>
      <c r="D1329">
        <v>30.628</v>
      </c>
      <c r="E1329">
        <v>151.044</v>
      </c>
      <c r="F1329">
        <v>0.005</v>
      </c>
      <c r="G1329">
        <v>22.256</v>
      </c>
      <c r="H1329">
        <v>1.197</v>
      </c>
      <c r="I1329">
        <v>2.738</v>
      </c>
      <c r="J1329">
        <v>0.611</v>
      </c>
      <c r="K1329">
        <v>7.266</v>
      </c>
      <c r="L1329">
        <v>0.648</v>
      </c>
      <c r="M1329">
        <v>3.984</v>
      </c>
      <c r="N1329">
        <v>264.927</v>
      </c>
      <c r="O1329">
        <v>256.98</v>
      </c>
      <c r="P1329">
        <f t="shared" si="83"/>
        <v>2.42312622161723</v>
      </c>
      <c r="Q1329">
        <f t="shared" si="83"/>
        <v>2.40989932478021</v>
      </c>
      <c r="R1329">
        <v>400.393</v>
      </c>
      <c r="S1329">
        <v>-9999</v>
      </c>
      <c r="T1329">
        <v>421.2</v>
      </c>
      <c r="U1329">
        <v>1.595</v>
      </c>
      <c r="V1329">
        <v>100</v>
      </c>
      <c r="W1329">
        <v>0.1</v>
      </c>
      <c r="X1329" t="s">
        <v>92</v>
      </c>
      <c r="Y1329" t="s">
        <v>31</v>
      </c>
      <c r="Z1329" s="3">
        <f t="shared" si="86"/>
        <v>0.0132268968370131</v>
      </c>
      <c r="AA1329">
        <f t="shared" si="84"/>
        <v>0.037</v>
      </c>
      <c r="AB1329">
        <f t="shared" si="85"/>
        <v>0.653</v>
      </c>
      <c r="AC1329" t="s">
        <v>32</v>
      </c>
    </row>
    <row r="1330" spans="1:29">
      <c r="A1330" t="s">
        <v>104</v>
      </c>
      <c r="B1330">
        <v>3548.875</v>
      </c>
      <c r="C1330">
        <v>26.671</v>
      </c>
      <c r="D1330">
        <v>30.946</v>
      </c>
      <c r="E1330">
        <v>154.662</v>
      </c>
      <c r="F1330">
        <v>0.043</v>
      </c>
      <c r="G1330">
        <v>22.873</v>
      </c>
      <c r="H1330">
        <v>1.247</v>
      </c>
      <c r="I1330">
        <v>2.746</v>
      </c>
      <c r="J1330">
        <v>0.628</v>
      </c>
      <c r="K1330">
        <v>7.258</v>
      </c>
      <c r="L1330">
        <v>0.647</v>
      </c>
      <c r="M1330">
        <v>3.968</v>
      </c>
      <c r="N1330">
        <v>267.531</v>
      </c>
      <c r="O1330">
        <v>259.505</v>
      </c>
      <c r="P1330">
        <f t="shared" si="83"/>
        <v>2.42737411289516</v>
      </c>
      <c r="Q1330">
        <f t="shared" si="83"/>
        <v>2.41414573001295</v>
      </c>
      <c r="R1330">
        <v>379.223</v>
      </c>
      <c r="S1330">
        <v>-9999</v>
      </c>
      <c r="T1330">
        <v>398.93</v>
      </c>
      <c r="U1330">
        <v>1.457</v>
      </c>
      <c r="V1330">
        <v>100</v>
      </c>
      <c r="W1330">
        <v>0.1</v>
      </c>
      <c r="X1330" t="s">
        <v>92</v>
      </c>
      <c r="Y1330" t="s">
        <v>31</v>
      </c>
      <c r="Z1330" s="3">
        <f t="shared" si="86"/>
        <v>0.0132283828822093</v>
      </c>
      <c r="AA1330">
        <f t="shared" si="84"/>
        <v>0.019</v>
      </c>
      <c r="AB1330">
        <f t="shared" si="85"/>
        <v>0.69</v>
      </c>
      <c r="AC1330" t="s">
        <v>32</v>
      </c>
    </row>
    <row r="1331" spans="1:29">
      <c r="A1331" t="s">
        <v>104</v>
      </c>
      <c r="B1331">
        <v>3549</v>
      </c>
      <c r="C1331">
        <v>25.112</v>
      </c>
      <c r="D1331">
        <v>31.331</v>
      </c>
      <c r="E1331">
        <v>160.861</v>
      </c>
      <c r="F1331">
        <v>0.107</v>
      </c>
      <c r="G1331">
        <v>23.362</v>
      </c>
      <c r="H1331">
        <v>1.322</v>
      </c>
      <c r="I1331">
        <v>2.753</v>
      </c>
      <c r="J1331">
        <v>0.642</v>
      </c>
      <c r="K1331">
        <v>7.245</v>
      </c>
      <c r="L1331">
        <v>0.646</v>
      </c>
      <c r="M1331">
        <v>3.956</v>
      </c>
      <c r="N1331">
        <v>260.679</v>
      </c>
      <c r="O1331">
        <v>252.859</v>
      </c>
      <c r="P1331">
        <f t="shared" si="83"/>
        <v>2.41610604631422</v>
      </c>
      <c r="Q1331">
        <f t="shared" si="83"/>
        <v>2.40287841606932</v>
      </c>
      <c r="R1331">
        <v>330.273</v>
      </c>
      <c r="S1331">
        <v>-9999</v>
      </c>
      <c r="T1331">
        <v>347.436</v>
      </c>
      <c r="U1331">
        <v>1.387</v>
      </c>
      <c r="V1331">
        <v>100</v>
      </c>
      <c r="W1331">
        <v>0.1</v>
      </c>
      <c r="X1331" t="s">
        <v>92</v>
      </c>
      <c r="Y1331" t="s">
        <v>31</v>
      </c>
      <c r="Z1331" s="3">
        <f t="shared" si="86"/>
        <v>0.0132276302449021</v>
      </c>
      <c r="AA1331">
        <f t="shared" si="84"/>
        <v>0.004</v>
      </c>
      <c r="AB1331">
        <f t="shared" si="85"/>
        <v>0.753</v>
      </c>
      <c r="AC1331" t="s">
        <v>32</v>
      </c>
    </row>
    <row r="1332" spans="1:29">
      <c r="A1332" t="s">
        <v>105</v>
      </c>
      <c r="B1332">
        <v>3804</v>
      </c>
      <c r="C1332">
        <v>16.918</v>
      </c>
      <c r="D1332">
        <v>34.128</v>
      </c>
      <c r="E1332">
        <v>155.756</v>
      </c>
      <c r="F1332">
        <v>0.067</v>
      </c>
      <c r="G1332">
        <v>21.725</v>
      </c>
      <c r="H1332">
        <v>2.434</v>
      </c>
      <c r="I1332">
        <v>2.746</v>
      </c>
      <c r="J1332">
        <v>0.377</v>
      </c>
      <c r="K1332">
        <v>5.714</v>
      </c>
      <c r="L1332">
        <v>0.373</v>
      </c>
      <c r="M1332">
        <v>3.64</v>
      </c>
      <c r="N1332">
        <v>411.852</v>
      </c>
      <c r="O1332">
        <v>399.497</v>
      </c>
      <c r="P1332">
        <f t="shared" si="83"/>
        <v>2.61474117930806</v>
      </c>
      <c r="Q1332">
        <f t="shared" si="83"/>
        <v>2.60151352235254</v>
      </c>
      <c r="R1332">
        <v>104.64</v>
      </c>
      <c r="S1332">
        <v>-9999</v>
      </c>
      <c r="T1332">
        <v>108.954</v>
      </c>
      <c r="U1332">
        <v>3.038</v>
      </c>
      <c r="V1332">
        <v>38.425</v>
      </c>
      <c r="W1332">
        <v>0.1</v>
      </c>
      <c r="X1332" t="s">
        <v>92</v>
      </c>
      <c r="Y1332" t="s">
        <v>31</v>
      </c>
      <c r="Z1332" s="3">
        <f t="shared" si="86"/>
        <v>0.0132276569555159</v>
      </c>
      <c r="AA1332">
        <f t="shared" si="84"/>
        <v>-0.004</v>
      </c>
      <c r="AB1332">
        <f t="shared" si="85"/>
        <v>0.44</v>
      </c>
      <c r="AC1332" t="s">
        <v>32</v>
      </c>
    </row>
    <row r="1333" spans="1:29">
      <c r="A1333" t="s">
        <v>105</v>
      </c>
      <c r="B1333">
        <v>3804.125</v>
      </c>
      <c r="C1333">
        <v>15.165</v>
      </c>
      <c r="D1333">
        <v>33.193</v>
      </c>
      <c r="E1333">
        <v>152.129</v>
      </c>
      <c r="F1333">
        <v>0.032</v>
      </c>
      <c r="G1333">
        <v>21.849</v>
      </c>
      <c r="H1333">
        <v>1.616</v>
      </c>
      <c r="I1333">
        <v>2.745</v>
      </c>
      <c r="J1333">
        <v>0.374</v>
      </c>
      <c r="K1333">
        <v>5.659</v>
      </c>
      <c r="L1333">
        <v>0.369</v>
      </c>
      <c r="M1333">
        <v>3.551</v>
      </c>
      <c r="N1333">
        <v>537.427</v>
      </c>
      <c r="O1333">
        <v>521.304</v>
      </c>
      <c r="P1333">
        <f t="shared" si="83"/>
        <v>2.73031948133134</v>
      </c>
      <c r="Q1333">
        <f t="shared" si="83"/>
        <v>2.71709105731003</v>
      </c>
      <c r="R1333">
        <v>119.406</v>
      </c>
      <c r="S1333">
        <v>-9999</v>
      </c>
      <c r="T1333">
        <v>131.167</v>
      </c>
      <c r="U1333">
        <v>3.105</v>
      </c>
      <c r="V1333">
        <v>34.191</v>
      </c>
      <c r="W1333">
        <v>0.1</v>
      </c>
      <c r="X1333" t="s">
        <v>92</v>
      </c>
      <c r="Y1333" t="s">
        <v>31</v>
      </c>
      <c r="Z1333" s="3">
        <f t="shared" si="86"/>
        <v>0.0132284240213121</v>
      </c>
      <c r="AA1333">
        <f t="shared" si="84"/>
        <v>-0.005</v>
      </c>
      <c r="AB1333">
        <f t="shared" si="85"/>
        <v>0.401</v>
      </c>
      <c r="AC1333" t="s">
        <v>32</v>
      </c>
    </row>
    <row r="1334" spans="1:29">
      <c r="A1334" t="s">
        <v>105</v>
      </c>
      <c r="B1334">
        <v>3804.25</v>
      </c>
      <c r="C1334">
        <v>14.878</v>
      </c>
      <c r="D1334">
        <v>32.518</v>
      </c>
      <c r="E1334">
        <v>151.934</v>
      </c>
      <c r="F1334">
        <v>0.03</v>
      </c>
      <c r="G1334">
        <v>21.988</v>
      </c>
      <c r="H1334">
        <v>1.015</v>
      </c>
      <c r="I1334">
        <v>2.75</v>
      </c>
      <c r="J1334">
        <v>0.388</v>
      </c>
      <c r="K1334">
        <v>5.687</v>
      </c>
      <c r="L1334">
        <v>0.371</v>
      </c>
      <c r="M1334">
        <v>3.473</v>
      </c>
      <c r="N1334">
        <v>549.869</v>
      </c>
      <c r="O1334">
        <v>533.373</v>
      </c>
      <c r="P1334">
        <f t="shared" si="83"/>
        <v>2.74025923612407</v>
      </c>
      <c r="Q1334">
        <f t="shared" si="83"/>
        <v>2.72703102738723</v>
      </c>
      <c r="R1334">
        <v>123.034</v>
      </c>
      <c r="S1334">
        <v>-9999</v>
      </c>
      <c r="T1334">
        <v>153.705</v>
      </c>
      <c r="U1334">
        <v>3.018</v>
      </c>
      <c r="V1334">
        <v>31.217</v>
      </c>
      <c r="W1334">
        <v>0.1</v>
      </c>
      <c r="X1334" t="s">
        <v>92</v>
      </c>
      <c r="Y1334" t="s">
        <v>31</v>
      </c>
      <c r="Z1334" s="3">
        <f t="shared" si="86"/>
        <v>0.0132282087368396</v>
      </c>
      <c r="AA1334">
        <f t="shared" si="84"/>
        <v>-0.017</v>
      </c>
      <c r="AB1334">
        <f t="shared" si="85"/>
        <v>0.401</v>
      </c>
      <c r="AC1334" t="s">
        <v>32</v>
      </c>
    </row>
    <row r="1335" spans="1:29">
      <c r="A1335" t="s">
        <v>105</v>
      </c>
      <c r="B1335">
        <v>3804.375</v>
      </c>
      <c r="C1335">
        <v>14.743</v>
      </c>
      <c r="D1335">
        <v>32.058</v>
      </c>
      <c r="E1335">
        <v>153.734</v>
      </c>
      <c r="F1335">
        <v>0.047</v>
      </c>
      <c r="G1335">
        <v>21.955</v>
      </c>
      <c r="H1335">
        <v>0.753</v>
      </c>
      <c r="I1335">
        <v>2.759</v>
      </c>
      <c r="J1335">
        <v>0.413</v>
      </c>
      <c r="K1335">
        <v>5.742</v>
      </c>
      <c r="L1335">
        <v>0.375</v>
      </c>
      <c r="M1335">
        <v>3.413</v>
      </c>
      <c r="N1335">
        <v>534.036</v>
      </c>
      <c r="O1335">
        <v>518.015</v>
      </c>
      <c r="P1335">
        <f t="shared" si="83"/>
        <v>2.72757053432137</v>
      </c>
      <c r="Q1335">
        <f t="shared" si="83"/>
        <v>2.71434233565819</v>
      </c>
      <c r="R1335">
        <v>160.329</v>
      </c>
      <c r="S1335">
        <v>-9999</v>
      </c>
      <c r="T1335">
        <v>187.741</v>
      </c>
      <c r="U1335">
        <v>2.866</v>
      </c>
      <c r="V1335">
        <v>30.14</v>
      </c>
      <c r="W1335">
        <v>0.1</v>
      </c>
      <c r="X1335" t="s">
        <v>92</v>
      </c>
      <c r="Y1335" t="s">
        <v>31</v>
      </c>
      <c r="Z1335" s="3">
        <f t="shared" si="86"/>
        <v>0.0132281986631853</v>
      </c>
      <c r="AA1335">
        <f t="shared" si="84"/>
        <v>-0.038</v>
      </c>
      <c r="AB1335">
        <f t="shared" si="85"/>
        <v>0.422</v>
      </c>
      <c r="AC1335" t="s">
        <v>32</v>
      </c>
    </row>
    <row r="1336" spans="1:29">
      <c r="A1336" t="s">
        <v>105</v>
      </c>
      <c r="B1336">
        <v>3804.5</v>
      </c>
      <c r="C1336">
        <v>14.874</v>
      </c>
      <c r="D1336">
        <v>31.686</v>
      </c>
      <c r="E1336">
        <v>155.884</v>
      </c>
      <c r="F1336">
        <v>0.068</v>
      </c>
      <c r="G1336">
        <v>21.867</v>
      </c>
      <c r="H1336">
        <v>0.688</v>
      </c>
      <c r="I1336">
        <v>2.769</v>
      </c>
      <c r="J1336">
        <v>0.44</v>
      </c>
      <c r="K1336">
        <v>5.802</v>
      </c>
      <c r="L1336">
        <v>0.378</v>
      </c>
      <c r="M1336">
        <v>3.374</v>
      </c>
      <c r="N1336">
        <v>525.572</v>
      </c>
      <c r="O1336">
        <v>509.805</v>
      </c>
      <c r="P1336">
        <f t="shared" ref="P1336:Q1399" si="87">LOG(N1336)</f>
        <v>2.72063222000414</v>
      </c>
      <c r="Q1336">
        <f t="shared" si="87"/>
        <v>2.70740409057178</v>
      </c>
      <c r="R1336">
        <v>236.147</v>
      </c>
      <c r="S1336">
        <v>-9999</v>
      </c>
      <c r="T1336">
        <v>235.897</v>
      </c>
      <c r="U1336">
        <v>2.701</v>
      </c>
      <c r="V1336">
        <v>31.733</v>
      </c>
      <c r="W1336">
        <v>0.1</v>
      </c>
      <c r="X1336" t="s">
        <v>92</v>
      </c>
      <c r="Y1336" t="s">
        <v>31</v>
      </c>
      <c r="Z1336" s="3">
        <f t="shared" si="86"/>
        <v>0.0132281294323695</v>
      </c>
      <c r="AA1336">
        <f t="shared" si="84"/>
        <v>-0.062</v>
      </c>
      <c r="AB1336">
        <f t="shared" si="85"/>
        <v>0.446</v>
      </c>
      <c r="AC1336" t="s">
        <v>32</v>
      </c>
    </row>
    <row r="1337" spans="1:29">
      <c r="A1337" t="s">
        <v>105</v>
      </c>
      <c r="B1337">
        <v>3804.625</v>
      </c>
      <c r="C1337">
        <v>15.312</v>
      </c>
      <c r="D1337">
        <v>31.308</v>
      </c>
      <c r="E1337">
        <v>157.32</v>
      </c>
      <c r="F1337">
        <v>0.082</v>
      </c>
      <c r="G1337">
        <v>21.811</v>
      </c>
      <c r="H1337">
        <v>0.684</v>
      </c>
      <c r="I1337">
        <v>2.774</v>
      </c>
      <c r="J1337">
        <v>0.454</v>
      </c>
      <c r="K1337">
        <v>5.853</v>
      </c>
      <c r="L1337">
        <v>0.381</v>
      </c>
      <c r="M1337">
        <v>3.36</v>
      </c>
      <c r="N1337">
        <v>519.52</v>
      </c>
      <c r="O1337">
        <v>503.935</v>
      </c>
      <c r="P1337">
        <f t="shared" si="87"/>
        <v>2.71560227128193</v>
      </c>
      <c r="Q1337">
        <f t="shared" si="87"/>
        <v>2.70237452263241</v>
      </c>
      <c r="R1337">
        <v>308.061</v>
      </c>
      <c r="S1337">
        <v>-9999</v>
      </c>
      <c r="T1337">
        <v>268.378</v>
      </c>
      <c r="U1337">
        <v>2.63</v>
      </c>
      <c r="V1337">
        <v>35.19</v>
      </c>
      <c r="W1337">
        <v>0.1</v>
      </c>
      <c r="X1337" t="s">
        <v>92</v>
      </c>
      <c r="Y1337" t="s">
        <v>31</v>
      </c>
      <c r="Z1337" s="3">
        <f t="shared" si="86"/>
        <v>0.0132277486495198</v>
      </c>
      <c r="AA1337">
        <f t="shared" si="84"/>
        <v>-0.073</v>
      </c>
      <c r="AB1337">
        <f t="shared" si="85"/>
        <v>0.463</v>
      </c>
      <c r="AC1337" t="s">
        <v>32</v>
      </c>
    </row>
    <row r="1338" spans="1:29">
      <c r="A1338" t="s">
        <v>105</v>
      </c>
      <c r="B1338">
        <v>3804.75</v>
      </c>
      <c r="C1338">
        <v>15.971</v>
      </c>
      <c r="D1338">
        <v>30.861</v>
      </c>
      <c r="E1338">
        <v>157.914</v>
      </c>
      <c r="F1338">
        <v>0.088</v>
      </c>
      <c r="G1338">
        <v>21.763</v>
      </c>
      <c r="H1338">
        <v>0.665</v>
      </c>
      <c r="I1338">
        <v>2.771</v>
      </c>
      <c r="J1338">
        <v>0.445</v>
      </c>
      <c r="K1338">
        <v>5.859</v>
      </c>
      <c r="L1338">
        <v>0.382</v>
      </c>
      <c r="M1338">
        <v>3.363</v>
      </c>
      <c r="N1338">
        <v>506.402</v>
      </c>
      <c r="O1338">
        <v>491.21</v>
      </c>
      <c r="P1338">
        <f t="shared" si="87"/>
        <v>2.70449541222898</v>
      </c>
      <c r="Q1338">
        <f t="shared" si="87"/>
        <v>2.69126719954315</v>
      </c>
      <c r="R1338">
        <v>299.788</v>
      </c>
      <c r="S1338">
        <v>-9999</v>
      </c>
      <c r="T1338">
        <v>262.625</v>
      </c>
      <c r="U1338">
        <v>2.67</v>
      </c>
      <c r="V1338">
        <v>37.808</v>
      </c>
      <c r="W1338">
        <v>0.1</v>
      </c>
      <c r="X1338" t="s">
        <v>92</v>
      </c>
      <c r="Y1338" t="s">
        <v>31</v>
      </c>
      <c r="Z1338" s="3">
        <f t="shared" si="86"/>
        <v>0.0132282126858319</v>
      </c>
      <c r="AA1338">
        <f t="shared" ref="AA1338:AA1401" si="88">L1338-J1338</f>
        <v>-0.063</v>
      </c>
      <c r="AB1338">
        <f t="shared" ref="AB1338:AB1401" si="89">L1338+F1338</f>
        <v>0.47</v>
      </c>
      <c r="AC1338" t="s">
        <v>32</v>
      </c>
    </row>
    <row r="1339" spans="1:29">
      <c r="A1339" t="s">
        <v>105</v>
      </c>
      <c r="B1339">
        <v>3804.875</v>
      </c>
      <c r="C1339">
        <v>16.171</v>
      </c>
      <c r="D1339">
        <v>30.252</v>
      </c>
      <c r="E1339">
        <v>157.929</v>
      </c>
      <c r="F1339">
        <v>0.088</v>
      </c>
      <c r="G1339">
        <v>21.783</v>
      </c>
      <c r="H1339">
        <v>0.639</v>
      </c>
      <c r="I1339">
        <v>2.763</v>
      </c>
      <c r="J1339">
        <v>0.423</v>
      </c>
      <c r="K1339">
        <v>5.821</v>
      </c>
      <c r="L1339">
        <v>0.379</v>
      </c>
      <c r="M1339">
        <v>3.379</v>
      </c>
      <c r="N1339">
        <v>486.566</v>
      </c>
      <c r="O1339">
        <v>471.969</v>
      </c>
      <c r="P1339">
        <f t="shared" si="87"/>
        <v>2.68714175825637</v>
      </c>
      <c r="Q1339">
        <f t="shared" si="87"/>
        <v>2.6739134741191</v>
      </c>
      <c r="R1339">
        <v>228.561</v>
      </c>
      <c r="S1339">
        <v>-9999</v>
      </c>
      <c r="T1339">
        <v>228.41</v>
      </c>
      <c r="U1339">
        <v>2.799</v>
      </c>
      <c r="V1339">
        <v>37.28</v>
      </c>
      <c r="W1339">
        <v>0.1</v>
      </c>
      <c r="X1339" t="s">
        <v>92</v>
      </c>
      <c r="Y1339" t="s">
        <v>31</v>
      </c>
      <c r="Z1339" s="3">
        <f t="shared" si="86"/>
        <v>0.0132282841372717</v>
      </c>
      <c r="AA1339">
        <f t="shared" si="88"/>
        <v>-0.044</v>
      </c>
      <c r="AB1339">
        <f t="shared" si="89"/>
        <v>0.467</v>
      </c>
      <c r="AC1339" t="s">
        <v>32</v>
      </c>
    </row>
    <row r="1340" spans="1:29">
      <c r="A1340" t="s">
        <v>105</v>
      </c>
      <c r="B1340">
        <v>3805</v>
      </c>
      <c r="C1340">
        <v>15.521</v>
      </c>
      <c r="D1340">
        <v>29.447</v>
      </c>
      <c r="E1340">
        <v>157.701</v>
      </c>
      <c r="F1340">
        <v>0.086</v>
      </c>
      <c r="G1340">
        <v>21.812</v>
      </c>
      <c r="H1340">
        <v>0.641</v>
      </c>
      <c r="I1340">
        <v>2.754</v>
      </c>
      <c r="J1340">
        <v>0.399</v>
      </c>
      <c r="K1340">
        <v>5.791</v>
      </c>
      <c r="L1340">
        <v>0.378</v>
      </c>
      <c r="M1340">
        <v>3.402</v>
      </c>
      <c r="N1340">
        <v>476.234</v>
      </c>
      <c r="O1340">
        <v>461.947</v>
      </c>
      <c r="P1340">
        <f t="shared" si="87"/>
        <v>2.6778203979678</v>
      </c>
      <c r="Q1340">
        <f t="shared" si="87"/>
        <v>2.66459215103683</v>
      </c>
      <c r="R1340">
        <v>168.357</v>
      </c>
      <c r="S1340">
        <v>-9999</v>
      </c>
      <c r="T1340">
        <v>194.082</v>
      </c>
      <c r="U1340">
        <v>2.957</v>
      </c>
      <c r="V1340">
        <v>33.335</v>
      </c>
      <c r="W1340">
        <v>0.1</v>
      </c>
      <c r="X1340" t="s">
        <v>92</v>
      </c>
      <c r="Y1340" t="s">
        <v>31</v>
      </c>
      <c r="Z1340" s="3">
        <f t="shared" si="86"/>
        <v>0.013228246930971</v>
      </c>
      <c r="AA1340">
        <f t="shared" si="88"/>
        <v>-0.021</v>
      </c>
      <c r="AB1340">
        <f t="shared" si="89"/>
        <v>0.464</v>
      </c>
      <c r="AC1340" t="s">
        <v>32</v>
      </c>
    </row>
    <row r="1341" spans="1:29">
      <c r="A1341" t="s">
        <v>105</v>
      </c>
      <c r="B1341">
        <v>3805.125</v>
      </c>
      <c r="C1341">
        <v>15.72</v>
      </c>
      <c r="D1341">
        <v>28.602</v>
      </c>
      <c r="E1341">
        <v>157.459</v>
      </c>
      <c r="F1341">
        <v>0.084</v>
      </c>
      <c r="G1341">
        <v>21.913</v>
      </c>
      <c r="H1341">
        <v>0.654</v>
      </c>
      <c r="I1341">
        <v>2.748</v>
      </c>
      <c r="J1341">
        <v>0.383</v>
      </c>
      <c r="K1341">
        <v>5.812</v>
      </c>
      <c r="L1341">
        <v>0.379</v>
      </c>
      <c r="M1341">
        <v>3.418</v>
      </c>
      <c r="N1341">
        <v>474.193</v>
      </c>
      <c r="O1341">
        <v>459.967</v>
      </c>
      <c r="P1341">
        <f t="shared" si="87"/>
        <v>2.67595513866829</v>
      </c>
      <c r="Q1341">
        <f t="shared" si="87"/>
        <v>2.66272667465549</v>
      </c>
      <c r="R1341">
        <v>164.703</v>
      </c>
      <c r="S1341">
        <v>-9999</v>
      </c>
      <c r="T1341">
        <v>187.928</v>
      </c>
      <c r="U1341">
        <v>3.067</v>
      </c>
      <c r="V1341">
        <v>28.884</v>
      </c>
      <c r="W1341">
        <v>0.1</v>
      </c>
      <c r="X1341" t="s">
        <v>92</v>
      </c>
      <c r="Y1341" t="s">
        <v>31</v>
      </c>
      <c r="Z1341" s="3">
        <f t="shared" si="86"/>
        <v>0.0132284640128066</v>
      </c>
      <c r="AA1341">
        <f t="shared" si="88"/>
        <v>-0.004</v>
      </c>
      <c r="AB1341">
        <f t="shared" si="89"/>
        <v>0.463</v>
      </c>
      <c r="AC1341" t="s">
        <v>32</v>
      </c>
    </row>
    <row r="1342" spans="1:29">
      <c r="A1342" t="s">
        <v>105</v>
      </c>
      <c r="B1342">
        <v>3805.25</v>
      </c>
      <c r="C1342">
        <v>15.455</v>
      </c>
      <c r="D1342">
        <v>27.943</v>
      </c>
      <c r="E1342">
        <v>157.332</v>
      </c>
      <c r="F1342">
        <v>0.083</v>
      </c>
      <c r="G1342">
        <v>22.013</v>
      </c>
      <c r="H1342">
        <v>0.715</v>
      </c>
      <c r="I1342">
        <v>2.747</v>
      </c>
      <c r="J1342">
        <v>0.38</v>
      </c>
      <c r="K1342">
        <v>5.857</v>
      </c>
      <c r="L1342">
        <v>0.382</v>
      </c>
      <c r="M1342">
        <v>3.421</v>
      </c>
      <c r="N1342">
        <v>472.377</v>
      </c>
      <c r="O1342">
        <v>458.206</v>
      </c>
      <c r="P1342">
        <f t="shared" si="87"/>
        <v>2.67428874369115</v>
      </c>
      <c r="Q1342">
        <f t="shared" si="87"/>
        <v>2.66106077178012</v>
      </c>
      <c r="R1342">
        <v>215.498</v>
      </c>
      <c r="S1342">
        <v>-9999</v>
      </c>
      <c r="T1342">
        <v>214.324</v>
      </c>
      <c r="U1342">
        <v>3.119</v>
      </c>
      <c r="V1342">
        <v>27.474</v>
      </c>
      <c r="W1342">
        <v>0.1</v>
      </c>
      <c r="X1342" t="s">
        <v>92</v>
      </c>
      <c r="Y1342" t="s">
        <v>31</v>
      </c>
      <c r="Z1342" s="3">
        <f t="shared" si="86"/>
        <v>0.0132279719110313</v>
      </c>
      <c r="AA1342">
        <f t="shared" si="88"/>
        <v>0.002</v>
      </c>
      <c r="AB1342">
        <f t="shared" si="89"/>
        <v>0.465</v>
      </c>
      <c r="AC1342" t="s">
        <v>32</v>
      </c>
    </row>
    <row r="1343" spans="1:29">
      <c r="A1343" t="s">
        <v>105</v>
      </c>
      <c r="B1343">
        <v>3805.375</v>
      </c>
      <c r="C1343">
        <v>15.66</v>
      </c>
      <c r="D1343">
        <v>27.581</v>
      </c>
      <c r="E1343">
        <v>157.339</v>
      </c>
      <c r="F1343">
        <v>0.083</v>
      </c>
      <c r="G1343">
        <v>21.989</v>
      </c>
      <c r="H1343">
        <v>0.794</v>
      </c>
      <c r="I1343">
        <v>2.751</v>
      </c>
      <c r="J1343">
        <v>0.391</v>
      </c>
      <c r="K1343">
        <v>5.9</v>
      </c>
      <c r="L1343">
        <v>0.384</v>
      </c>
      <c r="M1343">
        <v>3.41</v>
      </c>
      <c r="N1343">
        <v>472.021</v>
      </c>
      <c r="O1343">
        <v>457.861</v>
      </c>
      <c r="P1343">
        <f t="shared" si="87"/>
        <v>2.67396132062824</v>
      </c>
      <c r="Q1343">
        <f t="shared" si="87"/>
        <v>2.66073365246823</v>
      </c>
      <c r="R1343">
        <v>289.726</v>
      </c>
      <c r="S1343">
        <v>-9999</v>
      </c>
      <c r="T1343">
        <v>255.902</v>
      </c>
      <c r="U1343">
        <v>3.058</v>
      </c>
      <c r="V1343">
        <v>30.576</v>
      </c>
      <c r="W1343">
        <v>0.1</v>
      </c>
      <c r="X1343" t="s">
        <v>92</v>
      </c>
      <c r="Y1343" t="s">
        <v>31</v>
      </c>
      <c r="Z1343" s="3">
        <f t="shared" si="86"/>
        <v>0.0132276681600114</v>
      </c>
      <c r="AA1343">
        <f t="shared" si="88"/>
        <v>-0.00700000000000001</v>
      </c>
      <c r="AB1343">
        <f t="shared" si="89"/>
        <v>0.467</v>
      </c>
      <c r="AC1343" t="s">
        <v>32</v>
      </c>
    </row>
    <row r="1344" spans="1:29">
      <c r="A1344" t="s">
        <v>105</v>
      </c>
      <c r="B1344">
        <v>3805.5</v>
      </c>
      <c r="C1344">
        <v>17.267</v>
      </c>
      <c r="D1344">
        <v>27.55</v>
      </c>
      <c r="E1344">
        <v>157.381</v>
      </c>
      <c r="F1344">
        <v>0.083</v>
      </c>
      <c r="G1344">
        <v>21.858</v>
      </c>
      <c r="H1344">
        <v>0.882</v>
      </c>
      <c r="I1344">
        <v>2.755</v>
      </c>
      <c r="J1344">
        <v>0.402</v>
      </c>
      <c r="K1344">
        <v>5.915</v>
      </c>
      <c r="L1344">
        <v>0.385</v>
      </c>
      <c r="M1344">
        <v>3.387</v>
      </c>
      <c r="N1344">
        <v>474.198</v>
      </c>
      <c r="O1344">
        <v>459.972</v>
      </c>
      <c r="P1344">
        <f t="shared" si="87"/>
        <v>2.675959717945</v>
      </c>
      <c r="Q1344">
        <f t="shared" si="87"/>
        <v>2.6627313955607</v>
      </c>
      <c r="R1344">
        <v>302.895</v>
      </c>
      <c r="S1344">
        <v>-9999</v>
      </c>
      <c r="T1344">
        <v>269.921</v>
      </c>
      <c r="U1344">
        <v>2.94</v>
      </c>
      <c r="V1344">
        <v>36.894</v>
      </c>
      <c r="W1344">
        <v>0.1</v>
      </c>
      <c r="X1344" t="s">
        <v>92</v>
      </c>
      <c r="Y1344" t="s">
        <v>31</v>
      </c>
      <c r="Z1344" s="3">
        <f t="shared" si="86"/>
        <v>0.0132283223843062</v>
      </c>
      <c r="AA1344">
        <f t="shared" si="88"/>
        <v>-0.017</v>
      </c>
      <c r="AB1344">
        <f t="shared" si="89"/>
        <v>0.468</v>
      </c>
      <c r="AC1344" t="s">
        <v>32</v>
      </c>
    </row>
    <row r="1345" spans="1:29">
      <c r="A1345" t="s">
        <v>105</v>
      </c>
      <c r="B1345">
        <v>3805.625</v>
      </c>
      <c r="C1345">
        <v>18.25</v>
      </c>
      <c r="D1345">
        <v>27.802</v>
      </c>
      <c r="E1345">
        <v>157.285</v>
      </c>
      <c r="F1345">
        <v>0.082</v>
      </c>
      <c r="G1345">
        <v>21.698</v>
      </c>
      <c r="H1345">
        <v>0.989</v>
      </c>
      <c r="I1345">
        <v>2.751</v>
      </c>
      <c r="J1345">
        <v>0.391</v>
      </c>
      <c r="K1345">
        <v>5.852</v>
      </c>
      <c r="L1345">
        <v>0.381</v>
      </c>
      <c r="M1345">
        <v>3.356</v>
      </c>
      <c r="N1345">
        <v>460.577</v>
      </c>
      <c r="O1345">
        <v>446.759</v>
      </c>
      <c r="P1345">
        <f t="shared" si="87"/>
        <v>2.6633022466493</v>
      </c>
      <c r="Q1345">
        <f t="shared" si="87"/>
        <v>2.65007331016697</v>
      </c>
      <c r="R1345">
        <v>226.498</v>
      </c>
      <c r="S1345">
        <v>-9999</v>
      </c>
      <c r="T1345">
        <v>227.76</v>
      </c>
      <c r="U1345">
        <v>2.943</v>
      </c>
      <c r="V1345">
        <v>39.932</v>
      </c>
      <c r="W1345">
        <v>0.1</v>
      </c>
      <c r="X1345" t="s">
        <v>92</v>
      </c>
      <c r="Y1345" t="s">
        <v>31</v>
      </c>
      <c r="Z1345" s="3">
        <f t="shared" si="86"/>
        <v>0.013228936482327</v>
      </c>
      <c r="AA1345">
        <f t="shared" si="88"/>
        <v>-0.01</v>
      </c>
      <c r="AB1345">
        <f t="shared" si="89"/>
        <v>0.463</v>
      </c>
      <c r="AC1345" t="s">
        <v>32</v>
      </c>
    </row>
    <row r="1346" spans="1:29">
      <c r="A1346" t="s">
        <v>105</v>
      </c>
      <c r="B1346">
        <v>3805.75</v>
      </c>
      <c r="C1346">
        <v>18.779</v>
      </c>
      <c r="D1346">
        <v>28.042</v>
      </c>
      <c r="E1346">
        <v>157.008</v>
      </c>
      <c r="F1346">
        <v>0.079</v>
      </c>
      <c r="G1346">
        <v>21.674</v>
      </c>
      <c r="H1346">
        <v>1.071</v>
      </c>
      <c r="I1346">
        <v>2.738</v>
      </c>
      <c r="J1346">
        <v>0.355</v>
      </c>
      <c r="K1346">
        <v>5.707</v>
      </c>
      <c r="L1346">
        <v>0.372</v>
      </c>
      <c r="M1346">
        <v>3.32</v>
      </c>
      <c r="N1346">
        <v>435.34</v>
      </c>
      <c r="O1346">
        <v>422.279</v>
      </c>
      <c r="P1346">
        <f t="shared" si="87"/>
        <v>2.63882857292623</v>
      </c>
      <c r="Q1346">
        <f t="shared" si="87"/>
        <v>2.62559948443014</v>
      </c>
      <c r="R1346">
        <v>154.541</v>
      </c>
      <c r="S1346">
        <v>-9999</v>
      </c>
      <c r="T1346">
        <v>176.668</v>
      </c>
      <c r="U1346">
        <v>3.096</v>
      </c>
      <c r="V1346">
        <v>37.687</v>
      </c>
      <c r="W1346">
        <v>0.1</v>
      </c>
      <c r="X1346" t="s">
        <v>92</v>
      </c>
      <c r="Y1346" t="s">
        <v>31</v>
      </c>
      <c r="Z1346" s="3">
        <f t="shared" si="86"/>
        <v>0.0132290884960908</v>
      </c>
      <c r="AA1346">
        <f t="shared" si="88"/>
        <v>0.017</v>
      </c>
      <c r="AB1346">
        <f t="shared" si="89"/>
        <v>0.451</v>
      </c>
      <c r="AC1346" t="s">
        <v>32</v>
      </c>
    </row>
    <row r="1347" spans="1:29">
      <c r="A1347" t="s">
        <v>105</v>
      </c>
      <c r="B1347">
        <v>3805.875</v>
      </c>
      <c r="C1347">
        <v>19.877</v>
      </c>
      <c r="D1347">
        <v>28.003</v>
      </c>
      <c r="E1347">
        <v>156.646</v>
      </c>
      <c r="F1347">
        <v>0.076</v>
      </c>
      <c r="G1347">
        <v>21.708</v>
      </c>
      <c r="H1347">
        <v>1.083</v>
      </c>
      <c r="I1347">
        <v>2.722</v>
      </c>
      <c r="J1347">
        <v>0.311</v>
      </c>
      <c r="K1347">
        <v>5.504</v>
      </c>
      <c r="L1347">
        <v>0.36</v>
      </c>
      <c r="M1347">
        <v>3.281</v>
      </c>
      <c r="N1347">
        <v>409.025</v>
      </c>
      <c r="O1347">
        <v>396.754</v>
      </c>
      <c r="P1347">
        <f t="shared" si="87"/>
        <v>2.61174985331354</v>
      </c>
      <c r="Q1347">
        <f t="shared" si="87"/>
        <v>2.59852131392511</v>
      </c>
      <c r="R1347">
        <v>120.8</v>
      </c>
      <c r="S1347">
        <v>-9999</v>
      </c>
      <c r="T1347">
        <v>148.862</v>
      </c>
      <c r="U1347">
        <v>3.248</v>
      </c>
      <c r="V1347">
        <v>33.356</v>
      </c>
      <c r="W1347">
        <v>0.1</v>
      </c>
      <c r="X1347" t="s">
        <v>92</v>
      </c>
      <c r="Y1347" t="s">
        <v>31</v>
      </c>
      <c r="Z1347" s="3">
        <f t="shared" si="86"/>
        <v>0.0132285393884284</v>
      </c>
      <c r="AA1347">
        <f t="shared" si="88"/>
        <v>0.049</v>
      </c>
      <c r="AB1347">
        <f t="shared" si="89"/>
        <v>0.436</v>
      </c>
      <c r="AC1347" t="s">
        <v>32</v>
      </c>
    </row>
    <row r="1348" spans="1:29">
      <c r="A1348" t="s">
        <v>105</v>
      </c>
      <c r="B1348">
        <v>3806</v>
      </c>
      <c r="C1348">
        <v>19.727</v>
      </c>
      <c r="D1348">
        <v>27.604</v>
      </c>
      <c r="E1348">
        <v>156.369</v>
      </c>
      <c r="F1348">
        <v>0.073</v>
      </c>
      <c r="G1348">
        <v>21.738</v>
      </c>
      <c r="H1348">
        <v>1.07</v>
      </c>
      <c r="I1348">
        <v>2.712</v>
      </c>
      <c r="J1348">
        <v>0.284</v>
      </c>
      <c r="K1348">
        <v>5.283</v>
      </c>
      <c r="L1348">
        <v>0.346</v>
      </c>
      <c r="M1348">
        <v>3.24</v>
      </c>
      <c r="N1348">
        <v>392.872</v>
      </c>
      <c r="O1348">
        <v>381.086</v>
      </c>
      <c r="P1348">
        <f t="shared" si="87"/>
        <v>2.59425107773313</v>
      </c>
      <c r="Q1348">
        <f t="shared" si="87"/>
        <v>2.58102299433914</v>
      </c>
      <c r="R1348">
        <v>118.425</v>
      </c>
      <c r="S1348">
        <v>-9999</v>
      </c>
      <c r="T1348">
        <v>148.055</v>
      </c>
      <c r="U1348">
        <v>3.344</v>
      </c>
      <c r="V1348">
        <v>29.478</v>
      </c>
      <c r="W1348">
        <v>0.1</v>
      </c>
      <c r="X1348" t="s">
        <v>92</v>
      </c>
      <c r="Y1348" t="s">
        <v>31</v>
      </c>
      <c r="Z1348" s="3">
        <f t="shared" si="86"/>
        <v>0.0132280833939902</v>
      </c>
      <c r="AA1348">
        <f t="shared" si="88"/>
        <v>0.062</v>
      </c>
      <c r="AB1348">
        <f t="shared" si="89"/>
        <v>0.419</v>
      </c>
      <c r="AC1348" t="s">
        <v>32</v>
      </c>
    </row>
    <row r="1349" spans="1:29">
      <c r="A1349" t="s">
        <v>105</v>
      </c>
      <c r="B1349">
        <v>3806.125</v>
      </c>
      <c r="C1349">
        <v>19.132</v>
      </c>
      <c r="D1349">
        <v>27.03</v>
      </c>
      <c r="E1349">
        <v>156.309</v>
      </c>
      <c r="F1349">
        <v>0.073</v>
      </c>
      <c r="G1349">
        <v>21.786</v>
      </c>
      <c r="H1349">
        <v>1.077</v>
      </c>
      <c r="I1349">
        <v>2.713</v>
      </c>
      <c r="J1349">
        <v>0.287</v>
      </c>
      <c r="K1349">
        <v>5.142</v>
      </c>
      <c r="L1349">
        <v>0.337</v>
      </c>
      <c r="M1349">
        <v>3.203</v>
      </c>
      <c r="N1349">
        <v>381.882</v>
      </c>
      <c r="O1349">
        <v>370.426</v>
      </c>
      <c r="P1349">
        <f t="shared" si="87"/>
        <v>2.58192918839451</v>
      </c>
      <c r="Q1349">
        <f t="shared" si="87"/>
        <v>2.56870146197383</v>
      </c>
      <c r="R1349">
        <v>145.654</v>
      </c>
      <c r="S1349">
        <v>-9999</v>
      </c>
      <c r="T1349">
        <v>170.899</v>
      </c>
      <c r="U1349">
        <v>3.281</v>
      </c>
      <c r="V1349">
        <v>29.731</v>
      </c>
      <c r="W1349">
        <v>0.1</v>
      </c>
      <c r="X1349" t="s">
        <v>92</v>
      </c>
      <c r="Y1349" t="s">
        <v>31</v>
      </c>
      <c r="Z1349" s="3">
        <f t="shared" si="86"/>
        <v>0.0132277264206784</v>
      </c>
      <c r="AA1349">
        <f t="shared" si="88"/>
        <v>0.05</v>
      </c>
      <c r="AB1349">
        <f t="shared" si="89"/>
        <v>0.41</v>
      </c>
      <c r="AC1349" t="s">
        <v>32</v>
      </c>
    </row>
    <row r="1350" spans="1:29">
      <c r="A1350" t="s">
        <v>105</v>
      </c>
      <c r="B1350">
        <v>3806.25</v>
      </c>
      <c r="C1350">
        <v>19.404</v>
      </c>
      <c r="D1350">
        <v>26.573</v>
      </c>
      <c r="E1350">
        <v>156.301</v>
      </c>
      <c r="F1350">
        <v>0.073</v>
      </c>
      <c r="G1350">
        <v>21.826</v>
      </c>
      <c r="H1350">
        <v>1.062</v>
      </c>
      <c r="I1350">
        <v>2.721</v>
      </c>
      <c r="J1350">
        <v>0.309</v>
      </c>
      <c r="K1350">
        <v>5.1</v>
      </c>
      <c r="L1350">
        <v>0.335</v>
      </c>
      <c r="M1350">
        <v>3.173</v>
      </c>
      <c r="N1350">
        <v>382.033</v>
      </c>
      <c r="O1350">
        <v>370.572</v>
      </c>
      <c r="P1350">
        <f t="shared" si="87"/>
        <v>2.58210087887741</v>
      </c>
      <c r="Q1350">
        <f t="shared" si="87"/>
        <v>2.56887260142408</v>
      </c>
      <c r="R1350">
        <v>183.383</v>
      </c>
      <c r="S1350">
        <v>-9999</v>
      </c>
      <c r="T1350">
        <v>196.779</v>
      </c>
      <c r="U1350">
        <v>3.088</v>
      </c>
      <c r="V1350">
        <v>31.964</v>
      </c>
      <c r="W1350">
        <v>0.1</v>
      </c>
      <c r="X1350" t="s">
        <v>92</v>
      </c>
      <c r="Y1350" t="s">
        <v>31</v>
      </c>
      <c r="Z1350" s="3">
        <f t="shared" si="86"/>
        <v>0.0132282774533259</v>
      </c>
      <c r="AA1350">
        <f t="shared" si="88"/>
        <v>0.026</v>
      </c>
      <c r="AB1350">
        <f t="shared" si="89"/>
        <v>0.408</v>
      </c>
      <c r="AC1350" t="s">
        <v>32</v>
      </c>
    </row>
    <row r="1351" spans="1:29">
      <c r="A1351" t="s">
        <v>105</v>
      </c>
      <c r="B1351">
        <v>3806.375</v>
      </c>
      <c r="C1351">
        <v>19.341</v>
      </c>
      <c r="D1351">
        <v>26.32</v>
      </c>
      <c r="E1351">
        <v>156.066</v>
      </c>
      <c r="F1351">
        <v>0.07</v>
      </c>
      <c r="G1351">
        <v>21.834</v>
      </c>
      <c r="H1351">
        <v>1.04</v>
      </c>
      <c r="I1351">
        <v>2.733</v>
      </c>
      <c r="J1351">
        <v>0.342</v>
      </c>
      <c r="K1351">
        <v>5.085</v>
      </c>
      <c r="L1351">
        <v>0.334</v>
      </c>
      <c r="M1351">
        <v>3.162</v>
      </c>
      <c r="N1351">
        <v>382.993</v>
      </c>
      <c r="O1351">
        <v>371.503</v>
      </c>
      <c r="P1351">
        <f t="shared" si="87"/>
        <v>2.58319083639903</v>
      </c>
      <c r="Q1351">
        <f t="shared" si="87"/>
        <v>2.56996232517112</v>
      </c>
      <c r="R1351">
        <v>211.271</v>
      </c>
      <c r="S1351">
        <v>-9999</v>
      </c>
      <c r="T1351">
        <v>210.839</v>
      </c>
      <c r="U1351">
        <v>2.869</v>
      </c>
      <c r="V1351">
        <v>37.398</v>
      </c>
      <c r="W1351">
        <v>0.1</v>
      </c>
      <c r="X1351" t="s">
        <v>92</v>
      </c>
      <c r="Y1351" t="s">
        <v>31</v>
      </c>
      <c r="Z1351" s="3">
        <f t="shared" si="86"/>
        <v>0.0132285112279114</v>
      </c>
      <c r="AA1351">
        <f t="shared" si="88"/>
        <v>-0.00800000000000001</v>
      </c>
      <c r="AB1351">
        <f t="shared" si="89"/>
        <v>0.404</v>
      </c>
      <c r="AC1351" t="s">
        <v>32</v>
      </c>
    </row>
    <row r="1352" spans="1:29">
      <c r="A1352" t="s">
        <v>105</v>
      </c>
      <c r="B1352">
        <v>3806.5</v>
      </c>
      <c r="C1352">
        <v>20.168</v>
      </c>
      <c r="D1352">
        <v>26.198</v>
      </c>
      <c r="E1352">
        <v>155.381</v>
      </c>
      <c r="F1352">
        <v>0.063</v>
      </c>
      <c r="G1352">
        <v>21.864</v>
      </c>
      <c r="H1352">
        <v>1.022</v>
      </c>
      <c r="I1352">
        <v>2.734</v>
      </c>
      <c r="J1352">
        <v>0.344</v>
      </c>
      <c r="K1352">
        <v>5.139</v>
      </c>
      <c r="L1352">
        <v>0.337</v>
      </c>
      <c r="M1352">
        <v>3.144</v>
      </c>
      <c r="N1352">
        <v>377.972</v>
      </c>
      <c r="O1352">
        <v>366.633</v>
      </c>
      <c r="P1352">
        <f t="shared" si="87"/>
        <v>2.57745962868406</v>
      </c>
      <c r="Q1352">
        <f t="shared" si="87"/>
        <v>2.56423155247807</v>
      </c>
      <c r="R1352">
        <v>209.247</v>
      </c>
      <c r="S1352">
        <v>-9999</v>
      </c>
      <c r="T1352">
        <v>207.48</v>
      </c>
      <c r="U1352">
        <v>2.83</v>
      </c>
      <c r="V1352">
        <v>40.691</v>
      </c>
      <c r="W1352">
        <v>0.1</v>
      </c>
      <c r="X1352" t="s">
        <v>92</v>
      </c>
      <c r="Y1352" t="s">
        <v>31</v>
      </c>
      <c r="Z1352" s="3">
        <f t="shared" si="86"/>
        <v>0.0132280762059924</v>
      </c>
      <c r="AA1352">
        <f t="shared" si="88"/>
        <v>-0.00699999999999995</v>
      </c>
      <c r="AB1352">
        <f t="shared" si="89"/>
        <v>0.4</v>
      </c>
      <c r="AC1352" t="s">
        <v>32</v>
      </c>
    </row>
    <row r="1353" spans="1:29">
      <c r="A1353" t="s">
        <v>105</v>
      </c>
      <c r="B1353">
        <v>3806.625</v>
      </c>
      <c r="C1353">
        <v>21.24</v>
      </c>
      <c r="D1353">
        <v>26.022</v>
      </c>
      <c r="E1353">
        <v>154.262</v>
      </c>
      <c r="F1353">
        <v>0.053</v>
      </c>
      <c r="G1353">
        <v>21.821</v>
      </c>
      <c r="H1353">
        <v>0.991</v>
      </c>
      <c r="I1353">
        <v>2.731</v>
      </c>
      <c r="J1353">
        <v>0.336</v>
      </c>
      <c r="K1353">
        <v>5.189</v>
      </c>
      <c r="L1353">
        <v>0.34</v>
      </c>
      <c r="M1353">
        <v>3.159</v>
      </c>
      <c r="N1353">
        <v>375.027</v>
      </c>
      <c r="O1353">
        <v>363.776</v>
      </c>
      <c r="P1353">
        <f t="shared" si="87"/>
        <v>2.57406253580478</v>
      </c>
      <c r="Q1353">
        <f t="shared" si="87"/>
        <v>2.56083404323932</v>
      </c>
      <c r="R1353">
        <v>162.052</v>
      </c>
      <c r="S1353">
        <v>-9999</v>
      </c>
      <c r="T1353">
        <v>179.727</v>
      </c>
      <c r="U1353">
        <v>2.858</v>
      </c>
      <c r="V1353">
        <v>40.29</v>
      </c>
      <c r="W1353">
        <v>0.1</v>
      </c>
      <c r="X1353" t="s">
        <v>92</v>
      </c>
      <c r="Y1353" t="s">
        <v>31</v>
      </c>
      <c r="Z1353" s="3">
        <f t="shared" si="86"/>
        <v>0.0132284925654589</v>
      </c>
      <c r="AA1353">
        <f t="shared" si="88"/>
        <v>0.004</v>
      </c>
      <c r="AB1353">
        <f t="shared" si="89"/>
        <v>0.393</v>
      </c>
      <c r="AC1353" t="s">
        <v>32</v>
      </c>
    </row>
    <row r="1354" spans="1:29">
      <c r="A1354" t="s">
        <v>105</v>
      </c>
      <c r="B1354">
        <v>3806.75</v>
      </c>
      <c r="C1354">
        <v>22.002</v>
      </c>
      <c r="D1354">
        <v>25.657</v>
      </c>
      <c r="E1354">
        <v>153.158</v>
      </c>
      <c r="F1354">
        <v>0.042</v>
      </c>
      <c r="G1354">
        <v>21.734</v>
      </c>
      <c r="H1354">
        <v>0.976</v>
      </c>
      <c r="I1354">
        <v>2.727</v>
      </c>
      <c r="J1354">
        <v>0.325</v>
      </c>
      <c r="K1354">
        <v>5.217</v>
      </c>
      <c r="L1354">
        <v>0.342</v>
      </c>
      <c r="M1354">
        <v>3.199</v>
      </c>
      <c r="N1354">
        <v>376.765</v>
      </c>
      <c r="O1354">
        <v>365.462</v>
      </c>
      <c r="P1354">
        <f t="shared" si="87"/>
        <v>2.57607055173</v>
      </c>
      <c r="Q1354">
        <f t="shared" si="87"/>
        <v>2.56284222657906</v>
      </c>
      <c r="R1354">
        <v>128.648</v>
      </c>
      <c r="S1354">
        <v>-9999</v>
      </c>
      <c r="T1354">
        <v>157.165</v>
      </c>
      <c r="U1354">
        <v>2.902</v>
      </c>
      <c r="V1354">
        <v>36.738</v>
      </c>
      <c r="W1354">
        <v>0.1</v>
      </c>
      <c r="X1354" t="s">
        <v>92</v>
      </c>
      <c r="Y1354" t="s">
        <v>31</v>
      </c>
      <c r="Z1354" s="3">
        <f t="shared" si="86"/>
        <v>0.0132283251509384</v>
      </c>
      <c r="AA1354">
        <f t="shared" si="88"/>
        <v>0.017</v>
      </c>
      <c r="AB1354">
        <f t="shared" si="89"/>
        <v>0.384</v>
      </c>
      <c r="AC1354" t="s">
        <v>32</v>
      </c>
    </row>
    <row r="1355" spans="1:29">
      <c r="A1355" t="s">
        <v>105</v>
      </c>
      <c r="B1355">
        <v>3806.875</v>
      </c>
      <c r="C1355">
        <v>22.408</v>
      </c>
      <c r="D1355">
        <v>25.094</v>
      </c>
      <c r="E1355">
        <v>152.456</v>
      </c>
      <c r="F1355">
        <v>0.035</v>
      </c>
      <c r="G1355">
        <v>21.677</v>
      </c>
      <c r="H1355">
        <v>0.964</v>
      </c>
      <c r="I1355">
        <v>2.723</v>
      </c>
      <c r="J1355">
        <v>0.314</v>
      </c>
      <c r="K1355">
        <v>5.225</v>
      </c>
      <c r="L1355">
        <v>0.342</v>
      </c>
      <c r="M1355">
        <v>3.262</v>
      </c>
      <c r="N1355">
        <v>389.981</v>
      </c>
      <c r="O1355">
        <v>378.282</v>
      </c>
      <c r="P1355">
        <f t="shared" si="87"/>
        <v>2.5910434485748</v>
      </c>
      <c r="Q1355">
        <f t="shared" si="87"/>
        <v>2.57781567651173</v>
      </c>
      <c r="R1355">
        <v>122.538</v>
      </c>
      <c r="S1355">
        <v>-9999</v>
      </c>
      <c r="T1355">
        <v>152.902</v>
      </c>
      <c r="U1355">
        <v>2.951</v>
      </c>
      <c r="V1355">
        <v>31.753</v>
      </c>
      <c r="W1355">
        <v>0.1</v>
      </c>
      <c r="X1355" t="s">
        <v>92</v>
      </c>
      <c r="Y1355" t="s">
        <v>31</v>
      </c>
      <c r="Z1355" s="3">
        <f t="shared" si="86"/>
        <v>0.0132277720630722</v>
      </c>
      <c r="AA1355">
        <f t="shared" si="88"/>
        <v>0.028</v>
      </c>
      <c r="AB1355">
        <f t="shared" si="89"/>
        <v>0.377</v>
      </c>
      <c r="AC1355" t="s">
        <v>32</v>
      </c>
    </row>
    <row r="1356" spans="1:29">
      <c r="A1356" t="s">
        <v>105</v>
      </c>
      <c r="B1356">
        <v>3807</v>
      </c>
      <c r="C1356">
        <v>22.008</v>
      </c>
      <c r="D1356">
        <v>24.481</v>
      </c>
      <c r="E1356">
        <v>152.343</v>
      </c>
      <c r="F1356">
        <v>0.034</v>
      </c>
      <c r="G1356">
        <v>21.759</v>
      </c>
      <c r="H1356">
        <v>0.938</v>
      </c>
      <c r="I1356">
        <v>2.72</v>
      </c>
      <c r="J1356">
        <v>0.306</v>
      </c>
      <c r="K1356">
        <v>5.229</v>
      </c>
      <c r="L1356">
        <v>0.343</v>
      </c>
      <c r="M1356">
        <v>3.34</v>
      </c>
      <c r="N1356">
        <v>404.172</v>
      </c>
      <c r="O1356">
        <v>392.047</v>
      </c>
      <c r="P1356">
        <f t="shared" si="87"/>
        <v>2.60656622341308</v>
      </c>
      <c r="Q1356">
        <f t="shared" si="87"/>
        <v>2.59333813492117</v>
      </c>
      <c r="R1356">
        <v>144.006</v>
      </c>
      <c r="S1356">
        <v>-9999</v>
      </c>
      <c r="T1356">
        <v>172.412</v>
      </c>
      <c r="U1356">
        <v>3.017</v>
      </c>
      <c r="V1356">
        <v>27.845</v>
      </c>
      <c r="W1356">
        <v>0.1</v>
      </c>
      <c r="X1356" t="s">
        <v>92</v>
      </c>
      <c r="Y1356" t="s">
        <v>31</v>
      </c>
      <c r="Z1356" s="3">
        <f t="shared" si="86"/>
        <v>0.0132280884919158</v>
      </c>
      <c r="AA1356">
        <f t="shared" si="88"/>
        <v>0.037</v>
      </c>
      <c r="AB1356">
        <f t="shared" si="89"/>
        <v>0.377</v>
      </c>
      <c r="AC1356" t="s">
        <v>32</v>
      </c>
    </row>
    <row r="1357" spans="1:29">
      <c r="A1357" t="s">
        <v>106</v>
      </c>
      <c r="B1357">
        <v>3503</v>
      </c>
      <c r="C1357">
        <v>18.21</v>
      </c>
      <c r="D1357">
        <v>82.687</v>
      </c>
      <c r="E1357">
        <v>166.732</v>
      </c>
      <c r="F1357">
        <v>0.201</v>
      </c>
      <c r="G1357">
        <v>21.58</v>
      </c>
      <c r="H1357">
        <v>1.96</v>
      </c>
      <c r="I1357">
        <v>2.708</v>
      </c>
      <c r="J1357">
        <v>0.565</v>
      </c>
      <c r="K1357">
        <v>11.555</v>
      </c>
      <c r="L1357">
        <v>0.678</v>
      </c>
      <c r="M1357">
        <v>4.087</v>
      </c>
      <c r="N1357">
        <v>99.116</v>
      </c>
      <c r="O1357">
        <v>98.487</v>
      </c>
      <c r="P1357">
        <f t="shared" si="87"/>
        <v>1.99614376700622</v>
      </c>
      <c r="Q1357">
        <f t="shared" si="87"/>
        <v>1.99337890866142</v>
      </c>
      <c r="R1357">
        <v>59.003</v>
      </c>
      <c r="S1357">
        <v>59.003</v>
      </c>
      <c r="T1357">
        <v>51.224</v>
      </c>
      <c r="U1357">
        <v>0.094</v>
      </c>
      <c r="V1357">
        <v>100</v>
      </c>
      <c r="W1357">
        <v>0.1</v>
      </c>
      <c r="X1357" t="s">
        <v>92</v>
      </c>
      <c r="Y1357" t="s">
        <v>31</v>
      </c>
      <c r="Z1357" s="3">
        <f t="shared" si="86"/>
        <v>0.00276485834479745</v>
      </c>
      <c r="AA1357">
        <f t="shared" si="88"/>
        <v>0.113</v>
      </c>
      <c r="AB1357">
        <f t="shared" si="89"/>
        <v>0.879</v>
      </c>
      <c r="AC1357" t="s">
        <v>32</v>
      </c>
    </row>
    <row r="1358" spans="1:29">
      <c r="A1358" t="s">
        <v>106</v>
      </c>
      <c r="B1358">
        <v>3503.125</v>
      </c>
      <c r="C1358">
        <v>17.835</v>
      </c>
      <c r="D1358">
        <v>82.687</v>
      </c>
      <c r="E1358">
        <v>166.977</v>
      </c>
      <c r="F1358">
        <v>0.204</v>
      </c>
      <c r="G1358">
        <v>21.59</v>
      </c>
      <c r="H1358">
        <v>1.974</v>
      </c>
      <c r="I1358">
        <v>2.715</v>
      </c>
      <c r="J1358">
        <v>0.588</v>
      </c>
      <c r="K1358">
        <v>11.429</v>
      </c>
      <c r="L1358">
        <v>0.67</v>
      </c>
      <c r="M1358">
        <v>4.02</v>
      </c>
      <c r="N1358">
        <v>96.252</v>
      </c>
      <c r="O1358">
        <v>95.731</v>
      </c>
      <c r="P1358">
        <f t="shared" si="87"/>
        <v>1.9834097623877</v>
      </c>
      <c r="Q1358">
        <f t="shared" si="87"/>
        <v>1.98105259554969</v>
      </c>
      <c r="R1358">
        <v>58.546</v>
      </c>
      <c r="S1358">
        <v>58.546</v>
      </c>
      <c r="T1358">
        <v>50.273</v>
      </c>
      <c r="U1358">
        <v>0.094</v>
      </c>
      <c r="V1358">
        <v>100</v>
      </c>
      <c r="W1358">
        <v>0.1</v>
      </c>
      <c r="X1358" t="s">
        <v>92</v>
      </c>
      <c r="Y1358" t="s">
        <v>31</v>
      </c>
      <c r="Z1358" s="3">
        <f t="shared" si="86"/>
        <v>0.00235716683801535</v>
      </c>
      <c r="AA1358">
        <f t="shared" si="88"/>
        <v>0.0820000000000001</v>
      </c>
      <c r="AB1358">
        <f t="shared" si="89"/>
        <v>0.874</v>
      </c>
      <c r="AC1358" t="s">
        <v>32</v>
      </c>
    </row>
    <row r="1359" spans="1:29">
      <c r="A1359" t="s">
        <v>106</v>
      </c>
      <c r="B1359">
        <v>3503.25</v>
      </c>
      <c r="C1359">
        <v>17.326</v>
      </c>
      <c r="D1359">
        <v>82.687</v>
      </c>
      <c r="E1359">
        <v>166.797</v>
      </c>
      <c r="F1359">
        <v>0.202</v>
      </c>
      <c r="G1359">
        <v>21.589</v>
      </c>
      <c r="H1359">
        <v>1.946</v>
      </c>
      <c r="I1359">
        <v>2.718</v>
      </c>
      <c r="J1359">
        <v>0.598</v>
      </c>
      <c r="K1359">
        <v>11.363</v>
      </c>
      <c r="L1359">
        <v>0.666</v>
      </c>
      <c r="M1359">
        <v>3.923</v>
      </c>
      <c r="N1359">
        <v>93.658</v>
      </c>
      <c r="O1359">
        <v>93.099</v>
      </c>
      <c r="P1359">
        <f t="shared" si="87"/>
        <v>1.9715448794952</v>
      </c>
      <c r="Q1359">
        <f t="shared" si="87"/>
        <v>1.96894501613908</v>
      </c>
      <c r="R1359">
        <v>57.288</v>
      </c>
      <c r="S1359">
        <v>57.288</v>
      </c>
      <c r="T1359">
        <v>49.583</v>
      </c>
      <c r="U1359">
        <v>0.095</v>
      </c>
      <c r="V1359">
        <v>100</v>
      </c>
      <c r="W1359">
        <v>0.1</v>
      </c>
      <c r="X1359" t="s">
        <v>92</v>
      </c>
      <c r="Y1359" t="s">
        <v>31</v>
      </c>
      <c r="Z1359" s="3">
        <f t="shared" si="86"/>
        <v>0.00259986335611506</v>
      </c>
      <c r="AA1359">
        <f t="shared" si="88"/>
        <v>0.0680000000000001</v>
      </c>
      <c r="AB1359">
        <f t="shared" si="89"/>
        <v>0.868</v>
      </c>
      <c r="AC1359" t="s">
        <v>32</v>
      </c>
    </row>
    <row r="1360" spans="1:29">
      <c r="A1360" t="s">
        <v>106</v>
      </c>
      <c r="B1360">
        <v>3503.375</v>
      </c>
      <c r="C1360">
        <v>17.159</v>
      </c>
      <c r="D1360">
        <v>82.687</v>
      </c>
      <c r="E1360">
        <v>166.083</v>
      </c>
      <c r="F1360">
        <v>0.192</v>
      </c>
      <c r="G1360">
        <v>21.582</v>
      </c>
      <c r="H1360">
        <v>1.918</v>
      </c>
      <c r="I1360">
        <v>2.717</v>
      </c>
      <c r="J1360">
        <v>0.595</v>
      </c>
      <c r="K1360">
        <v>11.028</v>
      </c>
      <c r="L1360">
        <v>0.644</v>
      </c>
      <c r="M1360">
        <v>3.849</v>
      </c>
      <c r="N1360">
        <v>92.423</v>
      </c>
      <c r="O1360">
        <v>91.681</v>
      </c>
      <c r="P1360">
        <f t="shared" si="87"/>
        <v>1.96578006137269</v>
      </c>
      <c r="Q1360">
        <f t="shared" si="87"/>
        <v>1.96227934166644</v>
      </c>
      <c r="R1360">
        <v>56.238</v>
      </c>
      <c r="S1360">
        <v>56.238</v>
      </c>
      <c r="T1360">
        <v>49.34</v>
      </c>
      <c r="U1360">
        <v>0.095</v>
      </c>
      <c r="V1360">
        <v>100</v>
      </c>
      <c r="W1360">
        <v>0.1</v>
      </c>
      <c r="X1360" t="s">
        <v>92</v>
      </c>
      <c r="Y1360" t="s">
        <v>31</v>
      </c>
      <c r="Z1360" s="3">
        <f t="shared" si="86"/>
        <v>0.00350071970625243</v>
      </c>
      <c r="AA1360">
        <f t="shared" si="88"/>
        <v>0.049</v>
      </c>
      <c r="AB1360">
        <f t="shared" si="89"/>
        <v>0.836</v>
      </c>
      <c r="AC1360" t="s">
        <v>32</v>
      </c>
    </row>
    <row r="1361" spans="1:29">
      <c r="A1361" t="s">
        <v>106</v>
      </c>
      <c r="B1361">
        <v>3503.5</v>
      </c>
      <c r="C1361">
        <v>17.703</v>
      </c>
      <c r="D1361">
        <v>82.687</v>
      </c>
      <c r="E1361">
        <v>164.72</v>
      </c>
      <c r="F1361">
        <v>0.173</v>
      </c>
      <c r="G1361">
        <v>21.577</v>
      </c>
      <c r="H1361">
        <v>1.923</v>
      </c>
      <c r="I1361">
        <v>2.716</v>
      </c>
      <c r="J1361">
        <v>0.591</v>
      </c>
      <c r="K1361">
        <v>10.651</v>
      </c>
      <c r="L1361">
        <v>0.619</v>
      </c>
      <c r="M1361">
        <v>3.766</v>
      </c>
      <c r="N1361">
        <v>93.844</v>
      </c>
      <c r="O1361">
        <v>92.782</v>
      </c>
      <c r="P1361">
        <f t="shared" si="87"/>
        <v>1.97240651083919</v>
      </c>
      <c r="Q1361">
        <f t="shared" si="87"/>
        <v>1.96746372989434</v>
      </c>
      <c r="R1361">
        <v>56.312</v>
      </c>
      <c r="S1361">
        <v>56.312</v>
      </c>
      <c r="T1361">
        <v>49.747</v>
      </c>
      <c r="U1361">
        <v>0.095</v>
      </c>
      <c r="V1361">
        <v>100</v>
      </c>
      <c r="W1361">
        <v>0.1</v>
      </c>
      <c r="X1361" t="s">
        <v>92</v>
      </c>
      <c r="Y1361" t="s">
        <v>31</v>
      </c>
      <c r="Z1361" s="3">
        <f t="shared" si="86"/>
        <v>0.00494278094485123</v>
      </c>
      <c r="AA1361">
        <f t="shared" si="88"/>
        <v>0.028</v>
      </c>
      <c r="AB1361">
        <f t="shared" si="89"/>
        <v>0.792</v>
      </c>
      <c r="AC1361" t="s">
        <v>32</v>
      </c>
    </row>
    <row r="1362" spans="1:29">
      <c r="A1362" t="s">
        <v>106</v>
      </c>
      <c r="B1362">
        <v>3503.625</v>
      </c>
      <c r="C1362">
        <v>18.801</v>
      </c>
      <c r="D1362">
        <v>82.692</v>
      </c>
      <c r="E1362">
        <v>162.754</v>
      </c>
      <c r="F1362">
        <v>0.146</v>
      </c>
      <c r="G1362">
        <v>21.577</v>
      </c>
      <c r="H1362">
        <v>1.939</v>
      </c>
      <c r="I1362">
        <v>2.716</v>
      </c>
      <c r="J1362">
        <v>0.591</v>
      </c>
      <c r="K1362">
        <v>10.28</v>
      </c>
      <c r="L1362">
        <v>0.595</v>
      </c>
      <c r="M1362">
        <v>3.746</v>
      </c>
      <c r="N1362">
        <v>98.269</v>
      </c>
      <c r="O1362">
        <v>96.778</v>
      </c>
      <c r="P1362">
        <f t="shared" si="87"/>
        <v>1.99241653662909</v>
      </c>
      <c r="Q1362">
        <f t="shared" si="87"/>
        <v>1.98577664279907</v>
      </c>
      <c r="R1362">
        <v>57.093</v>
      </c>
      <c r="S1362">
        <v>57.093</v>
      </c>
      <c r="T1362">
        <v>50.645</v>
      </c>
      <c r="U1362">
        <v>0.094</v>
      </c>
      <c r="V1362">
        <v>100</v>
      </c>
      <c r="W1362">
        <v>0.1</v>
      </c>
      <c r="X1362" t="s">
        <v>92</v>
      </c>
      <c r="Y1362" t="s">
        <v>31</v>
      </c>
      <c r="Z1362" s="3">
        <f t="shared" si="86"/>
        <v>0.00663989383002206</v>
      </c>
      <c r="AA1362">
        <f t="shared" si="88"/>
        <v>0.004</v>
      </c>
      <c r="AB1362">
        <f t="shared" si="89"/>
        <v>0.741</v>
      </c>
      <c r="AC1362" t="s">
        <v>32</v>
      </c>
    </row>
    <row r="1363" spans="1:29">
      <c r="A1363" t="s">
        <v>106</v>
      </c>
      <c r="B1363">
        <v>3503.75</v>
      </c>
      <c r="C1363">
        <v>20.095</v>
      </c>
      <c r="D1363">
        <v>82.803</v>
      </c>
      <c r="E1363">
        <v>160.357</v>
      </c>
      <c r="F1363">
        <v>0.113</v>
      </c>
      <c r="G1363">
        <v>21.588</v>
      </c>
      <c r="H1363">
        <v>1.96</v>
      </c>
      <c r="I1363">
        <v>2.718</v>
      </c>
      <c r="J1363">
        <v>0.598</v>
      </c>
      <c r="K1363">
        <v>10.204</v>
      </c>
      <c r="L1363">
        <v>0.59</v>
      </c>
      <c r="M1363">
        <v>3.746</v>
      </c>
      <c r="N1363">
        <v>105.006</v>
      </c>
      <c r="O1363">
        <v>103.008</v>
      </c>
      <c r="P1363">
        <f t="shared" si="87"/>
        <v>2.02121411518845</v>
      </c>
      <c r="Q1363">
        <f t="shared" si="87"/>
        <v>2.01287095500552</v>
      </c>
      <c r="R1363">
        <v>57.999</v>
      </c>
      <c r="S1363">
        <v>57.999</v>
      </c>
      <c r="T1363">
        <v>51.965</v>
      </c>
      <c r="U1363">
        <v>0.094</v>
      </c>
      <c r="V1363">
        <v>100</v>
      </c>
      <c r="W1363">
        <v>0.1</v>
      </c>
      <c r="X1363" t="s">
        <v>92</v>
      </c>
      <c r="Y1363" t="s">
        <v>31</v>
      </c>
      <c r="Z1363" s="3">
        <f t="shared" si="86"/>
        <v>0.00834316018293091</v>
      </c>
      <c r="AA1363">
        <f t="shared" si="88"/>
        <v>-0.00800000000000001</v>
      </c>
      <c r="AB1363">
        <f t="shared" si="89"/>
        <v>0.703</v>
      </c>
      <c r="AC1363" t="s">
        <v>32</v>
      </c>
    </row>
    <row r="1364" spans="1:29">
      <c r="A1364" t="s">
        <v>106</v>
      </c>
      <c r="B1364">
        <v>3503.875</v>
      </c>
      <c r="C1364">
        <v>21.361</v>
      </c>
      <c r="D1364">
        <v>83.252</v>
      </c>
      <c r="E1364">
        <v>158.006</v>
      </c>
      <c r="F1364">
        <v>0.08</v>
      </c>
      <c r="G1364">
        <v>21.606</v>
      </c>
      <c r="H1364">
        <v>2.01</v>
      </c>
      <c r="I1364">
        <v>2.721</v>
      </c>
      <c r="J1364">
        <v>0.608</v>
      </c>
      <c r="K1364">
        <v>10.256</v>
      </c>
      <c r="L1364">
        <v>0.594</v>
      </c>
      <c r="M1364">
        <v>3.746</v>
      </c>
      <c r="N1364">
        <v>112.587</v>
      </c>
      <c r="O1364">
        <v>110.037</v>
      </c>
      <c r="P1364">
        <f t="shared" si="87"/>
        <v>2.05148824704993</v>
      </c>
      <c r="Q1364">
        <f t="shared" si="87"/>
        <v>2.04153874146677</v>
      </c>
      <c r="R1364">
        <v>58.97</v>
      </c>
      <c r="S1364">
        <v>58.97</v>
      </c>
      <c r="T1364">
        <v>53.857</v>
      </c>
      <c r="U1364">
        <v>0.093</v>
      </c>
      <c r="V1364">
        <v>100</v>
      </c>
      <c r="W1364">
        <v>0.1</v>
      </c>
      <c r="X1364" t="s">
        <v>92</v>
      </c>
      <c r="Y1364" t="s">
        <v>31</v>
      </c>
      <c r="Z1364" s="3">
        <f t="shared" si="86"/>
        <v>0.00994950558315999</v>
      </c>
      <c r="AA1364">
        <f t="shared" si="88"/>
        <v>-0.014</v>
      </c>
      <c r="AB1364">
        <f t="shared" si="89"/>
        <v>0.674</v>
      </c>
      <c r="AC1364" t="s">
        <v>32</v>
      </c>
    </row>
    <row r="1365" spans="1:29">
      <c r="A1365" t="s">
        <v>106</v>
      </c>
      <c r="B1365">
        <v>3504</v>
      </c>
      <c r="C1365">
        <v>22.277</v>
      </c>
      <c r="D1365">
        <v>83.265</v>
      </c>
      <c r="E1365">
        <v>156.084</v>
      </c>
      <c r="F1365">
        <v>0.053</v>
      </c>
      <c r="G1365">
        <v>21.624</v>
      </c>
      <c r="H1365">
        <v>2.058</v>
      </c>
      <c r="I1365">
        <v>2.722</v>
      </c>
      <c r="J1365">
        <v>0.611</v>
      </c>
      <c r="K1365">
        <v>10.494</v>
      </c>
      <c r="L1365">
        <v>0.609</v>
      </c>
      <c r="M1365">
        <v>3.746</v>
      </c>
      <c r="N1365">
        <v>119.321</v>
      </c>
      <c r="O1365">
        <v>116.208</v>
      </c>
      <c r="P1365">
        <f t="shared" si="87"/>
        <v>2.07671688442068</v>
      </c>
      <c r="Q1365">
        <f t="shared" si="87"/>
        <v>2.06523602681732</v>
      </c>
      <c r="R1365">
        <v>60.015</v>
      </c>
      <c r="S1365">
        <v>60.015</v>
      </c>
      <c r="T1365">
        <v>56.249</v>
      </c>
      <c r="U1365">
        <v>0.092</v>
      </c>
      <c r="V1365">
        <v>100</v>
      </c>
      <c r="W1365">
        <v>0.1</v>
      </c>
      <c r="X1365" t="s">
        <v>92</v>
      </c>
      <c r="Y1365" t="s">
        <v>31</v>
      </c>
      <c r="Z1365" s="3">
        <f t="shared" si="86"/>
        <v>0.0114808576033627</v>
      </c>
      <c r="AA1365">
        <f t="shared" si="88"/>
        <v>-0.002</v>
      </c>
      <c r="AB1365">
        <f t="shared" si="89"/>
        <v>0.662</v>
      </c>
      <c r="AC1365" t="s">
        <v>32</v>
      </c>
    </row>
    <row r="1366" spans="1:29">
      <c r="A1366" t="s">
        <v>106</v>
      </c>
      <c r="B1366">
        <v>3504.125</v>
      </c>
      <c r="C1366">
        <v>22.405</v>
      </c>
      <c r="D1366">
        <v>83.301</v>
      </c>
      <c r="E1366">
        <v>154.79</v>
      </c>
      <c r="F1366">
        <v>0.036</v>
      </c>
      <c r="G1366">
        <v>21.643</v>
      </c>
      <c r="H1366">
        <v>2.07</v>
      </c>
      <c r="I1366">
        <v>2.72</v>
      </c>
      <c r="J1366">
        <v>0.605</v>
      </c>
      <c r="K1366">
        <v>10.612</v>
      </c>
      <c r="L1366">
        <v>0.617</v>
      </c>
      <c r="M1366">
        <v>3.746</v>
      </c>
      <c r="N1366">
        <v>124.359</v>
      </c>
      <c r="O1366">
        <v>120.676</v>
      </c>
      <c r="P1366">
        <f t="shared" si="87"/>
        <v>2.09467722112101</v>
      </c>
      <c r="Q1366">
        <f t="shared" si="87"/>
        <v>2.08162090635282</v>
      </c>
      <c r="R1366">
        <v>61.785</v>
      </c>
      <c r="S1366">
        <v>61.785</v>
      </c>
      <c r="T1366">
        <v>59.006</v>
      </c>
      <c r="U1366">
        <v>0.092</v>
      </c>
      <c r="V1366">
        <v>100</v>
      </c>
      <c r="W1366">
        <v>0.1</v>
      </c>
      <c r="X1366" t="s">
        <v>92</v>
      </c>
      <c r="Y1366" t="s">
        <v>31</v>
      </c>
      <c r="Z1366" s="3">
        <f t="shared" si="86"/>
        <v>0.0130563147681917</v>
      </c>
      <c r="AA1366">
        <f t="shared" si="88"/>
        <v>0.012</v>
      </c>
      <c r="AB1366">
        <f t="shared" si="89"/>
        <v>0.653</v>
      </c>
      <c r="AC1366" t="s">
        <v>32</v>
      </c>
    </row>
    <row r="1367" spans="1:29">
      <c r="A1367" t="s">
        <v>106</v>
      </c>
      <c r="B1367">
        <v>3504.25</v>
      </c>
      <c r="C1367">
        <v>21.97</v>
      </c>
      <c r="D1367">
        <v>83.93</v>
      </c>
      <c r="E1367">
        <v>153.984</v>
      </c>
      <c r="F1367">
        <v>0.024</v>
      </c>
      <c r="G1367">
        <v>21.676</v>
      </c>
      <c r="H1367">
        <v>2.049</v>
      </c>
      <c r="I1367">
        <v>2.716</v>
      </c>
      <c r="J1367">
        <v>0.591</v>
      </c>
      <c r="K1367">
        <v>10.612</v>
      </c>
      <c r="L1367">
        <v>0.617</v>
      </c>
      <c r="M1367">
        <v>3.753</v>
      </c>
      <c r="N1367">
        <v>128.034</v>
      </c>
      <c r="O1367">
        <v>123.724</v>
      </c>
      <c r="P1367">
        <f t="shared" si="87"/>
        <v>2.10732531380116</v>
      </c>
      <c r="Q1367">
        <f t="shared" si="87"/>
        <v>2.09245395230953</v>
      </c>
      <c r="R1367">
        <v>63.789</v>
      </c>
      <c r="S1367">
        <v>63.789</v>
      </c>
      <c r="T1367">
        <v>61.357</v>
      </c>
      <c r="U1367">
        <v>0.092</v>
      </c>
      <c r="V1367">
        <v>100</v>
      </c>
      <c r="W1367">
        <v>0.1</v>
      </c>
      <c r="X1367" t="s">
        <v>92</v>
      </c>
      <c r="Y1367" t="s">
        <v>31</v>
      </c>
      <c r="Z1367" s="3">
        <f t="shared" si="86"/>
        <v>0.0148713614916298</v>
      </c>
      <c r="AA1367">
        <f t="shared" si="88"/>
        <v>0.026</v>
      </c>
      <c r="AB1367">
        <f t="shared" si="89"/>
        <v>0.641</v>
      </c>
      <c r="AC1367" t="s">
        <v>32</v>
      </c>
    </row>
    <row r="1368" spans="1:29">
      <c r="A1368" t="s">
        <v>106</v>
      </c>
      <c r="B1368">
        <v>3504.375</v>
      </c>
      <c r="C1368">
        <v>21.796</v>
      </c>
      <c r="D1368">
        <v>84.416</v>
      </c>
      <c r="E1368">
        <v>153.388</v>
      </c>
      <c r="F1368">
        <v>0.016</v>
      </c>
      <c r="G1368">
        <v>21.721</v>
      </c>
      <c r="H1368">
        <v>2.027</v>
      </c>
      <c r="I1368">
        <v>2.711</v>
      </c>
      <c r="J1368">
        <v>0.575</v>
      </c>
      <c r="K1368">
        <v>10.612</v>
      </c>
      <c r="L1368">
        <v>0.617</v>
      </c>
      <c r="M1368">
        <v>3.781</v>
      </c>
      <c r="N1368">
        <v>131.727</v>
      </c>
      <c r="O1368">
        <v>126.663</v>
      </c>
      <c r="P1368">
        <f t="shared" si="87"/>
        <v>2.1196748011516</v>
      </c>
      <c r="Q1368">
        <f t="shared" si="87"/>
        <v>2.10264977003281</v>
      </c>
      <c r="R1368">
        <v>65.632</v>
      </c>
      <c r="S1368">
        <v>65.632</v>
      </c>
      <c r="T1368">
        <v>64.555</v>
      </c>
      <c r="U1368">
        <v>0.093</v>
      </c>
      <c r="V1368">
        <v>100</v>
      </c>
      <c r="W1368">
        <v>0.1</v>
      </c>
      <c r="X1368" t="s">
        <v>92</v>
      </c>
      <c r="Y1368" t="s">
        <v>31</v>
      </c>
      <c r="Z1368" s="3">
        <f t="shared" si="86"/>
        <v>0.0170250311187861</v>
      </c>
      <c r="AA1368">
        <f t="shared" si="88"/>
        <v>0.042</v>
      </c>
      <c r="AB1368">
        <f t="shared" si="89"/>
        <v>0.633</v>
      </c>
      <c r="AC1368" t="s">
        <v>32</v>
      </c>
    </row>
    <row r="1369" spans="1:29">
      <c r="A1369" t="s">
        <v>106</v>
      </c>
      <c r="B1369">
        <v>3504.5</v>
      </c>
      <c r="C1369">
        <v>22.038</v>
      </c>
      <c r="D1369">
        <v>85.095</v>
      </c>
      <c r="E1369">
        <v>152.755</v>
      </c>
      <c r="F1369">
        <v>0.007</v>
      </c>
      <c r="G1369">
        <v>21.757</v>
      </c>
      <c r="H1369">
        <v>2.029</v>
      </c>
      <c r="I1369">
        <v>2.704</v>
      </c>
      <c r="J1369">
        <v>0.551</v>
      </c>
      <c r="K1369">
        <v>10.662</v>
      </c>
      <c r="L1369">
        <v>0.62</v>
      </c>
      <c r="M1369">
        <v>3.781</v>
      </c>
      <c r="N1369">
        <v>137.021</v>
      </c>
      <c r="O1369">
        <v>130.982</v>
      </c>
      <c r="P1369">
        <f t="shared" si="87"/>
        <v>2.1367871327418</v>
      </c>
      <c r="Q1369">
        <f t="shared" si="87"/>
        <v>2.1172116175047</v>
      </c>
      <c r="R1369">
        <v>68.075</v>
      </c>
      <c r="S1369">
        <v>68.075</v>
      </c>
      <c r="T1369">
        <v>72.028</v>
      </c>
      <c r="U1369">
        <v>0.092</v>
      </c>
      <c r="V1369">
        <v>100</v>
      </c>
      <c r="W1369">
        <v>0.1</v>
      </c>
      <c r="X1369" t="s">
        <v>92</v>
      </c>
      <c r="Y1369" t="s">
        <v>31</v>
      </c>
      <c r="Z1369" s="3">
        <f t="shared" si="86"/>
        <v>0.019575515237106</v>
      </c>
      <c r="AA1369">
        <f t="shared" si="88"/>
        <v>0.0689999999999999</v>
      </c>
      <c r="AB1369">
        <f t="shared" si="89"/>
        <v>0.627</v>
      </c>
      <c r="AC1369" t="s">
        <v>32</v>
      </c>
    </row>
    <row r="1370" spans="1:29">
      <c r="A1370" t="s">
        <v>106</v>
      </c>
      <c r="B1370">
        <v>3504.625</v>
      </c>
      <c r="C1370">
        <v>22.383</v>
      </c>
      <c r="D1370">
        <v>85.581</v>
      </c>
      <c r="E1370">
        <v>152.219</v>
      </c>
      <c r="F1370">
        <v>0</v>
      </c>
      <c r="G1370">
        <v>21.772</v>
      </c>
      <c r="H1370">
        <v>2.063</v>
      </c>
      <c r="I1370">
        <v>2.692</v>
      </c>
      <c r="J1370">
        <v>0.512</v>
      </c>
      <c r="K1370">
        <v>10.893</v>
      </c>
      <c r="L1370">
        <v>0.635</v>
      </c>
      <c r="M1370">
        <v>3.781</v>
      </c>
      <c r="N1370">
        <v>145.536</v>
      </c>
      <c r="O1370">
        <v>138.162</v>
      </c>
      <c r="P1370">
        <f t="shared" si="87"/>
        <v>2.1629704343356</v>
      </c>
      <c r="Q1370">
        <f t="shared" si="87"/>
        <v>2.14038861134774</v>
      </c>
      <c r="R1370">
        <v>69.797</v>
      </c>
      <c r="S1370">
        <v>69.797</v>
      </c>
      <c r="T1370">
        <v>82.814</v>
      </c>
      <c r="U1370">
        <v>0.092</v>
      </c>
      <c r="V1370">
        <v>100</v>
      </c>
      <c r="W1370">
        <v>0.1</v>
      </c>
      <c r="X1370" t="s">
        <v>92</v>
      </c>
      <c r="Y1370" t="s">
        <v>31</v>
      </c>
      <c r="Z1370" s="3">
        <f t="shared" si="86"/>
        <v>0.0225818229878607</v>
      </c>
      <c r="AA1370">
        <f t="shared" si="88"/>
        <v>0.123</v>
      </c>
      <c r="AB1370">
        <f t="shared" si="89"/>
        <v>0.635</v>
      </c>
      <c r="AC1370" t="s">
        <v>32</v>
      </c>
    </row>
    <row r="1371" spans="1:29">
      <c r="A1371" t="s">
        <v>106</v>
      </c>
      <c r="B1371">
        <v>3504.75</v>
      </c>
      <c r="C1371">
        <v>22.626</v>
      </c>
      <c r="D1371">
        <v>85.658</v>
      </c>
      <c r="E1371">
        <v>152.262</v>
      </c>
      <c r="F1371">
        <v>0.001</v>
      </c>
      <c r="G1371">
        <v>21.782</v>
      </c>
      <c r="H1371">
        <v>2.111</v>
      </c>
      <c r="I1371">
        <v>2.674</v>
      </c>
      <c r="J1371">
        <v>0.452</v>
      </c>
      <c r="K1371">
        <v>11.02</v>
      </c>
      <c r="L1371">
        <v>0.643</v>
      </c>
      <c r="M1371">
        <v>3.781</v>
      </c>
      <c r="N1371">
        <v>158.132</v>
      </c>
      <c r="O1371">
        <v>148.924</v>
      </c>
      <c r="P1371">
        <f t="shared" si="87"/>
        <v>2.19901976377893</v>
      </c>
      <c r="Q1371">
        <f t="shared" si="87"/>
        <v>2.17296469256514</v>
      </c>
      <c r="R1371">
        <v>72.81</v>
      </c>
      <c r="S1371">
        <v>72.81</v>
      </c>
      <c r="T1371">
        <v>98.265</v>
      </c>
      <c r="U1371">
        <v>0.249</v>
      </c>
      <c r="V1371">
        <v>100</v>
      </c>
      <c r="W1371">
        <v>0.1</v>
      </c>
      <c r="X1371" t="s">
        <v>92</v>
      </c>
      <c r="Y1371" t="s">
        <v>31</v>
      </c>
      <c r="Z1371" s="3">
        <f t="shared" si="86"/>
        <v>0.0260550712137904</v>
      </c>
      <c r="AA1371">
        <f t="shared" si="88"/>
        <v>0.191</v>
      </c>
      <c r="AB1371">
        <f t="shared" si="89"/>
        <v>0.644</v>
      </c>
      <c r="AC1371" t="s">
        <v>32</v>
      </c>
    </row>
    <row r="1372" spans="1:29">
      <c r="A1372" t="s">
        <v>106</v>
      </c>
      <c r="B1372">
        <v>3504.875</v>
      </c>
      <c r="C1372">
        <v>22.84</v>
      </c>
      <c r="D1372">
        <v>86.301</v>
      </c>
      <c r="E1372">
        <v>153.455</v>
      </c>
      <c r="F1372">
        <v>0.017</v>
      </c>
      <c r="G1372">
        <v>21.809</v>
      </c>
      <c r="H1372">
        <v>2.158</v>
      </c>
      <c r="I1372">
        <v>2.649</v>
      </c>
      <c r="J1372">
        <v>0.369</v>
      </c>
      <c r="K1372">
        <v>11.02</v>
      </c>
      <c r="L1372">
        <v>0.643</v>
      </c>
      <c r="M1372">
        <v>3.772</v>
      </c>
      <c r="N1372">
        <v>175.755</v>
      </c>
      <c r="O1372">
        <v>164.007</v>
      </c>
      <c r="P1372">
        <f t="shared" si="87"/>
        <v>2.2449076889779</v>
      </c>
      <c r="Q1372">
        <f t="shared" si="87"/>
        <v>2.2148623846117</v>
      </c>
      <c r="R1372">
        <v>76.8</v>
      </c>
      <c r="S1372">
        <v>76.8</v>
      </c>
      <c r="T1372">
        <v>119.362</v>
      </c>
      <c r="U1372">
        <v>0.594</v>
      </c>
      <c r="V1372">
        <v>100</v>
      </c>
      <c r="W1372">
        <v>0.1</v>
      </c>
      <c r="X1372" t="s">
        <v>92</v>
      </c>
      <c r="Y1372" t="s">
        <v>31</v>
      </c>
      <c r="Z1372" s="3">
        <f t="shared" si="86"/>
        <v>0.0300453043662041</v>
      </c>
      <c r="AA1372">
        <f t="shared" si="88"/>
        <v>0.274</v>
      </c>
      <c r="AB1372">
        <f t="shared" si="89"/>
        <v>0.66</v>
      </c>
      <c r="AC1372" t="s">
        <v>32</v>
      </c>
    </row>
    <row r="1373" spans="1:29">
      <c r="A1373" t="s">
        <v>106</v>
      </c>
      <c r="B1373">
        <v>3505</v>
      </c>
      <c r="C1373">
        <v>23.379</v>
      </c>
      <c r="D1373">
        <v>86.793</v>
      </c>
      <c r="E1373">
        <v>155.576</v>
      </c>
      <c r="F1373">
        <v>0.046</v>
      </c>
      <c r="G1373">
        <v>21.861</v>
      </c>
      <c r="H1373">
        <v>2.206</v>
      </c>
      <c r="I1373">
        <v>2.618</v>
      </c>
      <c r="J1373">
        <v>0.266</v>
      </c>
      <c r="K1373">
        <v>10.965</v>
      </c>
      <c r="L1373">
        <v>0.64</v>
      </c>
      <c r="M1373">
        <v>3.726</v>
      </c>
      <c r="N1373">
        <v>199.431</v>
      </c>
      <c r="O1373">
        <v>184.283</v>
      </c>
      <c r="P1373">
        <f t="shared" si="87"/>
        <v>2.29979266692707</v>
      </c>
      <c r="Q1373">
        <f t="shared" si="87"/>
        <v>2.26548527365249</v>
      </c>
      <c r="R1373">
        <v>82.814</v>
      </c>
      <c r="S1373">
        <v>82.814</v>
      </c>
      <c r="T1373">
        <v>149.993</v>
      </c>
      <c r="U1373">
        <v>1.031</v>
      </c>
      <c r="V1373">
        <v>95.957</v>
      </c>
      <c r="W1373">
        <v>0.1</v>
      </c>
      <c r="X1373" t="s">
        <v>92</v>
      </c>
      <c r="Y1373" t="s">
        <v>31</v>
      </c>
      <c r="Z1373" s="3">
        <f t="shared" si="86"/>
        <v>0.0343073932745752</v>
      </c>
      <c r="AA1373">
        <f t="shared" si="88"/>
        <v>0.374</v>
      </c>
      <c r="AB1373">
        <f t="shared" si="89"/>
        <v>0.686</v>
      </c>
      <c r="AC1373" t="s">
        <v>32</v>
      </c>
    </row>
    <row r="1374" spans="1:29">
      <c r="A1374" t="s">
        <v>106</v>
      </c>
      <c r="B1374">
        <v>3505.125</v>
      </c>
      <c r="C1374">
        <v>24.779</v>
      </c>
      <c r="D1374">
        <v>87.442</v>
      </c>
      <c r="E1374">
        <v>157.998</v>
      </c>
      <c r="F1374">
        <v>0.08</v>
      </c>
      <c r="G1374">
        <v>21.944</v>
      </c>
      <c r="H1374">
        <v>2.241</v>
      </c>
      <c r="I1374">
        <v>2.587</v>
      </c>
      <c r="J1374">
        <v>0.163</v>
      </c>
      <c r="K1374">
        <v>10.715</v>
      </c>
      <c r="L1374">
        <v>0.623</v>
      </c>
      <c r="M1374">
        <v>3.663</v>
      </c>
      <c r="N1374">
        <v>230.262</v>
      </c>
      <c r="O1374">
        <v>210.797</v>
      </c>
      <c r="P1374">
        <f t="shared" si="87"/>
        <v>2.36222227251919</v>
      </c>
      <c r="Q1374">
        <f t="shared" si="87"/>
        <v>2.32386442583502</v>
      </c>
      <c r="R1374">
        <v>100.885</v>
      </c>
      <c r="S1374">
        <v>100.885</v>
      </c>
      <c r="T1374">
        <v>210.57</v>
      </c>
      <c r="U1374">
        <v>1.445</v>
      </c>
      <c r="V1374">
        <v>64.641</v>
      </c>
      <c r="W1374">
        <v>0.1</v>
      </c>
      <c r="X1374" t="s">
        <v>92</v>
      </c>
      <c r="Y1374" t="s">
        <v>31</v>
      </c>
      <c r="Z1374" s="3">
        <f t="shared" si="86"/>
        <v>0.0383578466841676</v>
      </c>
      <c r="AA1374">
        <f t="shared" si="88"/>
        <v>0.46</v>
      </c>
      <c r="AB1374">
        <f t="shared" si="89"/>
        <v>0.703</v>
      </c>
      <c r="AC1374" t="s">
        <v>32</v>
      </c>
    </row>
    <row r="1375" spans="1:29">
      <c r="A1375" t="s">
        <v>106</v>
      </c>
      <c r="B1375">
        <v>3505.25</v>
      </c>
      <c r="C1375">
        <v>27.447</v>
      </c>
      <c r="D1375">
        <v>87.932</v>
      </c>
      <c r="E1375">
        <v>159.66</v>
      </c>
      <c r="F1375">
        <v>0.103</v>
      </c>
      <c r="G1375">
        <v>22.067</v>
      </c>
      <c r="H1375">
        <v>2.187</v>
      </c>
      <c r="I1375">
        <v>2.563</v>
      </c>
      <c r="J1375">
        <v>0.083</v>
      </c>
      <c r="K1375">
        <v>10.612</v>
      </c>
      <c r="L1375">
        <v>0.617</v>
      </c>
      <c r="M1375">
        <v>3.587</v>
      </c>
      <c r="N1375">
        <v>270.417</v>
      </c>
      <c r="O1375">
        <v>245.621</v>
      </c>
      <c r="P1375">
        <f t="shared" si="87"/>
        <v>2.43203399042832</v>
      </c>
      <c r="Q1375">
        <f t="shared" si="87"/>
        <v>2.3902654951818</v>
      </c>
      <c r="R1375">
        <v>145.944</v>
      </c>
      <c r="S1375">
        <v>145.944</v>
      </c>
      <c r="T1375">
        <v>329.363</v>
      </c>
      <c r="U1375">
        <v>1.758</v>
      </c>
      <c r="V1375">
        <v>44.935</v>
      </c>
      <c r="W1375">
        <v>0.1</v>
      </c>
      <c r="X1375" t="s">
        <v>92</v>
      </c>
      <c r="Y1375" t="s">
        <v>31</v>
      </c>
      <c r="Z1375" s="3">
        <f t="shared" si="86"/>
        <v>0.0417684952465174</v>
      </c>
      <c r="AA1375">
        <f t="shared" si="88"/>
        <v>0.534</v>
      </c>
      <c r="AB1375">
        <f t="shared" si="89"/>
        <v>0.72</v>
      </c>
      <c r="AC1375" t="s">
        <v>32</v>
      </c>
    </row>
    <row r="1376" spans="1:29">
      <c r="A1376" t="s">
        <v>106</v>
      </c>
      <c r="B1376">
        <v>3505.375</v>
      </c>
      <c r="C1376">
        <v>30.724</v>
      </c>
      <c r="D1376">
        <v>88.698</v>
      </c>
      <c r="E1376">
        <v>159.844</v>
      </c>
      <c r="F1376">
        <v>0.105</v>
      </c>
      <c r="G1376">
        <v>22.251</v>
      </c>
      <c r="H1376">
        <v>2.055</v>
      </c>
      <c r="I1376">
        <v>2.548</v>
      </c>
      <c r="J1376">
        <v>0.033</v>
      </c>
      <c r="K1376">
        <v>10.671</v>
      </c>
      <c r="L1376">
        <v>0.621</v>
      </c>
      <c r="M1376">
        <v>3.539</v>
      </c>
      <c r="N1376">
        <v>321.963</v>
      </c>
      <c r="O1376">
        <v>290.739</v>
      </c>
      <c r="P1376">
        <f t="shared" si="87"/>
        <v>2.50780596542529</v>
      </c>
      <c r="Q1376">
        <f t="shared" si="87"/>
        <v>2.463503292344</v>
      </c>
      <c r="R1376">
        <v>223.589</v>
      </c>
      <c r="S1376">
        <v>223.589</v>
      </c>
      <c r="T1376">
        <v>504.194</v>
      </c>
      <c r="U1376">
        <v>1.929</v>
      </c>
      <c r="V1376">
        <v>33.019</v>
      </c>
      <c r="W1376">
        <v>0.1</v>
      </c>
      <c r="X1376" t="s">
        <v>92</v>
      </c>
      <c r="Y1376" t="s">
        <v>31</v>
      </c>
      <c r="Z1376" s="3">
        <f t="shared" si="86"/>
        <v>0.0443026730812868</v>
      </c>
      <c r="AA1376">
        <f t="shared" si="88"/>
        <v>0.588</v>
      </c>
      <c r="AB1376">
        <f t="shared" si="89"/>
        <v>0.726</v>
      </c>
      <c r="AC1376" t="s">
        <v>32</v>
      </c>
    </row>
    <row r="1377" spans="1:29">
      <c r="A1377" t="s">
        <v>106</v>
      </c>
      <c r="B1377">
        <v>3505.5</v>
      </c>
      <c r="C1377">
        <v>33.038</v>
      </c>
      <c r="D1377">
        <v>89.668</v>
      </c>
      <c r="E1377">
        <v>158.373</v>
      </c>
      <c r="F1377">
        <v>0.085</v>
      </c>
      <c r="G1377">
        <v>22.483</v>
      </c>
      <c r="H1377">
        <v>1.937</v>
      </c>
      <c r="I1377">
        <v>2.54</v>
      </c>
      <c r="J1377">
        <v>0.007</v>
      </c>
      <c r="K1377">
        <v>10.929</v>
      </c>
      <c r="L1377">
        <v>0.637</v>
      </c>
      <c r="M1377">
        <v>3.541</v>
      </c>
      <c r="N1377">
        <v>390.641</v>
      </c>
      <c r="O1377">
        <v>351.312</v>
      </c>
      <c r="P1377">
        <f t="shared" si="87"/>
        <v>2.59177782302583</v>
      </c>
      <c r="Q1377">
        <f t="shared" si="87"/>
        <v>2.54569298453377</v>
      </c>
      <c r="R1377">
        <v>308.088</v>
      </c>
      <c r="S1377">
        <v>308.088</v>
      </c>
      <c r="T1377">
        <v>690.879</v>
      </c>
      <c r="U1377">
        <v>1.977</v>
      </c>
      <c r="V1377">
        <v>26.821</v>
      </c>
      <c r="W1377">
        <v>0.1</v>
      </c>
      <c r="X1377" t="s">
        <v>92</v>
      </c>
      <c r="Y1377" t="s">
        <v>31</v>
      </c>
      <c r="Z1377" s="3">
        <f t="shared" si="86"/>
        <v>0.0460848384920562</v>
      </c>
      <c r="AA1377">
        <f t="shared" si="88"/>
        <v>0.63</v>
      </c>
      <c r="AB1377">
        <f t="shared" si="89"/>
        <v>0.722</v>
      </c>
      <c r="AC1377" t="s">
        <v>32</v>
      </c>
    </row>
    <row r="1378" spans="1:29">
      <c r="A1378" t="s">
        <v>106</v>
      </c>
      <c r="B1378">
        <v>3505.625</v>
      </c>
      <c r="C1378">
        <v>33.163</v>
      </c>
      <c r="D1378">
        <v>90.98</v>
      </c>
      <c r="E1378">
        <v>156.18</v>
      </c>
      <c r="F1378">
        <v>0.055</v>
      </c>
      <c r="G1378">
        <v>22.678</v>
      </c>
      <c r="H1378">
        <v>1.908</v>
      </c>
      <c r="I1378">
        <v>2.538</v>
      </c>
      <c r="J1378">
        <v>0</v>
      </c>
      <c r="K1378">
        <v>10.965</v>
      </c>
      <c r="L1378">
        <v>0.64</v>
      </c>
      <c r="M1378">
        <v>3.573</v>
      </c>
      <c r="N1378">
        <v>496.021</v>
      </c>
      <c r="O1378">
        <v>444.986</v>
      </c>
      <c r="P1378">
        <f t="shared" si="87"/>
        <v>2.69550006356894</v>
      </c>
      <c r="Q1378">
        <f t="shared" si="87"/>
        <v>2.64834634756882</v>
      </c>
      <c r="R1378">
        <v>345.692</v>
      </c>
      <c r="S1378">
        <v>345.692</v>
      </c>
      <c r="T1378">
        <v>826.108</v>
      </c>
      <c r="U1378">
        <v>1.971</v>
      </c>
      <c r="V1378">
        <v>23.814</v>
      </c>
      <c r="W1378">
        <v>0.1</v>
      </c>
      <c r="X1378" t="s">
        <v>92</v>
      </c>
      <c r="Y1378" t="s">
        <v>31</v>
      </c>
      <c r="Z1378" s="3">
        <f t="shared" si="86"/>
        <v>0.0471537160001243</v>
      </c>
      <c r="AA1378">
        <f t="shared" si="88"/>
        <v>0.64</v>
      </c>
      <c r="AB1378">
        <f t="shared" si="89"/>
        <v>0.695</v>
      </c>
      <c r="AC1378" t="s">
        <v>32</v>
      </c>
    </row>
    <row r="1379" spans="1:29">
      <c r="A1379" t="s">
        <v>106</v>
      </c>
      <c r="B1379">
        <v>3505.75</v>
      </c>
      <c r="C1379">
        <v>31.504</v>
      </c>
      <c r="D1379">
        <v>91.987</v>
      </c>
      <c r="E1379">
        <v>154.331</v>
      </c>
      <c r="F1379">
        <v>0.029</v>
      </c>
      <c r="G1379">
        <v>22.709</v>
      </c>
      <c r="H1379">
        <v>1.955</v>
      </c>
      <c r="I1379">
        <v>2.539</v>
      </c>
      <c r="J1379">
        <v>0.003</v>
      </c>
      <c r="K1379">
        <v>10.617</v>
      </c>
      <c r="L1379">
        <v>0.617</v>
      </c>
      <c r="M1379">
        <v>3.628</v>
      </c>
      <c r="N1379">
        <v>659.903</v>
      </c>
      <c r="O1379">
        <v>592.791</v>
      </c>
      <c r="P1379">
        <f t="shared" si="87"/>
        <v>2.81948010272261</v>
      </c>
      <c r="Q1379">
        <f t="shared" si="87"/>
        <v>2.77290160138151</v>
      </c>
      <c r="R1379">
        <v>330.697</v>
      </c>
      <c r="S1379">
        <v>330.697</v>
      </c>
      <c r="T1379">
        <v>841.714</v>
      </c>
      <c r="U1379">
        <v>2.001</v>
      </c>
      <c r="V1379">
        <v>22.458</v>
      </c>
      <c r="W1379">
        <v>0.1</v>
      </c>
      <c r="X1379" t="s">
        <v>92</v>
      </c>
      <c r="Y1379" t="s">
        <v>31</v>
      </c>
      <c r="Z1379" s="3">
        <f t="shared" si="86"/>
        <v>0.0465785013410938</v>
      </c>
      <c r="AA1379">
        <f t="shared" si="88"/>
        <v>0.614</v>
      </c>
      <c r="AB1379">
        <f t="shared" si="89"/>
        <v>0.646</v>
      </c>
      <c r="AC1379" t="s">
        <v>32</v>
      </c>
    </row>
    <row r="1380" spans="1:29">
      <c r="A1380" t="s">
        <v>106</v>
      </c>
      <c r="B1380">
        <v>3505.875</v>
      </c>
      <c r="C1380">
        <v>29.48</v>
      </c>
      <c r="D1380">
        <v>93.925</v>
      </c>
      <c r="E1380">
        <v>153.5</v>
      </c>
      <c r="F1380">
        <v>0.018</v>
      </c>
      <c r="G1380">
        <v>22.595</v>
      </c>
      <c r="H1380">
        <v>2.041</v>
      </c>
      <c r="I1380">
        <v>2.541</v>
      </c>
      <c r="J1380">
        <v>0.01</v>
      </c>
      <c r="K1380">
        <v>10.052</v>
      </c>
      <c r="L1380">
        <v>0.58</v>
      </c>
      <c r="M1380">
        <v>3.729</v>
      </c>
      <c r="N1380">
        <v>898.564</v>
      </c>
      <c r="O1380">
        <v>813.09</v>
      </c>
      <c r="P1380">
        <f t="shared" si="87"/>
        <v>2.95354901506433</v>
      </c>
      <c r="Q1380">
        <f t="shared" si="87"/>
        <v>2.9101386198131</v>
      </c>
      <c r="R1380">
        <v>337.508</v>
      </c>
      <c r="S1380">
        <v>337.508</v>
      </c>
      <c r="T1380">
        <v>738.716</v>
      </c>
      <c r="U1380">
        <v>2.037</v>
      </c>
      <c r="V1380">
        <v>23.3</v>
      </c>
      <c r="W1380">
        <v>0.1</v>
      </c>
      <c r="X1380" t="s">
        <v>92</v>
      </c>
      <c r="Y1380" t="s">
        <v>31</v>
      </c>
      <c r="Z1380" s="3">
        <f t="shared" si="86"/>
        <v>0.0434103952512355</v>
      </c>
      <c r="AA1380">
        <f t="shared" si="88"/>
        <v>0.57</v>
      </c>
      <c r="AB1380">
        <f t="shared" si="89"/>
        <v>0.598</v>
      </c>
      <c r="AC1380" t="s">
        <v>32</v>
      </c>
    </row>
    <row r="1381" spans="1:29">
      <c r="A1381" t="s">
        <v>106</v>
      </c>
      <c r="B1381">
        <v>3506</v>
      </c>
      <c r="C1381">
        <v>28.591</v>
      </c>
      <c r="D1381">
        <v>95.351</v>
      </c>
      <c r="E1381">
        <v>153.715</v>
      </c>
      <c r="F1381">
        <v>0.021</v>
      </c>
      <c r="G1381">
        <v>22.541</v>
      </c>
      <c r="H1381">
        <v>2.135</v>
      </c>
      <c r="I1381">
        <v>2.542</v>
      </c>
      <c r="J1381">
        <v>0.013</v>
      </c>
      <c r="K1381">
        <v>9.749</v>
      </c>
      <c r="L1381">
        <v>0.561</v>
      </c>
      <c r="M1381">
        <v>3.814</v>
      </c>
      <c r="N1381">
        <v>1189.433</v>
      </c>
      <c r="O1381">
        <v>1089.778</v>
      </c>
      <c r="P1381">
        <f t="shared" si="87"/>
        <v>3.07533998353192</v>
      </c>
      <c r="Q1381">
        <f t="shared" si="87"/>
        <v>3.03733803629424</v>
      </c>
      <c r="R1381">
        <v>419.767</v>
      </c>
      <c r="S1381">
        <v>419.767</v>
      </c>
      <c r="T1381">
        <v>627.294</v>
      </c>
      <c r="U1381">
        <v>2.055</v>
      </c>
      <c r="V1381">
        <v>25.376</v>
      </c>
      <c r="W1381">
        <v>0.1</v>
      </c>
      <c r="X1381" t="s">
        <v>92</v>
      </c>
      <c r="Y1381" t="s">
        <v>31</v>
      </c>
      <c r="Z1381" s="3">
        <f t="shared" ref="Z1381:Z1444" si="90">P1381-Q1381</f>
        <v>0.0380019472376829</v>
      </c>
      <c r="AA1381">
        <f t="shared" si="88"/>
        <v>0.548</v>
      </c>
      <c r="AB1381">
        <f t="shared" si="89"/>
        <v>0.582</v>
      </c>
      <c r="AC1381" t="s">
        <v>32</v>
      </c>
    </row>
    <row r="1382" spans="1:29">
      <c r="A1382" t="s">
        <v>107</v>
      </c>
      <c r="B1382">
        <v>3628</v>
      </c>
      <c r="C1382">
        <v>20.61</v>
      </c>
      <c r="D1382">
        <v>50.195</v>
      </c>
      <c r="E1382">
        <v>166.399</v>
      </c>
      <c r="F1382">
        <v>0.299</v>
      </c>
      <c r="G1382">
        <v>22.53</v>
      </c>
      <c r="H1382">
        <v>1.858</v>
      </c>
      <c r="I1382">
        <v>2.677</v>
      </c>
      <c r="J1382">
        <v>0.766</v>
      </c>
      <c r="K1382">
        <v>7.159</v>
      </c>
      <c r="L1382">
        <v>0.368</v>
      </c>
      <c r="M1382">
        <v>3.321</v>
      </c>
      <c r="N1382">
        <v>225.457</v>
      </c>
      <c r="O1382">
        <v>198.195</v>
      </c>
      <c r="P1382">
        <f t="shared" si="87"/>
        <v>2.35306372384831</v>
      </c>
      <c r="Q1382">
        <f t="shared" si="87"/>
        <v>2.29709269404532</v>
      </c>
      <c r="R1382">
        <v>50.697</v>
      </c>
      <c r="S1382">
        <v>-9999</v>
      </c>
      <c r="T1382">
        <v>55.981</v>
      </c>
      <c r="U1382">
        <v>4.555</v>
      </c>
      <c r="V1382">
        <v>79.713</v>
      </c>
      <c r="W1382">
        <v>0.1</v>
      </c>
      <c r="X1382" t="s">
        <v>92</v>
      </c>
      <c r="Y1382" t="s">
        <v>31</v>
      </c>
      <c r="Z1382" s="3">
        <f t="shared" si="90"/>
        <v>0.0559710298029845</v>
      </c>
      <c r="AA1382">
        <f t="shared" si="88"/>
        <v>-0.398</v>
      </c>
      <c r="AB1382">
        <f t="shared" si="89"/>
        <v>0.667</v>
      </c>
      <c r="AC1382" t="s">
        <v>32</v>
      </c>
    </row>
    <row r="1383" spans="1:29">
      <c r="A1383" t="s">
        <v>107</v>
      </c>
      <c r="B1383">
        <v>3628.125</v>
      </c>
      <c r="C1383">
        <v>22.462</v>
      </c>
      <c r="D1383">
        <v>49.58</v>
      </c>
      <c r="E1383">
        <v>163.727</v>
      </c>
      <c r="F1383">
        <v>0.253</v>
      </c>
      <c r="G1383">
        <v>22.437</v>
      </c>
      <c r="H1383">
        <v>1.856</v>
      </c>
      <c r="I1383">
        <v>2.702</v>
      </c>
      <c r="J1383">
        <v>0.798</v>
      </c>
      <c r="K1383">
        <v>6.891</v>
      </c>
      <c r="L1383">
        <v>0.348</v>
      </c>
      <c r="M1383">
        <v>3.342</v>
      </c>
      <c r="N1383">
        <v>272.769</v>
      </c>
      <c r="O1383">
        <v>252.2</v>
      </c>
      <c r="P1383">
        <f t="shared" si="87"/>
        <v>2.43579501153449</v>
      </c>
      <c r="Q1383">
        <f t="shared" si="87"/>
        <v>2.40174508223706</v>
      </c>
      <c r="R1383">
        <v>49.574</v>
      </c>
      <c r="S1383">
        <v>-9999</v>
      </c>
      <c r="T1383">
        <v>54.74</v>
      </c>
      <c r="U1383">
        <v>4.007</v>
      </c>
      <c r="V1383">
        <v>90.4</v>
      </c>
      <c r="W1383">
        <v>0.1</v>
      </c>
      <c r="X1383" t="s">
        <v>92</v>
      </c>
      <c r="Y1383" t="s">
        <v>31</v>
      </c>
      <c r="Z1383" s="3">
        <f t="shared" si="90"/>
        <v>0.0340499292974243</v>
      </c>
      <c r="AA1383">
        <f t="shared" si="88"/>
        <v>-0.45</v>
      </c>
      <c r="AB1383">
        <f t="shared" si="89"/>
        <v>0.601</v>
      </c>
      <c r="AC1383" t="s">
        <v>32</v>
      </c>
    </row>
    <row r="1384" spans="1:29">
      <c r="A1384" t="s">
        <v>107</v>
      </c>
      <c r="B1384">
        <v>3628.25</v>
      </c>
      <c r="C1384">
        <v>23.179</v>
      </c>
      <c r="D1384">
        <v>49.03</v>
      </c>
      <c r="E1384">
        <v>160.654</v>
      </c>
      <c r="F1384">
        <v>0.2</v>
      </c>
      <c r="G1384">
        <v>22.348</v>
      </c>
      <c r="H1384">
        <v>1.801</v>
      </c>
      <c r="I1384">
        <v>2.729</v>
      </c>
      <c r="J1384">
        <v>0.832</v>
      </c>
      <c r="K1384">
        <v>6.878</v>
      </c>
      <c r="L1384">
        <v>0.347</v>
      </c>
      <c r="M1384">
        <v>3.391</v>
      </c>
      <c r="N1384">
        <v>295.362</v>
      </c>
      <c r="O1384">
        <v>276.33</v>
      </c>
      <c r="P1384">
        <f t="shared" si="87"/>
        <v>2.47035462011648</v>
      </c>
      <c r="Q1384">
        <f t="shared" si="87"/>
        <v>2.4414280370236</v>
      </c>
      <c r="R1384">
        <v>49.721</v>
      </c>
      <c r="S1384">
        <v>-9999</v>
      </c>
      <c r="T1384">
        <v>55.199</v>
      </c>
      <c r="U1384">
        <v>3.342</v>
      </c>
      <c r="V1384">
        <v>99.292</v>
      </c>
      <c r="W1384">
        <v>0.1</v>
      </c>
      <c r="X1384" t="s">
        <v>92</v>
      </c>
      <c r="Y1384" t="s">
        <v>31</v>
      </c>
      <c r="Z1384" s="3">
        <f t="shared" si="90"/>
        <v>0.0289265830928822</v>
      </c>
      <c r="AA1384">
        <f t="shared" si="88"/>
        <v>-0.485</v>
      </c>
      <c r="AB1384">
        <f t="shared" si="89"/>
        <v>0.547</v>
      </c>
      <c r="AC1384" t="s">
        <v>32</v>
      </c>
    </row>
    <row r="1385" spans="1:29">
      <c r="A1385" t="s">
        <v>107</v>
      </c>
      <c r="B1385">
        <v>3628.375</v>
      </c>
      <c r="C1385">
        <v>21.973</v>
      </c>
      <c r="D1385">
        <v>48.543</v>
      </c>
      <c r="E1385">
        <v>158.216</v>
      </c>
      <c r="F1385">
        <v>0.159</v>
      </c>
      <c r="G1385">
        <v>22.251</v>
      </c>
      <c r="H1385">
        <v>1.701</v>
      </c>
      <c r="I1385">
        <v>2.771</v>
      </c>
      <c r="J1385">
        <v>0.886</v>
      </c>
      <c r="K1385">
        <v>7.009</v>
      </c>
      <c r="L1385">
        <v>0.357</v>
      </c>
      <c r="M1385">
        <v>3.492</v>
      </c>
      <c r="N1385">
        <v>285.24</v>
      </c>
      <c r="O1385">
        <v>259.95</v>
      </c>
      <c r="P1385">
        <f t="shared" si="87"/>
        <v>2.4552104277758</v>
      </c>
      <c r="Q1385">
        <f t="shared" si="87"/>
        <v>2.4148898217696</v>
      </c>
      <c r="R1385">
        <v>52.439</v>
      </c>
      <c r="S1385">
        <v>-9999</v>
      </c>
      <c r="T1385">
        <v>59.018</v>
      </c>
      <c r="U1385">
        <v>2.783</v>
      </c>
      <c r="V1385">
        <v>100</v>
      </c>
      <c r="W1385">
        <v>0.1</v>
      </c>
      <c r="X1385" t="s">
        <v>92</v>
      </c>
      <c r="Y1385" t="s">
        <v>31</v>
      </c>
      <c r="Z1385" s="3">
        <f t="shared" si="90"/>
        <v>0.0403206060062069</v>
      </c>
      <c r="AA1385">
        <f t="shared" si="88"/>
        <v>-0.529</v>
      </c>
      <c r="AB1385">
        <f t="shared" si="89"/>
        <v>0.516</v>
      </c>
      <c r="AC1385" t="s">
        <v>32</v>
      </c>
    </row>
    <row r="1386" spans="1:29">
      <c r="A1386" t="s">
        <v>107</v>
      </c>
      <c r="B1386">
        <v>3628.5</v>
      </c>
      <c r="C1386">
        <v>19.582</v>
      </c>
      <c r="D1386">
        <v>48.114</v>
      </c>
      <c r="E1386">
        <v>156.889</v>
      </c>
      <c r="F1386">
        <v>0.136</v>
      </c>
      <c r="G1386">
        <v>22.325</v>
      </c>
      <c r="H1386">
        <v>1.516</v>
      </c>
      <c r="I1386">
        <v>2.782</v>
      </c>
      <c r="J1386">
        <v>0.9</v>
      </c>
      <c r="K1386">
        <v>7.157</v>
      </c>
      <c r="L1386">
        <v>0.368</v>
      </c>
      <c r="M1386">
        <v>3.732</v>
      </c>
      <c r="N1386">
        <v>253.815</v>
      </c>
      <c r="O1386">
        <v>223.762</v>
      </c>
      <c r="P1386">
        <f t="shared" si="87"/>
        <v>2.40451728452279</v>
      </c>
      <c r="Q1386">
        <f t="shared" si="87"/>
        <v>2.34978633513448</v>
      </c>
      <c r="R1386">
        <v>56.53</v>
      </c>
      <c r="S1386">
        <v>-9999</v>
      </c>
      <c r="T1386">
        <v>63.49</v>
      </c>
      <c r="U1386">
        <v>2.443</v>
      </c>
      <c r="V1386">
        <v>100</v>
      </c>
      <c r="W1386">
        <v>0.1</v>
      </c>
      <c r="X1386" t="s">
        <v>92</v>
      </c>
      <c r="Y1386" t="s">
        <v>31</v>
      </c>
      <c r="Z1386" s="3">
        <f t="shared" si="90"/>
        <v>0.0547309493883059</v>
      </c>
      <c r="AA1386">
        <f t="shared" si="88"/>
        <v>-0.532</v>
      </c>
      <c r="AB1386">
        <f t="shared" si="89"/>
        <v>0.504</v>
      </c>
      <c r="AC1386" t="s">
        <v>32</v>
      </c>
    </row>
    <row r="1387" spans="1:29">
      <c r="A1387" t="s">
        <v>107</v>
      </c>
      <c r="B1387">
        <v>3628.625</v>
      </c>
      <c r="C1387">
        <v>17.144</v>
      </c>
      <c r="D1387">
        <v>47.747</v>
      </c>
      <c r="E1387">
        <v>156.674</v>
      </c>
      <c r="F1387">
        <v>0.132</v>
      </c>
      <c r="G1387">
        <v>22.49</v>
      </c>
      <c r="H1387">
        <v>1.323</v>
      </c>
      <c r="I1387">
        <v>2.776</v>
      </c>
      <c r="J1387">
        <v>0.892</v>
      </c>
      <c r="K1387">
        <v>7.291</v>
      </c>
      <c r="L1387">
        <v>0.377</v>
      </c>
      <c r="M1387">
        <v>3.936</v>
      </c>
      <c r="N1387">
        <v>220.038</v>
      </c>
      <c r="O1387">
        <v>193.824</v>
      </c>
      <c r="P1387">
        <f t="shared" si="87"/>
        <v>2.34249768884585</v>
      </c>
      <c r="Q1387">
        <f t="shared" si="87"/>
        <v>2.28740755198321</v>
      </c>
      <c r="R1387">
        <v>62.591</v>
      </c>
      <c r="S1387">
        <v>-9999</v>
      </c>
      <c r="T1387">
        <v>69.908</v>
      </c>
      <c r="U1387">
        <v>2.406</v>
      </c>
      <c r="V1387">
        <v>100</v>
      </c>
      <c r="W1387">
        <v>0.1</v>
      </c>
      <c r="X1387" t="s">
        <v>92</v>
      </c>
      <c r="Y1387" t="s">
        <v>31</v>
      </c>
      <c r="Z1387" s="3">
        <f t="shared" si="90"/>
        <v>0.0550901368626393</v>
      </c>
      <c r="AA1387">
        <f t="shared" si="88"/>
        <v>-0.515</v>
      </c>
      <c r="AB1387">
        <f t="shared" si="89"/>
        <v>0.509</v>
      </c>
      <c r="AC1387" t="s">
        <v>32</v>
      </c>
    </row>
    <row r="1388" spans="1:29">
      <c r="A1388" t="s">
        <v>107</v>
      </c>
      <c r="B1388">
        <v>3628.75</v>
      </c>
      <c r="C1388">
        <v>16.568</v>
      </c>
      <c r="D1388">
        <v>47.431</v>
      </c>
      <c r="E1388">
        <v>157.353</v>
      </c>
      <c r="F1388">
        <v>0.144</v>
      </c>
      <c r="G1388">
        <v>22.413</v>
      </c>
      <c r="H1388">
        <v>1.306</v>
      </c>
      <c r="I1388">
        <v>2.759</v>
      </c>
      <c r="J1388">
        <v>0.871</v>
      </c>
      <c r="K1388">
        <v>7.409</v>
      </c>
      <c r="L1388">
        <v>0.386</v>
      </c>
      <c r="M1388">
        <v>3.965</v>
      </c>
      <c r="N1388">
        <v>192.951</v>
      </c>
      <c r="O1388">
        <v>170.943</v>
      </c>
      <c r="P1388">
        <f t="shared" si="87"/>
        <v>2.28544703371517</v>
      </c>
      <c r="Q1388">
        <f t="shared" si="87"/>
        <v>2.23285132143202</v>
      </c>
      <c r="R1388">
        <v>76.75</v>
      </c>
      <c r="S1388">
        <v>-9999</v>
      </c>
      <c r="T1388">
        <v>85.8</v>
      </c>
      <c r="U1388">
        <v>2.514</v>
      </c>
      <c r="V1388">
        <v>100</v>
      </c>
      <c r="W1388">
        <v>0.1</v>
      </c>
      <c r="X1388" t="s">
        <v>92</v>
      </c>
      <c r="Y1388" t="s">
        <v>31</v>
      </c>
      <c r="Z1388" s="3">
        <f t="shared" si="90"/>
        <v>0.0525957122831531</v>
      </c>
      <c r="AA1388">
        <f t="shared" si="88"/>
        <v>-0.485</v>
      </c>
      <c r="AB1388">
        <f t="shared" si="89"/>
        <v>0.53</v>
      </c>
      <c r="AC1388" t="s">
        <v>32</v>
      </c>
    </row>
    <row r="1389" spans="1:29">
      <c r="A1389" t="s">
        <v>107</v>
      </c>
      <c r="B1389">
        <v>3628.875</v>
      </c>
      <c r="C1389">
        <v>16.718</v>
      </c>
      <c r="D1389">
        <v>47.156</v>
      </c>
      <c r="E1389">
        <v>158.593</v>
      </c>
      <c r="F1389">
        <v>0.165</v>
      </c>
      <c r="G1389">
        <v>22.263</v>
      </c>
      <c r="H1389">
        <v>1.378</v>
      </c>
      <c r="I1389">
        <v>2.734</v>
      </c>
      <c r="J1389">
        <v>0.839</v>
      </c>
      <c r="K1389">
        <v>7.487</v>
      </c>
      <c r="L1389">
        <v>0.392</v>
      </c>
      <c r="M1389">
        <v>3.915</v>
      </c>
      <c r="N1389">
        <v>173.516</v>
      </c>
      <c r="O1389">
        <v>151.903</v>
      </c>
      <c r="P1389">
        <f t="shared" si="87"/>
        <v>2.2393395274919</v>
      </c>
      <c r="Q1389">
        <f t="shared" si="87"/>
        <v>2.18156635102263</v>
      </c>
      <c r="R1389">
        <v>91.166</v>
      </c>
      <c r="S1389">
        <v>-9999</v>
      </c>
      <c r="T1389">
        <v>100.848</v>
      </c>
      <c r="U1389">
        <v>2.738</v>
      </c>
      <c r="V1389">
        <v>92.693</v>
      </c>
      <c r="W1389">
        <v>0.1</v>
      </c>
      <c r="X1389" t="s">
        <v>92</v>
      </c>
      <c r="Y1389" t="s">
        <v>31</v>
      </c>
      <c r="Z1389" s="3">
        <f t="shared" si="90"/>
        <v>0.0577731764692695</v>
      </c>
      <c r="AA1389">
        <f t="shared" si="88"/>
        <v>-0.447</v>
      </c>
      <c r="AB1389">
        <f t="shared" si="89"/>
        <v>0.557</v>
      </c>
      <c r="AC1389" t="s">
        <v>32</v>
      </c>
    </row>
    <row r="1390" spans="1:29">
      <c r="A1390" t="s">
        <v>107</v>
      </c>
      <c r="B1390">
        <v>3629</v>
      </c>
      <c r="C1390">
        <v>17.125</v>
      </c>
      <c r="D1390">
        <v>46.915</v>
      </c>
      <c r="E1390">
        <v>159.882</v>
      </c>
      <c r="F1390">
        <v>0.187</v>
      </c>
      <c r="G1390">
        <v>22.353</v>
      </c>
      <c r="H1390">
        <v>1.422</v>
      </c>
      <c r="I1390">
        <v>2.707</v>
      </c>
      <c r="J1390">
        <v>0.805</v>
      </c>
      <c r="K1390">
        <v>7.502</v>
      </c>
      <c r="L1390">
        <v>0.393</v>
      </c>
      <c r="M1390">
        <v>3.891</v>
      </c>
      <c r="N1390">
        <v>163.58</v>
      </c>
      <c r="O1390">
        <v>141.294</v>
      </c>
      <c r="P1390">
        <f t="shared" si="87"/>
        <v>2.21373020385484</v>
      </c>
      <c r="Q1390">
        <f t="shared" si="87"/>
        <v>2.15012372007774</v>
      </c>
      <c r="R1390">
        <v>112.792</v>
      </c>
      <c r="S1390">
        <v>-9999</v>
      </c>
      <c r="T1390">
        <v>120.845</v>
      </c>
      <c r="U1390">
        <v>3.006</v>
      </c>
      <c r="V1390">
        <v>79.896</v>
      </c>
      <c r="W1390">
        <v>0.1</v>
      </c>
      <c r="X1390" t="s">
        <v>92</v>
      </c>
      <c r="Y1390" t="s">
        <v>31</v>
      </c>
      <c r="Z1390" s="3">
        <f t="shared" si="90"/>
        <v>0.0636064837771046</v>
      </c>
      <c r="AA1390">
        <f t="shared" si="88"/>
        <v>-0.412</v>
      </c>
      <c r="AB1390">
        <f t="shared" si="89"/>
        <v>0.58</v>
      </c>
      <c r="AC1390" t="s">
        <v>32</v>
      </c>
    </row>
    <row r="1391" spans="1:29">
      <c r="A1391" t="s">
        <v>107</v>
      </c>
      <c r="B1391">
        <v>3629.125</v>
      </c>
      <c r="C1391">
        <v>17.497</v>
      </c>
      <c r="D1391">
        <v>46.703</v>
      </c>
      <c r="E1391">
        <v>160.931</v>
      </c>
      <c r="F1391">
        <v>0.205</v>
      </c>
      <c r="G1391">
        <v>22.731</v>
      </c>
      <c r="H1391">
        <v>1.482</v>
      </c>
      <c r="I1391">
        <v>2.703</v>
      </c>
      <c r="J1391">
        <v>0.799</v>
      </c>
      <c r="K1391">
        <v>7.462</v>
      </c>
      <c r="L1391">
        <v>0.39</v>
      </c>
      <c r="M1391">
        <v>3.866</v>
      </c>
      <c r="N1391">
        <v>167.064</v>
      </c>
      <c r="O1391">
        <v>145.77</v>
      </c>
      <c r="P1391">
        <f t="shared" si="87"/>
        <v>2.22288287547239</v>
      </c>
      <c r="Q1391">
        <f t="shared" si="87"/>
        <v>2.16366815378267</v>
      </c>
      <c r="R1391">
        <v>142.217</v>
      </c>
      <c r="S1391">
        <v>-9999</v>
      </c>
      <c r="T1391">
        <v>148.761</v>
      </c>
      <c r="U1391">
        <v>3.236</v>
      </c>
      <c r="V1391">
        <v>66.464</v>
      </c>
      <c r="W1391">
        <v>0.1</v>
      </c>
      <c r="X1391" t="s">
        <v>92</v>
      </c>
      <c r="Y1391" t="s">
        <v>31</v>
      </c>
      <c r="Z1391" s="3">
        <f t="shared" si="90"/>
        <v>0.0592147216897256</v>
      </c>
      <c r="AA1391">
        <f t="shared" si="88"/>
        <v>-0.409</v>
      </c>
      <c r="AB1391">
        <f t="shared" si="89"/>
        <v>0.595</v>
      </c>
      <c r="AC1391" t="s">
        <v>32</v>
      </c>
    </row>
    <row r="1392" spans="1:29">
      <c r="A1392" t="s">
        <v>107</v>
      </c>
      <c r="B1392">
        <v>3629.25</v>
      </c>
      <c r="C1392">
        <v>17.628</v>
      </c>
      <c r="D1392">
        <v>46.508</v>
      </c>
      <c r="E1392">
        <v>161.67</v>
      </c>
      <c r="F1392">
        <v>0.218</v>
      </c>
      <c r="G1392">
        <v>23.197</v>
      </c>
      <c r="H1392">
        <v>1.581</v>
      </c>
      <c r="I1392">
        <v>2.71</v>
      </c>
      <c r="J1392">
        <v>0.808</v>
      </c>
      <c r="K1392">
        <v>7.404</v>
      </c>
      <c r="L1392">
        <v>0.386</v>
      </c>
      <c r="M1392">
        <v>3.797</v>
      </c>
      <c r="N1392">
        <v>178.069</v>
      </c>
      <c r="O1392">
        <v>158.829</v>
      </c>
      <c r="P1392">
        <f t="shared" si="87"/>
        <v>2.25058831979582</v>
      </c>
      <c r="Q1392">
        <f t="shared" si="87"/>
        <v>2.20092980155525</v>
      </c>
      <c r="R1392">
        <v>159.931</v>
      </c>
      <c r="S1392">
        <v>-9999</v>
      </c>
      <c r="T1392">
        <v>166.479</v>
      </c>
      <c r="U1392">
        <v>3.405</v>
      </c>
      <c r="V1392">
        <v>60.057</v>
      </c>
      <c r="W1392">
        <v>0.1</v>
      </c>
      <c r="X1392" t="s">
        <v>92</v>
      </c>
      <c r="Y1392" t="s">
        <v>31</v>
      </c>
      <c r="Z1392" s="3">
        <f t="shared" si="90"/>
        <v>0.0496585182405753</v>
      </c>
      <c r="AA1392">
        <f t="shared" si="88"/>
        <v>-0.422</v>
      </c>
      <c r="AB1392">
        <f t="shared" si="89"/>
        <v>0.604</v>
      </c>
      <c r="AC1392" t="s">
        <v>32</v>
      </c>
    </row>
    <row r="1393" spans="1:29">
      <c r="A1393" t="s">
        <v>107</v>
      </c>
      <c r="B1393">
        <v>3629.375</v>
      </c>
      <c r="C1393">
        <v>17.481</v>
      </c>
      <c r="D1393">
        <v>46.323</v>
      </c>
      <c r="E1393">
        <v>162.289</v>
      </c>
      <c r="F1393">
        <v>0.228</v>
      </c>
      <c r="G1393">
        <v>23.612</v>
      </c>
      <c r="H1393">
        <v>1.621</v>
      </c>
      <c r="I1393">
        <v>2.735</v>
      </c>
      <c r="J1393">
        <v>0.84</v>
      </c>
      <c r="K1393">
        <v>7.352</v>
      </c>
      <c r="L1393">
        <v>0.382</v>
      </c>
      <c r="M1393">
        <v>3.742</v>
      </c>
      <c r="N1393">
        <v>188.622</v>
      </c>
      <c r="O1393">
        <v>170.934</v>
      </c>
      <c r="P1393">
        <f t="shared" si="87"/>
        <v>2.27559234546062</v>
      </c>
      <c r="Q1393">
        <f t="shared" si="87"/>
        <v>2.23282845560403</v>
      </c>
      <c r="R1393">
        <v>190.847</v>
      </c>
      <c r="S1393">
        <v>-9999</v>
      </c>
      <c r="T1393">
        <v>193.943</v>
      </c>
      <c r="U1393">
        <v>3.539</v>
      </c>
      <c r="V1393">
        <v>54.143</v>
      </c>
      <c r="W1393">
        <v>0.1</v>
      </c>
      <c r="X1393" t="s">
        <v>92</v>
      </c>
      <c r="Y1393" t="s">
        <v>31</v>
      </c>
      <c r="Z1393" s="3">
        <f t="shared" si="90"/>
        <v>0.0427638898565879</v>
      </c>
      <c r="AA1393">
        <f t="shared" si="88"/>
        <v>-0.458</v>
      </c>
      <c r="AB1393">
        <f t="shared" si="89"/>
        <v>0.61</v>
      </c>
      <c r="AC1393" t="s">
        <v>32</v>
      </c>
    </row>
    <row r="1394" spans="1:29">
      <c r="A1394" t="s">
        <v>107</v>
      </c>
      <c r="B1394">
        <v>3629.5</v>
      </c>
      <c r="C1394">
        <v>17.41</v>
      </c>
      <c r="D1394">
        <v>46.147</v>
      </c>
      <c r="E1394">
        <v>163.074</v>
      </c>
      <c r="F1394">
        <v>0.242</v>
      </c>
      <c r="G1394">
        <v>23.785</v>
      </c>
      <c r="H1394">
        <v>1.613</v>
      </c>
      <c r="I1394">
        <v>2.755</v>
      </c>
      <c r="J1394">
        <v>0.865</v>
      </c>
      <c r="K1394">
        <v>7.331</v>
      </c>
      <c r="L1394">
        <v>0.38</v>
      </c>
      <c r="M1394">
        <v>3.69</v>
      </c>
      <c r="N1394">
        <v>192.94</v>
      </c>
      <c r="O1394">
        <v>174.155</v>
      </c>
      <c r="P1394">
        <f t="shared" si="87"/>
        <v>2.28542227418825</v>
      </c>
      <c r="Q1394">
        <f t="shared" si="87"/>
        <v>2.24093594759263</v>
      </c>
      <c r="R1394">
        <v>201.989</v>
      </c>
      <c r="S1394">
        <v>-9999</v>
      </c>
      <c r="T1394">
        <v>204.567</v>
      </c>
      <c r="U1394">
        <v>3.687</v>
      </c>
      <c r="V1394">
        <v>50.243</v>
      </c>
      <c r="W1394">
        <v>0.1</v>
      </c>
      <c r="X1394" t="s">
        <v>92</v>
      </c>
      <c r="Y1394" t="s">
        <v>31</v>
      </c>
      <c r="Z1394" s="3">
        <f t="shared" si="90"/>
        <v>0.0444863265956128</v>
      </c>
      <c r="AA1394">
        <f t="shared" si="88"/>
        <v>-0.485</v>
      </c>
      <c r="AB1394">
        <f t="shared" si="89"/>
        <v>0.622</v>
      </c>
      <c r="AC1394" t="s">
        <v>32</v>
      </c>
    </row>
    <row r="1395" spans="1:29">
      <c r="A1395" t="s">
        <v>107</v>
      </c>
      <c r="B1395">
        <v>3629.625</v>
      </c>
      <c r="C1395">
        <v>17.41</v>
      </c>
      <c r="D1395">
        <v>45.981</v>
      </c>
      <c r="E1395">
        <v>164.024</v>
      </c>
      <c r="F1395">
        <v>0.258</v>
      </c>
      <c r="G1395">
        <v>23.818</v>
      </c>
      <c r="H1395">
        <v>1.565</v>
      </c>
      <c r="I1395">
        <v>2.764</v>
      </c>
      <c r="J1395">
        <v>0.877</v>
      </c>
      <c r="K1395">
        <v>7.277</v>
      </c>
      <c r="L1395">
        <v>0.376</v>
      </c>
      <c r="M1395">
        <v>3.646</v>
      </c>
      <c r="N1395">
        <v>192.561</v>
      </c>
      <c r="O1395">
        <v>170.061</v>
      </c>
      <c r="P1395">
        <f t="shared" si="87"/>
        <v>2.28456833263337</v>
      </c>
      <c r="Q1395">
        <f t="shared" si="87"/>
        <v>2.23060472850511</v>
      </c>
      <c r="R1395">
        <v>207.613</v>
      </c>
      <c r="S1395">
        <v>-9999</v>
      </c>
      <c r="T1395">
        <v>212.963</v>
      </c>
      <c r="U1395">
        <v>3.879</v>
      </c>
      <c r="V1395">
        <v>47.208</v>
      </c>
      <c r="W1395">
        <v>0.1</v>
      </c>
      <c r="X1395" t="s">
        <v>92</v>
      </c>
      <c r="Y1395" t="s">
        <v>31</v>
      </c>
      <c r="Z1395" s="3">
        <f t="shared" si="90"/>
        <v>0.0539636041282603</v>
      </c>
      <c r="AA1395">
        <f t="shared" si="88"/>
        <v>-0.501</v>
      </c>
      <c r="AB1395">
        <f t="shared" si="89"/>
        <v>0.634</v>
      </c>
      <c r="AC1395" t="s">
        <v>32</v>
      </c>
    </row>
    <row r="1396" spans="1:29">
      <c r="A1396" t="s">
        <v>107</v>
      </c>
      <c r="B1396">
        <v>3629.75</v>
      </c>
      <c r="C1396">
        <v>17.049</v>
      </c>
      <c r="D1396">
        <v>45.824</v>
      </c>
      <c r="E1396">
        <v>164.807</v>
      </c>
      <c r="F1396">
        <v>0.271</v>
      </c>
      <c r="G1396">
        <v>23.817</v>
      </c>
      <c r="H1396">
        <v>1.495</v>
      </c>
      <c r="I1396">
        <v>2.766</v>
      </c>
      <c r="J1396">
        <v>0.879</v>
      </c>
      <c r="K1396">
        <v>7.172</v>
      </c>
      <c r="L1396">
        <v>0.369</v>
      </c>
      <c r="M1396">
        <v>3.613</v>
      </c>
      <c r="N1396">
        <v>197.228</v>
      </c>
      <c r="O1396">
        <v>171.763</v>
      </c>
      <c r="P1396">
        <f t="shared" si="87"/>
        <v>2.2949685707587</v>
      </c>
      <c r="Q1396">
        <f t="shared" si="87"/>
        <v>2.2349296168501</v>
      </c>
      <c r="R1396">
        <v>208.919</v>
      </c>
      <c r="S1396">
        <v>-9999</v>
      </c>
      <c r="T1396">
        <v>217.088</v>
      </c>
      <c r="U1396">
        <v>4.07</v>
      </c>
      <c r="V1396">
        <v>44.732</v>
      </c>
      <c r="W1396">
        <v>0.1</v>
      </c>
      <c r="X1396" t="s">
        <v>92</v>
      </c>
      <c r="Y1396" t="s">
        <v>31</v>
      </c>
      <c r="Z1396" s="3">
        <f t="shared" si="90"/>
        <v>0.0600389539085948</v>
      </c>
      <c r="AA1396">
        <f t="shared" si="88"/>
        <v>-0.51</v>
      </c>
      <c r="AB1396">
        <f t="shared" si="89"/>
        <v>0.64</v>
      </c>
      <c r="AC1396" t="s">
        <v>32</v>
      </c>
    </row>
    <row r="1397" spans="1:29">
      <c r="A1397" t="s">
        <v>107</v>
      </c>
      <c r="B1397">
        <v>3629.875</v>
      </c>
      <c r="C1397">
        <v>15.713</v>
      </c>
      <c r="D1397">
        <v>45.676</v>
      </c>
      <c r="E1397">
        <v>164.781</v>
      </c>
      <c r="F1397">
        <v>0.271</v>
      </c>
      <c r="G1397">
        <v>23.788</v>
      </c>
      <c r="H1397">
        <v>1.341</v>
      </c>
      <c r="I1397">
        <v>2.753</v>
      </c>
      <c r="J1397">
        <v>0.863</v>
      </c>
      <c r="K1397">
        <v>7.033</v>
      </c>
      <c r="L1397">
        <v>0.358</v>
      </c>
      <c r="M1397">
        <v>3.574</v>
      </c>
      <c r="N1397">
        <v>214.484</v>
      </c>
      <c r="O1397">
        <v>186.929</v>
      </c>
      <c r="P1397">
        <f t="shared" si="87"/>
        <v>2.33139490038609</v>
      </c>
      <c r="Q1397">
        <f t="shared" si="87"/>
        <v>2.27167668266814</v>
      </c>
      <c r="R1397">
        <v>208.797</v>
      </c>
      <c r="S1397">
        <v>-9999</v>
      </c>
      <c r="T1397">
        <v>217.985</v>
      </c>
      <c r="U1397">
        <v>4.169</v>
      </c>
      <c r="V1397">
        <v>43.721</v>
      </c>
      <c r="W1397">
        <v>0.1</v>
      </c>
      <c r="X1397" t="s">
        <v>92</v>
      </c>
      <c r="Y1397" t="s">
        <v>31</v>
      </c>
      <c r="Z1397" s="3">
        <f t="shared" si="90"/>
        <v>0.0597182177179509</v>
      </c>
      <c r="AA1397">
        <f t="shared" si="88"/>
        <v>-0.505</v>
      </c>
      <c r="AB1397">
        <f t="shared" si="89"/>
        <v>0.629</v>
      </c>
      <c r="AC1397" t="s">
        <v>32</v>
      </c>
    </row>
    <row r="1398" spans="1:29">
      <c r="A1398" t="s">
        <v>107</v>
      </c>
      <c r="B1398">
        <v>3630</v>
      </c>
      <c r="C1398">
        <v>15.468</v>
      </c>
      <c r="D1398">
        <v>45.54</v>
      </c>
      <c r="E1398">
        <v>163.699</v>
      </c>
      <c r="F1398">
        <v>0.253</v>
      </c>
      <c r="G1398">
        <v>23.578</v>
      </c>
      <c r="H1398">
        <v>1.312</v>
      </c>
      <c r="I1398">
        <v>2.737</v>
      </c>
      <c r="J1398">
        <v>0.843</v>
      </c>
      <c r="K1398">
        <v>6.908</v>
      </c>
      <c r="L1398">
        <v>0.349</v>
      </c>
      <c r="M1398">
        <v>3.569</v>
      </c>
      <c r="N1398">
        <v>247.977</v>
      </c>
      <c r="O1398">
        <v>217.073</v>
      </c>
      <c r="P1398">
        <f t="shared" si="87"/>
        <v>2.39441140164758</v>
      </c>
      <c r="Q1398">
        <f t="shared" si="87"/>
        <v>2.33660580834511</v>
      </c>
      <c r="R1398">
        <v>208.84</v>
      </c>
      <c r="S1398">
        <v>-9999</v>
      </c>
      <c r="T1398">
        <v>220.104</v>
      </c>
      <c r="U1398">
        <v>4.059</v>
      </c>
      <c r="V1398">
        <v>44.532</v>
      </c>
      <c r="W1398">
        <v>0.1</v>
      </c>
      <c r="X1398" t="s">
        <v>92</v>
      </c>
      <c r="Y1398" t="s">
        <v>31</v>
      </c>
      <c r="Z1398" s="3">
        <f t="shared" si="90"/>
        <v>0.0578055933024677</v>
      </c>
      <c r="AA1398">
        <f t="shared" si="88"/>
        <v>-0.494</v>
      </c>
      <c r="AB1398">
        <f t="shared" si="89"/>
        <v>0.602</v>
      </c>
      <c r="AC1398" t="s">
        <v>32</v>
      </c>
    </row>
    <row r="1399" spans="1:29">
      <c r="A1399" t="s">
        <v>107</v>
      </c>
      <c r="B1399">
        <v>3630.125</v>
      </c>
      <c r="C1399">
        <v>16.237</v>
      </c>
      <c r="D1399">
        <v>45.419</v>
      </c>
      <c r="E1399">
        <v>161.69</v>
      </c>
      <c r="F1399">
        <v>0.218</v>
      </c>
      <c r="G1399">
        <v>23.379</v>
      </c>
      <c r="H1399">
        <v>1.369</v>
      </c>
      <c r="I1399">
        <v>2.683</v>
      </c>
      <c r="J1399">
        <v>0.774</v>
      </c>
      <c r="K1399">
        <v>6.851</v>
      </c>
      <c r="L1399">
        <v>0.345</v>
      </c>
      <c r="M1399">
        <v>3.567</v>
      </c>
      <c r="N1399">
        <v>298.267</v>
      </c>
      <c r="O1399">
        <v>263.833</v>
      </c>
      <c r="P1399">
        <f t="shared" si="87"/>
        <v>2.47460520605835</v>
      </c>
      <c r="Q1399">
        <f t="shared" si="87"/>
        <v>2.42132911578035</v>
      </c>
      <c r="R1399">
        <v>210.721</v>
      </c>
      <c r="S1399">
        <v>-9999</v>
      </c>
      <c r="T1399">
        <v>223.375</v>
      </c>
      <c r="U1399">
        <v>3.68</v>
      </c>
      <c r="V1399">
        <v>48.132</v>
      </c>
      <c r="W1399">
        <v>0.1</v>
      </c>
      <c r="X1399" t="s">
        <v>92</v>
      </c>
      <c r="Y1399" t="s">
        <v>31</v>
      </c>
      <c r="Z1399" s="3">
        <f t="shared" si="90"/>
        <v>0.0532760902780018</v>
      </c>
      <c r="AA1399">
        <f t="shared" si="88"/>
        <v>-0.429</v>
      </c>
      <c r="AB1399">
        <f t="shared" si="89"/>
        <v>0.563</v>
      </c>
      <c r="AC1399" t="s">
        <v>32</v>
      </c>
    </row>
    <row r="1400" spans="1:29">
      <c r="A1400" t="s">
        <v>107</v>
      </c>
      <c r="B1400">
        <v>3630.25</v>
      </c>
      <c r="C1400">
        <v>17.403</v>
      </c>
      <c r="D1400">
        <v>45.316</v>
      </c>
      <c r="E1400">
        <v>159.132</v>
      </c>
      <c r="F1400">
        <v>0.174</v>
      </c>
      <c r="G1400">
        <v>23.344</v>
      </c>
      <c r="H1400">
        <v>1.457</v>
      </c>
      <c r="I1400">
        <v>2.622</v>
      </c>
      <c r="J1400">
        <v>0.697</v>
      </c>
      <c r="K1400">
        <v>6.893</v>
      </c>
      <c r="L1400">
        <v>0.348</v>
      </c>
      <c r="M1400">
        <v>3.556</v>
      </c>
      <c r="N1400">
        <v>354.607</v>
      </c>
      <c r="O1400">
        <v>319.016</v>
      </c>
      <c r="P1400">
        <f t="shared" ref="P1400:Q1463" si="91">LOG(N1400)</f>
        <v>2.5497473043934</v>
      </c>
      <c r="Q1400">
        <f t="shared" si="91"/>
        <v>2.50381246530625</v>
      </c>
      <c r="R1400">
        <v>220.657</v>
      </c>
      <c r="S1400">
        <v>-9999</v>
      </c>
      <c r="T1400">
        <v>234.627</v>
      </c>
      <c r="U1400">
        <v>3.139</v>
      </c>
      <c r="V1400">
        <v>54.049</v>
      </c>
      <c r="W1400">
        <v>0.1</v>
      </c>
      <c r="X1400" t="s">
        <v>92</v>
      </c>
      <c r="Y1400" t="s">
        <v>31</v>
      </c>
      <c r="Z1400" s="3">
        <f t="shared" si="90"/>
        <v>0.0459348390871499</v>
      </c>
      <c r="AA1400">
        <f t="shared" si="88"/>
        <v>-0.349</v>
      </c>
      <c r="AB1400">
        <f t="shared" si="89"/>
        <v>0.522</v>
      </c>
      <c r="AC1400" t="s">
        <v>32</v>
      </c>
    </row>
    <row r="1401" spans="1:29">
      <c r="A1401" t="s">
        <v>107</v>
      </c>
      <c r="B1401">
        <v>3630.375</v>
      </c>
      <c r="C1401">
        <v>18.422</v>
      </c>
      <c r="D1401">
        <v>45.23</v>
      </c>
      <c r="E1401">
        <v>156.538</v>
      </c>
      <c r="F1401">
        <v>0.13</v>
      </c>
      <c r="G1401">
        <v>23.444</v>
      </c>
      <c r="H1401">
        <v>1.53</v>
      </c>
      <c r="I1401">
        <v>2.545</v>
      </c>
      <c r="J1401">
        <v>0.599</v>
      </c>
      <c r="K1401">
        <v>7.02</v>
      </c>
      <c r="L1401">
        <v>0.357</v>
      </c>
      <c r="M1401">
        <v>3.531</v>
      </c>
      <c r="N1401">
        <v>405.137</v>
      </c>
      <c r="O1401">
        <v>368.497</v>
      </c>
      <c r="P1401">
        <f t="shared" si="91"/>
        <v>2.60760190786402</v>
      </c>
      <c r="Q1401">
        <f t="shared" si="91"/>
        <v>2.56643395654039</v>
      </c>
      <c r="R1401">
        <v>232.937</v>
      </c>
      <c r="S1401">
        <v>-9999</v>
      </c>
      <c r="T1401">
        <v>246.767</v>
      </c>
      <c r="U1401">
        <v>2.564</v>
      </c>
      <c r="V1401">
        <v>62.362</v>
      </c>
      <c r="W1401">
        <v>0.1</v>
      </c>
      <c r="X1401" t="s">
        <v>92</v>
      </c>
      <c r="Y1401" t="s">
        <v>31</v>
      </c>
      <c r="Z1401" s="3">
        <f t="shared" si="90"/>
        <v>0.0411679513236338</v>
      </c>
      <c r="AA1401">
        <f t="shared" si="88"/>
        <v>-0.242</v>
      </c>
      <c r="AB1401">
        <f t="shared" si="89"/>
        <v>0.487</v>
      </c>
      <c r="AC1401" t="s">
        <v>32</v>
      </c>
    </row>
    <row r="1402" spans="1:29">
      <c r="A1402" t="s">
        <v>107</v>
      </c>
      <c r="B1402">
        <v>3630.5</v>
      </c>
      <c r="C1402">
        <v>20.771</v>
      </c>
      <c r="D1402">
        <v>45.16</v>
      </c>
      <c r="E1402">
        <v>154.419</v>
      </c>
      <c r="F1402">
        <v>0.094</v>
      </c>
      <c r="G1402">
        <v>23.6</v>
      </c>
      <c r="H1402">
        <v>1.66</v>
      </c>
      <c r="I1402">
        <v>2.453</v>
      </c>
      <c r="J1402">
        <v>0.482</v>
      </c>
      <c r="K1402">
        <v>7.124</v>
      </c>
      <c r="L1402">
        <v>0.365</v>
      </c>
      <c r="M1402">
        <v>3.497</v>
      </c>
      <c r="N1402">
        <v>440.869</v>
      </c>
      <c r="O1402">
        <v>400.038</v>
      </c>
      <c r="P1402">
        <f t="shared" si="91"/>
        <v>2.64430956219157</v>
      </c>
      <c r="Q1402">
        <f t="shared" si="91"/>
        <v>2.60210124734411</v>
      </c>
      <c r="R1402">
        <v>248.091</v>
      </c>
      <c r="S1402">
        <v>-9999</v>
      </c>
      <c r="T1402">
        <v>260.778</v>
      </c>
      <c r="U1402">
        <v>2.006</v>
      </c>
      <c r="V1402">
        <v>74.351</v>
      </c>
      <c r="W1402">
        <v>0.1</v>
      </c>
      <c r="X1402" t="s">
        <v>92</v>
      </c>
      <c r="Y1402" t="s">
        <v>31</v>
      </c>
      <c r="Z1402" s="3">
        <f t="shared" si="90"/>
        <v>0.0422083148474566</v>
      </c>
      <c r="AA1402">
        <f t="shared" ref="AA1402:AA1465" si="92">L1402-J1402</f>
        <v>-0.117</v>
      </c>
      <c r="AB1402">
        <f t="shared" ref="AB1402:AB1465" si="93">L1402+F1402</f>
        <v>0.459</v>
      </c>
      <c r="AC1402" t="s">
        <v>32</v>
      </c>
    </row>
    <row r="1403" spans="1:29">
      <c r="A1403" t="s">
        <v>107</v>
      </c>
      <c r="B1403">
        <v>3630.625</v>
      </c>
      <c r="C1403">
        <v>22.358</v>
      </c>
      <c r="D1403">
        <v>45.107</v>
      </c>
      <c r="E1403">
        <v>153.088</v>
      </c>
      <c r="F1403">
        <v>0.071</v>
      </c>
      <c r="G1403">
        <v>24.175</v>
      </c>
      <c r="H1403">
        <v>1.721</v>
      </c>
      <c r="I1403">
        <v>2.418</v>
      </c>
      <c r="J1403">
        <v>0.438</v>
      </c>
      <c r="K1403">
        <v>7.161</v>
      </c>
      <c r="L1403">
        <v>0.368</v>
      </c>
      <c r="M1403">
        <v>3.483</v>
      </c>
      <c r="N1403">
        <v>460.107</v>
      </c>
      <c r="O1403">
        <v>413.134</v>
      </c>
      <c r="P1403">
        <f t="shared" si="91"/>
        <v>2.66285884060722</v>
      </c>
      <c r="Q1403">
        <f t="shared" si="91"/>
        <v>2.61609093790751</v>
      </c>
      <c r="R1403">
        <v>271.611</v>
      </c>
      <c r="S1403">
        <v>-9999</v>
      </c>
      <c r="T1403">
        <v>284.855</v>
      </c>
      <c r="U1403">
        <v>1.629</v>
      </c>
      <c r="V1403">
        <v>85.553</v>
      </c>
      <c r="W1403">
        <v>0.1</v>
      </c>
      <c r="X1403" t="s">
        <v>92</v>
      </c>
      <c r="Y1403" t="s">
        <v>31</v>
      </c>
      <c r="Z1403" s="3">
        <f t="shared" si="90"/>
        <v>0.0467679026997101</v>
      </c>
      <c r="AA1403">
        <f t="shared" si="92"/>
        <v>-0.07</v>
      </c>
      <c r="AB1403">
        <f t="shared" si="93"/>
        <v>0.439</v>
      </c>
      <c r="AC1403" t="s">
        <v>32</v>
      </c>
    </row>
    <row r="1404" spans="1:29">
      <c r="A1404" t="s">
        <v>107</v>
      </c>
      <c r="B1404">
        <v>3630.75</v>
      </c>
      <c r="C1404">
        <v>24.038</v>
      </c>
      <c r="D1404">
        <v>45.069</v>
      </c>
      <c r="E1404">
        <v>152.676</v>
      </c>
      <c r="F1404">
        <v>0.064</v>
      </c>
      <c r="G1404">
        <v>25.166</v>
      </c>
      <c r="H1404">
        <v>1.747</v>
      </c>
      <c r="I1404">
        <v>2.407</v>
      </c>
      <c r="J1404">
        <v>0.424</v>
      </c>
      <c r="K1404">
        <v>7.155</v>
      </c>
      <c r="L1404">
        <v>0.367</v>
      </c>
      <c r="M1404">
        <v>3.474</v>
      </c>
      <c r="N1404">
        <v>474.606</v>
      </c>
      <c r="O1404">
        <v>423.551</v>
      </c>
      <c r="P1404">
        <f t="shared" si="91"/>
        <v>2.67633322429518</v>
      </c>
      <c r="Q1404">
        <f t="shared" si="91"/>
        <v>2.62690571144367</v>
      </c>
      <c r="R1404">
        <v>295.841</v>
      </c>
      <c r="S1404">
        <v>-9999</v>
      </c>
      <c r="T1404">
        <v>310.099</v>
      </c>
      <c r="U1404">
        <v>1.44</v>
      </c>
      <c r="V1404">
        <v>90.166</v>
      </c>
      <c r="W1404">
        <v>0.1</v>
      </c>
      <c r="X1404" t="s">
        <v>92</v>
      </c>
      <c r="Y1404" t="s">
        <v>31</v>
      </c>
      <c r="Z1404" s="3">
        <f t="shared" si="90"/>
        <v>0.0494275128515143</v>
      </c>
      <c r="AA1404">
        <f t="shared" si="92"/>
        <v>-0.057</v>
      </c>
      <c r="AB1404">
        <f t="shared" si="93"/>
        <v>0.431</v>
      </c>
      <c r="AC1404" t="s">
        <v>32</v>
      </c>
    </row>
    <row r="1405" spans="1:29">
      <c r="A1405" t="s">
        <v>107</v>
      </c>
      <c r="B1405">
        <v>3630.875</v>
      </c>
      <c r="C1405">
        <v>24.247</v>
      </c>
      <c r="D1405">
        <v>45.041</v>
      </c>
      <c r="E1405">
        <v>153.152</v>
      </c>
      <c r="F1405">
        <v>0.072</v>
      </c>
      <c r="G1405">
        <v>25.668</v>
      </c>
      <c r="H1405">
        <v>1.736</v>
      </c>
      <c r="I1405">
        <v>2.422</v>
      </c>
      <c r="J1405">
        <v>0.443</v>
      </c>
      <c r="K1405">
        <v>7.225</v>
      </c>
      <c r="L1405">
        <v>0.373</v>
      </c>
      <c r="M1405">
        <v>3.469</v>
      </c>
      <c r="N1405">
        <v>490.156</v>
      </c>
      <c r="O1405">
        <v>438.773</v>
      </c>
      <c r="P1405">
        <f t="shared" si="91"/>
        <v>2.69033432320562</v>
      </c>
      <c r="Q1405">
        <f t="shared" si="91"/>
        <v>2.64223989531155</v>
      </c>
      <c r="R1405">
        <v>318.415</v>
      </c>
      <c r="S1405">
        <v>-9999</v>
      </c>
      <c r="T1405">
        <v>328.732</v>
      </c>
      <c r="U1405">
        <v>1.456</v>
      </c>
      <c r="V1405">
        <v>86.737</v>
      </c>
      <c r="W1405">
        <v>0.1</v>
      </c>
      <c r="X1405" t="s">
        <v>92</v>
      </c>
      <c r="Y1405" t="s">
        <v>31</v>
      </c>
      <c r="Z1405" s="3">
        <f t="shared" si="90"/>
        <v>0.0480944278940649</v>
      </c>
      <c r="AA1405">
        <f t="shared" si="92"/>
        <v>-0.07</v>
      </c>
      <c r="AB1405">
        <f t="shared" si="93"/>
        <v>0.445</v>
      </c>
      <c r="AC1405" t="s">
        <v>32</v>
      </c>
    </row>
    <row r="1406" spans="1:29">
      <c r="A1406" t="s">
        <v>107</v>
      </c>
      <c r="B1406">
        <v>3631</v>
      </c>
      <c r="C1406">
        <v>23.603</v>
      </c>
      <c r="D1406">
        <v>45.023</v>
      </c>
      <c r="E1406">
        <v>154.094</v>
      </c>
      <c r="F1406">
        <v>0.088</v>
      </c>
      <c r="G1406">
        <v>25.527</v>
      </c>
      <c r="H1406">
        <v>1.707</v>
      </c>
      <c r="I1406">
        <v>2.443</v>
      </c>
      <c r="J1406">
        <v>0.47</v>
      </c>
      <c r="K1406">
        <v>7.412</v>
      </c>
      <c r="L1406">
        <v>0.386</v>
      </c>
      <c r="M1406">
        <v>3.46</v>
      </c>
      <c r="N1406">
        <v>504.388</v>
      </c>
      <c r="O1406">
        <v>455.667</v>
      </c>
      <c r="P1406">
        <f t="shared" si="91"/>
        <v>2.70276474563345</v>
      </c>
      <c r="Q1406">
        <f t="shared" si="91"/>
        <v>2.65864757754701</v>
      </c>
      <c r="R1406">
        <v>351.787</v>
      </c>
      <c r="S1406">
        <v>-9999</v>
      </c>
      <c r="T1406">
        <v>350.783</v>
      </c>
      <c r="U1406">
        <v>1.632</v>
      </c>
      <c r="V1406">
        <v>75.878</v>
      </c>
      <c r="W1406">
        <v>0.1</v>
      </c>
      <c r="X1406" t="s">
        <v>92</v>
      </c>
      <c r="Y1406" t="s">
        <v>31</v>
      </c>
      <c r="Z1406" s="3">
        <f t="shared" si="90"/>
        <v>0.044117168086439</v>
      </c>
      <c r="AA1406">
        <f t="shared" si="92"/>
        <v>-0.084</v>
      </c>
      <c r="AB1406">
        <f t="shared" si="93"/>
        <v>0.474</v>
      </c>
      <c r="AC1406" t="s">
        <v>32</v>
      </c>
    </row>
    <row r="1407" spans="1:29">
      <c r="A1407" t="s">
        <v>108</v>
      </c>
      <c r="B1407">
        <v>3872</v>
      </c>
      <c r="C1407">
        <v>25.448</v>
      </c>
      <c r="D1407">
        <v>55.364</v>
      </c>
      <c r="E1407">
        <v>169.13</v>
      </c>
      <c r="F1407">
        <v>0.24</v>
      </c>
      <c r="G1407">
        <v>22.332</v>
      </c>
      <c r="H1407">
        <v>1.537</v>
      </c>
      <c r="I1407">
        <v>2.83</v>
      </c>
      <c r="J1407">
        <v>0.682</v>
      </c>
      <c r="K1407">
        <v>6.321</v>
      </c>
      <c r="L1407">
        <v>0.475</v>
      </c>
      <c r="M1407">
        <v>3.387</v>
      </c>
      <c r="N1407">
        <v>214.463</v>
      </c>
      <c r="O1407">
        <v>195.186</v>
      </c>
      <c r="P1407">
        <f t="shared" si="91"/>
        <v>2.33135237679167</v>
      </c>
      <c r="Q1407">
        <f t="shared" si="91"/>
        <v>2.29044866404382</v>
      </c>
      <c r="R1407">
        <v>71.873</v>
      </c>
      <c r="S1407">
        <v>79.836</v>
      </c>
      <c r="T1407">
        <v>87.258</v>
      </c>
      <c r="U1407">
        <v>3.683</v>
      </c>
      <c r="V1407">
        <v>44.862</v>
      </c>
      <c r="W1407">
        <v>0.01</v>
      </c>
      <c r="X1407" t="s">
        <v>92</v>
      </c>
      <c r="Y1407" t="s">
        <v>31</v>
      </c>
      <c r="Z1407" s="3">
        <f t="shared" si="90"/>
        <v>0.0409037127478569</v>
      </c>
      <c r="AA1407">
        <f t="shared" si="92"/>
        <v>-0.207</v>
      </c>
      <c r="AB1407">
        <f t="shared" si="93"/>
        <v>0.715</v>
      </c>
      <c r="AC1407" t="s">
        <v>32</v>
      </c>
    </row>
    <row r="1408" spans="1:29">
      <c r="A1408" t="s">
        <v>108</v>
      </c>
      <c r="B1408">
        <v>3872.125</v>
      </c>
      <c r="C1408">
        <v>24.873</v>
      </c>
      <c r="D1408">
        <v>55.352</v>
      </c>
      <c r="E1408">
        <v>169.845</v>
      </c>
      <c r="F1408">
        <v>0.251</v>
      </c>
      <c r="G1408">
        <v>22.276</v>
      </c>
      <c r="H1408">
        <v>1.575</v>
      </c>
      <c r="I1408">
        <v>2.826</v>
      </c>
      <c r="J1408">
        <v>0.67</v>
      </c>
      <c r="K1408">
        <v>6.667</v>
      </c>
      <c r="L1408">
        <v>0.502</v>
      </c>
      <c r="M1408">
        <v>3.383</v>
      </c>
      <c r="N1408">
        <v>184.314</v>
      </c>
      <c r="O1408">
        <v>167.747</v>
      </c>
      <c r="P1408">
        <f t="shared" si="91"/>
        <v>2.26555832432285</v>
      </c>
      <c r="Q1408">
        <f t="shared" si="91"/>
        <v>2.22465476195521</v>
      </c>
      <c r="R1408">
        <v>63.256</v>
      </c>
      <c r="S1408">
        <v>70.264</v>
      </c>
      <c r="T1408">
        <v>76.796</v>
      </c>
      <c r="U1408">
        <v>4.057</v>
      </c>
      <c r="V1408">
        <v>42.681</v>
      </c>
      <c r="W1408">
        <v>0.01</v>
      </c>
      <c r="X1408" t="s">
        <v>92</v>
      </c>
      <c r="Y1408" t="s">
        <v>31</v>
      </c>
      <c r="Z1408" s="3">
        <f t="shared" si="90"/>
        <v>0.0409035623676384</v>
      </c>
      <c r="AA1408">
        <f t="shared" si="92"/>
        <v>-0.168</v>
      </c>
      <c r="AB1408">
        <f t="shared" si="93"/>
        <v>0.753</v>
      </c>
      <c r="AC1408" t="s">
        <v>32</v>
      </c>
    </row>
    <row r="1409" spans="1:29">
      <c r="A1409" t="s">
        <v>108</v>
      </c>
      <c r="B1409">
        <v>3872.25</v>
      </c>
      <c r="C1409">
        <v>24.813</v>
      </c>
      <c r="D1409">
        <v>55.367</v>
      </c>
      <c r="E1409">
        <v>170.261</v>
      </c>
      <c r="F1409">
        <v>0.257</v>
      </c>
      <c r="G1409">
        <v>22.253</v>
      </c>
      <c r="H1409">
        <v>1.637</v>
      </c>
      <c r="I1409">
        <v>2.819</v>
      </c>
      <c r="J1409">
        <v>0.651</v>
      </c>
      <c r="K1409">
        <v>7.262</v>
      </c>
      <c r="L1409">
        <v>0.548</v>
      </c>
      <c r="M1409">
        <v>3.377</v>
      </c>
      <c r="N1409">
        <v>159.072</v>
      </c>
      <c r="O1409">
        <v>144.774</v>
      </c>
      <c r="P1409">
        <f t="shared" si="91"/>
        <v>2.20159374145891</v>
      </c>
      <c r="Q1409">
        <f t="shared" si="91"/>
        <v>2.16069057380585</v>
      </c>
      <c r="R1409">
        <v>56.754</v>
      </c>
      <c r="S1409">
        <v>63.042</v>
      </c>
      <c r="T1409">
        <v>68.902</v>
      </c>
      <c r="U1409">
        <v>4.293</v>
      </c>
      <c r="V1409">
        <v>43.686</v>
      </c>
      <c r="W1409">
        <v>0.012</v>
      </c>
      <c r="X1409" t="s">
        <v>92</v>
      </c>
      <c r="Y1409" t="s">
        <v>31</v>
      </c>
      <c r="Z1409" s="3">
        <f t="shared" si="90"/>
        <v>0.0409031676530573</v>
      </c>
      <c r="AA1409">
        <f t="shared" si="92"/>
        <v>-0.103</v>
      </c>
      <c r="AB1409">
        <f t="shared" si="93"/>
        <v>0.805</v>
      </c>
      <c r="AC1409" t="s">
        <v>32</v>
      </c>
    </row>
    <row r="1410" spans="1:29">
      <c r="A1410" t="s">
        <v>108</v>
      </c>
      <c r="B1410">
        <v>3872.375</v>
      </c>
      <c r="C1410">
        <v>25.192</v>
      </c>
      <c r="D1410">
        <v>55.406</v>
      </c>
      <c r="E1410">
        <v>170.38</v>
      </c>
      <c r="F1410">
        <v>0.259</v>
      </c>
      <c r="G1410">
        <v>22.25</v>
      </c>
      <c r="H1410">
        <v>1.732</v>
      </c>
      <c r="I1410">
        <v>2.81</v>
      </c>
      <c r="J1410">
        <v>0.626</v>
      </c>
      <c r="K1410">
        <v>7.82</v>
      </c>
      <c r="L1410">
        <v>0.591</v>
      </c>
      <c r="M1410">
        <v>3.365</v>
      </c>
      <c r="N1410">
        <v>139.727</v>
      </c>
      <c r="O1410">
        <v>127.168</v>
      </c>
      <c r="P1410">
        <f t="shared" si="91"/>
        <v>2.14528033466116</v>
      </c>
      <c r="Q1410">
        <f t="shared" si="91"/>
        <v>2.1043778410937</v>
      </c>
      <c r="R1410">
        <v>49.475</v>
      </c>
      <c r="S1410">
        <v>54.956</v>
      </c>
      <c r="T1410">
        <v>60.065</v>
      </c>
      <c r="U1410">
        <v>4.578</v>
      </c>
      <c r="V1410">
        <v>44.88</v>
      </c>
      <c r="W1410">
        <v>0.014</v>
      </c>
      <c r="X1410" t="s">
        <v>92</v>
      </c>
      <c r="Y1410" t="s">
        <v>31</v>
      </c>
      <c r="Z1410" s="3">
        <f t="shared" si="90"/>
        <v>0.0409024935674553</v>
      </c>
      <c r="AA1410">
        <f t="shared" si="92"/>
        <v>-0.035</v>
      </c>
      <c r="AB1410">
        <f t="shared" si="93"/>
        <v>0.85</v>
      </c>
      <c r="AC1410" t="s">
        <v>32</v>
      </c>
    </row>
    <row r="1411" spans="1:29">
      <c r="A1411" t="s">
        <v>108</v>
      </c>
      <c r="B1411">
        <v>3872.5</v>
      </c>
      <c r="C1411">
        <v>26.018</v>
      </c>
      <c r="D1411">
        <v>55.463</v>
      </c>
      <c r="E1411">
        <v>170.217</v>
      </c>
      <c r="F1411">
        <v>0.256</v>
      </c>
      <c r="G1411">
        <v>22.245</v>
      </c>
      <c r="H1411">
        <v>1.838</v>
      </c>
      <c r="I1411">
        <v>2.805</v>
      </c>
      <c r="J1411">
        <v>0.612</v>
      </c>
      <c r="K1411">
        <v>8.39</v>
      </c>
      <c r="L1411">
        <v>0.636</v>
      </c>
      <c r="M1411">
        <v>3.343</v>
      </c>
      <c r="N1411">
        <v>126.871</v>
      </c>
      <c r="O1411">
        <v>115.467</v>
      </c>
      <c r="P1411">
        <f t="shared" si="91"/>
        <v>2.10336236299867</v>
      </c>
      <c r="Q1411">
        <f t="shared" si="91"/>
        <v>2.06245788236079</v>
      </c>
      <c r="R1411">
        <v>39.628</v>
      </c>
      <c r="S1411">
        <v>44.018</v>
      </c>
      <c r="T1411">
        <v>48.11</v>
      </c>
      <c r="U1411">
        <v>4.736</v>
      </c>
      <c r="V1411">
        <v>45.58</v>
      </c>
      <c r="W1411">
        <v>0.016</v>
      </c>
      <c r="X1411" t="s">
        <v>92</v>
      </c>
      <c r="Y1411" t="s">
        <v>31</v>
      </c>
      <c r="Z1411" s="3">
        <f t="shared" si="90"/>
        <v>0.0409044806378751</v>
      </c>
      <c r="AA1411">
        <f t="shared" si="92"/>
        <v>0.024</v>
      </c>
      <c r="AB1411">
        <f t="shared" si="93"/>
        <v>0.892</v>
      </c>
      <c r="AC1411" t="s">
        <v>32</v>
      </c>
    </row>
    <row r="1412" spans="1:29">
      <c r="A1412" t="s">
        <v>108</v>
      </c>
      <c r="B1412">
        <v>3872.625</v>
      </c>
      <c r="C1412">
        <v>27.36</v>
      </c>
      <c r="D1412">
        <v>55.538</v>
      </c>
      <c r="E1412">
        <v>169.732</v>
      </c>
      <c r="F1412">
        <v>0.249</v>
      </c>
      <c r="G1412">
        <v>22.211</v>
      </c>
      <c r="H1412">
        <v>1.945</v>
      </c>
      <c r="I1412">
        <v>2.801</v>
      </c>
      <c r="J1412">
        <v>0.601</v>
      </c>
      <c r="K1412">
        <v>8.998</v>
      </c>
      <c r="L1412">
        <v>0.683</v>
      </c>
      <c r="M1412">
        <v>3.296</v>
      </c>
      <c r="N1412">
        <v>119.35</v>
      </c>
      <c r="O1412">
        <v>108.622</v>
      </c>
      <c r="P1412">
        <f t="shared" si="91"/>
        <v>2.07682242334277</v>
      </c>
      <c r="Q1412">
        <f t="shared" si="91"/>
        <v>2.03591779496708</v>
      </c>
      <c r="R1412">
        <v>35.683</v>
      </c>
      <c r="S1412">
        <v>39.637</v>
      </c>
      <c r="T1412">
        <v>43.321</v>
      </c>
      <c r="U1412">
        <v>4.965</v>
      </c>
      <c r="V1412">
        <v>45.24</v>
      </c>
      <c r="W1412">
        <v>0.019</v>
      </c>
      <c r="X1412" t="s">
        <v>92</v>
      </c>
      <c r="Y1412" t="s">
        <v>31</v>
      </c>
      <c r="Z1412" s="3">
        <f t="shared" si="90"/>
        <v>0.040904628375694</v>
      </c>
      <c r="AA1412">
        <f t="shared" si="92"/>
        <v>0.0820000000000001</v>
      </c>
      <c r="AB1412">
        <f t="shared" si="93"/>
        <v>0.932</v>
      </c>
      <c r="AC1412" t="s">
        <v>32</v>
      </c>
    </row>
    <row r="1413" spans="1:29">
      <c r="A1413" t="s">
        <v>108</v>
      </c>
      <c r="B1413">
        <v>3872.75</v>
      </c>
      <c r="C1413">
        <v>28.978</v>
      </c>
      <c r="D1413">
        <v>55.62</v>
      </c>
      <c r="E1413">
        <v>169.441</v>
      </c>
      <c r="F1413">
        <v>0.245</v>
      </c>
      <c r="G1413">
        <v>22.16</v>
      </c>
      <c r="H1413">
        <v>2.036</v>
      </c>
      <c r="I1413">
        <v>2.79</v>
      </c>
      <c r="J1413">
        <v>0.57</v>
      </c>
      <c r="K1413">
        <v>9.537</v>
      </c>
      <c r="L1413">
        <v>0.725</v>
      </c>
      <c r="M1413">
        <v>3.196</v>
      </c>
      <c r="N1413">
        <v>115.821</v>
      </c>
      <c r="O1413">
        <v>105.41</v>
      </c>
      <c r="P1413">
        <f t="shared" si="91"/>
        <v>2.06378731031767</v>
      </c>
      <c r="Q1413">
        <f t="shared" si="91"/>
        <v>2.02288181333203</v>
      </c>
      <c r="R1413">
        <v>32.669</v>
      </c>
      <c r="S1413">
        <v>36.288</v>
      </c>
      <c r="T1413">
        <v>39.661</v>
      </c>
      <c r="U1413">
        <v>5.219</v>
      </c>
      <c r="V1413">
        <v>43.214</v>
      </c>
      <c r="W1413">
        <v>0.025</v>
      </c>
      <c r="X1413" t="s">
        <v>92</v>
      </c>
      <c r="Y1413" t="s">
        <v>31</v>
      </c>
      <c r="Z1413" s="3">
        <f t="shared" si="90"/>
        <v>0.0409054969856411</v>
      </c>
      <c r="AA1413">
        <f t="shared" si="92"/>
        <v>0.155</v>
      </c>
      <c r="AB1413">
        <f t="shared" si="93"/>
        <v>0.97</v>
      </c>
      <c r="AC1413" t="s">
        <v>32</v>
      </c>
    </row>
    <row r="1414" spans="1:29">
      <c r="A1414" t="s">
        <v>108</v>
      </c>
      <c r="B1414">
        <v>3872.875</v>
      </c>
      <c r="C1414">
        <v>29.518</v>
      </c>
      <c r="D1414">
        <v>55.711</v>
      </c>
      <c r="E1414">
        <v>169.943</v>
      </c>
      <c r="F1414">
        <v>0.252</v>
      </c>
      <c r="G1414">
        <v>22.157</v>
      </c>
      <c r="H1414">
        <v>2.12</v>
      </c>
      <c r="I1414">
        <v>2.776</v>
      </c>
      <c r="J1414">
        <v>0.531</v>
      </c>
      <c r="K1414">
        <v>9.843</v>
      </c>
      <c r="L1414">
        <v>0.749</v>
      </c>
      <c r="M1414">
        <v>3.118</v>
      </c>
      <c r="N1414">
        <v>113.565</v>
      </c>
      <c r="O1414">
        <v>103.357</v>
      </c>
      <c r="P1414">
        <f t="shared" si="91"/>
        <v>2.05524450523993</v>
      </c>
      <c r="Q1414">
        <f t="shared" si="91"/>
        <v>2.01433989517158</v>
      </c>
      <c r="R1414">
        <v>32.531</v>
      </c>
      <c r="S1414">
        <v>36.135</v>
      </c>
      <c r="T1414">
        <v>39.494</v>
      </c>
      <c r="U1414">
        <v>5.707</v>
      </c>
      <c r="V1414">
        <v>38.94</v>
      </c>
      <c r="W1414">
        <v>0.036</v>
      </c>
      <c r="X1414" t="s">
        <v>92</v>
      </c>
      <c r="Y1414" t="s">
        <v>31</v>
      </c>
      <c r="Z1414" s="3">
        <f t="shared" si="90"/>
        <v>0.0409046100683499</v>
      </c>
      <c r="AA1414">
        <f t="shared" si="92"/>
        <v>0.218</v>
      </c>
      <c r="AB1414">
        <f t="shared" si="93"/>
        <v>1.001</v>
      </c>
      <c r="AC1414" t="s">
        <v>32</v>
      </c>
    </row>
    <row r="1415" spans="1:29">
      <c r="A1415" t="s">
        <v>108</v>
      </c>
      <c r="B1415">
        <v>3873</v>
      </c>
      <c r="C1415">
        <v>29.089</v>
      </c>
      <c r="D1415">
        <v>55.826</v>
      </c>
      <c r="E1415">
        <v>171.517</v>
      </c>
      <c r="F1415">
        <v>0.276</v>
      </c>
      <c r="G1415">
        <v>22.202</v>
      </c>
      <c r="H1415">
        <v>2.17</v>
      </c>
      <c r="I1415">
        <v>2.756</v>
      </c>
      <c r="J1415">
        <v>0.475</v>
      </c>
      <c r="K1415">
        <v>9.895</v>
      </c>
      <c r="L1415">
        <v>0.753</v>
      </c>
      <c r="M1415">
        <v>3.02</v>
      </c>
      <c r="N1415">
        <v>110.384</v>
      </c>
      <c r="O1415">
        <v>100.462</v>
      </c>
      <c r="P1415">
        <f t="shared" si="91"/>
        <v>2.04290612760252</v>
      </c>
      <c r="Q1415">
        <f t="shared" si="91"/>
        <v>2.00200181985496</v>
      </c>
      <c r="R1415">
        <v>33.322</v>
      </c>
      <c r="S1415">
        <v>37.013</v>
      </c>
      <c r="T1415">
        <v>40.454</v>
      </c>
      <c r="U1415">
        <v>5.949</v>
      </c>
      <c r="V1415">
        <v>36.591</v>
      </c>
      <c r="W1415">
        <v>0.043</v>
      </c>
      <c r="X1415" t="s">
        <v>92</v>
      </c>
      <c r="Y1415" t="s">
        <v>31</v>
      </c>
      <c r="Z1415" s="3">
        <f t="shared" si="90"/>
        <v>0.0409043077475557</v>
      </c>
      <c r="AA1415">
        <f t="shared" si="92"/>
        <v>0.278</v>
      </c>
      <c r="AB1415">
        <f t="shared" si="93"/>
        <v>1.029</v>
      </c>
      <c r="AC1415" t="s">
        <v>32</v>
      </c>
    </row>
    <row r="1416" spans="1:29">
      <c r="A1416" t="s">
        <v>108</v>
      </c>
      <c r="B1416">
        <v>3873.125</v>
      </c>
      <c r="C1416">
        <v>28.339</v>
      </c>
      <c r="D1416">
        <v>55.954</v>
      </c>
      <c r="E1416">
        <v>173.465</v>
      </c>
      <c r="F1416">
        <v>0.305</v>
      </c>
      <c r="G1416">
        <v>22.259</v>
      </c>
      <c r="H1416">
        <v>2.166</v>
      </c>
      <c r="I1416">
        <v>2.739</v>
      </c>
      <c r="J1416">
        <v>0.427</v>
      </c>
      <c r="K1416">
        <v>9.787</v>
      </c>
      <c r="L1416">
        <v>0.745</v>
      </c>
      <c r="M1416">
        <v>2.926</v>
      </c>
      <c r="N1416">
        <v>106.092</v>
      </c>
      <c r="O1416">
        <v>96.556</v>
      </c>
      <c r="P1416">
        <f t="shared" si="91"/>
        <v>2.02568263661721</v>
      </c>
      <c r="Q1416">
        <f t="shared" si="91"/>
        <v>1.98477926605874</v>
      </c>
      <c r="R1416">
        <v>34.491</v>
      </c>
      <c r="S1416">
        <v>38.312</v>
      </c>
      <c r="T1416">
        <v>41.874</v>
      </c>
      <c r="U1416">
        <v>5.831</v>
      </c>
      <c r="V1416">
        <v>36.79</v>
      </c>
      <c r="W1416">
        <v>0.04</v>
      </c>
      <c r="X1416" t="s">
        <v>92</v>
      </c>
      <c r="Y1416" t="s">
        <v>31</v>
      </c>
      <c r="Z1416" s="3">
        <f t="shared" si="90"/>
        <v>0.0409033705584698</v>
      </c>
      <c r="AA1416">
        <f t="shared" si="92"/>
        <v>0.318</v>
      </c>
      <c r="AB1416">
        <f t="shared" si="93"/>
        <v>1.05</v>
      </c>
      <c r="AC1416" t="s">
        <v>32</v>
      </c>
    </row>
    <row r="1417" spans="1:29">
      <c r="A1417" t="s">
        <v>108</v>
      </c>
      <c r="B1417">
        <v>3873.25</v>
      </c>
      <c r="C1417">
        <v>28.23</v>
      </c>
      <c r="D1417">
        <v>56.092</v>
      </c>
      <c r="E1417">
        <v>174.867</v>
      </c>
      <c r="F1417">
        <v>0.327</v>
      </c>
      <c r="G1417">
        <v>22.286</v>
      </c>
      <c r="H1417">
        <v>2.141</v>
      </c>
      <c r="I1417">
        <v>2.732</v>
      </c>
      <c r="J1417">
        <v>0.408</v>
      </c>
      <c r="K1417">
        <v>9.698</v>
      </c>
      <c r="L1417">
        <v>0.738</v>
      </c>
      <c r="M1417">
        <v>2.857</v>
      </c>
      <c r="N1417">
        <v>101.414</v>
      </c>
      <c r="O1417">
        <v>92.299</v>
      </c>
      <c r="P1417">
        <f t="shared" si="91"/>
        <v>2.00609791262111</v>
      </c>
      <c r="Q1417">
        <f t="shared" si="91"/>
        <v>1.96519699575143</v>
      </c>
      <c r="R1417">
        <v>35.661</v>
      </c>
      <c r="S1417">
        <v>39.612</v>
      </c>
      <c r="T1417">
        <v>43.295</v>
      </c>
      <c r="U1417">
        <v>5.466</v>
      </c>
      <c r="V1417">
        <v>38.507</v>
      </c>
      <c r="W1417">
        <v>0.03</v>
      </c>
      <c r="X1417" t="s">
        <v>92</v>
      </c>
      <c r="Y1417" t="s">
        <v>31</v>
      </c>
      <c r="Z1417" s="3">
        <f t="shared" si="90"/>
        <v>0.0409009168696817</v>
      </c>
      <c r="AA1417">
        <f t="shared" si="92"/>
        <v>0.33</v>
      </c>
      <c r="AB1417">
        <f t="shared" si="93"/>
        <v>1.065</v>
      </c>
      <c r="AC1417" t="s">
        <v>32</v>
      </c>
    </row>
    <row r="1418" spans="1:29">
      <c r="A1418" t="s">
        <v>108</v>
      </c>
      <c r="B1418">
        <v>3873.375</v>
      </c>
      <c r="C1418">
        <v>28.996</v>
      </c>
      <c r="D1418">
        <v>56.256</v>
      </c>
      <c r="E1418">
        <v>175.117</v>
      </c>
      <c r="F1418">
        <v>0.33</v>
      </c>
      <c r="G1418">
        <v>22.288</v>
      </c>
      <c r="H1418">
        <v>2.121</v>
      </c>
      <c r="I1418">
        <v>2.729</v>
      </c>
      <c r="J1418">
        <v>0.399</v>
      </c>
      <c r="K1418">
        <v>9.704</v>
      </c>
      <c r="L1418">
        <v>0.738</v>
      </c>
      <c r="M1418">
        <v>2.792</v>
      </c>
      <c r="N1418">
        <v>97.112</v>
      </c>
      <c r="O1418">
        <v>88.383</v>
      </c>
      <c r="P1418">
        <f t="shared" si="91"/>
        <v>1.98727289841242</v>
      </c>
      <c r="Q1418">
        <f t="shared" si="91"/>
        <v>1.94636873881185</v>
      </c>
      <c r="R1418">
        <v>36.945</v>
      </c>
      <c r="S1418">
        <v>41.038</v>
      </c>
      <c r="T1418">
        <v>44.853</v>
      </c>
      <c r="U1418">
        <v>5.574</v>
      </c>
      <c r="V1418">
        <v>36.537</v>
      </c>
      <c r="W1418">
        <v>0.033</v>
      </c>
      <c r="X1418" t="s">
        <v>92</v>
      </c>
      <c r="Y1418" t="s">
        <v>31</v>
      </c>
      <c r="Z1418" s="3">
        <f t="shared" si="90"/>
        <v>0.0409041596005639</v>
      </c>
      <c r="AA1418">
        <f t="shared" si="92"/>
        <v>0.339</v>
      </c>
      <c r="AB1418">
        <f t="shared" si="93"/>
        <v>1.068</v>
      </c>
      <c r="AC1418" t="s">
        <v>32</v>
      </c>
    </row>
    <row r="1419" spans="1:29">
      <c r="A1419" t="s">
        <v>108</v>
      </c>
      <c r="B1419">
        <v>3873.5</v>
      </c>
      <c r="C1419">
        <v>30.099</v>
      </c>
      <c r="D1419">
        <v>56.435</v>
      </c>
      <c r="E1419">
        <v>174.453</v>
      </c>
      <c r="F1419">
        <v>0.32</v>
      </c>
      <c r="G1419">
        <v>22.297</v>
      </c>
      <c r="H1419">
        <v>2.106</v>
      </c>
      <c r="I1419">
        <v>2.725</v>
      </c>
      <c r="J1419">
        <v>0.388</v>
      </c>
      <c r="K1419">
        <v>9.805</v>
      </c>
      <c r="L1419">
        <v>0.746</v>
      </c>
      <c r="M1419">
        <v>2.731</v>
      </c>
      <c r="N1419">
        <v>94.114</v>
      </c>
      <c r="O1419">
        <v>85.655</v>
      </c>
      <c r="P1419">
        <f t="shared" si="91"/>
        <v>1.97365423204041</v>
      </c>
      <c r="Q1419">
        <f t="shared" si="91"/>
        <v>1.93275271942097</v>
      </c>
      <c r="R1419">
        <v>38.861</v>
      </c>
      <c r="S1419">
        <v>43.167</v>
      </c>
      <c r="T1419">
        <v>47.179</v>
      </c>
      <c r="U1419">
        <v>5.772</v>
      </c>
      <c r="V1419">
        <v>33.796</v>
      </c>
      <c r="W1419">
        <v>0.038</v>
      </c>
      <c r="X1419" t="s">
        <v>92</v>
      </c>
      <c r="Y1419" t="s">
        <v>31</v>
      </c>
      <c r="Z1419" s="3">
        <f t="shared" si="90"/>
        <v>0.0409015126194414</v>
      </c>
      <c r="AA1419">
        <f t="shared" si="92"/>
        <v>0.358</v>
      </c>
      <c r="AB1419">
        <f t="shared" si="93"/>
        <v>1.066</v>
      </c>
      <c r="AC1419" t="s">
        <v>32</v>
      </c>
    </row>
    <row r="1420" spans="1:29">
      <c r="A1420" t="s">
        <v>108</v>
      </c>
      <c r="B1420">
        <v>3873.625</v>
      </c>
      <c r="C1420">
        <v>30.745</v>
      </c>
      <c r="D1420">
        <v>56.63</v>
      </c>
      <c r="E1420">
        <v>173.434</v>
      </c>
      <c r="F1420">
        <v>0.305</v>
      </c>
      <c r="G1420">
        <v>22.346</v>
      </c>
      <c r="H1420">
        <v>2.087</v>
      </c>
      <c r="I1420">
        <v>2.72</v>
      </c>
      <c r="J1420">
        <v>0.374</v>
      </c>
      <c r="K1420">
        <v>9.982</v>
      </c>
      <c r="L1420">
        <v>0.76</v>
      </c>
      <c r="M1420">
        <v>2.694</v>
      </c>
      <c r="N1420">
        <v>92.112</v>
      </c>
      <c r="O1420">
        <v>83.833</v>
      </c>
      <c r="P1420">
        <f t="shared" si="91"/>
        <v>1.96431621211106</v>
      </c>
      <c r="Q1420">
        <f t="shared" si="91"/>
        <v>1.92341500785183</v>
      </c>
      <c r="R1420">
        <v>42.038</v>
      </c>
      <c r="S1420">
        <v>46.696</v>
      </c>
      <c r="T1420">
        <v>51.036</v>
      </c>
      <c r="U1420">
        <v>5.708</v>
      </c>
      <c r="V1420">
        <v>31.952</v>
      </c>
      <c r="W1420">
        <v>0.036</v>
      </c>
      <c r="X1420" t="s">
        <v>92</v>
      </c>
      <c r="Y1420" t="s">
        <v>31</v>
      </c>
      <c r="Z1420" s="3">
        <f t="shared" si="90"/>
        <v>0.0409012042592334</v>
      </c>
      <c r="AA1420">
        <f t="shared" si="92"/>
        <v>0.386</v>
      </c>
      <c r="AB1420">
        <f t="shared" si="93"/>
        <v>1.065</v>
      </c>
      <c r="AC1420" t="s">
        <v>32</v>
      </c>
    </row>
    <row r="1421" spans="1:29">
      <c r="A1421" t="s">
        <v>108</v>
      </c>
      <c r="B1421">
        <v>3873.75</v>
      </c>
      <c r="C1421">
        <v>30.728</v>
      </c>
      <c r="D1421">
        <v>56.839</v>
      </c>
      <c r="E1421">
        <v>172.513</v>
      </c>
      <c r="F1421">
        <v>0.291</v>
      </c>
      <c r="G1421">
        <v>22.426</v>
      </c>
      <c r="H1421">
        <v>2.068</v>
      </c>
      <c r="I1421">
        <v>2.712</v>
      </c>
      <c r="J1421">
        <v>0.352</v>
      </c>
      <c r="K1421">
        <v>10.192</v>
      </c>
      <c r="L1421">
        <v>0.776</v>
      </c>
      <c r="M1421">
        <v>2.671</v>
      </c>
      <c r="N1421">
        <v>90.735</v>
      </c>
      <c r="O1421">
        <v>82.579</v>
      </c>
      <c r="P1421">
        <f t="shared" si="91"/>
        <v>1.95777484356303</v>
      </c>
      <c r="Q1421">
        <f t="shared" si="91"/>
        <v>1.91686961943101</v>
      </c>
      <c r="R1421">
        <v>48.084</v>
      </c>
      <c r="S1421">
        <v>53.411</v>
      </c>
      <c r="T1421">
        <v>58.376</v>
      </c>
      <c r="U1421">
        <v>5.688</v>
      </c>
      <c r="V1421">
        <v>29.313</v>
      </c>
      <c r="W1421">
        <v>0.035</v>
      </c>
      <c r="X1421" t="s">
        <v>92</v>
      </c>
      <c r="Y1421" t="s">
        <v>31</v>
      </c>
      <c r="Z1421" s="3">
        <f t="shared" si="90"/>
        <v>0.0409052241320196</v>
      </c>
      <c r="AA1421">
        <f t="shared" si="92"/>
        <v>0.424</v>
      </c>
      <c r="AB1421">
        <f t="shared" si="93"/>
        <v>1.067</v>
      </c>
      <c r="AC1421" t="s">
        <v>32</v>
      </c>
    </row>
    <row r="1422" spans="1:29">
      <c r="A1422" t="s">
        <v>108</v>
      </c>
      <c r="B1422">
        <v>3873.875</v>
      </c>
      <c r="C1422">
        <v>30.178</v>
      </c>
      <c r="D1422">
        <v>57.062</v>
      </c>
      <c r="E1422">
        <v>172.103</v>
      </c>
      <c r="F1422">
        <v>0.285</v>
      </c>
      <c r="G1422">
        <v>22.523</v>
      </c>
      <c r="H1422">
        <v>2.054</v>
      </c>
      <c r="I1422">
        <v>2.703</v>
      </c>
      <c r="J1422">
        <v>0.327</v>
      </c>
      <c r="K1422">
        <v>10.411</v>
      </c>
      <c r="L1422">
        <v>0.793</v>
      </c>
      <c r="M1422">
        <v>2.652</v>
      </c>
      <c r="N1422">
        <v>89.53</v>
      </c>
      <c r="O1422">
        <v>81.483</v>
      </c>
      <c r="P1422">
        <f t="shared" si="91"/>
        <v>1.95196858449291</v>
      </c>
      <c r="Q1422">
        <f t="shared" si="91"/>
        <v>1.91106701025769</v>
      </c>
      <c r="R1422">
        <v>58.286</v>
      </c>
      <c r="S1422">
        <v>64.744</v>
      </c>
      <c r="T1422">
        <v>70.762</v>
      </c>
      <c r="U1422">
        <v>5.751</v>
      </c>
      <c r="V1422">
        <v>27.199</v>
      </c>
      <c r="W1422">
        <v>0.037</v>
      </c>
      <c r="X1422" t="s">
        <v>92</v>
      </c>
      <c r="Y1422" t="s">
        <v>31</v>
      </c>
      <c r="Z1422" s="3">
        <f t="shared" si="90"/>
        <v>0.040901574235219</v>
      </c>
      <c r="AA1422">
        <f t="shared" si="92"/>
        <v>0.466</v>
      </c>
      <c r="AB1422">
        <f t="shared" si="93"/>
        <v>1.078</v>
      </c>
      <c r="AC1422" t="s">
        <v>32</v>
      </c>
    </row>
    <row r="1423" spans="1:29">
      <c r="A1423" t="s">
        <v>108</v>
      </c>
      <c r="B1423">
        <v>3874</v>
      </c>
      <c r="C1423">
        <v>29.603</v>
      </c>
      <c r="D1423">
        <v>57.297</v>
      </c>
      <c r="E1423">
        <v>172.456</v>
      </c>
      <c r="F1423">
        <v>0.29</v>
      </c>
      <c r="G1423">
        <v>22.626</v>
      </c>
      <c r="H1423">
        <v>2.047</v>
      </c>
      <c r="I1423">
        <v>2.698</v>
      </c>
      <c r="J1423">
        <v>0.313</v>
      </c>
      <c r="K1423">
        <v>10.601</v>
      </c>
      <c r="L1423">
        <v>0.808</v>
      </c>
      <c r="M1423">
        <v>2.636</v>
      </c>
      <c r="N1423">
        <v>88.682</v>
      </c>
      <c r="O1423">
        <v>80.711</v>
      </c>
      <c r="P1423">
        <f t="shared" si="91"/>
        <v>1.94783547897526</v>
      </c>
      <c r="Q1423">
        <f t="shared" si="91"/>
        <v>1.90693272820093</v>
      </c>
      <c r="R1423">
        <v>67.613</v>
      </c>
      <c r="S1423">
        <v>75.103</v>
      </c>
      <c r="T1423">
        <v>82.085</v>
      </c>
      <c r="U1423">
        <v>5.8</v>
      </c>
      <c r="V1423">
        <v>24.713</v>
      </c>
      <c r="W1423">
        <v>0.038</v>
      </c>
      <c r="X1423" t="s">
        <v>92</v>
      </c>
      <c r="Y1423" t="s">
        <v>31</v>
      </c>
      <c r="Z1423" s="3">
        <f t="shared" si="90"/>
        <v>0.0409027507743247</v>
      </c>
      <c r="AA1423">
        <f t="shared" si="92"/>
        <v>0.495</v>
      </c>
      <c r="AB1423">
        <f t="shared" si="93"/>
        <v>1.098</v>
      </c>
      <c r="AC1423" t="s">
        <v>32</v>
      </c>
    </row>
    <row r="1424" spans="1:29">
      <c r="A1424" t="s">
        <v>109</v>
      </c>
      <c r="B1424">
        <v>3713</v>
      </c>
      <c r="C1424">
        <v>20.136</v>
      </c>
      <c r="D1424">
        <v>82.988</v>
      </c>
      <c r="E1424">
        <v>168.746</v>
      </c>
      <c r="F1424">
        <v>0.171</v>
      </c>
      <c r="G1424">
        <v>23.046</v>
      </c>
      <c r="H1424">
        <v>2.028</v>
      </c>
      <c r="I1424">
        <v>2.749</v>
      </c>
      <c r="J1424">
        <v>0.692</v>
      </c>
      <c r="K1424">
        <v>6.06</v>
      </c>
      <c r="L1424">
        <v>0.292</v>
      </c>
      <c r="M1424">
        <v>2.29</v>
      </c>
      <c r="N1424">
        <v>116.121</v>
      </c>
      <c r="O1424">
        <v>106.832</v>
      </c>
      <c r="P1424">
        <f t="shared" si="91"/>
        <v>2.06491076719246</v>
      </c>
      <c r="Q1424">
        <f t="shared" si="91"/>
        <v>2.02870135888941</v>
      </c>
      <c r="R1424">
        <v>69.153</v>
      </c>
      <c r="S1424">
        <v>75.166</v>
      </c>
      <c r="T1424">
        <v>81.702</v>
      </c>
      <c r="U1424">
        <v>3.899</v>
      </c>
      <c r="V1424">
        <v>70.972</v>
      </c>
      <c r="W1424">
        <v>0.013</v>
      </c>
      <c r="X1424" t="s">
        <v>92</v>
      </c>
      <c r="Y1424" t="s">
        <v>31</v>
      </c>
      <c r="Z1424" s="3">
        <f t="shared" si="90"/>
        <v>0.0362094083030557</v>
      </c>
      <c r="AA1424">
        <f t="shared" si="92"/>
        <v>-0.4</v>
      </c>
      <c r="AB1424">
        <f t="shared" si="93"/>
        <v>0.463</v>
      </c>
      <c r="AC1424" t="s">
        <v>32</v>
      </c>
    </row>
    <row r="1425" spans="1:29">
      <c r="A1425" t="s">
        <v>109</v>
      </c>
      <c r="B1425">
        <v>3713.125</v>
      </c>
      <c r="C1425">
        <v>20.406</v>
      </c>
      <c r="D1425">
        <v>82.887</v>
      </c>
      <c r="E1425">
        <v>170.773</v>
      </c>
      <c r="F1425">
        <v>0.195</v>
      </c>
      <c r="G1425">
        <v>22.964</v>
      </c>
      <c r="H1425">
        <v>2.199</v>
      </c>
      <c r="I1425">
        <v>2.748</v>
      </c>
      <c r="J1425">
        <v>0.689</v>
      </c>
      <c r="K1425">
        <v>6.146</v>
      </c>
      <c r="L1425">
        <v>0.297</v>
      </c>
      <c r="M1425">
        <v>2.263</v>
      </c>
      <c r="N1425">
        <v>108.435</v>
      </c>
      <c r="O1425">
        <v>99.76</v>
      </c>
      <c r="P1425">
        <f t="shared" si="91"/>
        <v>2.03516948380265</v>
      </c>
      <c r="Q1425">
        <f t="shared" si="91"/>
        <v>1.99895644047049</v>
      </c>
      <c r="R1425">
        <v>63.169</v>
      </c>
      <c r="S1425">
        <v>68.662</v>
      </c>
      <c r="T1425">
        <v>74.633</v>
      </c>
      <c r="U1425">
        <v>3.957</v>
      </c>
      <c r="V1425">
        <v>71.964</v>
      </c>
      <c r="W1425">
        <v>0.014</v>
      </c>
      <c r="X1425" t="s">
        <v>92</v>
      </c>
      <c r="Y1425" t="s">
        <v>31</v>
      </c>
      <c r="Z1425" s="3">
        <f t="shared" si="90"/>
        <v>0.0362130433321644</v>
      </c>
      <c r="AA1425">
        <f t="shared" si="92"/>
        <v>-0.392</v>
      </c>
      <c r="AB1425">
        <f t="shared" si="93"/>
        <v>0.492</v>
      </c>
      <c r="AC1425" t="s">
        <v>32</v>
      </c>
    </row>
    <row r="1426" spans="1:29">
      <c r="A1426" t="s">
        <v>109</v>
      </c>
      <c r="B1426">
        <v>3713.25</v>
      </c>
      <c r="C1426">
        <v>20.187</v>
      </c>
      <c r="D1426">
        <v>82.78</v>
      </c>
      <c r="E1426">
        <v>173.767</v>
      </c>
      <c r="F1426">
        <v>0.231</v>
      </c>
      <c r="G1426">
        <v>22.794</v>
      </c>
      <c r="H1426">
        <v>2.274</v>
      </c>
      <c r="I1426">
        <v>2.748</v>
      </c>
      <c r="J1426">
        <v>0.689</v>
      </c>
      <c r="K1426">
        <v>6.451</v>
      </c>
      <c r="L1426">
        <v>0.313</v>
      </c>
      <c r="M1426">
        <v>2.27</v>
      </c>
      <c r="N1426">
        <v>103.748</v>
      </c>
      <c r="O1426">
        <v>95.448</v>
      </c>
      <c r="P1426">
        <f t="shared" si="91"/>
        <v>2.01597973336162</v>
      </c>
      <c r="Q1426">
        <f t="shared" si="91"/>
        <v>1.97976683269759</v>
      </c>
      <c r="R1426">
        <v>69.272</v>
      </c>
      <c r="S1426">
        <v>75.296</v>
      </c>
      <c r="T1426">
        <v>81.843</v>
      </c>
      <c r="U1426">
        <v>4.237</v>
      </c>
      <c r="V1426">
        <v>68.01</v>
      </c>
      <c r="W1426">
        <v>0.018</v>
      </c>
      <c r="X1426" t="s">
        <v>92</v>
      </c>
      <c r="Y1426" t="s">
        <v>31</v>
      </c>
      <c r="Z1426" s="3">
        <f t="shared" si="90"/>
        <v>0.0362129006640297</v>
      </c>
      <c r="AA1426">
        <f t="shared" si="92"/>
        <v>-0.376</v>
      </c>
      <c r="AB1426">
        <f t="shared" si="93"/>
        <v>0.544</v>
      </c>
      <c r="AC1426" t="s">
        <v>32</v>
      </c>
    </row>
    <row r="1427" spans="1:29">
      <c r="A1427" t="s">
        <v>109</v>
      </c>
      <c r="B1427">
        <v>3713.375</v>
      </c>
      <c r="C1427">
        <v>20.074</v>
      </c>
      <c r="D1427">
        <v>82.617</v>
      </c>
      <c r="E1427">
        <v>176.258</v>
      </c>
      <c r="F1427">
        <v>0.261</v>
      </c>
      <c r="G1427">
        <v>22.708</v>
      </c>
      <c r="H1427">
        <v>2.266</v>
      </c>
      <c r="I1427">
        <v>2.75</v>
      </c>
      <c r="J1427">
        <v>0.695</v>
      </c>
      <c r="K1427">
        <v>6.778</v>
      </c>
      <c r="L1427">
        <v>0.331</v>
      </c>
      <c r="M1427">
        <v>2.306</v>
      </c>
      <c r="N1427">
        <v>102.584</v>
      </c>
      <c r="O1427">
        <v>94.378</v>
      </c>
      <c r="P1427">
        <f t="shared" si="91"/>
        <v>2.01107962925946</v>
      </c>
      <c r="Q1427">
        <f t="shared" si="91"/>
        <v>1.97487076980533</v>
      </c>
      <c r="R1427">
        <v>74.779</v>
      </c>
      <c r="S1427">
        <v>81.282</v>
      </c>
      <c r="T1427">
        <v>88.35</v>
      </c>
      <c r="U1427">
        <v>4.509</v>
      </c>
      <c r="V1427">
        <v>63.787</v>
      </c>
      <c r="W1427">
        <v>0.024</v>
      </c>
      <c r="X1427" t="s">
        <v>92</v>
      </c>
      <c r="Y1427" t="s">
        <v>31</v>
      </c>
      <c r="Z1427" s="3">
        <f t="shared" si="90"/>
        <v>0.0362088594541257</v>
      </c>
      <c r="AA1427">
        <f t="shared" si="92"/>
        <v>-0.364</v>
      </c>
      <c r="AB1427">
        <f t="shared" si="93"/>
        <v>0.592</v>
      </c>
      <c r="AC1427" t="s">
        <v>32</v>
      </c>
    </row>
    <row r="1428" spans="1:29">
      <c r="A1428" t="s">
        <v>109</v>
      </c>
      <c r="B1428">
        <v>3713.5</v>
      </c>
      <c r="C1428">
        <v>20.598</v>
      </c>
      <c r="D1428">
        <v>82.443</v>
      </c>
      <c r="E1428">
        <v>176.977</v>
      </c>
      <c r="F1428">
        <v>0.269</v>
      </c>
      <c r="G1428">
        <v>22.742</v>
      </c>
      <c r="H1428">
        <v>2.171</v>
      </c>
      <c r="I1428">
        <v>2.754</v>
      </c>
      <c r="J1428">
        <v>0.708</v>
      </c>
      <c r="K1428">
        <v>7.051</v>
      </c>
      <c r="L1428">
        <v>0.345</v>
      </c>
      <c r="M1428">
        <v>2.363</v>
      </c>
      <c r="N1428">
        <v>104.809</v>
      </c>
      <c r="O1428">
        <v>96.424</v>
      </c>
      <c r="P1428">
        <f t="shared" si="91"/>
        <v>2.02039857732818</v>
      </c>
      <c r="Q1428">
        <f t="shared" si="91"/>
        <v>1.98418514355328</v>
      </c>
      <c r="R1428">
        <v>77.451</v>
      </c>
      <c r="S1428">
        <v>84.186</v>
      </c>
      <c r="T1428">
        <v>91.507</v>
      </c>
      <c r="U1428">
        <v>4.658</v>
      </c>
      <c r="V1428">
        <v>60.945</v>
      </c>
      <c r="W1428">
        <v>0.028</v>
      </c>
      <c r="X1428" t="s">
        <v>92</v>
      </c>
      <c r="Y1428" t="s">
        <v>31</v>
      </c>
      <c r="Z1428" s="3">
        <f t="shared" si="90"/>
        <v>0.0362134337748961</v>
      </c>
      <c r="AA1428">
        <f t="shared" si="92"/>
        <v>-0.363</v>
      </c>
      <c r="AB1428">
        <f t="shared" si="93"/>
        <v>0.614</v>
      </c>
      <c r="AC1428" t="s">
        <v>32</v>
      </c>
    </row>
    <row r="1429" spans="1:29">
      <c r="A1429" t="s">
        <v>109</v>
      </c>
      <c r="B1429">
        <v>3713.625</v>
      </c>
      <c r="C1429">
        <v>21.277</v>
      </c>
      <c r="D1429">
        <v>82.266</v>
      </c>
      <c r="E1429">
        <v>175.426</v>
      </c>
      <c r="F1429">
        <v>0.251</v>
      </c>
      <c r="G1429">
        <v>22.785</v>
      </c>
      <c r="H1429">
        <v>1.982</v>
      </c>
      <c r="I1429">
        <v>2.762</v>
      </c>
      <c r="J1429">
        <v>0.734</v>
      </c>
      <c r="K1429">
        <v>7.392</v>
      </c>
      <c r="L1429">
        <v>0.363</v>
      </c>
      <c r="M1429">
        <v>2.427</v>
      </c>
      <c r="N1429">
        <v>110.013</v>
      </c>
      <c r="O1429">
        <v>101.212</v>
      </c>
      <c r="P1429">
        <f t="shared" si="91"/>
        <v>2.04144400783708</v>
      </c>
      <c r="Q1429">
        <f t="shared" si="91"/>
        <v>2.00523200682021</v>
      </c>
      <c r="R1429">
        <v>74.333</v>
      </c>
      <c r="S1429">
        <v>80.796</v>
      </c>
      <c r="T1429">
        <v>87.822</v>
      </c>
      <c r="U1429">
        <v>4.816</v>
      </c>
      <c r="V1429">
        <v>57.489</v>
      </c>
      <c r="W1429">
        <v>0.032</v>
      </c>
      <c r="X1429" t="s">
        <v>92</v>
      </c>
      <c r="Y1429" t="s">
        <v>31</v>
      </c>
      <c r="Z1429" s="3">
        <f t="shared" si="90"/>
        <v>0.0362120010168652</v>
      </c>
      <c r="AA1429">
        <f t="shared" si="92"/>
        <v>-0.371</v>
      </c>
      <c r="AB1429">
        <f t="shared" si="93"/>
        <v>0.614</v>
      </c>
      <c r="AC1429" t="s">
        <v>32</v>
      </c>
    </row>
    <row r="1430" spans="1:29">
      <c r="A1430" t="s">
        <v>109</v>
      </c>
      <c r="B1430">
        <v>3713.75</v>
      </c>
      <c r="C1430">
        <v>21.282</v>
      </c>
      <c r="D1430">
        <v>82.112</v>
      </c>
      <c r="E1430">
        <v>172.334</v>
      </c>
      <c r="F1430">
        <v>0.214</v>
      </c>
      <c r="G1430">
        <v>22.724</v>
      </c>
      <c r="H1430">
        <v>1.791</v>
      </c>
      <c r="I1430">
        <v>2.773</v>
      </c>
      <c r="J1430">
        <v>0.77</v>
      </c>
      <c r="K1430">
        <v>7.431</v>
      </c>
      <c r="L1430">
        <v>0.365</v>
      </c>
      <c r="M1430">
        <v>2.484</v>
      </c>
      <c r="N1430">
        <v>117.056</v>
      </c>
      <c r="O1430">
        <v>107.692</v>
      </c>
      <c r="P1430">
        <f t="shared" si="91"/>
        <v>2.0683936794603</v>
      </c>
      <c r="Q1430">
        <f t="shared" si="91"/>
        <v>2.03218344252825</v>
      </c>
      <c r="R1430">
        <v>71.249</v>
      </c>
      <c r="S1430">
        <v>77.444</v>
      </c>
      <c r="T1430">
        <v>84.179</v>
      </c>
      <c r="U1430">
        <v>4.761</v>
      </c>
      <c r="V1430">
        <v>56.66</v>
      </c>
      <c r="W1430">
        <v>0.031</v>
      </c>
      <c r="X1430" t="s">
        <v>92</v>
      </c>
      <c r="Y1430" t="s">
        <v>31</v>
      </c>
      <c r="Z1430" s="3">
        <f t="shared" si="90"/>
        <v>0.0362102369320523</v>
      </c>
      <c r="AA1430">
        <f t="shared" si="92"/>
        <v>-0.405</v>
      </c>
      <c r="AB1430">
        <f t="shared" si="93"/>
        <v>0.579</v>
      </c>
      <c r="AC1430" t="s">
        <v>32</v>
      </c>
    </row>
    <row r="1431" spans="1:29">
      <c r="A1431" t="s">
        <v>109</v>
      </c>
      <c r="B1431">
        <v>3713.875</v>
      </c>
      <c r="C1431">
        <v>20.701</v>
      </c>
      <c r="D1431">
        <v>81.967</v>
      </c>
      <c r="E1431">
        <v>168.393</v>
      </c>
      <c r="F1431">
        <v>0.167</v>
      </c>
      <c r="G1431">
        <v>22.56</v>
      </c>
      <c r="H1431">
        <v>1.651</v>
      </c>
      <c r="I1431">
        <v>2.781</v>
      </c>
      <c r="J1431">
        <v>0.797</v>
      </c>
      <c r="K1431">
        <v>7.558</v>
      </c>
      <c r="L1431">
        <v>0.372</v>
      </c>
      <c r="M1431">
        <v>2.522</v>
      </c>
      <c r="N1431">
        <v>124.609</v>
      </c>
      <c r="O1431">
        <v>114.64</v>
      </c>
      <c r="P1431">
        <f t="shared" si="91"/>
        <v>2.09554941077565</v>
      </c>
      <c r="Q1431">
        <f t="shared" si="91"/>
        <v>2.05933617738929</v>
      </c>
      <c r="R1431">
        <v>73.095</v>
      </c>
      <c r="S1431">
        <v>79.451</v>
      </c>
      <c r="T1431">
        <v>86.36</v>
      </c>
      <c r="U1431">
        <v>4.857</v>
      </c>
      <c r="V1431">
        <v>53.908</v>
      </c>
      <c r="W1431">
        <v>0.034</v>
      </c>
      <c r="X1431" t="s">
        <v>92</v>
      </c>
      <c r="Y1431" t="s">
        <v>31</v>
      </c>
      <c r="Z1431" s="3">
        <f t="shared" si="90"/>
        <v>0.036213233386357</v>
      </c>
      <c r="AA1431">
        <f t="shared" si="92"/>
        <v>-0.425</v>
      </c>
      <c r="AB1431">
        <f t="shared" si="93"/>
        <v>0.539</v>
      </c>
      <c r="AC1431" t="s">
        <v>32</v>
      </c>
    </row>
    <row r="1432" spans="1:29">
      <c r="A1432" t="s">
        <v>109</v>
      </c>
      <c r="B1432">
        <v>3714</v>
      </c>
      <c r="C1432">
        <v>20.674</v>
      </c>
      <c r="D1432">
        <v>81.828</v>
      </c>
      <c r="E1432">
        <v>164.997</v>
      </c>
      <c r="F1432">
        <v>0.127</v>
      </c>
      <c r="G1432">
        <v>22.394</v>
      </c>
      <c r="H1432">
        <v>1.582</v>
      </c>
      <c r="I1432">
        <v>2.783</v>
      </c>
      <c r="J1432">
        <v>0.803</v>
      </c>
      <c r="K1432">
        <v>7.139</v>
      </c>
      <c r="L1432">
        <v>0.35</v>
      </c>
      <c r="M1432">
        <v>2.54</v>
      </c>
      <c r="N1432">
        <v>130.295</v>
      </c>
      <c r="O1432">
        <v>119.872</v>
      </c>
      <c r="P1432">
        <f t="shared" si="91"/>
        <v>2.11492775021701</v>
      </c>
      <c r="Q1432">
        <f t="shared" si="91"/>
        <v>2.07871775135912</v>
      </c>
      <c r="R1432">
        <v>80.55</v>
      </c>
      <c r="S1432">
        <v>87.555</v>
      </c>
      <c r="T1432">
        <v>95.168</v>
      </c>
      <c r="U1432">
        <v>4.494</v>
      </c>
      <c r="V1432">
        <v>57.627</v>
      </c>
      <c r="W1432">
        <v>0.024</v>
      </c>
      <c r="X1432" t="s">
        <v>92</v>
      </c>
      <c r="Y1432" t="s">
        <v>31</v>
      </c>
      <c r="Z1432" s="3">
        <f t="shared" si="90"/>
        <v>0.0362099988578843</v>
      </c>
      <c r="AA1432">
        <f t="shared" si="92"/>
        <v>-0.453</v>
      </c>
      <c r="AB1432">
        <f t="shared" si="93"/>
        <v>0.477</v>
      </c>
      <c r="AC1432" t="s">
        <v>32</v>
      </c>
    </row>
    <row r="1433" spans="1:29">
      <c r="A1433" t="s">
        <v>109</v>
      </c>
      <c r="B1433">
        <v>3714.125</v>
      </c>
      <c r="C1433">
        <v>21.591</v>
      </c>
      <c r="D1433">
        <v>81.712</v>
      </c>
      <c r="E1433">
        <v>163.142</v>
      </c>
      <c r="F1433">
        <v>0.105</v>
      </c>
      <c r="G1433">
        <v>22.306</v>
      </c>
      <c r="H1433">
        <v>1.561</v>
      </c>
      <c r="I1433">
        <v>2.78</v>
      </c>
      <c r="J1433">
        <v>0.793</v>
      </c>
      <c r="K1433">
        <v>6.56</v>
      </c>
      <c r="L1433">
        <v>0.319</v>
      </c>
      <c r="M1433">
        <v>2.539</v>
      </c>
      <c r="N1433">
        <v>133.054</v>
      </c>
      <c r="O1433">
        <v>122.409</v>
      </c>
      <c r="P1433">
        <f t="shared" si="91"/>
        <v>2.12402793527083</v>
      </c>
      <c r="Q1433">
        <f t="shared" si="91"/>
        <v>2.08781335005336</v>
      </c>
      <c r="R1433">
        <v>83.688</v>
      </c>
      <c r="S1433">
        <v>90.966</v>
      </c>
      <c r="T1433">
        <v>98.876</v>
      </c>
      <c r="U1433">
        <v>3.945</v>
      </c>
      <c r="V1433">
        <v>65.985</v>
      </c>
      <c r="W1433">
        <v>0.013</v>
      </c>
      <c r="X1433" t="s">
        <v>92</v>
      </c>
      <c r="Y1433" t="s">
        <v>31</v>
      </c>
      <c r="Z1433" s="3">
        <f t="shared" si="90"/>
        <v>0.0362145852174707</v>
      </c>
      <c r="AA1433">
        <f t="shared" si="92"/>
        <v>-0.474</v>
      </c>
      <c r="AB1433">
        <f t="shared" si="93"/>
        <v>0.424</v>
      </c>
      <c r="AC1433" t="s">
        <v>32</v>
      </c>
    </row>
    <row r="1434" spans="1:29">
      <c r="A1434" t="s">
        <v>109</v>
      </c>
      <c r="B1434">
        <v>3714.25</v>
      </c>
      <c r="C1434">
        <v>22.684</v>
      </c>
      <c r="D1434">
        <v>81.639</v>
      </c>
      <c r="E1434">
        <v>162.992</v>
      </c>
      <c r="F1434">
        <v>0.103</v>
      </c>
      <c r="G1434">
        <v>22.306</v>
      </c>
      <c r="H1434">
        <v>1.615</v>
      </c>
      <c r="I1434">
        <v>2.781</v>
      </c>
      <c r="J1434">
        <v>0.797</v>
      </c>
      <c r="K1434">
        <v>6.56</v>
      </c>
      <c r="L1434">
        <v>0.319</v>
      </c>
      <c r="M1434">
        <v>2.524</v>
      </c>
      <c r="N1434">
        <v>133.449</v>
      </c>
      <c r="O1434">
        <v>122.773</v>
      </c>
      <c r="P1434">
        <f t="shared" si="91"/>
        <v>2.12531532375028</v>
      </c>
      <c r="Q1434">
        <f t="shared" si="91"/>
        <v>2.08910286810571</v>
      </c>
      <c r="R1434">
        <v>85.433</v>
      </c>
      <c r="S1434">
        <v>92.862</v>
      </c>
      <c r="T1434">
        <v>100.937</v>
      </c>
      <c r="U1434">
        <v>3.833</v>
      </c>
      <c r="V1434">
        <v>68.041</v>
      </c>
      <c r="W1434">
        <v>0.012</v>
      </c>
      <c r="X1434" t="s">
        <v>92</v>
      </c>
      <c r="Y1434" t="s">
        <v>31</v>
      </c>
      <c r="Z1434" s="3">
        <f t="shared" si="90"/>
        <v>0.0362124556445749</v>
      </c>
      <c r="AA1434">
        <f t="shared" si="92"/>
        <v>-0.478</v>
      </c>
      <c r="AB1434">
        <f t="shared" si="93"/>
        <v>0.422</v>
      </c>
      <c r="AC1434" t="s">
        <v>32</v>
      </c>
    </row>
    <row r="1435" spans="1:29">
      <c r="A1435" t="s">
        <v>109</v>
      </c>
      <c r="B1435">
        <v>3714.375</v>
      </c>
      <c r="C1435">
        <v>23.357</v>
      </c>
      <c r="D1435">
        <v>81.62</v>
      </c>
      <c r="E1435">
        <v>163.614</v>
      </c>
      <c r="F1435">
        <v>0.11</v>
      </c>
      <c r="G1435">
        <v>22.312</v>
      </c>
      <c r="H1435">
        <v>1.686</v>
      </c>
      <c r="I1435">
        <v>2.789</v>
      </c>
      <c r="J1435">
        <v>0.823</v>
      </c>
      <c r="K1435">
        <v>6.632</v>
      </c>
      <c r="L1435">
        <v>0.323</v>
      </c>
      <c r="M1435">
        <v>2.5</v>
      </c>
      <c r="N1435">
        <v>133.746</v>
      </c>
      <c r="O1435">
        <v>123.046</v>
      </c>
      <c r="P1435">
        <f t="shared" si="91"/>
        <v>2.12628080225286</v>
      </c>
      <c r="Q1435">
        <f t="shared" si="91"/>
        <v>2.09006750015045</v>
      </c>
      <c r="R1435">
        <v>85.877</v>
      </c>
      <c r="S1435">
        <v>93.345</v>
      </c>
      <c r="T1435">
        <v>101.462</v>
      </c>
      <c r="U1435">
        <v>3.765</v>
      </c>
      <c r="V1435">
        <v>69.335</v>
      </c>
      <c r="W1435">
        <v>0.011</v>
      </c>
      <c r="X1435" t="s">
        <v>92</v>
      </c>
      <c r="Y1435" t="s">
        <v>31</v>
      </c>
      <c r="Z1435" s="3">
        <f t="shared" si="90"/>
        <v>0.0362133021024036</v>
      </c>
      <c r="AA1435">
        <f t="shared" si="92"/>
        <v>-0.5</v>
      </c>
      <c r="AB1435">
        <f t="shared" si="93"/>
        <v>0.433</v>
      </c>
      <c r="AC1435" t="s">
        <v>32</v>
      </c>
    </row>
    <row r="1436" spans="1:29">
      <c r="A1436" t="s">
        <v>109</v>
      </c>
      <c r="B1436">
        <v>3714.5</v>
      </c>
      <c r="C1436">
        <v>23.65</v>
      </c>
      <c r="D1436">
        <v>81.666</v>
      </c>
      <c r="E1436">
        <v>164.09</v>
      </c>
      <c r="F1436">
        <v>0.116</v>
      </c>
      <c r="G1436">
        <v>22.271</v>
      </c>
      <c r="H1436">
        <v>1.742</v>
      </c>
      <c r="I1436">
        <v>2.798</v>
      </c>
      <c r="J1436">
        <v>0.852</v>
      </c>
      <c r="K1436">
        <v>6.534</v>
      </c>
      <c r="L1436">
        <v>0.318</v>
      </c>
      <c r="M1436">
        <v>2.472</v>
      </c>
      <c r="N1436">
        <v>135.74</v>
      </c>
      <c r="O1436">
        <v>124.881</v>
      </c>
      <c r="P1436">
        <f t="shared" si="91"/>
        <v>2.13270784485545</v>
      </c>
      <c r="Q1436">
        <f t="shared" si="91"/>
        <v>2.09649636773488</v>
      </c>
      <c r="R1436">
        <v>86.233</v>
      </c>
      <c r="S1436">
        <v>93.731</v>
      </c>
      <c r="T1436">
        <v>101.882</v>
      </c>
      <c r="U1436">
        <v>3.586</v>
      </c>
      <c r="V1436">
        <v>72.701</v>
      </c>
      <c r="W1436">
        <v>0.009</v>
      </c>
      <c r="X1436" t="s">
        <v>92</v>
      </c>
      <c r="Y1436" t="s">
        <v>31</v>
      </c>
      <c r="Z1436" s="3">
        <f t="shared" si="90"/>
        <v>0.0362114771205686</v>
      </c>
      <c r="AA1436">
        <f t="shared" si="92"/>
        <v>-0.534</v>
      </c>
      <c r="AB1436">
        <f t="shared" si="93"/>
        <v>0.434</v>
      </c>
      <c r="AC1436" t="s">
        <v>32</v>
      </c>
    </row>
    <row r="1437" spans="1:29">
      <c r="A1437" t="s">
        <v>109</v>
      </c>
      <c r="B1437">
        <v>3714.625</v>
      </c>
      <c r="C1437">
        <v>23.679</v>
      </c>
      <c r="D1437">
        <v>81.778</v>
      </c>
      <c r="E1437">
        <v>163.82</v>
      </c>
      <c r="F1437">
        <v>0.113</v>
      </c>
      <c r="G1437">
        <v>22.201</v>
      </c>
      <c r="H1437">
        <v>1.779</v>
      </c>
      <c r="I1437">
        <v>2.798</v>
      </c>
      <c r="J1437">
        <v>0.852</v>
      </c>
      <c r="K1437">
        <v>6.227</v>
      </c>
      <c r="L1437">
        <v>0.301</v>
      </c>
      <c r="M1437">
        <v>2.443</v>
      </c>
      <c r="N1437">
        <v>141.565</v>
      </c>
      <c r="O1437">
        <v>130.239</v>
      </c>
      <c r="P1437">
        <f t="shared" si="91"/>
        <v>2.15095589328493</v>
      </c>
      <c r="Q1437">
        <f t="shared" si="91"/>
        <v>2.11474105296167</v>
      </c>
      <c r="R1437">
        <v>92.127</v>
      </c>
      <c r="S1437">
        <v>100.138</v>
      </c>
      <c r="T1437">
        <v>108.846</v>
      </c>
      <c r="U1437">
        <v>3.328</v>
      </c>
      <c r="V1437">
        <v>77.553</v>
      </c>
      <c r="W1437">
        <v>0.006</v>
      </c>
      <c r="X1437" t="s">
        <v>92</v>
      </c>
      <c r="Y1437" t="s">
        <v>31</v>
      </c>
      <c r="Z1437" s="3">
        <f t="shared" si="90"/>
        <v>0.0362148403232569</v>
      </c>
      <c r="AA1437">
        <f t="shared" si="92"/>
        <v>-0.551</v>
      </c>
      <c r="AB1437">
        <f t="shared" si="93"/>
        <v>0.414</v>
      </c>
      <c r="AC1437" t="s">
        <v>32</v>
      </c>
    </row>
    <row r="1438" spans="1:29">
      <c r="A1438" t="s">
        <v>109</v>
      </c>
      <c r="B1438">
        <v>3714.75</v>
      </c>
      <c r="C1438">
        <v>24.086</v>
      </c>
      <c r="D1438">
        <v>81.971</v>
      </c>
      <c r="E1438">
        <v>162.968</v>
      </c>
      <c r="F1438">
        <v>0.103</v>
      </c>
      <c r="G1438">
        <v>22.176</v>
      </c>
      <c r="H1438">
        <v>1.818</v>
      </c>
      <c r="I1438">
        <v>2.804</v>
      </c>
      <c r="J1438">
        <v>0.872</v>
      </c>
      <c r="K1438">
        <v>5.941</v>
      </c>
      <c r="L1438">
        <v>0.286</v>
      </c>
      <c r="M1438">
        <v>2.418</v>
      </c>
      <c r="N1438">
        <v>152.88</v>
      </c>
      <c r="O1438">
        <v>140.649</v>
      </c>
      <c r="P1438">
        <f t="shared" si="91"/>
        <v>2.18435067404696</v>
      </c>
      <c r="Q1438">
        <f t="shared" si="91"/>
        <v>2.14813664872286</v>
      </c>
      <c r="R1438">
        <v>95.219</v>
      </c>
      <c r="S1438">
        <v>103.499</v>
      </c>
      <c r="T1438">
        <v>112.499</v>
      </c>
      <c r="U1438">
        <v>3.002</v>
      </c>
      <c r="V1438">
        <v>84.036</v>
      </c>
      <c r="W1438">
        <v>0.004</v>
      </c>
      <c r="X1438" t="s">
        <v>92</v>
      </c>
      <c r="Y1438" t="s">
        <v>31</v>
      </c>
      <c r="Z1438" s="3">
        <f t="shared" si="90"/>
        <v>0.0362140253240928</v>
      </c>
      <c r="AA1438">
        <f t="shared" si="92"/>
        <v>-0.586</v>
      </c>
      <c r="AB1438">
        <f t="shared" si="93"/>
        <v>0.389</v>
      </c>
      <c r="AC1438" t="s">
        <v>32</v>
      </c>
    </row>
    <row r="1439" spans="1:29">
      <c r="A1439" t="s">
        <v>109</v>
      </c>
      <c r="B1439">
        <v>3714.875</v>
      </c>
      <c r="C1439">
        <v>25.082</v>
      </c>
      <c r="D1439">
        <v>82.191</v>
      </c>
      <c r="E1439">
        <v>161.873</v>
      </c>
      <c r="F1439">
        <v>0.09</v>
      </c>
      <c r="G1439">
        <v>22.222</v>
      </c>
      <c r="H1439">
        <v>1.834</v>
      </c>
      <c r="I1439">
        <v>2.81</v>
      </c>
      <c r="J1439">
        <v>0.892</v>
      </c>
      <c r="K1439">
        <v>5.644</v>
      </c>
      <c r="L1439">
        <v>0.27</v>
      </c>
      <c r="M1439">
        <v>2.4</v>
      </c>
      <c r="N1439">
        <v>171.124</v>
      </c>
      <c r="O1439">
        <v>157.434</v>
      </c>
      <c r="P1439">
        <f t="shared" si="91"/>
        <v>2.23331092325599</v>
      </c>
      <c r="Q1439">
        <f t="shared" si="91"/>
        <v>2.1970985299151</v>
      </c>
      <c r="R1439">
        <v>97.708</v>
      </c>
      <c r="S1439">
        <v>106.204</v>
      </c>
      <c r="T1439">
        <v>115.44</v>
      </c>
      <c r="U1439">
        <v>2.611</v>
      </c>
      <c r="V1439">
        <v>93.384</v>
      </c>
      <c r="W1439">
        <v>0.002</v>
      </c>
      <c r="X1439" t="s">
        <v>92</v>
      </c>
      <c r="Y1439" t="s">
        <v>31</v>
      </c>
      <c r="Z1439" s="3">
        <f t="shared" si="90"/>
        <v>0.0362123933408895</v>
      </c>
      <c r="AA1439">
        <f t="shared" si="92"/>
        <v>-0.622</v>
      </c>
      <c r="AB1439">
        <f t="shared" si="93"/>
        <v>0.36</v>
      </c>
      <c r="AC1439" t="s">
        <v>32</v>
      </c>
    </row>
    <row r="1440" spans="1:29">
      <c r="A1440" t="s">
        <v>109</v>
      </c>
      <c r="B1440">
        <v>3715</v>
      </c>
      <c r="C1440">
        <v>26.365</v>
      </c>
      <c r="D1440">
        <v>82.471</v>
      </c>
      <c r="E1440">
        <v>160.873</v>
      </c>
      <c r="F1440">
        <v>0.078</v>
      </c>
      <c r="G1440">
        <v>22.295</v>
      </c>
      <c r="H1440">
        <v>1.805</v>
      </c>
      <c r="I1440">
        <v>2.817</v>
      </c>
      <c r="J1440">
        <v>0.915</v>
      </c>
      <c r="K1440">
        <v>5.455</v>
      </c>
      <c r="L1440">
        <v>0.26</v>
      </c>
      <c r="M1440">
        <v>2.395</v>
      </c>
      <c r="N1440">
        <v>199.854</v>
      </c>
      <c r="O1440">
        <v>183.865</v>
      </c>
      <c r="P1440">
        <f t="shared" si="91"/>
        <v>2.30071284491808</v>
      </c>
      <c r="Q1440">
        <f t="shared" si="91"/>
        <v>2.26449906608681</v>
      </c>
      <c r="R1440">
        <v>109.157</v>
      </c>
      <c r="S1440">
        <v>118.649</v>
      </c>
      <c r="T1440">
        <v>128.967</v>
      </c>
      <c r="U1440">
        <v>2.259</v>
      </c>
      <c r="V1440">
        <v>100</v>
      </c>
      <c r="W1440">
        <v>0.001</v>
      </c>
      <c r="X1440" t="s">
        <v>92</v>
      </c>
      <c r="Y1440" t="s">
        <v>31</v>
      </c>
      <c r="Z1440" s="3">
        <f t="shared" si="90"/>
        <v>0.036213778831268</v>
      </c>
      <c r="AA1440">
        <f t="shared" si="92"/>
        <v>-0.655</v>
      </c>
      <c r="AB1440">
        <f t="shared" si="93"/>
        <v>0.338</v>
      </c>
      <c r="AC1440" t="s">
        <v>32</v>
      </c>
    </row>
    <row r="1441" spans="1:29">
      <c r="A1441" t="s">
        <v>110</v>
      </c>
      <c r="B1441">
        <v>3845</v>
      </c>
      <c r="C1441">
        <v>20.436</v>
      </c>
      <c r="D1441">
        <v>106.64</v>
      </c>
      <c r="E1441">
        <v>165.181</v>
      </c>
      <c r="F1441">
        <v>0.095</v>
      </c>
      <c r="G1441">
        <v>22.273</v>
      </c>
      <c r="H1441">
        <v>1.405</v>
      </c>
      <c r="I1441">
        <v>2.813</v>
      </c>
      <c r="J1441">
        <v>0.496</v>
      </c>
      <c r="K1441">
        <v>5.923</v>
      </c>
      <c r="L1441">
        <v>0.289</v>
      </c>
      <c r="M1441">
        <v>3.207</v>
      </c>
      <c r="N1441">
        <v>217.489</v>
      </c>
      <c r="O1441">
        <v>197.428</v>
      </c>
      <c r="P1441">
        <f t="shared" si="91"/>
        <v>2.33743729641659</v>
      </c>
      <c r="Q1441">
        <f t="shared" si="91"/>
        <v>2.29540874601926</v>
      </c>
      <c r="R1441">
        <v>68.156</v>
      </c>
      <c r="S1441">
        <v>75.435</v>
      </c>
      <c r="T1441">
        <v>76.932</v>
      </c>
      <c r="U1441">
        <v>2.479</v>
      </c>
      <c r="V1441">
        <v>66.842</v>
      </c>
      <c r="W1441">
        <v>0.01</v>
      </c>
      <c r="X1441" t="s">
        <v>92</v>
      </c>
      <c r="Y1441" t="s">
        <v>31</v>
      </c>
      <c r="Z1441" s="3">
        <f t="shared" si="90"/>
        <v>0.0420285503973314</v>
      </c>
      <c r="AA1441">
        <f t="shared" si="92"/>
        <v>-0.207</v>
      </c>
      <c r="AB1441">
        <f t="shared" si="93"/>
        <v>0.384</v>
      </c>
      <c r="AC1441" t="s">
        <v>32</v>
      </c>
    </row>
    <row r="1442" spans="1:29">
      <c r="A1442" t="s">
        <v>110</v>
      </c>
      <c r="B1442">
        <v>3845.125</v>
      </c>
      <c r="C1442">
        <v>21.772</v>
      </c>
      <c r="D1442">
        <v>106.64</v>
      </c>
      <c r="E1442">
        <v>167.546</v>
      </c>
      <c r="F1442">
        <v>0.134</v>
      </c>
      <c r="G1442">
        <v>22.303</v>
      </c>
      <c r="H1442">
        <v>1.426</v>
      </c>
      <c r="I1442">
        <v>2.808</v>
      </c>
      <c r="J1442">
        <v>0.481</v>
      </c>
      <c r="K1442">
        <v>6.041</v>
      </c>
      <c r="L1442">
        <v>0.295</v>
      </c>
      <c r="M1442">
        <v>3.193</v>
      </c>
      <c r="N1442">
        <v>218.139</v>
      </c>
      <c r="O1442">
        <v>197.958</v>
      </c>
      <c r="P1442">
        <f t="shared" si="91"/>
        <v>2.33873331789699</v>
      </c>
      <c r="Q1442">
        <f t="shared" si="91"/>
        <v>2.2965730574176</v>
      </c>
      <c r="R1442">
        <v>72.141</v>
      </c>
      <c r="S1442">
        <v>79.641</v>
      </c>
      <c r="T1442">
        <v>80.915</v>
      </c>
      <c r="U1442">
        <v>2.951</v>
      </c>
      <c r="V1442">
        <v>58.134</v>
      </c>
      <c r="W1442">
        <v>0.01</v>
      </c>
      <c r="X1442" t="s">
        <v>92</v>
      </c>
      <c r="Y1442" t="s">
        <v>31</v>
      </c>
      <c r="Z1442" s="3">
        <f t="shared" si="90"/>
        <v>0.0421602604793896</v>
      </c>
      <c r="AA1442">
        <f t="shared" si="92"/>
        <v>-0.186</v>
      </c>
      <c r="AB1442">
        <f t="shared" si="93"/>
        <v>0.429</v>
      </c>
      <c r="AC1442" t="s">
        <v>32</v>
      </c>
    </row>
    <row r="1443" spans="1:29">
      <c r="A1443" t="s">
        <v>110</v>
      </c>
      <c r="B1443">
        <v>3845.25</v>
      </c>
      <c r="C1443">
        <v>22.737</v>
      </c>
      <c r="D1443">
        <v>106.64</v>
      </c>
      <c r="E1443">
        <v>170.828</v>
      </c>
      <c r="F1443">
        <v>0.188</v>
      </c>
      <c r="G1443">
        <v>22.344</v>
      </c>
      <c r="H1443">
        <v>1.424</v>
      </c>
      <c r="I1443">
        <v>2.798</v>
      </c>
      <c r="J1443">
        <v>0.452</v>
      </c>
      <c r="K1443">
        <v>6.336</v>
      </c>
      <c r="L1443">
        <v>0.311</v>
      </c>
      <c r="M1443">
        <v>3.188</v>
      </c>
      <c r="N1443">
        <v>222.663</v>
      </c>
      <c r="O1443">
        <v>202.017</v>
      </c>
      <c r="P1443">
        <f t="shared" si="91"/>
        <v>2.34764805614116</v>
      </c>
      <c r="Q1443">
        <f t="shared" si="91"/>
        <v>2.30538791744434</v>
      </c>
      <c r="R1443">
        <v>74.487</v>
      </c>
      <c r="S1443">
        <v>82.086</v>
      </c>
      <c r="T1443">
        <v>83.253</v>
      </c>
      <c r="U1443">
        <v>3.482</v>
      </c>
      <c r="V1443">
        <v>49.915</v>
      </c>
      <c r="W1443">
        <v>0.01</v>
      </c>
      <c r="X1443" t="s">
        <v>92</v>
      </c>
      <c r="Y1443" t="s">
        <v>31</v>
      </c>
      <c r="Z1443" s="3">
        <f t="shared" si="90"/>
        <v>0.04226013869682</v>
      </c>
      <c r="AA1443">
        <f t="shared" si="92"/>
        <v>-0.141</v>
      </c>
      <c r="AB1443">
        <f t="shared" si="93"/>
        <v>0.499</v>
      </c>
      <c r="AC1443" t="s">
        <v>32</v>
      </c>
    </row>
    <row r="1444" spans="1:29">
      <c r="A1444" t="s">
        <v>110</v>
      </c>
      <c r="B1444">
        <v>3845.375</v>
      </c>
      <c r="C1444">
        <v>22.884</v>
      </c>
      <c r="D1444">
        <v>106.64</v>
      </c>
      <c r="E1444">
        <v>172.38</v>
      </c>
      <c r="F1444">
        <v>0.213</v>
      </c>
      <c r="G1444">
        <v>22.384</v>
      </c>
      <c r="H1444">
        <v>1.416</v>
      </c>
      <c r="I1444">
        <v>2.779</v>
      </c>
      <c r="J1444">
        <v>0.396</v>
      </c>
      <c r="K1444">
        <v>6.763</v>
      </c>
      <c r="L1444">
        <v>0.333</v>
      </c>
      <c r="M1444">
        <v>3.134</v>
      </c>
      <c r="N1444">
        <v>228.552</v>
      </c>
      <c r="O1444">
        <v>207.317</v>
      </c>
      <c r="P1444">
        <f t="shared" si="91"/>
        <v>2.35898502604173</v>
      </c>
      <c r="Q1444">
        <f t="shared" si="91"/>
        <v>2.31663491571412</v>
      </c>
      <c r="R1444">
        <v>69.86</v>
      </c>
      <c r="S1444">
        <v>76.554</v>
      </c>
      <c r="T1444">
        <v>77.552</v>
      </c>
      <c r="U1444">
        <v>3.897</v>
      </c>
      <c r="V1444">
        <v>44.162</v>
      </c>
      <c r="W1444">
        <v>0.01</v>
      </c>
      <c r="X1444" t="s">
        <v>92</v>
      </c>
      <c r="Y1444" t="s">
        <v>31</v>
      </c>
      <c r="Z1444" s="3">
        <f t="shared" si="90"/>
        <v>0.0423501103276038</v>
      </c>
      <c r="AA1444">
        <f t="shared" si="92"/>
        <v>-0.063</v>
      </c>
      <c r="AB1444">
        <f t="shared" si="93"/>
        <v>0.546</v>
      </c>
      <c r="AC1444" t="s">
        <v>32</v>
      </c>
    </row>
    <row r="1445" spans="1:29">
      <c r="A1445" t="s">
        <v>110</v>
      </c>
      <c r="B1445">
        <v>3845.5</v>
      </c>
      <c r="C1445">
        <v>22.258</v>
      </c>
      <c r="D1445">
        <v>106.64</v>
      </c>
      <c r="E1445">
        <v>170.931</v>
      </c>
      <c r="F1445">
        <v>0.19</v>
      </c>
      <c r="G1445">
        <v>22.398</v>
      </c>
      <c r="H1445">
        <v>1.407</v>
      </c>
      <c r="I1445">
        <v>2.768</v>
      </c>
      <c r="J1445">
        <v>0.364</v>
      </c>
      <c r="K1445">
        <v>7.263</v>
      </c>
      <c r="L1445">
        <v>0.36</v>
      </c>
      <c r="M1445">
        <v>3.064</v>
      </c>
      <c r="N1445">
        <v>234.332</v>
      </c>
      <c r="O1445">
        <v>212.52</v>
      </c>
      <c r="P1445">
        <f t="shared" si="91"/>
        <v>2.36983159920077</v>
      </c>
      <c r="Q1445">
        <f t="shared" si="91"/>
        <v>2.3273998072377</v>
      </c>
      <c r="R1445">
        <v>62.056</v>
      </c>
      <c r="S1445">
        <v>67.567</v>
      </c>
      <c r="T1445">
        <v>68.45</v>
      </c>
      <c r="U1445">
        <v>4.051</v>
      </c>
      <c r="V1445">
        <v>41.883</v>
      </c>
      <c r="W1445">
        <v>0.01</v>
      </c>
      <c r="X1445" t="s">
        <v>92</v>
      </c>
      <c r="Y1445" t="s">
        <v>31</v>
      </c>
      <c r="Z1445" s="3">
        <f t="shared" ref="Z1445:Z1508" si="94">P1445-Q1445</f>
        <v>0.0424317919630739</v>
      </c>
      <c r="AA1445">
        <f t="shared" si="92"/>
        <v>-0.004</v>
      </c>
      <c r="AB1445">
        <f t="shared" si="93"/>
        <v>0.55</v>
      </c>
      <c r="AC1445" t="s">
        <v>32</v>
      </c>
    </row>
    <row r="1446" spans="1:29">
      <c r="A1446" t="s">
        <v>110</v>
      </c>
      <c r="B1446">
        <v>3845.625</v>
      </c>
      <c r="C1446">
        <v>21.424</v>
      </c>
      <c r="D1446">
        <v>106.64</v>
      </c>
      <c r="E1446">
        <v>168.421</v>
      </c>
      <c r="F1446">
        <v>0.149</v>
      </c>
      <c r="G1446">
        <v>22.357</v>
      </c>
      <c r="H1446">
        <v>1.389</v>
      </c>
      <c r="I1446">
        <v>2.762</v>
      </c>
      <c r="J1446">
        <v>0.346</v>
      </c>
      <c r="K1446">
        <v>7.698</v>
      </c>
      <c r="L1446">
        <v>0.382</v>
      </c>
      <c r="M1446">
        <v>3.027</v>
      </c>
      <c r="N1446">
        <v>238.542</v>
      </c>
      <c r="O1446">
        <v>216.311</v>
      </c>
      <c r="P1446">
        <f t="shared" si="91"/>
        <v>2.37756485617428</v>
      </c>
      <c r="Q1446">
        <f t="shared" si="91"/>
        <v>2.33507860505089</v>
      </c>
      <c r="R1446">
        <v>59.088</v>
      </c>
      <c r="S1446">
        <v>64.258</v>
      </c>
      <c r="T1446">
        <v>65.201</v>
      </c>
      <c r="U1446">
        <v>3.953</v>
      </c>
      <c r="V1446">
        <v>42.43</v>
      </c>
      <c r="W1446">
        <v>0.01</v>
      </c>
      <c r="X1446" t="s">
        <v>92</v>
      </c>
      <c r="Y1446" t="s">
        <v>31</v>
      </c>
      <c r="Z1446" s="3">
        <f t="shared" si="94"/>
        <v>0.0424862511233952</v>
      </c>
      <c r="AA1446">
        <f t="shared" si="92"/>
        <v>0.036</v>
      </c>
      <c r="AB1446">
        <f t="shared" si="93"/>
        <v>0.531</v>
      </c>
      <c r="AC1446" t="s">
        <v>32</v>
      </c>
    </row>
    <row r="1447" spans="1:29">
      <c r="A1447" t="s">
        <v>110</v>
      </c>
      <c r="B1447">
        <v>3845.75</v>
      </c>
      <c r="C1447">
        <v>20.8</v>
      </c>
      <c r="D1447">
        <v>106.64</v>
      </c>
      <c r="E1447">
        <v>165.718</v>
      </c>
      <c r="F1447">
        <v>0.104</v>
      </c>
      <c r="G1447">
        <v>22.271</v>
      </c>
      <c r="H1447">
        <v>1.372</v>
      </c>
      <c r="I1447">
        <v>2.767</v>
      </c>
      <c r="J1447">
        <v>0.361</v>
      </c>
      <c r="K1447">
        <v>7.943</v>
      </c>
      <c r="L1447">
        <v>0.395</v>
      </c>
      <c r="M1447">
        <v>3.018</v>
      </c>
      <c r="N1447">
        <v>241.433</v>
      </c>
      <c r="O1447">
        <v>218.919</v>
      </c>
      <c r="P1447">
        <f t="shared" si="91"/>
        <v>2.38279663087484</v>
      </c>
      <c r="Q1447">
        <f t="shared" si="91"/>
        <v>2.34028345566143</v>
      </c>
      <c r="R1447">
        <v>62.693</v>
      </c>
      <c r="S1447">
        <v>68.725</v>
      </c>
      <c r="T1447">
        <v>70.251</v>
      </c>
      <c r="U1447">
        <v>3.663</v>
      </c>
      <c r="V1447">
        <v>46.176</v>
      </c>
      <c r="W1447">
        <v>0.01</v>
      </c>
      <c r="X1447" t="s">
        <v>92</v>
      </c>
      <c r="Y1447" t="s">
        <v>31</v>
      </c>
      <c r="Z1447" s="3">
        <f t="shared" si="94"/>
        <v>0.0425131752134051</v>
      </c>
      <c r="AA1447">
        <f t="shared" si="92"/>
        <v>0.034</v>
      </c>
      <c r="AB1447">
        <f t="shared" si="93"/>
        <v>0.499</v>
      </c>
      <c r="AC1447" t="s">
        <v>32</v>
      </c>
    </row>
    <row r="1448" spans="1:29">
      <c r="A1448" t="s">
        <v>110</v>
      </c>
      <c r="B1448">
        <v>3845.875</v>
      </c>
      <c r="C1448">
        <v>20.685</v>
      </c>
      <c r="D1448">
        <v>106.64</v>
      </c>
      <c r="E1448">
        <v>162.565</v>
      </c>
      <c r="F1448">
        <v>0.053</v>
      </c>
      <c r="G1448">
        <v>22.173</v>
      </c>
      <c r="H1448">
        <v>1.373</v>
      </c>
      <c r="I1448">
        <v>2.786</v>
      </c>
      <c r="J1448">
        <v>0.416</v>
      </c>
      <c r="K1448">
        <v>7.924</v>
      </c>
      <c r="L1448">
        <v>0.394</v>
      </c>
      <c r="M1448">
        <v>3.018</v>
      </c>
      <c r="N1448">
        <v>243.942</v>
      </c>
      <c r="O1448">
        <v>221.207</v>
      </c>
      <c r="P1448">
        <f t="shared" si="91"/>
        <v>2.38728658013295</v>
      </c>
      <c r="Q1448">
        <f t="shared" si="91"/>
        <v>2.34479886591147</v>
      </c>
      <c r="R1448">
        <v>67.804</v>
      </c>
      <c r="S1448">
        <v>75.027</v>
      </c>
      <c r="T1448">
        <v>77.432</v>
      </c>
      <c r="U1448">
        <v>3.342</v>
      </c>
      <c r="V1448">
        <v>51.585</v>
      </c>
      <c r="W1448">
        <v>0.01</v>
      </c>
      <c r="X1448" t="s">
        <v>92</v>
      </c>
      <c r="Y1448" t="s">
        <v>31</v>
      </c>
      <c r="Z1448" s="3">
        <f t="shared" si="94"/>
        <v>0.0424877142214872</v>
      </c>
      <c r="AA1448">
        <f t="shared" si="92"/>
        <v>-0.022</v>
      </c>
      <c r="AB1448">
        <f t="shared" si="93"/>
        <v>0.447</v>
      </c>
      <c r="AC1448" t="s">
        <v>32</v>
      </c>
    </row>
    <row r="1449" spans="1:29">
      <c r="A1449" t="s">
        <v>110</v>
      </c>
      <c r="B1449">
        <v>3846</v>
      </c>
      <c r="C1449">
        <v>20.996</v>
      </c>
      <c r="D1449">
        <v>106.64</v>
      </c>
      <c r="E1449">
        <v>160.171</v>
      </c>
      <c r="F1449">
        <v>0.013</v>
      </c>
      <c r="G1449">
        <v>22.107</v>
      </c>
      <c r="H1449">
        <v>1.39</v>
      </c>
      <c r="I1449">
        <v>2.812</v>
      </c>
      <c r="J1449">
        <v>0.493</v>
      </c>
      <c r="K1449">
        <v>7.793</v>
      </c>
      <c r="L1449">
        <v>0.387</v>
      </c>
      <c r="M1449">
        <v>3.018</v>
      </c>
      <c r="N1449">
        <v>246.789</v>
      </c>
      <c r="O1449">
        <v>223.873</v>
      </c>
      <c r="P1449">
        <f t="shared" si="91"/>
        <v>2.39232579820656</v>
      </c>
      <c r="Q1449">
        <f t="shared" si="91"/>
        <v>2.35000171904539</v>
      </c>
      <c r="R1449">
        <v>66.764</v>
      </c>
      <c r="S1449">
        <v>74.103</v>
      </c>
      <c r="T1449">
        <v>77.036</v>
      </c>
      <c r="U1449">
        <v>3.088</v>
      </c>
      <c r="V1449">
        <v>56.229</v>
      </c>
      <c r="W1449">
        <v>0.01</v>
      </c>
      <c r="X1449" t="s">
        <v>92</v>
      </c>
      <c r="Y1449" t="s">
        <v>31</v>
      </c>
      <c r="Z1449" s="3">
        <f t="shared" si="94"/>
        <v>0.0423240791611694</v>
      </c>
      <c r="AA1449">
        <f t="shared" si="92"/>
        <v>-0.106</v>
      </c>
      <c r="AB1449">
        <f t="shared" si="93"/>
        <v>0.4</v>
      </c>
      <c r="AC1449" t="s">
        <v>32</v>
      </c>
    </row>
    <row r="1450" spans="1:29">
      <c r="A1450" t="s">
        <v>110</v>
      </c>
      <c r="B1450">
        <v>3846.125</v>
      </c>
      <c r="C1450">
        <v>21.288</v>
      </c>
      <c r="D1450">
        <v>106.64</v>
      </c>
      <c r="E1450">
        <v>160.16</v>
      </c>
      <c r="F1450">
        <v>0.013</v>
      </c>
      <c r="G1450">
        <v>22.084</v>
      </c>
      <c r="H1450">
        <v>1.407</v>
      </c>
      <c r="I1450">
        <v>2.838</v>
      </c>
      <c r="J1450">
        <v>0.569</v>
      </c>
      <c r="K1450">
        <v>7.709</v>
      </c>
      <c r="L1450">
        <v>0.383</v>
      </c>
      <c r="M1450">
        <v>3.07</v>
      </c>
      <c r="N1450">
        <v>250.128</v>
      </c>
      <c r="O1450">
        <v>227.084</v>
      </c>
      <c r="P1450">
        <f t="shared" si="91"/>
        <v>2.39816231054235</v>
      </c>
      <c r="Q1450">
        <f t="shared" si="91"/>
        <v>2.35618653555614</v>
      </c>
      <c r="R1450">
        <v>59.218</v>
      </c>
      <c r="S1450">
        <v>65.465</v>
      </c>
      <c r="T1450">
        <v>68.258</v>
      </c>
      <c r="U1450">
        <v>2.947</v>
      </c>
      <c r="V1450">
        <v>57.983</v>
      </c>
      <c r="W1450">
        <v>0.01</v>
      </c>
      <c r="X1450" t="s">
        <v>92</v>
      </c>
      <c r="Y1450" t="s">
        <v>31</v>
      </c>
      <c r="Z1450" s="3">
        <f t="shared" si="94"/>
        <v>0.0419757749862093</v>
      </c>
      <c r="AA1450">
        <f t="shared" si="92"/>
        <v>-0.186</v>
      </c>
      <c r="AB1450">
        <f t="shared" si="93"/>
        <v>0.396</v>
      </c>
      <c r="AC1450" t="s">
        <v>32</v>
      </c>
    </row>
    <row r="1451" spans="1:29">
      <c r="A1451" t="s">
        <v>110</v>
      </c>
      <c r="B1451">
        <v>3846.25</v>
      </c>
      <c r="C1451">
        <v>21.27</v>
      </c>
      <c r="D1451">
        <v>106.64</v>
      </c>
      <c r="E1451">
        <v>162.276</v>
      </c>
      <c r="F1451">
        <v>0.048</v>
      </c>
      <c r="G1451">
        <v>22.09</v>
      </c>
      <c r="H1451">
        <v>1.417</v>
      </c>
      <c r="I1451">
        <v>2.849</v>
      </c>
      <c r="J1451">
        <v>0.601</v>
      </c>
      <c r="K1451">
        <v>7.719</v>
      </c>
      <c r="L1451">
        <v>0.384</v>
      </c>
      <c r="M1451">
        <v>3.163</v>
      </c>
      <c r="N1451">
        <v>253.838</v>
      </c>
      <c r="O1451">
        <v>230.723</v>
      </c>
      <c r="P1451">
        <f t="shared" si="91"/>
        <v>2.40455663728182</v>
      </c>
      <c r="Q1451">
        <f t="shared" si="91"/>
        <v>2.36309089003559</v>
      </c>
      <c r="R1451">
        <v>54.798</v>
      </c>
      <c r="S1451">
        <v>60.458</v>
      </c>
      <c r="T1451">
        <v>63.128</v>
      </c>
      <c r="U1451">
        <v>2.911</v>
      </c>
      <c r="V1451">
        <v>55.648</v>
      </c>
      <c r="W1451">
        <v>0.01</v>
      </c>
      <c r="X1451" t="s">
        <v>92</v>
      </c>
      <c r="Y1451" t="s">
        <v>31</v>
      </c>
      <c r="Z1451" s="3">
        <f t="shared" si="94"/>
        <v>0.0414657472462365</v>
      </c>
      <c r="AA1451">
        <f t="shared" si="92"/>
        <v>-0.217</v>
      </c>
      <c r="AB1451">
        <f t="shared" si="93"/>
        <v>0.432</v>
      </c>
      <c r="AC1451" t="s">
        <v>32</v>
      </c>
    </row>
    <row r="1452" spans="1:29">
      <c r="A1452" t="s">
        <v>110</v>
      </c>
      <c r="B1452">
        <v>3846.375</v>
      </c>
      <c r="C1452">
        <v>21.295</v>
      </c>
      <c r="D1452">
        <v>106.64</v>
      </c>
      <c r="E1452">
        <v>163.21</v>
      </c>
      <c r="F1452">
        <v>0.063</v>
      </c>
      <c r="G1452">
        <v>22.095</v>
      </c>
      <c r="H1452">
        <v>1.426</v>
      </c>
      <c r="I1452">
        <v>2.858</v>
      </c>
      <c r="J1452">
        <v>0.628</v>
      </c>
      <c r="K1452">
        <v>7.74</v>
      </c>
      <c r="L1452">
        <v>0.385</v>
      </c>
      <c r="M1452">
        <v>3.298</v>
      </c>
      <c r="N1452">
        <v>256.375</v>
      </c>
      <c r="O1452">
        <v>233.32</v>
      </c>
      <c r="P1452">
        <f t="shared" si="91"/>
        <v>2.40887567337642</v>
      </c>
      <c r="Q1452">
        <f t="shared" si="91"/>
        <v>2.36795196775798</v>
      </c>
      <c r="R1452">
        <v>55.18</v>
      </c>
      <c r="S1452">
        <v>61.419</v>
      </c>
      <c r="T1452">
        <v>64.671</v>
      </c>
      <c r="U1452">
        <v>2.889</v>
      </c>
      <c r="V1452">
        <v>50.954</v>
      </c>
      <c r="W1452">
        <v>0.01</v>
      </c>
      <c r="X1452" t="s">
        <v>92</v>
      </c>
      <c r="Y1452" t="s">
        <v>31</v>
      </c>
      <c r="Z1452" s="3">
        <f t="shared" si="94"/>
        <v>0.0409237056184448</v>
      </c>
      <c r="AA1452">
        <f t="shared" si="92"/>
        <v>-0.243</v>
      </c>
      <c r="AB1452">
        <f t="shared" si="93"/>
        <v>0.448</v>
      </c>
      <c r="AC1452" t="s">
        <v>32</v>
      </c>
    </row>
    <row r="1453" spans="1:29">
      <c r="A1453" t="s">
        <v>110</v>
      </c>
      <c r="B1453">
        <v>3846.5</v>
      </c>
      <c r="C1453">
        <v>21.806</v>
      </c>
      <c r="D1453">
        <v>106.64</v>
      </c>
      <c r="E1453">
        <v>162.469</v>
      </c>
      <c r="F1453">
        <v>0.051</v>
      </c>
      <c r="G1453">
        <v>22.093</v>
      </c>
      <c r="H1453">
        <v>1.445</v>
      </c>
      <c r="I1453">
        <v>2.857</v>
      </c>
      <c r="J1453">
        <v>0.625</v>
      </c>
      <c r="K1453">
        <v>7.735</v>
      </c>
      <c r="L1453">
        <v>0.384</v>
      </c>
      <c r="M1453">
        <v>3.544</v>
      </c>
      <c r="N1453">
        <v>255.504</v>
      </c>
      <c r="O1453">
        <v>232.811</v>
      </c>
      <c r="P1453">
        <f t="shared" si="91"/>
        <v>2.40739770354834</v>
      </c>
      <c r="Q1453">
        <f t="shared" si="91"/>
        <v>2.36700349628043</v>
      </c>
      <c r="R1453">
        <v>63.008</v>
      </c>
      <c r="S1453">
        <v>71.107</v>
      </c>
      <c r="T1453">
        <v>75.584</v>
      </c>
      <c r="U1453">
        <v>2.843</v>
      </c>
      <c r="V1453">
        <v>46.1</v>
      </c>
      <c r="W1453">
        <v>0.01</v>
      </c>
      <c r="X1453" t="s">
        <v>92</v>
      </c>
      <c r="Y1453" t="s">
        <v>31</v>
      </c>
      <c r="Z1453" s="3">
        <f t="shared" si="94"/>
        <v>0.0403942072679135</v>
      </c>
      <c r="AA1453">
        <f t="shared" si="92"/>
        <v>-0.241</v>
      </c>
      <c r="AB1453">
        <f t="shared" si="93"/>
        <v>0.435</v>
      </c>
      <c r="AC1453" t="s">
        <v>32</v>
      </c>
    </row>
    <row r="1454" spans="1:29">
      <c r="A1454" t="s">
        <v>110</v>
      </c>
      <c r="B1454">
        <v>3846.625</v>
      </c>
      <c r="C1454">
        <v>23.602</v>
      </c>
      <c r="D1454">
        <v>106.64</v>
      </c>
      <c r="E1454">
        <v>162.086</v>
      </c>
      <c r="F1454">
        <v>0.045</v>
      </c>
      <c r="G1454">
        <v>22.093</v>
      </c>
      <c r="H1454">
        <v>1.491</v>
      </c>
      <c r="I1454">
        <v>2.851</v>
      </c>
      <c r="J1454">
        <v>0.607</v>
      </c>
      <c r="K1454">
        <v>7.686</v>
      </c>
      <c r="L1454">
        <v>0.382</v>
      </c>
      <c r="M1454">
        <v>3.635</v>
      </c>
      <c r="N1454">
        <v>249.346</v>
      </c>
      <c r="O1454">
        <v>227.476</v>
      </c>
      <c r="P1454">
        <f t="shared" si="91"/>
        <v>2.39680240567304</v>
      </c>
      <c r="Q1454">
        <f t="shared" si="91"/>
        <v>2.3569355828947</v>
      </c>
      <c r="R1454">
        <v>80.64</v>
      </c>
      <c r="S1454">
        <v>92.782</v>
      </c>
      <c r="T1454">
        <v>99.71</v>
      </c>
      <c r="U1454">
        <v>2.786</v>
      </c>
      <c r="V1454">
        <v>42.778</v>
      </c>
      <c r="W1454">
        <v>0.01</v>
      </c>
      <c r="X1454" t="s">
        <v>92</v>
      </c>
      <c r="Y1454" t="s">
        <v>31</v>
      </c>
      <c r="Z1454" s="3">
        <f t="shared" si="94"/>
        <v>0.0398668227783419</v>
      </c>
      <c r="AA1454">
        <f t="shared" si="92"/>
        <v>-0.225</v>
      </c>
      <c r="AB1454">
        <f t="shared" si="93"/>
        <v>0.427</v>
      </c>
      <c r="AC1454" t="s">
        <v>32</v>
      </c>
    </row>
    <row r="1455" spans="1:29">
      <c r="A1455" t="s">
        <v>110</v>
      </c>
      <c r="B1455">
        <v>3846.75</v>
      </c>
      <c r="C1455">
        <v>26.078</v>
      </c>
      <c r="D1455">
        <v>106.892</v>
      </c>
      <c r="E1455">
        <v>161.635</v>
      </c>
      <c r="F1455">
        <v>0.037</v>
      </c>
      <c r="G1455">
        <v>22.103</v>
      </c>
      <c r="H1455">
        <v>1.579</v>
      </c>
      <c r="I1455">
        <v>2.834</v>
      </c>
      <c r="J1455">
        <v>0.557</v>
      </c>
      <c r="K1455">
        <v>7.53</v>
      </c>
      <c r="L1455">
        <v>0.374</v>
      </c>
      <c r="M1455">
        <v>3.472</v>
      </c>
      <c r="N1455">
        <v>239.949</v>
      </c>
      <c r="O1455">
        <v>219.159</v>
      </c>
      <c r="P1455">
        <f t="shared" si="91"/>
        <v>2.38011894432726</v>
      </c>
      <c r="Q1455">
        <f t="shared" si="91"/>
        <v>2.34075931012609</v>
      </c>
      <c r="R1455">
        <v>107.927</v>
      </c>
      <c r="S1455">
        <v>126.052</v>
      </c>
      <c r="T1455">
        <v>136.097</v>
      </c>
      <c r="U1455">
        <v>2.697</v>
      </c>
      <c r="V1455">
        <v>42.494</v>
      </c>
      <c r="W1455">
        <v>0.01</v>
      </c>
      <c r="X1455" t="s">
        <v>92</v>
      </c>
      <c r="Y1455" t="s">
        <v>31</v>
      </c>
      <c r="Z1455" s="3">
        <f t="shared" si="94"/>
        <v>0.0393596342011646</v>
      </c>
      <c r="AA1455">
        <f t="shared" si="92"/>
        <v>-0.183</v>
      </c>
      <c r="AB1455">
        <f t="shared" si="93"/>
        <v>0.411</v>
      </c>
      <c r="AC1455" t="s">
        <v>32</v>
      </c>
    </row>
    <row r="1456" spans="1:29">
      <c r="A1456" t="s">
        <v>110</v>
      </c>
      <c r="B1456">
        <v>3846.875</v>
      </c>
      <c r="C1456">
        <v>27.997</v>
      </c>
      <c r="D1456">
        <v>107.042</v>
      </c>
      <c r="E1456">
        <v>161.019</v>
      </c>
      <c r="F1456">
        <v>0.027</v>
      </c>
      <c r="G1456">
        <v>22.136</v>
      </c>
      <c r="H1456">
        <v>1.659</v>
      </c>
      <c r="I1456">
        <v>2.816</v>
      </c>
      <c r="J1456">
        <v>0.504</v>
      </c>
      <c r="K1456">
        <v>7.25</v>
      </c>
      <c r="L1456">
        <v>0.359</v>
      </c>
      <c r="M1456">
        <v>3.224</v>
      </c>
      <c r="N1456">
        <v>229.053</v>
      </c>
      <c r="O1456">
        <v>209.436</v>
      </c>
      <c r="P1456">
        <f t="shared" si="91"/>
        <v>2.35993598428025</v>
      </c>
      <c r="Q1456">
        <f t="shared" si="91"/>
        <v>2.32105133473324</v>
      </c>
      <c r="R1456">
        <v>130.053</v>
      </c>
      <c r="S1456">
        <v>152.393</v>
      </c>
      <c r="T1456">
        <v>164.696</v>
      </c>
      <c r="U1456">
        <v>2.575</v>
      </c>
      <c r="V1456">
        <v>45.15</v>
      </c>
      <c r="W1456">
        <v>0.01</v>
      </c>
      <c r="X1456" t="s">
        <v>92</v>
      </c>
      <c r="Y1456" t="s">
        <v>31</v>
      </c>
      <c r="Z1456" s="3">
        <f t="shared" si="94"/>
        <v>0.0388846495470032</v>
      </c>
      <c r="AA1456">
        <f t="shared" si="92"/>
        <v>-0.145</v>
      </c>
      <c r="AB1456">
        <f t="shared" si="93"/>
        <v>0.386</v>
      </c>
      <c r="AC1456" t="s">
        <v>32</v>
      </c>
    </row>
    <row r="1457" spans="1:29">
      <c r="A1457" t="s">
        <v>110</v>
      </c>
      <c r="B1457">
        <v>3847</v>
      </c>
      <c r="C1457">
        <v>28.278</v>
      </c>
      <c r="D1457">
        <v>107.355</v>
      </c>
      <c r="E1457">
        <v>162.454</v>
      </c>
      <c r="F1457">
        <v>0.051</v>
      </c>
      <c r="G1457">
        <v>22.206</v>
      </c>
      <c r="H1457">
        <v>1.689</v>
      </c>
      <c r="I1457">
        <v>2.803</v>
      </c>
      <c r="J1457">
        <v>0.466</v>
      </c>
      <c r="K1457">
        <v>6.942</v>
      </c>
      <c r="L1457">
        <v>0.343</v>
      </c>
      <c r="M1457">
        <v>3.071</v>
      </c>
      <c r="N1457">
        <v>218.303</v>
      </c>
      <c r="O1457">
        <v>199.905</v>
      </c>
      <c r="P1457">
        <f t="shared" si="91"/>
        <v>2.33905970398442</v>
      </c>
      <c r="Q1457">
        <f t="shared" si="91"/>
        <v>2.30082365677571</v>
      </c>
      <c r="R1457">
        <v>129.777</v>
      </c>
      <c r="S1457">
        <v>151.796</v>
      </c>
      <c r="T1457">
        <v>163.699</v>
      </c>
      <c r="U1457">
        <v>2.444</v>
      </c>
      <c r="V1457">
        <v>48.967</v>
      </c>
      <c r="W1457">
        <v>0.01</v>
      </c>
      <c r="X1457" t="s">
        <v>92</v>
      </c>
      <c r="Y1457" t="s">
        <v>31</v>
      </c>
      <c r="Z1457" s="3">
        <f t="shared" si="94"/>
        <v>0.0382360472087071</v>
      </c>
      <c r="AA1457">
        <f t="shared" si="92"/>
        <v>-0.123</v>
      </c>
      <c r="AB1457">
        <f t="shared" si="93"/>
        <v>0.394</v>
      </c>
      <c r="AC1457" t="s">
        <v>32</v>
      </c>
    </row>
    <row r="1458" spans="1:29">
      <c r="A1458" t="s">
        <v>111</v>
      </c>
      <c r="B1458">
        <v>3369</v>
      </c>
      <c r="C1458">
        <v>12.689</v>
      </c>
      <c r="D1458">
        <v>26.576</v>
      </c>
      <c r="E1458">
        <v>166.228</v>
      </c>
      <c r="F1458">
        <v>0.257</v>
      </c>
      <c r="G1458">
        <v>22.876</v>
      </c>
      <c r="H1458">
        <v>2.226</v>
      </c>
      <c r="I1458">
        <v>2.758</v>
      </c>
      <c r="J1458">
        <v>0.578</v>
      </c>
      <c r="K1458">
        <v>9.45</v>
      </c>
      <c r="L1458">
        <v>0.522</v>
      </c>
      <c r="M1458">
        <v>2.684</v>
      </c>
      <c r="N1458">
        <v>100.973</v>
      </c>
      <c r="O1458">
        <v>94.566</v>
      </c>
      <c r="P1458">
        <f t="shared" si="91"/>
        <v>2.00420525973689</v>
      </c>
      <c r="Q1458">
        <f t="shared" si="91"/>
        <v>1.97573501941942</v>
      </c>
      <c r="R1458">
        <v>53.79</v>
      </c>
      <c r="S1458">
        <v>56.372</v>
      </c>
      <c r="T1458">
        <v>57.6</v>
      </c>
      <c r="U1458">
        <v>2.811</v>
      </c>
      <c r="V1458">
        <v>100</v>
      </c>
      <c r="W1458">
        <v>0.1</v>
      </c>
      <c r="X1458" t="s">
        <v>92</v>
      </c>
      <c r="Y1458" t="s">
        <v>31</v>
      </c>
      <c r="Z1458" s="3">
        <f t="shared" si="94"/>
        <v>0.0284702403174708</v>
      </c>
      <c r="AA1458">
        <f t="shared" si="92"/>
        <v>-0.0559999999999999</v>
      </c>
      <c r="AB1458">
        <f t="shared" si="93"/>
        <v>0.779</v>
      </c>
      <c r="AC1458" t="s">
        <v>32</v>
      </c>
    </row>
    <row r="1459" spans="1:29">
      <c r="A1459" t="s">
        <v>111</v>
      </c>
      <c r="B1459">
        <v>3369.125</v>
      </c>
      <c r="C1459">
        <v>12.695</v>
      </c>
      <c r="D1459">
        <v>26.013</v>
      </c>
      <c r="E1459">
        <v>162.327</v>
      </c>
      <c r="F1459">
        <v>0.201</v>
      </c>
      <c r="G1459">
        <v>22.842</v>
      </c>
      <c r="H1459">
        <v>2.219</v>
      </c>
      <c r="I1459">
        <v>2.745</v>
      </c>
      <c r="J1459">
        <v>0.549</v>
      </c>
      <c r="K1459">
        <v>9.494</v>
      </c>
      <c r="L1459">
        <v>0.525</v>
      </c>
      <c r="M1459">
        <v>2.701</v>
      </c>
      <c r="N1459">
        <v>102.605</v>
      </c>
      <c r="O1459">
        <v>95.691</v>
      </c>
      <c r="P1459">
        <f t="shared" si="91"/>
        <v>2.01116852470855</v>
      </c>
      <c r="Q1459">
        <f t="shared" si="91"/>
        <v>1.98087109311497</v>
      </c>
      <c r="R1459">
        <v>53.44</v>
      </c>
      <c r="S1459">
        <v>56.164</v>
      </c>
      <c r="T1459">
        <v>57.48</v>
      </c>
      <c r="U1459">
        <v>3.149</v>
      </c>
      <c r="V1459">
        <v>100</v>
      </c>
      <c r="W1459">
        <v>0.105</v>
      </c>
      <c r="X1459" t="s">
        <v>92</v>
      </c>
      <c r="Y1459" t="s">
        <v>31</v>
      </c>
      <c r="Z1459" s="3">
        <f t="shared" si="94"/>
        <v>0.030297431593574</v>
      </c>
      <c r="AA1459">
        <f t="shared" si="92"/>
        <v>-0.024</v>
      </c>
      <c r="AB1459">
        <f t="shared" si="93"/>
        <v>0.726</v>
      </c>
      <c r="AC1459" t="s">
        <v>32</v>
      </c>
    </row>
    <row r="1460" spans="1:29">
      <c r="A1460" t="s">
        <v>111</v>
      </c>
      <c r="B1460">
        <v>3369.25</v>
      </c>
      <c r="C1460">
        <v>13.062</v>
      </c>
      <c r="D1460">
        <v>25.591</v>
      </c>
      <c r="E1460">
        <v>157.933</v>
      </c>
      <c r="F1460">
        <v>0.139</v>
      </c>
      <c r="G1460">
        <v>22.818</v>
      </c>
      <c r="H1460">
        <v>2.245</v>
      </c>
      <c r="I1460">
        <v>2.729</v>
      </c>
      <c r="J1460">
        <v>0.514</v>
      </c>
      <c r="K1460">
        <v>9.514</v>
      </c>
      <c r="L1460">
        <v>0.526</v>
      </c>
      <c r="M1460">
        <v>2.699</v>
      </c>
      <c r="N1460">
        <v>107.685</v>
      </c>
      <c r="O1460">
        <v>100.371</v>
      </c>
      <c r="P1460">
        <f t="shared" si="91"/>
        <v>2.03215521238878</v>
      </c>
      <c r="Q1460">
        <f t="shared" si="91"/>
        <v>2.0016082510634</v>
      </c>
      <c r="R1460">
        <v>48.911</v>
      </c>
      <c r="S1460">
        <v>51.618</v>
      </c>
      <c r="T1460">
        <v>52.963</v>
      </c>
      <c r="U1460">
        <v>3.513</v>
      </c>
      <c r="V1460">
        <v>100</v>
      </c>
      <c r="W1460">
        <v>0.153</v>
      </c>
      <c r="X1460" t="s">
        <v>92</v>
      </c>
      <c r="Y1460" t="s">
        <v>31</v>
      </c>
      <c r="Z1460" s="3">
        <f t="shared" si="94"/>
        <v>0.030546961325379</v>
      </c>
      <c r="AA1460">
        <f t="shared" si="92"/>
        <v>0.012</v>
      </c>
      <c r="AB1460">
        <f t="shared" si="93"/>
        <v>0.665</v>
      </c>
      <c r="AC1460" t="s">
        <v>32</v>
      </c>
    </row>
    <row r="1461" spans="1:29">
      <c r="A1461" t="s">
        <v>111</v>
      </c>
      <c r="B1461">
        <v>3369.375</v>
      </c>
      <c r="C1461">
        <v>13.5</v>
      </c>
      <c r="D1461">
        <v>25.422</v>
      </c>
      <c r="E1461">
        <v>156.034</v>
      </c>
      <c r="F1461">
        <v>0.112</v>
      </c>
      <c r="G1461">
        <v>22.812</v>
      </c>
      <c r="H1461">
        <v>2.296</v>
      </c>
      <c r="I1461">
        <v>2.714</v>
      </c>
      <c r="J1461">
        <v>0.481</v>
      </c>
      <c r="K1461">
        <v>9.516</v>
      </c>
      <c r="L1461">
        <v>0.526</v>
      </c>
      <c r="M1461">
        <v>2.73</v>
      </c>
      <c r="N1461">
        <v>113.478</v>
      </c>
      <c r="O1461">
        <v>106.211</v>
      </c>
      <c r="P1461">
        <f t="shared" si="91"/>
        <v>2.05491167294142</v>
      </c>
      <c r="Q1461">
        <f t="shared" si="91"/>
        <v>2.02616949783687</v>
      </c>
      <c r="R1461">
        <v>42.079</v>
      </c>
      <c r="S1461">
        <v>44.442</v>
      </c>
      <c r="T1461">
        <v>45.716</v>
      </c>
      <c r="U1461">
        <v>3.8</v>
      </c>
      <c r="V1461">
        <v>100</v>
      </c>
      <c r="W1461">
        <v>0.216</v>
      </c>
      <c r="X1461" t="s">
        <v>92</v>
      </c>
      <c r="Y1461" t="s">
        <v>31</v>
      </c>
      <c r="Z1461" s="3">
        <f t="shared" si="94"/>
        <v>0.0287421751045471</v>
      </c>
      <c r="AA1461">
        <f t="shared" si="92"/>
        <v>0.045</v>
      </c>
      <c r="AB1461">
        <f t="shared" si="93"/>
        <v>0.638</v>
      </c>
      <c r="AC1461" t="s">
        <v>32</v>
      </c>
    </row>
    <row r="1462" spans="1:29">
      <c r="A1462" t="s">
        <v>111</v>
      </c>
      <c r="B1462">
        <v>3369.5</v>
      </c>
      <c r="C1462">
        <v>13.896</v>
      </c>
      <c r="D1462">
        <v>25.51</v>
      </c>
      <c r="E1462">
        <v>155.941</v>
      </c>
      <c r="F1462">
        <v>0.111</v>
      </c>
      <c r="G1462">
        <v>22.817</v>
      </c>
      <c r="H1462">
        <v>2.353</v>
      </c>
      <c r="I1462">
        <v>2.702</v>
      </c>
      <c r="J1462">
        <v>0.455</v>
      </c>
      <c r="K1462">
        <v>9.487</v>
      </c>
      <c r="L1462">
        <v>0.524</v>
      </c>
      <c r="M1462">
        <v>2.766</v>
      </c>
      <c r="N1462">
        <v>117.305</v>
      </c>
      <c r="O1462">
        <v>110.515</v>
      </c>
      <c r="P1462">
        <f t="shared" si="91"/>
        <v>2.06931652384725</v>
      </c>
      <c r="Q1462">
        <f t="shared" si="91"/>
        <v>2.04342122802216</v>
      </c>
      <c r="R1462">
        <v>33.066</v>
      </c>
      <c r="S1462">
        <v>34.834</v>
      </c>
      <c r="T1462">
        <v>35.719</v>
      </c>
      <c r="U1462">
        <v>4.001</v>
      </c>
      <c r="V1462">
        <v>100</v>
      </c>
      <c r="W1462">
        <v>0.27</v>
      </c>
      <c r="X1462" t="s">
        <v>92</v>
      </c>
      <c r="Y1462" t="s">
        <v>31</v>
      </c>
      <c r="Z1462" s="3">
        <f t="shared" si="94"/>
        <v>0.02589529582509</v>
      </c>
      <c r="AA1462">
        <f t="shared" si="92"/>
        <v>0.069</v>
      </c>
      <c r="AB1462">
        <f t="shared" si="93"/>
        <v>0.635</v>
      </c>
      <c r="AC1462" t="s">
        <v>32</v>
      </c>
    </row>
    <row r="1463" spans="1:29">
      <c r="A1463" t="s">
        <v>111</v>
      </c>
      <c r="B1463">
        <v>3369.625</v>
      </c>
      <c r="C1463">
        <v>14.187</v>
      </c>
      <c r="D1463">
        <v>25.755</v>
      </c>
      <c r="E1463">
        <v>156.608</v>
      </c>
      <c r="F1463">
        <v>0.12</v>
      </c>
      <c r="G1463">
        <v>22.829</v>
      </c>
      <c r="H1463">
        <v>2.411</v>
      </c>
      <c r="I1463">
        <v>2.696</v>
      </c>
      <c r="J1463">
        <v>0.442</v>
      </c>
      <c r="K1463">
        <v>9.498</v>
      </c>
      <c r="L1463">
        <v>0.525</v>
      </c>
      <c r="M1463">
        <v>2.739</v>
      </c>
      <c r="N1463">
        <v>117.68</v>
      </c>
      <c r="O1463">
        <v>111.559</v>
      </c>
      <c r="P1463">
        <f t="shared" si="91"/>
        <v>2.07070265971947</v>
      </c>
      <c r="Q1463">
        <f t="shared" si="91"/>
        <v>2.04750461265364</v>
      </c>
      <c r="R1463">
        <v>21.962</v>
      </c>
      <c r="S1463">
        <v>22.966</v>
      </c>
      <c r="T1463">
        <v>23.444</v>
      </c>
      <c r="U1463">
        <v>4.165</v>
      </c>
      <c r="V1463">
        <v>100</v>
      </c>
      <c r="W1463">
        <v>0.322</v>
      </c>
      <c r="X1463" t="s">
        <v>92</v>
      </c>
      <c r="Y1463" t="s">
        <v>31</v>
      </c>
      <c r="Z1463" s="3">
        <f t="shared" si="94"/>
        <v>0.0231980470658377</v>
      </c>
      <c r="AA1463">
        <f t="shared" si="92"/>
        <v>0.083</v>
      </c>
      <c r="AB1463">
        <f t="shared" si="93"/>
        <v>0.645</v>
      </c>
      <c r="AC1463" t="s">
        <v>32</v>
      </c>
    </row>
    <row r="1464" spans="1:29">
      <c r="A1464" t="s">
        <v>111</v>
      </c>
      <c r="B1464">
        <v>3369.75</v>
      </c>
      <c r="C1464">
        <v>14.391</v>
      </c>
      <c r="D1464">
        <v>26.031</v>
      </c>
      <c r="E1464">
        <v>158.33</v>
      </c>
      <c r="F1464">
        <v>0.145</v>
      </c>
      <c r="G1464">
        <v>22.851</v>
      </c>
      <c r="H1464">
        <v>2.467</v>
      </c>
      <c r="I1464">
        <v>2.694</v>
      </c>
      <c r="J1464">
        <v>0.438</v>
      </c>
      <c r="K1464">
        <v>9.653</v>
      </c>
      <c r="L1464">
        <v>0.535</v>
      </c>
      <c r="M1464">
        <v>2.766</v>
      </c>
      <c r="N1464">
        <v>115.236</v>
      </c>
      <c r="O1464">
        <v>109.657</v>
      </c>
      <c r="P1464">
        <f t="shared" ref="P1464:Q1527" si="95">LOG(N1464)</f>
        <v>2.06158817491142</v>
      </c>
      <c r="Q1464">
        <f t="shared" si="95"/>
        <v>2.04003636026652</v>
      </c>
      <c r="R1464">
        <v>16.9</v>
      </c>
      <c r="S1464">
        <v>17.638</v>
      </c>
      <c r="T1464">
        <v>18.008</v>
      </c>
      <c r="U1464">
        <v>4.354</v>
      </c>
      <c r="V1464">
        <v>100</v>
      </c>
      <c r="W1464">
        <v>0.392</v>
      </c>
      <c r="X1464" t="s">
        <v>92</v>
      </c>
      <c r="Y1464" t="s">
        <v>31</v>
      </c>
      <c r="Z1464" s="3">
        <f t="shared" si="94"/>
        <v>0.0215518146448961</v>
      </c>
      <c r="AA1464">
        <f t="shared" si="92"/>
        <v>0.097</v>
      </c>
      <c r="AB1464">
        <f t="shared" si="93"/>
        <v>0.68</v>
      </c>
      <c r="AC1464" t="s">
        <v>32</v>
      </c>
    </row>
    <row r="1465" spans="1:29">
      <c r="A1465" t="s">
        <v>111</v>
      </c>
      <c r="B1465">
        <v>3369.875</v>
      </c>
      <c r="C1465">
        <v>14.711</v>
      </c>
      <c r="D1465">
        <v>26.302</v>
      </c>
      <c r="E1465">
        <v>160.973</v>
      </c>
      <c r="F1465">
        <v>0.182</v>
      </c>
      <c r="G1465">
        <v>22.878</v>
      </c>
      <c r="H1465">
        <v>2.53</v>
      </c>
      <c r="I1465">
        <v>2.692</v>
      </c>
      <c r="J1465">
        <v>0.433</v>
      </c>
      <c r="K1465">
        <v>9.959</v>
      </c>
      <c r="L1465">
        <v>0.554</v>
      </c>
      <c r="M1465">
        <v>2.72</v>
      </c>
      <c r="N1465">
        <v>111.393</v>
      </c>
      <c r="O1465">
        <v>106.104</v>
      </c>
      <c r="P1465">
        <f t="shared" si="95"/>
        <v>2.04685790038088</v>
      </c>
      <c r="Q1465">
        <f t="shared" si="95"/>
        <v>2.02573175661748</v>
      </c>
      <c r="R1465">
        <v>15.857</v>
      </c>
      <c r="S1465">
        <v>16.604</v>
      </c>
      <c r="T1465">
        <v>17.029</v>
      </c>
      <c r="U1465">
        <v>4.529</v>
      </c>
      <c r="V1465">
        <v>100</v>
      </c>
      <c r="W1465">
        <v>0.465</v>
      </c>
      <c r="X1465" t="s">
        <v>92</v>
      </c>
      <c r="Y1465" t="s">
        <v>31</v>
      </c>
      <c r="Z1465" s="3">
        <f t="shared" si="94"/>
        <v>0.0211261437633996</v>
      </c>
      <c r="AA1465">
        <f t="shared" si="92"/>
        <v>0.121</v>
      </c>
      <c r="AB1465">
        <f t="shared" si="93"/>
        <v>0.736</v>
      </c>
      <c r="AC1465" t="s">
        <v>32</v>
      </c>
    </row>
    <row r="1466" spans="1:29">
      <c r="A1466" t="s">
        <v>111</v>
      </c>
      <c r="B1466">
        <v>3370</v>
      </c>
      <c r="C1466">
        <v>15.307</v>
      </c>
      <c r="D1466">
        <v>26.594</v>
      </c>
      <c r="E1466">
        <v>163.607</v>
      </c>
      <c r="F1466">
        <v>0.22</v>
      </c>
      <c r="G1466">
        <v>22.887</v>
      </c>
      <c r="H1466">
        <v>2.606</v>
      </c>
      <c r="I1466">
        <v>2.69</v>
      </c>
      <c r="J1466">
        <v>0.429</v>
      </c>
      <c r="K1466">
        <v>10.316</v>
      </c>
      <c r="L1466">
        <v>0.577</v>
      </c>
      <c r="M1466">
        <v>2.591</v>
      </c>
      <c r="N1466">
        <v>107.482</v>
      </c>
      <c r="O1466">
        <v>102.135</v>
      </c>
      <c r="P1466">
        <f t="shared" si="95"/>
        <v>2.0313357390868</v>
      </c>
      <c r="Q1466">
        <f t="shared" si="95"/>
        <v>2.00917459323402</v>
      </c>
      <c r="R1466">
        <v>19.319</v>
      </c>
      <c r="S1466">
        <v>20.512</v>
      </c>
      <c r="T1466">
        <v>21.264</v>
      </c>
      <c r="U1466">
        <v>4.574</v>
      </c>
      <c r="V1466">
        <v>100</v>
      </c>
      <c r="W1466">
        <v>0.486</v>
      </c>
      <c r="X1466" t="s">
        <v>92</v>
      </c>
      <c r="Y1466" t="s">
        <v>31</v>
      </c>
      <c r="Z1466" s="3">
        <f t="shared" si="94"/>
        <v>0.0221611458527717</v>
      </c>
      <c r="AA1466">
        <f t="shared" ref="AA1466:AA1529" si="96">L1466-J1466</f>
        <v>0.148</v>
      </c>
      <c r="AB1466">
        <f t="shared" ref="AB1466:AB1529" si="97">L1466+F1466</f>
        <v>0.797</v>
      </c>
      <c r="AC1466" t="s">
        <v>32</v>
      </c>
    </row>
    <row r="1467" spans="1:29">
      <c r="A1467" t="s">
        <v>111</v>
      </c>
      <c r="B1467">
        <v>3370.125</v>
      </c>
      <c r="C1467">
        <v>15.96</v>
      </c>
      <c r="D1467">
        <v>26.959</v>
      </c>
      <c r="E1467">
        <v>165.746</v>
      </c>
      <c r="F1467">
        <v>0.25</v>
      </c>
      <c r="G1467">
        <v>22.873</v>
      </c>
      <c r="H1467">
        <v>2.702</v>
      </c>
      <c r="I1467">
        <v>2.692</v>
      </c>
      <c r="J1467">
        <v>0.433</v>
      </c>
      <c r="K1467">
        <v>10.572</v>
      </c>
      <c r="L1467">
        <v>0.593</v>
      </c>
      <c r="M1467">
        <v>2.641</v>
      </c>
      <c r="N1467">
        <v>104.922</v>
      </c>
      <c r="O1467">
        <v>99.151</v>
      </c>
      <c r="P1467">
        <f t="shared" si="95"/>
        <v>2.02086656042275</v>
      </c>
      <c r="Q1467">
        <f t="shared" si="95"/>
        <v>1.99629709869555</v>
      </c>
      <c r="R1467">
        <v>30.933</v>
      </c>
      <c r="S1467">
        <v>33.481</v>
      </c>
      <c r="T1467">
        <v>34.998</v>
      </c>
      <c r="U1467">
        <v>4.357</v>
      </c>
      <c r="V1467">
        <v>100</v>
      </c>
      <c r="W1467">
        <v>0.395</v>
      </c>
      <c r="X1467" t="s">
        <v>92</v>
      </c>
      <c r="Y1467" t="s">
        <v>31</v>
      </c>
      <c r="Z1467" s="3">
        <f t="shared" si="94"/>
        <v>0.0245694617272005</v>
      </c>
      <c r="AA1467">
        <f t="shared" si="96"/>
        <v>0.16</v>
      </c>
      <c r="AB1467">
        <f t="shared" si="97"/>
        <v>0.843</v>
      </c>
      <c r="AC1467" t="s">
        <v>32</v>
      </c>
    </row>
    <row r="1468" spans="1:29">
      <c r="A1468" t="s">
        <v>111</v>
      </c>
      <c r="B1468">
        <v>3370.25</v>
      </c>
      <c r="C1468">
        <v>16.257</v>
      </c>
      <c r="D1468">
        <v>27.406</v>
      </c>
      <c r="E1468">
        <v>166.985</v>
      </c>
      <c r="F1468">
        <v>0.267</v>
      </c>
      <c r="G1468">
        <v>22.844</v>
      </c>
      <c r="H1468">
        <v>2.784</v>
      </c>
      <c r="I1468">
        <v>2.702</v>
      </c>
      <c r="J1468">
        <v>0.455</v>
      </c>
      <c r="K1468">
        <v>10.65</v>
      </c>
      <c r="L1468">
        <v>0.598</v>
      </c>
      <c r="M1468">
        <v>2.714</v>
      </c>
      <c r="N1468">
        <v>104.76</v>
      </c>
      <c r="O1468">
        <v>98.201</v>
      </c>
      <c r="P1468">
        <f t="shared" si="95"/>
        <v>2.02019548975319</v>
      </c>
      <c r="Q1468">
        <f t="shared" si="95"/>
        <v>1.99211591031516</v>
      </c>
      <c r="R1468">
        <v>61.543</v>
      </c>
      <c r="S1468">
        <v>67.527</v>
      </c>
      <c r="T1468">
        <v>71.232</v>
      </c>
      <c r="U1468">
        <v>3.818</v>
      </c>
      <c r="V1468">
        <v>100</v>
      </c>
      <c r="W1468">
        <v>0.219</v>
      </c>
      <c r="X1468" t="s">
        <v>92</v>
      </c>
      <c r="Y1468" t="s">
        <v>31</v>
      </c>
      <c r="Z1468" s="3">
        <f t="shared" si="94"/>
        <v>0.0280795794380306</v>
      </c>
      <c r="AA1468">
        <f t="shared" si="96"/>
        <v>0.143</v>
      </c>
      <c r="AB1468">
        <f t="shared" si="97"/>
        <v>0.865</v>
      </c>
      <c r="AC1468" t="s">
        <v>32</v>
      </c>
    </row>
    <row r="1469" spans="1:29">
      <c r="A1469" t="s">
        <v>111</v>
      </c>
      <c r="B1469">
        <v>3370.375</v>
      </c>
      <c r="C1469">
        <v>16.278</v>
      </c>
      <c r="D1469">
        <v>27.931</v>
      </c>
      <c r="E1469">
        <v>166.133</v>
      </c>
      <c r="F1469">
        <v>0.255</v>
      </c>
      <c r="G1469">
        <v>22.828</v>
      </c>
      <c r="H1469">
        <v>2.84</v>
      </c>
      <c r="I1469">
        <v>2.723</v>
      </c>
      <c r="J1469">
        <v>0.501</v>
      </c>
      <c r="K1469">
        <v>10.445</v>
      </c>
      <c r="L1469">
        <v>0.585</v>
      </c>
      <c r="M1469">
        <v>2.701</v>
      </c>
      <c r="N1469">
        <v>108.421</v>
      </c>
      <c r="O1469">
        <v>100.614</v>
      </c>
      <c r="P1469">
        <f t="shared" si="95"/>
        <v>2.03511340859371</v>
      </c>
      <c r="Q1469">
        <f t="shared" si="95"/>
        <v>2.00265841511072</v>
      </c>
      <c r="R1469">
        <v>182.426</v>
      </c>
      <c r="S1469">
        <v>196.355</v>
      </c>
      <c r="T1469">
        <v>211.348</v>
      </c>
      <c r="U1469">
        <v>3.024</v>
      </c>
      <c r="V1469">
        <v>100</v>
      </c>
      <c r="W1469">
        <v>0.108</v>
      </c>
      <c r="X1469" t="s">
        <v>92</v>
      </c>
      <c r="Y1469" t="s">
        <v>31</v>
      </c>
      <c r="Z1469" s="3">
        <f t="shared" si="94"/>
        <v>0.0324549934829887</v>
      </c>
      <c r="AA1469">
        <f t="shared" si="96"/>
        <v>0.084</v>
      </c>
      <c r="AB1469">
        <f t="shared" si="97"/>
        <v>0.84</v>
      </c>
      <c r="AC1469" t="s">
        <v>32</v>
      </c>
    </row>
    <row r="1470" spans="1:29">
      <c r="A1470" t="s">
        <v>111</v>
      </c>
      <c r="B1470">
        <v>3370.5</v>
      </c>
      <c r="C1470">
        <v>17.233</v>
      </c>
      <c r="D1470">
        <v>28.577</v>
      </c>
      <c r="E1470">
        <v>163.629</v>
      </c>
      <c r="F1470">
        <v>0.22</v>
      </c>
      <c r="G1470">
        <v>22.836</v>
      </c>
      <c r="H1470">
        <v>2.922</v>
      </c>
      <c r="I1470">
        <v>2.751</v>
      </c>
      <c r="J1470">
        <v>0.562</v>
      </c>
      <c r="K1470">
        <v>9.999</v>
      </c>
      <c r="L1470">
        <v>0.557</v>
      </c>
      <c r="M1470">
        <v>2.686</v>
      </c>
      <c r="N1470">
        <v>116.445</v>
      </c>
      <c r="O1470">
        <v>106.846</v>
      </c>
      <c r="P1470">
        <f t="shared" si="95"/>
        <v>2.0661208452191</v>
      </c>
      <c r="Q1470">
        <f t="shared" si="95"/>
        <v>2.0287582680963</v>
      </c>
      <c r="R1470">
        <v>575.379</v>
      </c>
      <c r="S1470">
        <v>523.613</v>
      </c>
      <c r="T1470">
        <v>596.747</v>
      </c>
      <c r="U1470">
        <v>2.256</v>
      </c>
      <c r="V1470">
        <v>100</v>
      </c>
      <c r="W1470">
        <v>0.1</v>
      </c>
      <c r="X1470" t="s">
        <v>92</v>
      </c>
      <c r="Y1470" t="s">
        <v>31</v>
      </c>
      <c r="Z1470" s="3">
        <f t="shared" si="94"/>
        <v>0.0373625771227966</v>
      </c>
      <c r="AA1470">
        <f t="shared" si="96"/>
        <v>-0.005</v>
      </c>
      <c r="AB1470">
        <f t="shared" si="97"/>
        <v>0.777</v>
      </c>
      <c r="AC1470" t="s">
        <v>32</v>
      </c>
    </row>
    <row r="1471" spans="1:29">
      <c r="A1471" t="s">
        <v>111</v>
      </c>
      <c r="B1471">
        <v>3370.625</v>
      </c>
      <c r="C1471">
        <v>19.702</v>
      </c>
      <c r="D1471">
        <v>29.476</v>
      </c>
      <c r="E1471">
        <v>160.237</v>
      </c>
      <c r="F1471">
        <v>0.172</v>
      </c>
      <c r="G1471">
        <v>22.863</v>
      </c>
      <c r="H1471">
        <v>3.116</v>
      </c>
      <c r="I1471">
        <v>2.781</v>
      </c>
      <c r="J1471">
        <v>0.628</v>
      </c>
      <c r="K1471">
        <v>9.436</v>
      </c>
      <c r="L1471">
        <v>0.521</v>
      </c>
      <c r="M1471">
        <v>2.727</v>
      </c>
      <c r="N1471">
        <v>130.246</v>
      </c>
      <c r="O1471">
        <v>118.105</v>
      </c>
      <c r="P1471">
        <f t="shared" si="95"/>
        <v>2.1147643945082</v>
      </c>
      <c r="Q1471">
        <f t="shared" si="95"/>
        <v>2.07226828395089</v>
      </c>
      <c r="R1471">
        <v>597.439</v>
      </c>
      <c r="S1471">
        <v>601.139</v>
      </c>
      <c r="T1471">
        <v>703.542</v>
      </c>
      <c r="U1471">
        <v>1.717</v>
      </c>
      <c r="V1471">
        <v>100</v>
      </c>
      <c r="W1471">
        <v>0.1</v>
      </c>
      <c r="X1471" t="s">
        <v>92</v>
      </c>
      <c r="Y1471" t="s">
        <v>31</v>
      </c>
      <c r="Z1471" s="3">
        <f t="shared" si="94"/>
        <v>0.0424961105573121</v>
      </c>
      <c r="AA1471">
        <f t="shared" si="96"/>
        <v>-0.107</v>
      </c>
      <c r="AB1471">
        <f t="shared" si="97"/>
        <v>0.693</v>
      </c>
      <c r="AC1471" t="s">
        <v>32</v>
      </c>
    </row>
    <row r="1472" spans="1:29">
      <c r="A1472" t="s">
        <v>111</v>
      </c>
      <c r="B1472">
        <v>3370.75</v>
      </c>
      <c r="C1472">
        <v>22.745</v>
      </c>
      <c r="D1472">
        <v>30.888</v>
      </c>
      <c r="E1472">
        <v>156.413</v>
      </c>
      <c r="F1472">
        <v>0.118</v>
      </c>
      <c r="G1472">
        <v>22.911</v>
      </c>
      <c r="H1472">
        <v>3.303</v>
      </c>
      <c r="I1472">
        <v>2.801</v>
      </c>
      <c r="J1472">
        <v>0.672</v>
      </c>
      <c r="K1472">
        <v>8.912</v>
      </c>
      <c r="L1472">
        <v>0.488</v>
      </c>
      <c r="M1472">
        <v>2.739</v>
      </c>
      <c r="N1472">
        <v>152.224</v>
      </c>
      <c r="O1472">
        <v>136.415</v>
      </c>
      <c r="P1472">
        <f t="shared" si="95"/>
        <v>2.18248312973981</v>
      </c>
      <c r="Q1472">
        <f t="shared" si="95"/>
        <v>2.13486212735167</v>
      </c>
      <c r="R1472">
        <v>595.287</v>
      </c>
      <c r="S1472">
        <v>603.507</v>
      </c>
      <c r="T1472">
        <v>707.049</v>
      </c>
      <c r="U1472">
        <v>1.466</v>
      </c>
      <c r="V1472">
        <v>100</v>
      </c>
      <c r="W1472">
        <v>0.1</v>
      </c>
      <c r="X1472" t="s">
        <v>92</v>
      </c>
      <c r="Y1472" t="s">
        <v>31</v>
      </c>
      <c r="Z1472" s="3">
        <f t="shared" si="94"/>
        <v>0.0476210023881354</v>
      </c>
      <c r="AA1472">
        <f t="shared" si="96"/>
        <v>-0.184</v>
      </c>
      <c r="AB1472">
        <f t="shared" si="97"/>
        <v>0.606</v>
      </c>
      <c r="AC1472" t="s">
        <v>32</v>
      </c>
    </row>
    <row r="1473" spans="1:29">
      <c r="A1473" t="s">
        <v>111</v>
      </c>
      <c r="B1473">
        <v>3370.875</v>
      </c>
      <c r="C1473">
        <v>24.558</v>
      </c>
      <c r="D1473">
        <v>32.964</v>
      </c>
      <c r="E1473">
        <v>152.577</v>
      </c>
      <c r="F1473">
        <v>0.063</v>
      </c>
      <c r="G1473">
        <v>23.015</v>
      </c>
      <c r="H1473">
        <v>3.365</v>
      </c>
      <c r="I1473">
        <v>2.809</v>
      </c>
      <c r="J1473">
        <v>0.689</v>
      </c>
      <c r="K1473">
        <v>8.45</v>
      </c>
      <c r="L1473">
        <v>0.459</v>
      </c>
      <c r="M1473">
        <v>2.723</v>
      </c>
      <c r="N1473">
        <v>182.929</v>
      </c>
      <c r="O1473">
        <v>162.136</v>
      </c>
      <c r="P1473">
        <f t="shared" si="95"/>
        <v>2.26228256026924</v>
      </c>
      <c r="Q1473">
        <f t="shared" si="95"/>
        <v>2.20987945448762</v>
      </c>
      <c r="R1473">
        <v>666.414</v>
      </c>
      <c r="S1473">
        <v>647.168</v>
      </c>
      <c r="T1473">
        <v>706.842</v>
      </c>
      <c r="U1473">
        <v>1.459</v>
      </c>
      <c r="V1473">
        <v>100</v>
      </c>
      <c r="W1473">
        <v>0.1</v>
      </c>
      <c r="X1473" t="s">
        <v>92</v>
      </c>
      <c r="Y1473" t="s">
        <v>31</v>
      </c>
      <c r="Z1473" s="3">
        <f t="shared" si="94"/>
        <v>0.0524031057816163</v>
      </c>
      <c r="AA1473">
        <f t="shared" si="96"/>
        <v>-0.23</v>
      </c>
      <c r="AB1473">
        <f t="shared" si="97"/>
        <v>0.522</v>
      </c>
      <c r="AC1473" t="s">
        <v>32</v>
      </c>
    </row>
    <row r="1474" spans="1:29">
      <c r="A1474" t="s">
        <v>111</v>
      </c>
      <c r="B1474">
        <v>3371</v>
      </c>
      <c r="C1474">
        <v>24.445</v>
      </c>
      <c r="D1474">
        <v>35.692</v>
      </c>
      <c r="E1474">
        <v>149.501</v>
      </c>
      <c r="F1474">
        <v>0.02</v>
      </c>
      <c r="G1474">
        <v>23.215</v>
      </c>
      <c r="H1474">
        <v>3.3</v>
      </c>
      <c r="I1474">
        <v>2.803</v>
      </c>
      <c r="J1474">
        <v>0.676</v>
      </c>
      <c r="K1474">
        <v>8.065</v>
      </c>
      <c r="L1474">
        <v>0.435</v>
      </c>
      <c r="M1474">
        <v>2.742</v>
      </c>
      <c r="N1474">
        <v>221.994</v>
      </c>
      <c r="O1474">
        <v>194.954</v>
      </c>
      <c r="P1474">
        <f t="shared" si="95"/>
        <v>2.34634123660332</v>
      </c>
      <c r="Q1474">
        <f t="shared" si="95"/>
        <v>2.28993215032219</v>
      </c>
      <c r="R1474">
        <v>793.744</v>
      </c>
      <c r="S1474">
        <v>711.955</v>
      </c>
      <c r="T1474">
        <v>716.324</v>
      </c>
      <c r="U1474">
        <v>1.699</v>
      </c>
      <c r="V1474">
        <v>100</v>
      </c>
      <c r="W1474">
        <v>0.1</v>
      </c>
      <c r="X1474" t="s">
        <v>92</v>
      </c>
      <c r="Y1474" t="s">
        <v>31</v>
      </c>
      <c r="Z1474" s="3">
        <f t="shared" si="94"/>
        <v>0.0564090862811288</v>
      </c>
      <c r="AA1474">
        <f t="shared" si="96"/>
        <v>-0.241</v>
      </c>
      <c r="AB1474">
        <f t="shared" si="97"/>
        <v>0.455</v>
      </c>
      <c r="AC1474" t="s">
        <v>32</v>
      </c>
    </row>
    <row r="1475" spans="1:29">
      <c r="A1475" t="s">
        <v>112</v>
      </c>
      <c r="B1475">
        <v>3840</v>
      </c>
      <c r="C1475">
        <v>35.743</v>
      </c>
      <c r="D1475">
        <v>60.718</v>
      </c>
      <c r="E1475">
        <v>167.096</v>
      </c>
      <c r="F1475">
        <v>0.104</v>
      </c>
      <c r="G1475">
        <v>22.136</v>
      </c>
      <c r="H1475">
        <v>2.3</v>
      </c>
      <c r="I1475">
        <v>2.68</v>
      </c>
      <c r="J1475">
        <v>0.513</v>
      </c>
      <c r="K1475">
        <v>5.869</v>
      </c>
      <c r="L1475">
        <v>0.493</v>
      </c>
      <c r="M1475">
        <v>2.538</v>
      </c>
      <c r="N1475">
        <v>323.262</v>
      </c>
      <c r="O1475">
        <v>304.513</v>
      </c>
      <c r="P1475">
        <f t="shared" si="95"/>
        <v>2.50955465555414</v>
      </c>
      <c r="Q1475">
        <f t="shared" si="95"/>
        <v>2.48360583788104</v>
      </c>
      <c r="R1475">
        <v>155.921</v>
      </c>
      <c r="S1475">
        <v>163.268</v>
      </c>
      <c r="T1475">
        <v>171.5</v>
      </c>
      <c r="U1475">
        <v>2.939</v>
      </c>
      <c r="V1475">
        <v>61.018</v>
      </c>
      <c r="W1475">
        <v>0.1</v>
      </c>
      <c r="X1475" t="s">
        <v>92</v>
      </c>
      <c r="Y1475" t="s">
        <v>31</v>
      </c>
      <c r="Z1475" s="3">
        <f t="shared" si="94"/>
        <v>0.0259488176730938</v>
      </c>
      <c r="AA1475">
        <f t="shared" si="96"/>
        <v>-0.02</v>
      </c>
      <c r="AB1475">
        <f t="shared" si="97"/>
        <v>0.597</v>
      </c>
      <c r="AC1475" t="s">
        <v>32</v>
      </c>
    </row>
    <row r="1476" spans="1:29">
      <c r="A1476" t="s">
        <v>112</v>
      </c>
      <c r="B1476">
        <v>3840.125</v>
      </c>
      <c r="C1476">
        <v>31.126</v>
      </c>
      <c r="D1476">
        <v>60.553</v>
      </c>
      <c r="E1476">
        <v>168.978</v>
      </c>
      <c r="F1476">
        <v>0.132</v>
      </c>
      <c r="G1476">
        <v>22.067</v>
      </c>
      <c r="H1476">
        <v>2.212</v>
      </c>
      <c r="I1476">
        <v>2.681</v>
      </c>
      <c r="J1476">
        <v>0.516</v>
      </c>
      <c r="K1476">
        <v>5.669</v>
      </c>
      <c r="L1476">
        <v>0.474</v>
      </c>
      <c r="M1476">
        <v>2.508</v>
      </c>
      <c r="N1476">
        <v>294.017</v>
      </c>
      <c r="O1476">
        <v>276.964</v>
      </c>
      <c r="P1476">
        <f t="shared" si="95"/>
        <v>2.46837244195211</v>
      </c>
      <c r="Q1476">
        <f t="shared" si="95"/>
        <v>2.44242332279223</v>
      </c>
      <c r="R1476">
        <v>158.457</v>
      </c>
      <c r="S1476">
        <v>165.924</v>
      </c>
      <c r="T1476">
        <v>174.29</v>
      </c>
      <c r="U1476">
        <v>3.127</v>
      </c>
      <c r="V1476">
        <v>52.881</v>
      </c>
      <c r="W1476">
        <v>0.1</v>
      </c>
      <c r="X1476" t="s">
        <v>92</v>
      </c>
      <c r="Y1476" t="s">
        <v>31</v>
      </c>
      <c r="Z1476" s="3">
        <f t="shared" si="94"/>
        <v>0.0259491191598769</v>
      </c>
      <c r="AA1476">
        <f t="shared" si="96"/>
        <v>-0.042</v>
      </c>
      <c r="AB1476">
        <f t="shared" si="97"/>
        <v>0.606</v>
      </c>
      <c r="AC1476" t="s">
        <v>32</v>
      </c>
    </row>
    <row r="1477" spans="1:29">
      <c r="A1477" t="s">
        <v>112</v>
      </c>
      <c r="B1477">
        <v>3840.25</v>
      </c>
      <c r="C1477">
        <v>28.748</v>
      </c>
      <c r="D1477">
        <v>60.395</v>
      </c>
      <c r="E1477">
        <v>170.769</v>
      </c>
      <c r="F1477">
        <v>0.16</v>
      </c>
      <c r="G1477">
        <v>22.041</v>
      </c>
      <c r="H1477">
        <v>2.068</v>
      </c>
      <c r="I1477">
        <v>2.689</v>
      </c>
      <c r="J1477">
        <v>0.533</v>
      </c>
      <c r="K1477">
        <v>5.564</v>
      </c>
      <c r="L1477">
        <v>0.465</v>
      </c>
      <c r="M1477">
        <v>2.463</v>
      </c>
      <c r="N1477">
        <v>262.362</v>
      </c>
      <c r="O1477">
        <v>247.145</v>
      </c>
      <c r="P1477">
        <f t="shared" si="95"/>
        <v>2.41890093289341</v>
      </c>
      <c r="Q1477">
        <f t="shared" si="95"/>
        <v>2.39295182865731</v>
      </c>
      <c r="R1477">
        <v>148.084</v>
      </c>
      <c r="S1477">
        <v>155.061</v>
      </c>
      <c r="T1477">
        <v>162.88</v>
      </c>
      <c r="U1477">
        <v>3.138</v>
      </c>
      <c r="V1477">
        <v>55.038</v>
      </c>
      <c r="W1477">
        <v>0.1</v>
      </c>
      <c r="X1477" t="s">
        <v>92</v>
      </c>
      <c r="Y1477" t="s">
        <v>31</v>
      </c>
      <c r="Z1477" s="3">
        <f t="shared" si="94"/>
        <v>0.0259491042361053</v>
      </c>
      <c r="AA1477">
        <f t="shared" si="96"/>
        <v>-0.068</v>
      </c>
      <c r="AB1477">
        <f t="shared" si="97"/>
        <v>0.625</v>
      </c>
      <c r="AC1477" t="s">
        <v>32</v>
      </c>
    </row>
    <row r="1478" spans="1:29">
      <c r="A1478" t="s">
        <v>112</v>
      </c>
      <c r="B1478">
        <v>3840.375</v>
      </c>
      <c r="C1478">
        <v>27.07</v>
      </c>
      <c r="D1478">
        <v>60.248</v>
      </c>
      <c r="E1478">
        <v>172.217</v>
      </c>
      <c r="F1478">
        <v>0.182</v>
      </c>
      <c r="G1478">
        <v>22.045</v>
      </c>
      <c r="H1478">
        <v>1.87</v>
      </c>
      <c r="I1478">
        <v>2.7</v>
      </c>
      <c r="J1478">
        <v>0.558</v>
      </c>
      <c r="K1478">
        <v>5.494</v>
      </c>
      <c r="L1478">
        <v>0.458</v>
      </c>
      <c r="M1478">
        <v>2.41</v>
      </c>
      <c r="N1478">
        <v>246.779</v>
      </c>
      <c r="O1478">
        <v>232.465</v>
      </c>
      <c r="P1478">
        <f t="shared" si="95"/>
        <v>2.39230820004453</v>
      </c>
      <c r="Q1478">
        <f t="shared" si="95"/>
        <v>2.36635757464064</v>
      </c>
      <c r="R1478">
        <v>135.512</v>
      </c>
      <c r="S1478">
        <v>141.898</v>
      </c>
      <c r="T1478">
        <v>149.052</v>
      </c>
      <c r="U1478">
        <v>3.065</v>
      </c>
      <c r="V1478">
        <v>60.912</v>
      </c>
      <c r="W1478">
        <v>0.1</v>
      </c>
      <c r="X1478" t="s">
        <v>92</v>
      </c>
      <c r="Y1478" t="s">
        <v>31</v>
      </c>
      <c r="Z1478" s="3">
        <f t="shared" si="94"/>
        <v>0.0259506254038882</v>
      </c>
      <c r="AA1478">
        <f t="shared" si="96"/>
        <v>-0.1</v>
      </c>
      <c r="AB1478">
        <f t="shared" si="97"/>
        <v>0.64</v>
      </c>
      <c r="AC1478" t="s">
        <v>32</v>
      </c>
    </row>
    <row r="1479" spans="1:29">
      <c r="A1479" t="s">
        <v>112</v>
      </c>
      <c r="B1479">
        <v>3840.5</v>
      </c>
      <c r="C1479">
        <v>25.928</v>
      </c>
      <c r="D1479">
        <v>60.116</v>
      </c>
      <c r="E1479">
        <v>173.262</v>
      </c>
      <c r="F1479">
        <v>0.198</v>
      </c>
      <c r="G1479">
        <v>22.06</v>
      </c>
      <c r="H1479">
        <v>1.59</v>
      </c>
      <c r="I1479">
        <v>2.715</v>
      </c>
      <c r="J1479">
        <v>0.592</v>
      </c>
      <c r="K1479">
        <v>5.448</v>
      </c>
      <c r="L1479">
        <v>0.454</v>
      </c>
      <c r="M1479">
        <v>2.361</v>
      </c>
      <c r="N1479">
        <v>249.681</v>
      </c>
      <c r="O1479">
        <v>235.2</v>
      </c>
      <c r="P1479">
        <f t="shared" si="95"/>
        <v>2.39738549505816</v>
      </c>
      <c r="Q1479">
        <f t="shared" si="95"/>
        <v>2.3714373174041</v>
      </c>
      <c r="R1479">
        <v>128.691</v>
      </c>
      <c r="S1479">
        <v>134.755</v>
      </c>
      <c r="T1479">
        <v>141.549</v>
      </c>
      <c r="U1479">
        <v>2.926</v>
      </c>
      <c r="V1479">
        <v>69.211</v>
      </c>
      <c r="W1479">
        <v>0.1</v>
      </c>
      <c r="X1479" t="s">
        <v>92</v>
      </c>
      <c r="Y1479" t="s">
        <v>31</v>
      </c>
      <c r="Z1479" s="3">
        <f t="shared" si="94"/>
        <v>0.0259481776540573</v>
      </c>
      <c r="AA1479">
        <f t="shared" si="96"/>
        <v>-0.138</v>
      </c>
      <c r="AB1479">
        <f t="shared" si="97"/>
        <v>0.652</v>
      </c>
      <c r="AC1479" t="s">
        <v>32</v>
      </c>
    </row>
    <row r="1480" spans="1:29">
      <c r="A1480" t="s">
        <v>112</v>
      </c>
      <c r="B1480">
        <v>3840.625</v>
      </c>
      <c r="C1480">
        <v>24.978</v>
      </c>
      <c r="D1480">
        <v>60.001</v>
      </c>
      <c r="E1480">
        <v>173.836</v>
      </c>
      <c r="F1480">
        <v>0.207</v>
      </c>
      <c r="G1480">
        <v>22.07</v>
      </c>
      <c r="H1480">
        <v>1.42</v>
      </c>
      <c r="I1480">
        <v>2.729</v>
      </c>
      <c r="J1480">
        <v>0.623</v>
      </c>
      <c r="K1480">
        <v>5.428</v>
      </c>
      <c r="L1480">
        <v>0.452</v>
      </c>
      <c r="M1480">
        <v>2.335</v>
      </c>
      <c r="N1480">
        <v>262.17</v>
      </c>
      <c r="O1480">
        <v>246.964</v>
      </c>
      <c r="P1480">
        <f t="shared" si="95"/>
        <v>2.41858299406699</v>
      </c>
      <c r="Q1480">
        <f t="shared" si="95"/>
        <v>2.39263365066524</v>
      </c>
      <c r="R1480">
        <v>130.033</v>
      </c>
      <c r="S1480">
        <v>136.16</v>
      </c>
      <c r="T1480">
        <v>143.026</v>
      </c>
      <c r="U1480">
        <v>2.783</v>
      </c>
      <c r="V1480">
        <v>77.048</v>
      </c>
      <c r="W1480">
        <v>0.1</v>
      </c>
      <c r="X1480" t="s">
        <v>92</v>
      </c>
      <c r="Y1480" t="s">
        <v>31</v>
      </c>
      <c r="Z1480" s="3">
        <f t="shared" si="94"/>
        <v>0.0259493434017508</v>
      </c>
      <c r="AA1480">
        <f t="shared" si="96"/>
        <v>-0.171</v>
      </c>
      <c r="AB1480">
        <f t="shared" si="97"/>
        <v>0.659</v>
      </c>
      <c r="AC1480" t="s">
        <v>32</v>
      </c>
    </row>
    <row r="1481" spans="1:29">
      <c r="A1481" t="s">
        <v>112</v>
      </c>
      <c r="B1481">
        <v>3840.75</v>
      </c>
      <c r="C1481">
        <v>24.357</v>
      </c>
      <c r="D1481">
        <v>59.901</v>
      </c>
      <c r="E1481">
        <v>173.773</v>
      </c>
      <c r="F1481">
        <v>0.206</v>
      </c>
      <c r="G1481">
        <v>22.069</v>
      </c>
      <c r="H1481">
        <v>1.381</v>
      </c>
      <c r="I1481">
        <v>2.736</v>
      </c>
      <c r="J1481">
        <v>0.638</v>
      </c>
      <c r="K1481">
        <v>5.433</v>
      </c>
      <c r="L1481">
        <v>0.452</v>
      </c>
      <c r="M1481">
        <v>2.341</v>
      </c>
      <c r="N1481">
        <v>274.422</v>
      </c>
      <c r="O1481">
        <v>258.505</v>
      </c>
      <c r="P1481">
        <f t="shared" si="95"/>
        <v>2.43841892516739</v>
      </c>
      <c r="Q1481">
        <f t="shared" si="95"/>
        <v>2.41246894762884</v>
      </c>
      <c r="R1481">
        <v>137.134</v>
      </c>
      <c r="S1481">
        <v>143.596</v>
      </c>
      <c r="T1481">
        <v>150.836</v>
      </c>
      <c r="U1481">
        <v>2.721</v>
      </c>
      <c r="V1481">
        <v>78.911</v>
      </c>
      <c r="W1481">
        <v>0.1</v>
      </c>
      <c r="X1481" t="s">
        <v>92</v>
      </c>
      <c r="Y1481" t="s">
        <v>31</v>
      </c>
      <c r="Z1481" s="3">
        <f t="shared" si="94"/>
        <v>0.0259499775385588</v>
      </c>
      <c r="AA1481">
        <f t="shared" si="96"/>
        <v>-0.186</v>
      </c>
      <c r="AB1481">
        <f t="shared" si="97"/>
        <v>0.658</v>
      </c>
      <c r="AC1481" t="s">
        <v>32</v>
      </c>
    </row>
    <row r="1482" spans="1:29">
      <c r="A1482" t="s">
        <v>112</v>
      </c>
      <c r="B1482">
        <v>3840.875</v>
      </c>
      <c r="C1482">
        <v>24.696</v>
      </c>
      <c r="D1482">
        <v>59.814</v>
      </c>
      <c r="E1482">
        <v>173.05</v>
      </c>
      <c r="F1482">
        <v>0.195</v>
      </c>
      <c r="G1482">
        <v>22.066</v>
      </c>
      <c r="H1482">
        <v>1.345</v>
      </c>
      <c r="I1482">
        <v>2.73</v>
      </c>
      <c r="J1482">
        <v>0.625</v>
      </c>
      <c r="K1482">
        <v>5.422</v>
      </c>
      <c r="L1482">
        <v>0.451</v>
      </c>
      <c r="M1482">
        <v>2.379</v>
      </c>
      <c r="N1482">
        <v>281.203</v>
      </c>
      <c r="O1482">
        <v>264.893</v>
      </c>
      <c r="P1482">
        <f t="shared" si="95"/>
        <v>2.44901994962124</v>
      </c>
      <c r="Q1482">
        <f t="shared" si="95"/>
        <v>2.42307048188522</v>
      </c>
      <c r="R1482">
        <v>146.488</v>
      </c>
      <c r="S1482">
        <v>153.39</v>
      </c>
      <c r="T1482">
        <v>161.124</v>
      </c>
      <c r="U1482">
        <v>2.775</v>
      </c>
      <c r="V1482">
        <v>72.806</v>
      </c>
      <c r="W1482">
        <v>0.1</v>
      </c>
      <c r="X1482" t="s">
        <v>92</v>
      </c>
      <c r="Y1482" t="s">
        <v>31</v>
      </c>
      <c r="Z1482" s="3">
        <f t="shared" si="94"/>
        <v>0.0259494677360195</v>
      </c>
      <c r="AA1482">
        <f t="shared" si="96"/>
        <v>-0.174</v>
      </c>
      <c r="AB1482">
        <f t="shared" si="97"/>
        <v>0.646</v>
      </c>
      <c r="AC1482" t="s">
        <v>32</v>
      </c>
    </row>
    <row r="1483" spans="1:29">
      <c r="A1483" t="s">
        <v>112</v>
      </c>
      <c r="B1483">
        <v>3841</v>
      </c>
      <c r="C1483">
        <v>25.74</v>
      </c>
      <c r="D1483">
        <v>59.739</v>
      </c>
      <c r="E1483">
        <v>171.716</v>
      </c>
      <c r="F1483">
        <v>0.174</v>
      </c>
      <c r="G1483">
        <v>22.075</v>
      </c>
      <c r="H1483">
        <v>1.375</v>
      </c>
      <c r="I1483">
        <v>2.717</v>
      </c>
      <c r="J1483">
        <v>0.596</v>
      </c>
      <c r="K1483">
        <v>5.4</v>
      </c>
      <c r="L1483">
        <v>0.449</v>
      </c>
      <c r="M1483">
        <v>2.445</v>
      </c>
      <c r="N1483">
        <v>282.809</v>
      </c>
      <c r="O1483">
        <v>266.406</v>
      </c>
      <c r="P1483">
        <f t="shared" si="95"/>
        <v>2.4514932261579</v>
      </c>
      <c r="Q1483">
        <f t="shared" si="95"/>
        <v>2.42554400179536</v>
      </c>
      <c r="R1483">
        <v>155.577</v>
      </c>
      <c r="S1483">
        <v>162.907</v>
      </c>
      <c r="T1483">
        <v>171.121</v>
      </c>
      <c r="U1483">
        <v>2.895</v>
      </c>
      <c r="V1483">
        <v>63.655</v>
      </c>
      <c r="W1483">
        <v>0.1</v>
      </c>
      <c r="X1483" t="s">
        <v>92</v>
      </c>
      <c r="Y1483" t="s">
        <v>31</v>
      </c>
      <c r="Z1483" s="3">
        <f t="shared" si="94"/>
        <v>0.0259492243625346</v>
      </c>
      <c r="AA1483">
        <f t="shared" si="96"/>
        <v>-0.147</v>
      </c>
      <c r="AB1483">
        <f t="shared" si="97"/>
        <v>0.623</v>
      </c>
      <c r="AC1483" t="s">
        <v>32</v>
      </c>
    </row>
    <row r="1484" spans="1:29">
      <c r="A1484" t="s">
        <v>112</v>
      </c>
      <c r="B1484">
        <v>3841.125</v>
      </c>
      <c r="C1484">
        <v>26.095</v>
      </c>
      <c r="D1484">
        <v>59.674</v>
      </c>
      <c r="E1484">
        <v>170.022</v>
      </c>
      <c r="F1484">
        <v>0.148</v>
      </c>
      <c r="G1484">
        <v>22.106</v>
      </c>
      <c r="H1484">
        <v>1.515</v>
      </c>
      <c r="I1484">
        <v>2.706</v>
      </c>
      <c r="J1484">
        <v>0.571</v>
      </c>
      <c r="K1484">
        <v>5.399</v>
      </c>
      <c r="L1484">
        <v>0.449</v>
      </c>
      <c r="M1484">
        <v>2.532</v>
      </c>
      <c r="N1484">
        <v>286.344</v>
      </c>
      <c r="O1484">
        <v>269.736</v>
      </c>
      <c r="P1484">
        <f t="shared" si="95"/>
        <v>2.45688808741725</v>
      </c>
      <c r="Q1484">
        <f t="shared" si="95"/>
        <v>2.43093891292666</v>
      </c>
      <c r="R1484">
        <v>161.154</v>
      </c>
      <c r="S1484">
        <v>168.748</v>
      </c>
      <c r="T1484">
        <v>177.256</v>
      </c>
      <c r="U1484">
        <v>3.021</v>
      </c>
      <c r="V1484">
        <v>56.658</v>
      </c>
      <c r="W1484">
        <v>0.1</v>
      </c>
      <c r="X1484" t="s">
        <v>92</v>
      </c>
      <c r="Y1484" t="s">
        <v>31</v>
      </c>
      <c r="Z1484" s="3">
        <f t="shared" si="94"/>
        <v>0.0259491744905898</v>
      </c>
      <c r="AA1484">
        <f t="shared" si="96"/>
        <v>-0.122</v>
      </c>
      <c r="AB1484">
        <f t="shared" si="97"/>
        <v>0.597</v>
      </c>
      <c r="AC1484" t="s">
        <v>32</v>
      </c>
    </row>
    <row r="1485" spans="1:29">
      <c r="A1485" t="s">
        <v>112</v>
      </c>
      <c r="B1485">
        <v>3841.25</v>
      </c>
      <c r="C1485">
        <v>25.798</v>
      </c>
      <c r="D1485">
        <v>59.623</v>
      </c>
      <c r="E1485">
        <v>168.431</v>
      </c>
      <c r="F1485">
        <v>0.124</v>
      </c>
      <c r="G1485">
        <v>22.16</v>
      </c>
      <c r="H1485">
        <v>1.822</v>
      </c>
      <c r="I1485">
        <v>2.703</v>
      </c>
      <c r="J1485">
        <v>0.565</v>
      </c>
      <c r="K1485">
        <v>5.411</v>
      </c>
      <c r="L1485">
        <v>0.45</v>
      </c>
      <c r="M1485">
        <v>2.627</v>
      </c>
      <c r="N1485">
        <v>295.581</v>
      </c>
      <c r="O1485">
        <v>278.438</v>
      </c>
      <c r="P1485">
        <f t="shared" si="95"/>
        <v>2.47067651409235</v>
      </c>
      <c r="Q1485">
        <f t="shared" si="95"/>
        <v>2.44472850559413</v>
      </c>
      <c r="R1485">
        <v>161.545</v>
      </c>
      <c r="S1485">
        <v>169.157</v>
      </c>
      <c r="T1485">
        <v>177.686</v>
      </c>
      <c r="U1485">
        <v>3.07</v>
      </c>
      <c r="V1485">
        <v>54.807</v>
      </c>
      <c r="W1485">
        <v>0.1</v>
      </c>
      <c r="X1485" t="s">
        <v>92</v>
      </c>
      <c r="Y1485" t="s">
        <v>31</v>
      </c>
      <c r="Z1485" s="3">
        <f t="shared" si="94"/>
        <v>0.025948008498224</v>
      </c>
      <c r="AA1485">
        <f t="shared" si="96"/>
        <v>-0.115</v>
      </c>
      <c r="AB1485">
        <f t="shared" si="97"/>
        <v>0.574</v>
      </c>
      <c r="AC1485" t="s">
        <v>32</v>
      </c>
    </row>
    <row r="1486" spans="1:29">
      <c r="A1486" t="s">
        <v>112</v>
      </c>
      <c r="B1486">
        <v>3841.375</v>
      </c>
      <c r="C1486">
        <v>25.998</v>
      </c>
      <c r="D1486">
        <v>59.586</v>
      </c>
      <c r="E1486">
        <v>167.427</v>
      </c>
      <c r="F1486">
        <v>0.109</v>
      </c>
      <c r="G1486">
        <v>22.22</v>
      </c>
      <c r="H1486">
        <v>2.211</v>
      </c>
      <c r="I1486">
        <v>2.71</v>
      </c>
      <c r="J1486">
        <v>0.58</v>
      </c>
      <c r="K1486">
        <v>5.394</v>
      </c>
      <c r="L1486">
        <v>0.449</v>
      </c>
      <c r="M1486">
        <v>2.721</v>
      </c>
      <c r="N1486">
        <v>304.956</v>
      </c>
      <c r="O1486">
        <v>287.269</v>
      </c>
      <c r="P1486">
        <f t="shared" si="95"/>
        <v>2.48423718250847</v>
      </c>
      <c r="Q1486">
        <f t="shared" si="95"/>
        <v>2.45828876259016</v>
      </c>
      <c r="R1486">
        <v>159.411</v>
      </c>
      <c r="S1486">
        <v>166.923</v>
      </c>
      <c r="T1486">
        <v>175.339</v>
      </c>
      <c r="U1486">
        <v>2.974</v>
      </c>
      <c r="V1486">
        <v>59.631</v>
      </c>
      <c r="W1486">
        <v>0.1</v>
      </c>
      <c r="X1486" t="s">
        <v>92</v>
      </c>
      <c r="Y1486" t="s">
        <v>31</v>
      </c>
      <c r="Z1486" s="3">
        <f t="shared" si="94"/>
        <v>0.0259484199183113</v>
      </c>
      <c r="AA1486">
        <f t="shared" si="96"/>
        <v>-0.131</v>
      </c>
      <c r="AB1486">
        <f t="shared" si="97"/>
        <v>0.558</v>
      </c>
      <c r="AC1486" t="s">
        <v>32</v>
      </c>
    </row>
    <row r="1487" spans="1:29">
      <c r="A1487" t="s">
        <v>112</v>
      </c>
      <c r="B1487">
        <v>3841.5</v>
      </c>
      <c r="C1487">
        <v>26.673</v>
      </c>
      <c r="D1487">
        <v>59.568</v>
      </c>
      <c r="E1487">
        <v>167.29</v>
      </c>
      <c r="F1487">
        <v>0.107</v>
      </c>
      <c r="G1487">
        <v>22.263</v>
      </c>
      <c r="H1487">
        <v>2.625</v>
      </c>
      <c r="I1487">
        <v>2.719</v>
      </c>
      <c r="J1487">
        <v>0.6</v>
      </c>
      <c r="K1487">
        <v>5.317</v>
      </c>
      <c r="L1487">
        <v>0.442</v>
      </c>
      <c r="M1487">
        <v>2.805</v>
      </c>
      <c r="N1487">
        <v>313.24</v>
      </c>
      <c r="O1487">
        <v>295.072</v>
      </c>
      <c r="P1487">
        <f t="shared" si="95"/>
        <v>2.49587721529543</v>
      </c>
      <c r="Q1487">
        <f t="shared" si="95"/>
        <v>2.46992800034228</v>
      </c>
      <c r="R1487">
        <v>159.254</v>
      </c>
      <c r="S1487">
        <v>166.759</v>
      </c>
      <c r="T1487">
        <v>175.167</v>
      </c>
      <c r="U1487">
        <v>2.797</v>
      </c>
      <c r="V1487">
        <v>69.069</v>
      </c>
      <c r="W1487">
        <v>0.1</v>
      </c>
      <c r="X1487" t="s">
        <v>92</v>
      </c>
      <c r="Y1487" t="s">
        <v>31</v>
      </c>
      <c r="Z1487" s="3">
        <f t="shared" si="94"/>
        <v>0.0259492149531435</v>
      </c>
      <c r="AA1487">
        <f t="shared" si="96"/>
        <v>-0.158</v>
      </c>
      <c r="AB1487">
        <f t="shared" si="97"/>
        <v>0.549</v>
      </c>
      <c r="AC1487" t="s">
        <v>32</v>
      </c>
    </row>
    <row r="1488" spans="1:29">
      <c r="A1488" t="s">
        <v>112</v>
      </c>
      <c r="B1488">
        <v>3841.625</v>
      </c>
      <c r="C1488">
        <v>27.347</v>
      </c>
      <c r="D1488">
        <v>59.572</v>
      </c>
      <c r="E1488">
        <v>168.07</v>
      </c>
      <c r="F1488">
        <v>0.119</v>
      </c>
      <c r="G1488">
        <v>22.275</v>
      </c>
      <c r="H1488">
        <v>3.18</v>
      </c>
      <c r="I1488">
        <v>2.724</v>
      </c>
      <c r="J1488">
        <v>0.612</v>
      </c>
      <c r="K1488">
        <v>5.193</v>
      </c>
      <c r="L1488">
        <v>0.43</v>
      </c>
      <c r="M1488">
        <v>2.873</v>
      </c>
      <c r="N1488">
        <v>321.009</v>
      </c>
      <c r="O1488">
        <v>302.39</v>
      </c>
      <c r="P1488">
        <f t="shared" si="95"/>
        <v>2.50651720871498</v>
      </c>
      <c r="Q1488">
        <f t="shared" si="95"/>
        <v>2.48056742500169</v>
      </c>
      <c r="R1488">
        <v>164.857</v>
      </c>
      <c r="S1488">
        <v>172.625</v>
      </c>
      <c r="T1488">
        <v>181.329</v>
      </c>
      <c r="U1488">
        <v>2.658</v>
      </c>
      <c r="V1488">
        <v>76.621</v>
      </c>
      <c r="W1488">
        <v>0.1</v>
      </c>
      <c r="X1488" t="s">
        <v>92</v>
      </c>
      <c r="Y1488" t="s">
        <v>31</v>
      </c>
      <c r="Z1488" s="3">
        <f t="shared" si="94"/>
        <v>0.0259497837132843</v>
      </c>
      <c r="AA1488">
        <f t="shared" si="96"/>
        <v>-0.182</v>
      </c>
      <c r="AB1488">
        <f t="shared" si="97"/>
        <v>0.549</v>
      </c>
      <c r="AC1488" t="s">
        <v>32</v>
      </c>
    </row>
    <row r="1489" spans="1:29">
      <c r="A1489" t="s">
        <v>112</v>
      </c>
      <c r="B1489">
        <v>3841.75</v>
      </c>
      <c r="C1489">
        <v>28.213</v>
      </c>
      <c r="D1489">
        <v>59.606</v>
      </c>
      <c r="E1489">
        <v>169.567</v>
      </c>
      <c r="F1489">
        <v>0.141</v>
      </c>
      <c r="G1489">
        <v>22.247</v>
      </c>
      <c r="H1489">
        <v>3.705</v>
      </c>
      <c r="I1489">
        <v>2.721</v>
      </c>
      <c r="J1489">
        <v>0.605</v>
      </c>
      <c r="K1489">
        <v>5.084</v>
      </c>
      <c r="L1489">
        <v>0.42</v>
      </c>
      <c r="M1489">
        <v>2.925</v>
      </c>
      <c r="N1489">
        <v>328.338</v>
      </c>
      <c r="O1489">
        <v>309.295</v>
      </c>
      <c r="P1489">
        <f t="shared" si="95"/>
        <v>2.51632114844753</v>
      </c>
      <c r="Q1489">
        <f t="shared" si="95"/>
        <v>2.49037289934375</v>
      </c>
      <c r="R1489">
        <v>175.582</v>
      </c>
      <c r="S1489">
        <v>183.856</v>
      </c>
      <c r="T1489">
        <v>193.126</v>
      </c>
      <c r="U1489">
        <v>2.619</v>
      </c>
      <c r="V1489">
        <v>76.756</v>
      </c>
      <c r="W1489">
        <v>0.1</v>
      </c>
      <c r="X1489" t="s">
        <v>92</v>
      </c>
      <c r="Y1489" t="s">
        <v>31</v>
      </c>
      <c r="Z1489" s="3">
        <f t="shared" si="94"/>
        <v>0.0259482491037808</v>
      </c>
      <c r="AA1489">
        <f t="shared" si="96"/>
        <v>-0.185</v>
      </c>
      <c r="AB1489">
        <f t="shared" si="97"/>
        <v>0.561</v>
      </c>
      <c r="AC1489" t="s">
        <v>32</v>
      </c>
    </row>
    <row r="1490" spans="1:29">
      <c r="A1490" t="s">
        <v>112</v>
      </c>
      <c r="B1490">
        <v>3841.875</v>
      </c>
      <c r="C1490">
        <v>29.468</v>
      </c>
      <c r="D1490">
        <v>59.667</v>
      </c>
      <c r="E1490">
        <v>171.195</v>
      </c>
      <c r="F1490">
        <v>0.166</v>
      </c>
      <c r="G1490">
        <v>22.199</v>
      </c>
      <c r="H1490">
        <v>4.137</v>
      </c>
      <c r="I1490">
        <v>2.713</v>
      </c>
      <c r="J1490">
        <v>0.587</v>
      </c>
      <c r="K1490">
        <v>5.059</v>
      </c>
      <c r="L1490">
        <v>0.418</v>
      </c>
      <c r="M1490">
        <v>2.961</v>
      </c>
      <c r="N1490">
        <v>336.506</v>
      </c>
      <c r="O1490">
        <v>316.989</v>
      </c>
      <c r="P1490">
        <f t="shared" si="95"/>
        <v>2.52699281222615</v>
      </c>
      <c r="Q1490">
        <f t="shared" si="95"/>
        <v>2.50104419180075</v>
      </c>
      <c r="R1490">
        <v>186.834</v>
      </c>
      <c r="S1490">
        <v>195.638</v>
      </c>
      <c r="T1490">
        <v>205.502</v>
      </c>
      <c r="U1490">
        <v>2.641</v>
      </c>
      <c r="V1490">
        <v>72.782</v>
      </c>
      <c r="W1490">
        <v>0.1</v>
      </c>
      <c r="X1490" t="s">
        <v>92</v>
      </c>
      <c r="Y1490" t="s">
        <v>31</v>
      </c>
      <c r="Z1490" s="3">
        <f t="shared" si="94"/>
        <v>0.025948620425396</v>
      </c>
      <c r="AA1490">
        <f t="shared" si="96"/>
        <v>-0.169</v>
      </c>
      <c r="AB1490">
        <f t="shared" si="97"/>
        <v>0.584</v>
      </c>
      <c r="AC1490" t="s">
        <v>32</v>
      </c>
    </row>
    <row r="1491" spans="1:29">
      <c r="A1491" t="s">
        <v>112</v>
      </c>
      <c r="B1491">
        <v>3842</v>
      </c>
      <c r="C1491">
        <v>30.303</v>
      </c>
      <c r="D1491">
        <v>59.753</v>
      </c>
      <c r="E1491">
        <v>172.433</v>
      </c>
      <c r="F1491">
        <v>0.185</v>
      </c>
      <c r="G1491">
        <v>22.153</v>
      </c>
      <c r="H1491">
        <v>4.3</v>
      </c>
      <c r="I1491">
        <v>2.705</v>
      </c>
      <c r="J1491">
        <v>0.569</v>
      </c>
      <c r="K1491">
        <v>5.126</v>
      </c>
      <c r="L1491">
        <v>0.424</v>
      </c>
      <c r="M1491">
        <v>2.985</v>
      </c>
      <c r="N1491">
        <v>343.85</v>
      </c>
      <c r="O1491">
        <v>323.907</v>
      </c>
      <c r="P1491">
        <f t="shared" si="95"/>
        <v>2.53636902867804</v>
      </c>
      <c r="Q1491">
        <f t="shared" si="95"/>
        <v>2.51042033371108</v>
      </c>
      <c r="R1491">
        <v>193.633</v>
      </c>
      <c r="S1491">
        <v>202.757</v>
      </c>
      <c r="T1491">
        <v>212.98</v>
      </c>
      <c r="U1491">
        <v>2.712</v>
      </c>
      <c r="V1491">
        <v>67.095</v>
      </c>
      <c r="W1491">
        <v>0.1</v>
      </c>
      <c r="X1491" t="s">
        <v>92</v>
      </c>
      <c r="Y1491" t="s">
        <v>31</v>
      </c>
      <c r="Z1491" s="3">
        <f t="shared" si="94"/>
        <v>0.0259486949669583</v>
      </c>
      <c r="AA1491">
        <f t="shared" si="96"/>
        <v>-0.145</v>
      </c>
      <c r="AB1491">
        <f t="shared" si="97"/>
        <v>0.609</v>
      </c>
      <c r="AC1491" t="s">
        <v>32</v>
      </c>
    </row>
    <row r="1492" spans="1:29">
      <c r="A1492" t="s">
        <v>112</v>
      </c>
      <c r="B1492">
        <v>3842.125</v>
      </c>
      <c r="C1492">
        <v>30.508</v>
      </c>
      <c r="D1492">
        <v>59.859</v>
      </c>
      <c r="E1492">
        <v>172.787</v>
      </c>
      <c r="F1492">
        <v>0.191</v>
      </c>
      <c r="G1492">
        <v>22.128</v>
      </c>
      <c r="H1492">
        <v>4.206</v>
      </c>
      <c r="I1492">
        <v>2.7</v>
      </c>
      <c r="J1492">
        <v>0.558</v>
      </c>
      <c r="K1492">
        <v>5.222</v>
      </c>
      <c r="L1492">
        <v>0.433</v>
      </c>
      <c r="M1492">
        <v>2.996</v>
      </c>
      <c r="N1492">
        <v>350.116</v>
      </c>
      <c r="O1492">
        <v>329.809</v>
      </c>
      <c r="P1492">
        <f t="shared" si="95"/>
        <v>2.54421195810274</v>
      </c>
      <c r="Q1492">
        <f t="shared" si="95"/>
        <v>2.51826250272453</v>
      </c>
      <c r="R1492">
        <v>194.915</v>
      </c>
      <c r="S1492">
        <v>204.099</v>
      </c>
      <c r="T1492">
        <v>214.39</v>
      </c>
      <c r="U1492">
        <v>2.798</v>
      </c>
      <c r="V1492">
        <v>62.1</v>
      </c>
      <c r="W1492">
        <v>0.1</v>
      </c>
      <c r="X1492" t="s">
        <v>92</v>
      </c>
      <c r="Y1492" t="s">
        <v>31</v>
      </c>
      <c r="Z1492" s="3">
        <f t="shared" si="94"/>
        <v>0.0259494553782167</v>
      </c>
      <c r="AA1492">
        <f t="shared" si="96"/>
        <v>-0.125</v>
      </c>
      <c r="AB1492">
        <f t="shared" si="97"/>
        <v>0.624</v>
      </c>
      <c r="AC1492" t="s">
        <v>32</v>
      </c>
    </row>
    <row r="1493" spans="1:29">
      <c r="A1493" t="s">
        <v>112</v>
      </c>
      <c r="B1493">
        <v>3842.25</v>
      </c>
      <c r="C1493">
        <v>30.785</v>
      </c>
      <c r="D1493">
        <v>59.977</v>
      </c>
      <c r="E1493">
        <v>171.869</v>
      </c>
      <c r="F1493">
        <v>0.177</v>
      </c>
      <c r="G1493">
        <v>22.139</v>
      </c>
      <c r="H1493">
        <v>3.994</v>
      </c>
      <c r="I1493">
        <v>2.698</v>
      </c>
      <c r="J1493">
        <v>0.554</v>
      </c>
      <c r="K1493">
        <v>5.303</v>
      </c>
      <c r="L1493">
        <v>0.44</v>
      </c>
      <c r="M1493">
        <v>2.992</v>
      </c>
      <c r="N1493">
        <v>358.741</v>
      </c>
      <c r="O1493">
        <v>337.934</v>
      </c>
      <c r="P1493">
        <f t="shared" si="95"/>
        <v>2.5547810144128</v>
      </c>
      <c r="Q1493">
        <f t="shared" si="95"/>
        <v>2.52883188893247</v>
      </c>
      <c r="R1493">
        <v>195.352</v>
      </c>
      <c r="S1493">
        <v>204.557</v>
      </c>
      <c r="T1493">
        <v>214.871</v>
      </c>
      <c r="U1493">
        <v>2.831</v>
      </c>
      <c r="V1493">
        <v>60.348</v>
      </c>
      <c r="W1493">
        <v>0.1</v>
      </c>
      <c r="X1493" t="s">
        <v>92</v>
      </c>
      <c r="Y1493" t="s">
        <v>31</v>
      </c>
      <c r="Z1493" s="3">
        <f t="shared" si="94"/>
        <v>0.0259491254803303</v>
      </c>
      <c r="AA1493">
        <f t="shared" si="96"/>
        <v>-0.114</v>
      </c>
      <c r="AB1493">
        <f t="shared" si="97"/>
        <v>0.617</v>
      </c>
      <c r="AC1493" t="s">
        <v>32</v>
      </c>
    </row>
    <row r="1494" spans="1:29">
      <c r="A1494" t="s">
        <v>112</v>
      </c>
      <c r="B1494">
        <v>3842.375</v>
      </c>
      <c r="C1494">
        <v>30.531</v>
      </c>
      <c r="D1494">
        <v>60.091</v>
      </c>
      <c r="E1494">
        <v>169.876</v>
      </c>
      <c r="F1494">
        <v>0.146</v>
      </c>
      <c r="G1494">
        <v>22.178</v>
      </c>
      <c r="H1494">
        <v>3.907</v>
      </c>
      <c r="I1494">
        <v>2.7</v>
      </c>
      <c r="J1494">
        <v>0.558</v>
      </c>
      <c r="K1494">
        <v>5.378</v>
      </c>
      <c r="L1494">
        <v>0.447</v>
      </c>
      <c r="M1494">
        <v>2.972</v>
      </c>
      <c r="N1494">
        <v>363.756</v>
      </c>
      <c r="O1494">
        <v>342.658</v>
      </c>
      <c r="P1494">
        <f t="shared" si="95"/>
        <v>2.5608101655552</v>
      </c>
      <c r="Q1494">
        <f t="shared" si="95"/>
        <v>2.53486087569901</v>
      </c>
      <c r="R1494">
        <v>198.978</v>
      </c>
      <c r="S1494">
        <v>208.354</v>
      </c>
      <c r="T1494">
        <v>218.859</v>
      </c>
      <c r="U1494">
        <v>2.837</v>
      </c>
      <c r="V1494">
        <v>59.385</v>
      </c>
      <c r="W1494">
        <v>0.1</v>
      </c>
      <c r="X1494" t="s">
        <v>92</v>
      </c>
      <c r="Y1494" t="s">
        <v>31</v>
      </c>
      <c r="Z1494" s="3">
        <f t="shared" si="94"/>
        <v>0.025949289856197</v>
      </c>
      <c r="AA1494">
        <f t="shared" si="96"/>
        <v>-0.111</v>
      </c>
      <c r="AB1494">
        <f t="shared" si="97"/>
        <v>0.593</v>
      </c>
      <c r="AC1494" t="s">
        <v>32</v>
      </c>
    </row>
    <row r="1495" spans="1:29">
      <c r="A1495" t="s">
        <v>112</v>
      </c>
      <c r="B1495">
        <v>3842.5</v>
      </c>
      <c r="C1495">
        <v>29.794</v>
      </c>
      <c r="D1495">
        <v>60.187</v>
      </c>
      <c r="E1495">
        <v>167.148</v>
      </c>
      <c r="F1495">
        <v>0.105</v>
      </c>
      <c r="G1495">
        <v>22.233</v>
      </c>
      <c r="H1495">
        <v>3.867</v>
      </c>
      <c r="I1495">
        <v>2.707</v>
      </c>
      <c r="J1495">
        <v>0.574</v>
      </c>
      <c r="K1495">
        <v>5.454</v>
      </c>
      <c r="L1495">
        <v>0.454</v>
      </c>
      <c r="M1495">
        <v>2.932</v>
      </c>
      <c r="N1495">
        <v>363.98</v>
      </c>
      <c r="O1495">
        <v>342.869</v>
      </c>
      <c r="P1495">
        <f t="shared" si="95"/>
        <v>2.5610775206593</v>
      </c>
      <c r="Q1495">
        <f t="shared" si="95"/>
        <v>2.53512822078848</v>
      </c>
      <c r="R1495">
        <v>206.843</v>
      </c>
      <c r="S1495">
        <v>216.59</v>
      </c>
      <c r="T1495">
        <v>227.51</v>
      </c>
      <c r="U1495">
        <v>2.809</v>
      </c>
      <c r="V1495">
        <v>59.525</v>
      </c>
      <c r="W1495">
        <v>0.1</v>
      </c>
      <c r="X1495" t="s">
        <v>92</v>
      </c>
      <c r="Y1495" t="s">
        <v>31</v>
      </c>
      <c r="Z1495" s="3">
        <f t="shared" si="94"/>
        <v>0.0259492998708248</v>
      </c>
      <c r="AA1495">
        <f t="shared" si="96"/>
        <v>-0.12</v>
      </c>
      <c r="AB1495">
        <f t="shared" si="97"/>
        <v>0.559</v>
      </c>
      <c r="AC1495" t="s">
        <v>32</v>
      </c>
    </row>
    <row r="1496" spans="1:29">
      <c r="A1496" t="s">
        <v>112</v>
      </c>
      <c r="B1496">
        <v>3842.625</v>
      </c>
      <c r="C1496">
        <v>28.864</v>
      </c>
      <c r="D1496">
        <v>60.249</v>
      </c>
      <c r="E1496">
        <v>164.248</v>
      </c>
      <c r="F1496">
        <v>0.06</v>
      </c>
      <c r="G1496">
        <v>22.29</v>
      </c>
      <c r="H1496">
        <v>3.503</v>
      </c>
      <c r="I1496">
        <v>2.719</v>
      </c>
      <c r="J1496">
        <v>0.6</v>
      </c>
      <c r="K1496">
        <v>5.528</v>
      </c>
      <c r="L1496">
        <v>0.461</v>
      </c>
      <c r="M1496">
        <v>2.875</v>
      </c>
      <c r="N1496">
        <v>366.05</v>
      </c>
      <c r="O1496">
        <v>344.819</v>
      </c>
      <c r="P1496">
        <f t="shared" si="95"/>
        <v>2.56354041118945</v>
      </c>
      <c r="Q1496">
        <f t="shared" si="95"/>
        <v>2.53759118803381</v>
      </c>
      <c r="R1496">
        <v>219.184</v>
      </c>
      <c r="S1496">
        <v>229.512</v>
      </c>
      <c r="T1496">
        <v>241.085</v>
      </c>
      <c r="U1496">
        <v>2.731</v>
      </c>
      <c r="V1496">
        <v>61.964</v>
      </c>
      <c r="W1496">
        <v>0.1</v>
      </c>
      <c r="X1496" t="s">
        <v>92</v>
      </c>
      <c r="Y1496" t="s">
        <v>31</v>
      </c>
      <c r="Z1496" s="3">
        <f t="shared" si="94"/>
        <v>0.02594922315564</v>
      </c>
      <c r="AA1496">
        <f t="shared" si="96"/>
        <v>-0.139</v>
      </c>
      <c r="AB1496">
        <f t="shared" si="97"/>
        <v>0.521</v>
      </c>
      <c r="AC1496" t="s">
        <v>32</v>
      </c>
    </row>
    <row r="1497" spans="1:29">
      <c r="A1497" t="s">
        <v>112</v>
      </c>
      <c r="B1497">
        <v>3842.75</v>
      </c>
      <c r="C1497">
        <v>28.373</v>
      </c>
      <c r="D1497">
        <v>60.257</v>
      </c>
      <c r="E1497">
        <v>161.88</v>
      </c>
      <c r="F1497">
        <v>0.024</v>
      </c>
      <c r="G1497">
        <v>22.335</v>
      </c>
      <c r="H1497">
        <v>3.018</v>
      </c>
      <c r="I1497">
        <v>2.735</v>
      </c>
      <c r="J1497">
        <v>0.636</v>
      </c>
      <c r="K1497">
        <v>5.576</v>
      </c>
      <c r="L1497">
        <v>0.466</v>
      </c>
      <c r="M1497">
        <v>2.813</v>
      </c>
      <c r="N1497">
        <v>372.333</v>
      </c>
      <c r="O1497">
        <v>350.738</v>
      </c>
      <c r="P1497">
        <f t="shared" si="95"/>
        <v>2.5709315295914</v>
      </c>
      <c r="Q1497">
        <f t="shared" si="95"/>
        <v>2.54498282118882</v>
      </c>
      <c r="R1497">
        <v>234.736</v>
      </c>
      <c r="S1497">
        <v>245.796</v>
      </c>
      <c r="T1497">
        <v>258.189</v>
      </c>
      <c r="U1497">
        <v>2.578</v>
      </c>
      <c r="V1497">
        <v>69.487</v>
      </c>
      <c r="W1497">
        <v>0.1</v>
      </c>
      <c r="X1497" t="s">
        <v>92</v>
      </c>
      <c r="Y1497" t="s">
        <v>31</v>
      </c>
      <c r="Z1497" s="3">
        <f t="shared" si="94"/>
        <v>0.025948708402578</v>
      </c>
      <c r="AA1497">
        <f t="shared" si="96"/>
        <v>-0.17</v>
      </c>
      <c r="AB1497">
        <f t="shared" si="97"/>
        <v>0.49</v>
      </c>
      <c r="AC1497" t="s">
        <v>32</v>
      </c>
    </row>
    <row r="1498" spans="1:29">
      <c r="A1498" t="s">
        <v>112</v>
      </c>
      <c r="B1498">
        <v>3842.875</v>
      </c>
      <c r="C1498">
        <v>28.952</v>
      </c>
      <c r="D1498">
        <v>60.204</v>
      </c>
      <c r="E1498">
        <v>160.505</v>
      </c>
      <c r="F1498">
        <v>0.003</v>
      </c>
      <c r="G1498">
        <v>22.365</v>
      </c>
      <c r="H1498">
        <v>2.77</v>
      </c>
      <c r="I1498">
        <v>2.75</v>
      </c>
      <c r="J1498">
        <v>0.67</v>
      </c>
      <c r="K1498">
        <v>5.59</v>
      </c>
      <c r="L1498">
        <v>0.467</v>
      </c>
      <c r="M1498">
        <v>2.751</v>
      </c>
      <c r="N1498">
        <v>378.465</v>
      </c>
      <c r="O1498">
        <v>356.514</v>
      </c>
      <c r="P1498">
        <f t="shared" si="95"/>
        <v>2.57802572264799</v>
      </c>
      <c r="Q1498">
        <f t="shared" si="95"/>
        <v>2.55207658889578</v>
      </c>
      <c r="R1498">
        <v>250.024</v>
      </c>
      <c r="S1498">
        <v>261.805</v>
      </c>
      <c r="T1498">
        <v>275.005</v>
      </c>
      <c r="U1498">
        <v>2.373</v>
      </c>
      <c r="V1498">
        <v>84.268</v>
      </c>
      <c r="W1498">
        <v>0.1</v>
      </c>
      <c r="X1498" t="s">
        <v>92</v>
      </c>
      <c r="Y1498" t="s">
        <v>31</v>
      </c>
      <c r="Z1498" s="3">
        <f t="shared" si="94"/>
        <v>0.025949133752206</v>
      </c>
      <c r="AA1498">
        <f t="shared" si="96"/>
        <v>-0.203</v>
      </c>
      <c r="AB1498">
        <f t="shared" si="97"/>
        <v>0.47</v>
      </c>
      <c r="AC1498" t="s">
        <v>32</v>
      </c>
    </row>
    <row r="1499" spans="1:29">
      <c r="A1499" t="s">
        <v>112</v>
      </c>
      <c r="B1499">
        <v>3843</v>
      </c>
      <c r="C1499">
        <v>30.827</v>
      </c>
      <c r="D1499">
        <v>60.083</v>
      </c>
      <c r="E1499">
        <v>160.294</v>
      </c>
      <c r="F1499">
        <v>0</v>
      </c>
      <c r="G1499">
        <v>22.376</v>
      </c>
      <c r="H1499">
        <v>2.819</v>
      </c>
      <c r="I1499">
        <v>2.759</v>
      </c>
      <c r="J1499">
        <v>0.69</v>
      </c>
      <c r="K1499">
        <v>5.583</v>
      </c>
      <c r="L1499">
        <v>0.466</v>
      </c>
      <c r="M1499">
        <v>2.699</v>
      </c>
      <c r="N1499">
        <v>384.805</v>
      </c>
      <c r="O1499">
        <v>362.486</v>
      </c>
      <c r="P1499">
        <f t="shared" si="95"/>
        <v>2.58524070644868</v>
      </c>
      <c r="Q1499">
        <f t="shared" si="95"/>
        <v>2.55929123783071</v>
      </c>
      <c r="R1499">
        <v>262.44</v>
      </c>
      <c r="S1499">
        <v>274.806</v>
      </c>
      <c r="T1499">
        <v>288.662</v>
      </c>
      <c r="U1499">
        <v>2.187</v>
      </c>
      <c r="V1499">
        <v>100</v>
      </c>
      <c r="W1499">
        <v>0.1</v>
      </c>
      <c r="X1499" t="s">
        <v>92</v>
      </c>
      <c r="Y1499" t="s">
        <v>31</v>
      </c>
      <c r="Z1499" s="3">
        <f t="shared" si="94"/>
        <v>0.0259494686179682</v>
      </c>
      <c r="AA1499">
        <f t="shared" si="96"/>
        <v>-0.224</v>
      </c>
      <c r="AB1499">
        <f t="shared" si="97"/>
        <v>0.466</v>
      </c>
      <c r="AC1499" t="s">
        <v>32</v>
      </c>
    </row>
    <row r="1500" spans="1:29">
      <c r="A1500" t="s">
        <v>113</v>
      </c>
      <c r="B1500">
        <v>3864</v>
      </c>
      <c r="C1500">
        <v>31.628</v>
      </c>
      <c r="D1500">
        <v>78.144</v>
      </c>
      <c r="E1500">
        <v>158.574</v>
      </c>
      <c r="F1500">
        <v>0.046</v>
      </c>
      <c r="G1500">
        <v>22.306</v>
      </c>
      <c r="H1500">
        <v>3.209</v>
      </c>
      <c r="I1500">
        <v>2.72</v>
      </c>
      <c r="J1500">
        <v>0.14</v>
      </c>
      <c r="K1500">
        <v>3.126</v>
      </c>
      <c r="L1500">
        <v>0.122</v>
      </c>
      <c r="M1500">
        <v>3.103</v>
      </c>
      <c r="N1500">
        <v>362.071</v>
      </c>
      <c r="O1500">
        <v>325.864</v>
      </c>
      <c r="P1500">
        <f t="shared" si="95"/>
        <v>2.5587937414855</v>
      </c>
      <c r="Q1500">
        <f t="shared" si="95"/>
        <v>2.51303638419961</v>
      </c>
      <c r="R1500">
        <v>219.552</v>
      </c>
      <c r="S1500">
        <v>235.653</v>
      </c>
      <c r="T1500">
        <v>242.663</v>
      </c>
      <c r="U1500">
        <v>0</v>
      </c>
      <c r="V1500">
        <v>100</v>
      </c>
      <c r="W1500">
        <v>0</v>
      </c>
      <c r="X1500" t="s">
        <v>92</v>
      </c>
      <c r="Y1500" t="s">
        <v>31</v>
      </c>
      <c r="Z1500" s="3">
        <f t="shared" si="94"/>
        <v>0.0457573572858889</v>
      </c>
      <c r="AA1500">
        <f t="shared" si="96"/>
        <v>-0.018</v>
      </c>
      <c r="AB1500">
        <f t="shared" si="97"/>
        <v>0.168</v>
      </c>
      <c r="AC1500" t="s">
        <v>32</v>
      </c>
    </row>
    <row r="1501" spans="1:29">
      <c r="A1501" t="s">
        <v>113</v>
      </c>
      <c r="B1501">
        <v>3864.125</v>
      </c>
      <c r="C1501">
        <v>31.397</v>
      </c>
      <c r="D1501">
        <v>77.707</v>
      </c>
      <c r="E1501">
        <v>158.803</v>
      </c>
      <c r="F1501">
        <v>0.049</v>
      </c>
      <c r="G1501">
        <v>22.296</v>
      </c>
      <c r="H1501">
        <v>3.028</v>
      </c>
      <c r="I1501">
        <v>2.719</v>
      </c>
      <c r="J1501">
        <v>0.137</v>
      </c>
      <c r="K1501">
        <v>3.187</v>
      </c>
      <c r="L1501">
        <v>0.126</v>
      </c>
      <c r="M1501">
        <v>3.226</v>
      </c>
      <c r="N1501">
        <v>353.108</v>
      </c>
      <c r="O1501">
        <v>317.798</v>
      </c>
      <c r="P1501">
        <f t="shared" si="95"/>
        <v>2.54790755703208</v>
      </c>
      <c r="Q1501">
        <f t="shared" si="95"/>
        <v>2.50215115973197</v>
      </c>
      <c r="R1501">
        <v>211.536</v>
      </c>
      <c r="S1501">
        <v>229.099</v>
      </c>
      <c r="T1501">
        <v>233.803</v>
      </c>
      <c r="U1501">
        <v>0</v>
      </c>
      <c r="V1501">
        <v>100</v>
      </c>
      <c r="W1501">
        <v>0</v>
      </c>
      <c r="X1501" t="s">
        <v>92</v>
      </c>
      <c r="Y1501" t="s">
        <v>31</v>
      </c>
      <c r="Z1501" s="3">
        <f t="shared" si="94"/>
        <v>0.0457563973001047</v>
      </c>
      <c r="AA1501">
        <f t="shared" si="96"/>
        <v>-0.011</v>
      </c>
      <c r="AB1501">
        <f t="shared" si="97"/>
        <v>0.175</v>
      </c>
      <c r="AC1501" t="s">
        <v>32</v>
      </c>
    </row>
    <row r="1502" spans="1:29">
      <c r="A1502" t="s">
        <v>113</v>
      </c>
      <c r="B1502">
        <v>3864.25</v>
      </c>
      <c r="C1502">
        <v>31.672</v>
      </c>
      <c r="D1502">
        <v>77.18</v>
      </c>
      <c r="E1502">
        <v>158.538</v>
      </c>
      <c r="F1502">
        <v>0.046</v>
      </c>
      <c r="G1502">
        <v>22.28</v>
      </c>
      <c r="H1502">
        <v>2.881</v>
      </c>
      <c r="I1502">
        <v>2.717</v>
      </c>
      <c r="J1502">
        <v>0.13</v>
      </c>
      <c r="K1502">
        <v>3.165</v>
      </c>
      <c r="L1502">
        <v>0.124</v>
      </c>
      <c r="M1502">
        <v>3.445</v>
      </c>
      <c r="N1502">
        <v>355.088</v>
      </c>
      <c r="O1502">
        <v>319.579</v>
      </c>
      <c r="P1502">
        <f t="shared" si="95"/>
        <v>2.55033599581093</v>
      </c>
      <c r="Q1502">
        <f t="shared" si="95"/>
        <v>2.50457823345871</v>
      </c>
      <c r="R1502">
        <v>208.884</v>
      </c>
      <c r="S1502">
        <v>221.553</v>
      </c>
      <c r="T1502">
        <v>230.871</v>
      </c>
      <c r="U1502">
        <v>0</v>
      </c>
      <c r="V1502">
        <v>100</v>
      </c>
      <c r="W1502">
        <v>0</v>
      </c>
      <c r="X1502" t="s">
        <v>92</v>
      </c>
      <c r="Y1502" t="s">
        <v>31</v>
      </c>
      <c r="Z1502" s="3">
        <f t="shared" si="94"/>
        <v>0.0457577623522174</v>
      </c>
      <c r="AA1502">
        <f t="shared" si="96"/>
        <v>-0.00600000000000001</v>
      </c>
      <c r="AB1502">
        <f t="shared" si="97"/>
        <v>0.17</v>
      </c>
      <c r="AC1502" t="s">
        <v>32</v>
      </c>
    </row>
    <row r="1503" spans="1:29">
      <c r="A1503" t="s">
        <v>113</v>
      </c>
      <c r="B1503">
        <v>3864.375</v>
      </c>
      <c r="C1503">
        <v>32.383</v>
      </c>
      <c r="D1503">
        <v>76.575</v>
      </c>
      <c r="E1503">
        <v>157.972</v>
      </c>
      <c r="F1503">
        <v>0.039</v>
      </c>
      <c r="G1503">
        <v>22.265</v>
      </c>
      <c r="H1503">
        <v>2.801</v>
      </c>
      <c r="I1503">
        <v>2.718</v>
      </c>
      <c r="J1503">
        <v>0.133</v>
      </c>
      <c r="K1503">
        <v>3.081</v>
      </c>
      <c r="L1503">
        <v>0.118</v>
      </c>
      <c r="M1503">
        <v>3.603</v>
      </c>
      <c r="N1503">
        <v>366.651</v>
      </c>
      <c r="O1503">
        <v>329.986</v>
      </c>
      <c r="P1503">
        <f t="shared" si="95"/>
        <v>2.56425287382335</v>
      </c>
      <c r="Q1503">
        <f t="shared" si="95"/>
        <v>2.51849551487267</v>
      </c>
      <c r="R1503">
        <v>210.771</v>
      </c>
      <c r="S1503">
        <v>219.755</v>
      </c>
      <c r="T1503">
        <v>232.958</v>
      </c>
      <c r="U1503">
        <v>0</v>
      </c>
      <c r="V1503">
        <v>100</v>
      </c>
      <c r="W1503">
        <v>0</v>
      </c>
      <c r="X1503" t="s">
        <v>92</v>
      </c>
      <c r="Y1503" t="s">
        <v>31</v>
      </c>
      <c r="Z1503" s="3">
        <f t="shared" si="94"/>
        <v>0.0457573589506834</v>
      </c>
      <c r="AA1503">
        <f t="shared" si="96"/>
        <v>-0.015</v>
      </c>
      <c r="AB1503">
        <f t="shared" si="97"/>
        <v>0.157</v>
      </c>
      <c r="AC1503" t="s">
        <v>32</v>
      </c>
    </row>
    <row r="1504" spans="1:29">
      <c r="A1504" t="s">
        <v>113</v>
      </c>
      <c r="B1504">
        <v>3864.5</v>
      </c>
      <c r="C1504">
        <v>32.909</v>
      </c>
      <c r="D1504">
        <v>75.97</v>
      </c>
      <c r="E1504">
        <v>157.385</v>
      </c>
      <c r="F1504">
        <v>0.033</v>
      </c>
      <c r="G1504">
        <v>22.251</v>
      </c>
      <c r="H1504">
        <v>2.779</v>
      </c>
      <c r="I1504">
        <v>2.724</v>
      </c>
      <c r="J1504">
        <v>0.153</v>
      </c>
      <c r="K1504">
        <v>3.012</v>
      </c>
      <c r="L1504">
        <v>0.113</v>
      </c>
      <c r="M1504">
        <v>3.628</v>
      </c>
      <c r="N1504">
        <v>384.948</v>
      </c>
      <c r="O1504">
        <v>346.454</v>
      </c>
      <c r="P1504">
        <f t="shared" si="95"/>
        <v>2.58540206759083</v>
      </c>
      <c r="Q1504">
        <f t="shared" si="95"/>
        <v>2.53964557986455</v>
      </c>
      <c r="R1504">
        <v>216.29</v>
      </c>
      <c r="S1504">
        <v>223.66</v>
      </c>
      <c r="T1504">
        <v>239.058</v>
      </c>
      <c r="U1504">
        <v>0</v>
      </c>
      <c r="V1504">
        <v>100</v>
      </c>
      <c r="W1504">
        <v>0</v>
      </c>
      <c r="X1504" t="s">
        <v>92</v>
      </c>
      <c r="Y1504" t="s">
        <v>31</v>
      </c>
      <c r="Z1504" s="3">
        <f t="shared" si="94"/>
        <v>0.0457564877262824</v>
      </c>
      <c r="AA1504">
        <f t="shared" si="96"/>
        <v>-0.04</v>
      </c>
      <c r="AB1504">
        <f t="shared" si="97"/>
        <v>0.146</v>
      </c>
      <c r="AC1504" t="s">
        <v>32</v>
      </c>
    </row>
    <row r="1505" spans="1:29">
      <c r="A1505" t="s">
        <v>113</v>
      </c>
      <c r="B1505">
        <v>3864.625</v>
      </c>
      <c r="C1505">
        <v>32.877</v>
      </c>
      <c r="D1505">
        <v>75.458</v>
      </c>
      <c r="E1505">
        <v>156.901</v>
      </c>
      <c r="F1505">
        <v>0.027</v>
      </c>
      <c r="G1505">
        <v>22.241</v>
      </c>
      <c r="H1505">
        <v>2.819</v>
      </c>
      <c r="I1505">
        <v>2.734</v>
      </c>
      <c r="J1505">
        <v>0.187</v>
      </c>
      <c r="K1505">
        <v>3.043</v>
      </c>
      <c r="L1505">
        <v>0.116</v>
      </c>
      <c r="M1505">
        <v>3.576</v>
      </c>
      <c r="N1505">
        <v>400.312</v>
      </c>
      <c r="O1505">
        <v>360.281</v>
      </c>
      <c r="P1505">
        <f t="shared" si="95"/>
        <v>2.60239860898012</v>
      </c>
      <c r="Q1505">
        <f t="shared" si="95"/>
        <v>2.55664135950605</v>
      </c>
      <c r="R1505">
        <v>225.452</v>
      </c>
      <c r="S1505">
        <v>232.556</v>
      </c>
      <c r="T1505">
        <v>249.184</v>
      </c>
      <c r="U1505">
        <v>0</v>
      </c>
      <c r="V1505">
        <v>100</v>
      </c>
      <c r="W1505">
        <v>0</v>
      </c>
      <c r="X1505" t="s">
        <v>92</v>
      </c>
      <c r="Y1505" t="s">
        <v>31</v>
      </c>
      <c r="Z1505" s="3">
        <f t="shared" si="94"/>
        <v>0.0457572494740774</v>
      </c>
      <c r="AA1505">
        <f t="shared" si="96"/>
        <v>-0.071</v>
      </c>
      <c r="AB1505">
        <f t="shared" si="97"/>
        <v>0.143</v>
      </c>
      <c r="AC1505" t="s">
        <v>32</v>
      </c>
    </row>
    <row r="1506" spans="1:29">
      <c r="A1506" t="s">
        <v>113</v>
      </c>
      <c r="B1506">
        <v>3864.75</v>
      </c>
      <c r="C1506">
        <v>33.081</v>
      </c>
      <c r="D1506">
        <v>75.112</v>
      </c>
      <c r="E1506">
        <v>156.508</v>
      </c>
      <c r="F1506">
        <v>0.023</v>
      </c>
      <c r="G1506">
        <v>22.236</v>
      </c>
      <c r="H1506">
        <v>2.932</v>
      </c>
      <c r="I1506">
        <v>2.745</v>
      </c>
      <c r="J1506">
        <v>0.223</v>
      </c>
      <c r="K1506">
        <v>3.148</v>
      </c>
      <c r="L1506">
        <v>0.123</v>
      </c>
      <c r="M1506">
        <v>3.569</v>
      </c>
      <c r="N1506">
        <v>408.626</v>
      </c>
      <c r="O1506">
        <v>367.763</v>
      </c>
      <c r="P1506">
        <f t="shared" si="95"/>
        <v>2.61132599640629</v>
      </c>
      <c r="Q1506">
        <f t="shared" si="95"/>
        <v>2.56556803348244</v>
      </c>
      <c r="R1506">
        <v>230.646</v>
      </c>
      <c r="S1506">
        <v>238.477</v>
      </c>
      <c r="T1506">
        <v>254.924</v>
      </c>
      <c r="U1506">
        <v>0</v>
      </c>
      <c r="V1506">
        <v>100</v>
      </c>
      <c r="W1506">
        <v>0</v>
      </c>
      <c r="X1506" t="s">
        <v>92</v>
      </c>
      <c r="Y1506" t="s">
        <v>31</v>
      </c>
      <c r="Z1506" s="3">
        <f t="shared" si="94"/>
        <v>0.04575796292385</v>
      </c>
      <c r="AA1506">
        <f t="shared" si="96"/>
        <v>-0.1</v>
      </c>
      <c r="AB1506">
        <f t="shared" si="97"/>
        <v>0.146</v>
      </c>
      <c r="AC1506" t="s">
        <v>32</v>
      </c>
    </row>
    <row r="1507" spans="1:29">
      <c r="A1507" t="s">
        <v>113</v>
      </c>
      <c r="B1507">
        <v>3864.875</v>
      </c>
      <c r="C1507">
        <v>33.588</v>
      </c>
      <c r="D1507">
        <v>74.929</v>
      </c>
      <c r="E1507">
        <v>156.257</v>
      </c>
      <c r="F1507">
        <v>0.02</v>
      </c>
      <c r="G1507">
        <v>22.24</v>
      </c>
      <c r="H1507">
        <v>3.179</v>
      </c>
      <c r="I1507">
        <v>2.755</v>
      </c>
      <c r="J1507">
        <v>0.257</v>
      </c>
      <c r="K1507">
        <v>3.279</v>
      </c>
      <c r="L1507">
        <v>0.133</v>
      </c>
      <c r="M1507">
        <v>3.634</v>
      </c>
      <c r="N1507">
        <v>408.616</v>
      </c>
      <c r="O1507">
        <v>367.755</v>
      </c>
      <c r="P1507">
        <f t="shared" si="95"/>
        <v>2.61131536811059</v>
      </c>
      <c r="Q1507">
        <f t="shared" si="95"/>
        <v>2.56555858611105</v>
      </c>
      <c r="R1507">
        <v>234.91</v>
      </c>
      <c r="S1507">
        <v>243.83</v>
      </c>
      <c r="T1507">
        <v>259.638</v>
      </c>
      <c r="U1507">
        <v>0</v>
      </c>
      <c r="V1507">
        <v>100</v>
      </c>
      <c r="W1507">
        <v>0</v>
      </c>
      <c r="X1507" t="s">
        <v>92</v>
      </c>
      <c r="Y1507" t="s">
        <v>31</v>
      </c>
      <c r="Z1507" s="3">
        <f t="shared" si="94"/>
        <v>0.0457567819995357</v>
      </c>
      <c r="AA1507">
        <f t="shared" si="96"/>
        <v>-0.124</v>
      </c>
      <c r="AB1507">
        <f t="shared" si="97"/>
        <v>0.153</v>
      </c>
      <c r="AC1507" t="s">
        <v>32</v>
      </c>
    </row>
    <row r="1508" spans="1:29">
      <c r="A1508" t="s">
        <v>113</v>
      </c>
      <c r="B1508">
        <v>3865</v>
      </c>
      <c r="C1508">
        <v>33.787</v>
      </c>
      <c r="D1508">
        <v>74.865</v>
      </c>
      <c r="E1508">
        <v>156.295</v>
      </c>
      <c r="F1508">
        <v>0.02</v>
      </c>
      <c r="G1508">
        <v>22.255</v>
      </c>
      <c r="H1508">
        <v>3.564</v>
      </c>
      <c r="I1508">
        <v>2.762</v>
      </c>
      <c r="J1508">
        <v>0.28</v>
      </c>
      <c r="K1508">
        <v>3.39</v>
      </c>
      <c r="L1508">
        <v>0.141</v>
      </c>
      <c r="M1508">
        <v>3.744</v>
      </c>
      <c r="N1508">
        <v>402.073</v>
      </c>
      <c r="O1508">
        <v>361.865</v>
      </c>
      <c r="P1508">
        <f t="shared" si="95"/>
        <v>2.6043049103456</v>
      </c>
      <c r="Q1508">
        <f t="shared" si="95"/>
        <v>2.55854657967648</v>
      </c>
      <c r="R1508">
        <v>237.868</v>
      </c>
      <c r="S1508">
        <v>247.956</v>
      </c>
      <c r="T1508">
        <v>262.907</v>
      </c>
      <c r="U1508">
        <v>0</v>
      </c>
      <c r="V1508">
        <v>100</v>
      </c>
      <c r="W1508">
        <v>0</v>
      </c>
      <c r="X1508" t="s">
        <v>92</v>
      </c>
      <c r="Y1508" t="s">
        <v>31</v>
      </c>
      <c r="Z1508" s="3">
        <f t="shared" si="94"/>
        <v>0.045758330669122</v>
      </c>
      <c r="AA1508">
        <f t="shared" si="96"/>
        <v>-0.139</v>
      </c>
      <c r="AB1508">
        <f t="shared" si="97"/>
        <v>0.161</v>
      </c>
      <c r="AC1508" t="s">
        <v>32</v>
      </c>
    </row>
    <row r="1509" spans="1:29">
      <c r="A1509" t="s">
        <v>113</v>
      </c>
      <c r="B1509">
        <v>3865.125</v>
      </c>
      <c r="C1509">
        <v>33.549</v>
      </c>
      <c r="D1509">
        <v>74.861</v>
      </c>
      <c r="E1509">
        <v>156.826</v>
      </c>
      <c r="F1509">
        <v>0.026</v>
      </c>
      <c r="G1509">
        <v>22.285</v>
      </c>
      <c r="H1509">
        <v>3.907</v>
      </c>
      <c r="I1509">
        <v>2.763</v>
      </c>
      <c r="J1509">
        <v>0.283</v>
      </c>
      <c r="K1509">
        <v>3.46</v>
      </c>
      <c r="L1509">
        <v>0.146</v>
      </c>
      <c r="M1509">
        <v>3.814</v>
      </c>
      <c r="N1509">
        <v>391.676</v>
      </c>
      <c r="O1509">
        <v>352.508</v>
      </c>
      <c r="P1509">
        <f t="shared" si="95"/>
        <v>2.59292696090989</v>
      </c>
      <c r="Q1509">
        <f t="shared" si="95"/>
        <v>2.54716897754424</v>
      </c>
      <c r="R1509">
        <v>239.744</v>
      </c>
      <c r="S1509">
        <v>250.845</v>
      </c>
      <c r="T1509">
        <v>264.981</v>
      </c>
      <c r="U1509">
        <v>0</v>
      </c>
      <c r="V1509">
        <v>100</v>
      </c>
      <c r="W1509">
        <v>0</v>
      </c>
      <c r="X1509" t="s">
        <v>92</v>
      </c>
      <c r="Y1509" t="s">
        <v>31</v>
      </c>
      <c r="Z1509" s="3">
        <f t="shared" ref="Z1509:Z1572" si="98">P1509-Q1509</f>
        <v>0.0457579833656445</v>
      </c>
      <c r="AA1509">
        <f t="shared" si="96"/>
        <v>-0.137</v>
      </c>
      <c r="AB1509">
        <f t="shared" si="97"/>
        <v>0.172</v>
      </c>
      <c r="AC1509" t="s">
        <v>32</v>
      </c>
    </row>
    <row r="1510" spans="1:29">
      <c r="A1510" t="s">
        <v>113</v>
      </c>
      <c r="B1510">
        <v>3865.25</v>
      </c>
      <c r="C1510">
        <v>32.764</v>
      </c>
      <c r="D1510">
        <v>74.879</v>
      </c>
      <c r="E1510">
        <v>157.816</v>
      </c>
      <c r="F1510">
        <v>0.037</v>
      </c>
      <c r="G1510">
        <v>22.319</v>
      </c>
      <c r="H1510">
        <v>4.134</v>
      </c>
      <c r="I1510">
        <v>2.759</v>
      </c>
      <c r="J1510">
        <v>0.27</v>
      </c>
      <c r="K1510">
        <v>3.523</v>
      </c>
      <c r="L1510">
        <v>0.151</v>
      </c>
      <c r="M1510">
        <v>3.788</v>
      </c>
      <c r="N1510">
        <v>381.061</v>
      </c>
      <c r="O1510">
        <v>342.955</v>
      </c>
      <c r="P1510">
        <f t="shared" si="95"/>
        <v>2.58099450282227</v>
      </c>
      <c r="Q1510">
        <f t="shared" si="95"/>
        <v>2.5352371388947</v>
      </c>
      <c r="R1510">
        <v>240.772</v>
      </c>
      <c r="S1510">
        <v>252.65</v>
      </c>
      <c r="T1510">
        <v>266.116</v>
      </c>
      <c r="U1510">
        <v>0</v>
      </c>
      <c r="V1510">
        <v>100</v>
      </c>
      <c r="W1510">
        <v>0</v>
      </c>
      <c r="X1510" t="s">
        <v>92</v>
      </c>
      <c r="Y1510" t="s">
        <v>31</v>
      </c>
      <c r="Z1510" s="3">
        <f t="shared" si="98"/>
        <v>0.0457573639275757</v>
      </c>
      <c r="AA1510">
        <f t="shared" si="96"/>
        <v>-0.119</v>
      </c>
      <c r="AB1510">
        <f t="shared" si="97"/>
        <v>0.188</v>
      </c>
      <c r="AC1510" t="s">
        <v>32</v>
      </c>
    </row>
    <row r="1511" spans="1:29">
      <c r="A1511" t="s">
        <v>113</v>
      </c>
      <c r="B1511">
        <v>3865.375</v>
      </c>
      <c r="C1511">
        <v>31.632</v>
      </c>
      <c r="D1511">
        <v>74.902</v>
      </c>
      <c r="E1511">
        <v>159.063</v>
      </c>
      <c r="F1511">
        <v>0.052</v>
      </c>
      <c r="G1511">
        <v>22.345</v>
      </c>
      <c r="H1511">
        <v>4.272</v>
      </c>
      <c r="I1511">
        <v>2.751</v>
      </c>
      <c r="J1511">
        <v>0.243</v>
      </c>
      <c r="K1511">
        <v>3.604</v>
      </c>
      <c r="L1511">
        <v>0.157</v>
      </c>
      <c r="M1511">
        <v>3.708</v>
      </c>
      <c r="N1511">
        <v>370.246</v>
      </c>
      <c r="O1511">
        <v>333.221</v>
      </c>
      <c r="P1511">
        <f t="shared" si="95"/>
        <v>2.56849037526263</v>
      </c>
      <c r="Q1511">
        <f t="shared" si="95"/>
        <v>2.5227323633732</v>
      </c>
      <c r="R1511">
        <v>241.203</v>
      </c>
      <c r="S1511">
        <v>253.604</v>
      </c>
      <c r="T1511">
        <v>266.593</v>
      </c>
      <c r="U1511">
        <v>0</v>
      </c>
      <c r="V1511">
        <v>100</v>
      </c>
      <c r="W1511">
        <v>0</v>
      </c>
      <c r="X1511" t="s">
        <v>92</v>
      </c>
      <c r="Y1511" t="s">
        <v>31</v>
      </c>
      <c r="Z1511" s="3">
        <f t="shared" si="98"/>
        <v>0.0457580118894287</v>
      </c>
      <c r="AA1511">
        <f t="shared" si="96"/>
        <v>-0.086</v>
      </c>
      <c r="AB1511">
        <f t="shared" si="97"/>
        <v>0.209</v>
      </c>
      <c r="AC1511" t="s">
        <v>32</v>
      </c>
    </row>
    <row r="1512" spans="1:29">
      <c r="A1512" t="s">
        <v>113</v>
      </c>
      <c r="B1512">
        <v>3865.5</v>
      </c>
      <c r="C1512">
        <v>31.409</v>
      </c>
      <c r="D1512">
        <v>74.919</v>
      </c>
      <c r="E1512">
        <v>160.175</v>
      </c>
      <c r="F1512">
        <v>0.064</v>
      </c>
      <c r="G1512">
        <v>22.35</v>
      </c>
      <c r="H1512">
        <v>4.24</v>
      </c>
      <c r="I1512">
        <v>2.739</v>
      </c>
      <c r="J1512">
        <v>0.203</v>
      </c>
      <c r="K1512">
        <v>3.675</v>
      </c>
      <c r="L1512">
        <v>0.162</v>
      </c>
      <c r="M1512">
        <v>3.647</v>
      </c>
      <c r="N1512">
        <v>356.9</v>
      </c>
      <c r="O1512">
        <v>321.21</v>
      </c>
      <c r="P1512">
        <f t="shared" si="95"/>
        <v>2.55254654795566</v>
      </c>
      <c r="Q1512">
        <f t="shared" si="95"/>
        <v>2.50678905739499</v>
      </c>
      <c r="R1512">
        <v>241.399</v>
      </c>
      <c r="S1512">
        <v>253.939</v>
      </c>
      <c r="T1512">
        <v>266.809</v>
      </c>
      <c r="U1512">
        <v>0</v>
      </c>
      <c r="V1512">
        <v>100</v>
      </c>
      <c r="W1512">
        <v>0</v>
      </c>
      <c r="X1512" t="s">
        <v>92</v>
      </c>
      <c r="Y1512" t="s">
        <v>31</v>
      </c>
      <c r="Z1512" s="3">
        <f t="shared" si="98"/>
        <v>0.0457574905606752</v>
      </c>
      <c r="AA1512">
        <f t="shared" si="96"/>
        <v>-0.041</v>
      </c>
      <c r="AB1512">
        <f t="shared" si="97"/>
        <v>0.226</v>
      </c>
      <c r="AC1512" t="s">
        <v>32</v>
      </c>
    </row>
    <row r="1513" spans="1:29">
      <c r="A1513" t="s">
        <v>113</v>
      </c>
      <c r="B1513">
        <v>3865.625</v>
      </c>
      <c r="C1513">
        <v>31.984</v>
      </c>
      <c r="D1513">
        <v>74.93</v>
      </c>
      <c r="E1513">
        <v>160.453</v>
      </c>
      <c r="F1513">
        <v>0.067</v>
      </c>
      <c r="G1513">
        <v>22.322</v>
      </c>
      <c r="H1513">
        <v>3.968</v>
      </c>
      <c r="I1513">
        <v>2.728</v>
      </c>
      <c r="J1513">
        <v>0.167</v>
      </c>
      <c r="K1513">
        <v>3.68</v>
      </c>
      <c r="L1513">
        <v>0.162</v>
      </c>
      <c r="M1513">
        <v>3.671</v>
      </c>
      <c r="N1513">
        <v>338.38</v>
      </c>
      <c r="O1513">
        <v>304.542</v>
      </c>
      <c r="P1513">
        <f t="shared" si="95"/>
        <v>2.52940468608589</v>
      </c>
      <c r="Q1513">
        <f t="shared" si="95"/>
        <v>2.48364719552521</v>
      </c>
      <c r="R1513">
        <v>241.891</v>
      </c>
      <c r="S1513">
        <v>254.171</v>
      </c>
      <c r="T1513">
        <v>267.353</v>
      </c>
      <c r="U1513">
        <v>0</v>
      </c>
      <c r="V1513">
        <v>100</v>
      </c>
      <c r="W1513">
        <v>0</v>
      </c>
      <c r="X1513" t="s">
        <v>92</v>
      </c>
      <c r="Y1513" t="s">
        <v>31</v>
      </c>
      <c r="Z1513" s="3">
        <f t="shared" si="98"/>
        <v>0.0457574905606752</v>
      </c>
      <c r="AA1513">
        <f t="shared" si="96"/>
        <v>-0.005</v>
      </c>
      <c r="AB1513">
        <f t="shared" si="97"/>
        <v>0.229</v>
      </c>
      <c r="AC1513" t="s">
        <v>32</v>
      </c>
    </row>
    <row r="1514" spans="1:29">
      <c r="A1514" t="s">
        <v>113</v>
      </c>
      <c r="B1514">
        <v>3865.75</v>
      </c>
      <c r="C1514">
        <v>32.009</v>
      </c>
      <c r="D1514">
        <v>74.928</v>
      </c>
      <c r="E1514">
        <v>159.651</v>
      </c>
      <c r="F1514">
        <v>0.058</v>
      </c>
      <c r="G1514">
        <v>22.279</v>
      </c>
      <c r="H1514">
        <v>3.635</v>
      </c>
      <c r="I1514">
        <v>2.718</v>
      </c>
      <c r="J1514">
        <v>0.133</v>
      </c>
      <c r="K1514">
        <v>3.652</v>
      </c>
      <c r="L1514">
        <v>0.16</v>
      </c>
      <c r="M1514">
        <v>3.752</v>
      </c>
      <c r="N1514">
        <v>320.691</v>
      </c>
      <c r="O1514">
        <v>288.622</v>
      </c>
      <c r="P1514">
        <f t="shared" si="95"/>
        <v>2.50608677188608</v>
      </c>
      <c r="Q1514">
        <f t="shared" si="95"/>
        <v>2.46032943179715</v>
      </c>
      <c r="R1514">
        <v>243.101</v>
      </c>
      <c r="S1514">
        <v>254.789</v>
      </c>
      <c r="T1514">
        <v>268.691</v>
      </c>
      <c r="U1514">
        <v>0</v>
      </c>
      <c r="V1514">
        <v>100</v>
      </c>
      <c r="W1514">
        <v>0</v>
      </c>
      <c r="X1514" t="s">
        <v>92</v>
      </c>
      <c r="Y1514" t="s">
        <v>31</v>
      </c>
      <c r="Z1514" s="3">
        <f t="shared" si="98"/>
        <v>0.0457573400889308</v>
      </c>
      <c r="AA1514">
        <f t="shared" si="96"/>
        <v>0.027</v>
      </c>
      <c r="AB1514">
        <f t="shared" si="97"/>
        <v>0.218</v>
      </c>
      <c r="AC1514" t="s">
        <v>32</v>
      </c>
    </row>
    <row r="1515" spans="1:29">
      <c r="A1515" t="s">
        <v>113</v>
      </c>
      <c r="B1515">
        <v>3865.875</v>
      </c>
      <c r="C1515">
        <v>31.276</v>
      </c>
      <c r="D1515">
        <v>74.924</v>
      </c>
      <c r="E1515">
        <v>158.054</v>
      </c>
      <c r="F1515">
        <v>0.04</v>
      </c>
      <c r="G1515">
        <v>22.252</v>
      </c>
      <c r="H1515">
        <v>3.301</v>
      </c>
      <c r="I1515">
        <v>2.712</v>
      </c>
      <c r="J1515">
        <v>0.113</v>
      </c>
      <c r="K1515">
        <v>3.639</v>
      </c>
      <c r="L1515">
        <v>0.159</v>
      </c>
      <c r="M1515">
        <v>3.829</v>
      </c>
      <c r="N1515">
        <v>308.294</v>
      </c>
      <c r="O1515">
        <v>277.464</v>
      </c>
      <c r="P1515">
        <f t="shared" si="95"/>
        <v>2.48896507259466</v>
      </c>
      <c r="Q1515">
        <f t="shared" si="95"/>
        <v>2.44320664289807</v>
      </c>
      <c r="R1515">
        <v>245.338</v>
      </c>
      <c r="S1515">
        <v>256.222</v>
      </c>
      <c r="T1515">
        <v>271.163</v>
      </c>
      <c r="U1515">
        <v>0</v>
      </c>
      <c r="V1515">
        <v>100</v>
      </c>
      <c r="W1515">
        <v>0</v>
      </c>
      <c r="X1515" t="s">
        <v>92</v>
      </c>
      <c r="Y1515" t="s">
        <v>31</v>
      </c>
      <c r="Z1515" s="3">
        <f t="shared" si="98"/>
        <v>0.0457584296965896</v>
      </c>
      <c r="AA1515">
        <f t="shared" si="96"/>
        <v>0.046</v>
      </c>
      <c r="AB1515">
        <f t="shared" si="97"/>
        <v>0.199</v>
      </c>
      <c r="AC1515" t="s">
        <v>32</v>
      </c>
    </row>
    <row r="1516" spans="1:29">
      <c r="A1516" t="s">
        <v>113</v>
      </c>
      <c r="B1516">
        <v>3866</v>
      </c>
      <c r="C1516">
        <v>30.193</v>
      </c>
      <c r="D1516">
        <v>74.931</v>
      </c>
      <c r="E1516">
        <v>156.698</v>
      </c>
      <c r="F1516">
        <v>0.025</v>
      </c>
      <c r="G1516">
        <v>22.262</v>
      </c>
      <c r="H1516">
        <v>2.969</v>
      </c>
      <c r="I1516">
        <v>2.71</v>
      </c>
      <c r="J1516">
        <v>0.107</v>
      </c>
      <c r="K1516">
        <v>3.673</v>
      </c>
      <c r="L1516">
        <v>0.162</v>
      </c>
      <c r="M1516">
        <v>3.851</v>
      </c>
      <c r="N1516">
        <v>304.626</v>
      </c>
      <c r="O1516">
        <v>274.163</v>
      </c>
      <c r="P1516">
        <f t="shared" si="95"/>
        <v>2.48376696785965</v>
      </c>
      <c r="Q1516">
        <f t="shared" si="95"/>
        <v>2.43800884366983</v>
      </c>
      <c r="R1516">
        <v>248.958</v>
      </c>
      <c r="S1516">
        <v>258.936</v>
      </c>
      <c r="T1516">
        <v>275.164</v>
      </c>
      <c r="U1516">
        <v>0</v>
      </c>
      <c r="V1516">
        <v>100</v>
      </c>
      <c r="W1516">
        <v>0</v>
      </c>
      <c r="X1516" t="s">
        <v>92</v>
      </c>
      <c r="Y1516" t="s">
        <v>31</v>
      </c>
      <c r="Z1516" s="3">
        <f t="shared" si="98"/>
        <v>0.0457581241898155</v>
      </c>
      <c r="AA1516">
        <f t="shared" si="96"/>
        <v>0.055</v>
      </c>
      <c r="AB1516">
        <f t="shared" si="97"/>
        <v>0.187</v>
      </c>
      <c r="AC1516" t="s">
        <v>32</v>
      </c>
    </row>
    <row r="1517" spans="1:29">
      <c r="A1517" t="s">
        <v>114</v>
      </c>
      <c r="B1517">
        <v>3829.375</v>
      </c>
      <c r="C1517">
        <v>40.341</v>
      </c>
      <c r="D1517">
        <v>43.338</v>
      </c>
      <c r="E1517">
        <v>162.94</v>
      </c>
      <c r="F1517">
        <v>0.205</v>
      </c>
      <c r="G1517">
        <v>22.071</v>
      </c>
      <c r="H1517">
        <v>1.71</v>
      </c>
      <c r="I1517">
        <v>2.774</v>
      </c>
      <c r="J1517" s="3">
        <v>0.773</v>
      </c>
      <c r="K1517">
        <v>9.927</v>
      </c>
      <c r="L1517">
        <v>0.491</v>
      </c>
      <c r="M1517">
        <v>2.668</v>
      </c>
      <c r="N1517">
        <v>721.627</v>
      </c>
      <c r="O1517">
        <v>627.257</v>
      </c>
      <c r="P1517">
        <f t="shared" si="95"/>
        <v>2.85831277416199</v>
      </c>
      <c r="Q1517">
        <f t="shared" si="95"/>
        <v>2.79744551660986</v>
      </c>
      <c r="R1517">
        <v>15.953</v>
      </c>
      <c r="S1517">
        <v>253.347</v>
      </c>
      <c r="T1517">
        <v>236.409</v>
      </c>
      <c r="U1517">
        <v>0.1</v>
      </c>
      <c r="V1517">
        <v>100</v>
      </c>
      <c r="W1517">
        <v>0.1</v>
      </c>
      <c r="X1517" t="s">
        <v>92</v>
      </c>
      <c r="Y1517" t="s">
        <v>31</v>
      </c>
      <c r="Z1517" s="3">
        <f t="shared" si="98"/>
        <v>0.0608672575521325</v>
      </c>
      <c r="AA1517">
        <f t="shared" si="96"/>
        <v>-0.282</v>
      </c>
      <c r="AB1517">
        <f t="shared" si="97"/>
        <v>0.696</v>
      </c>
      <c r="AC1517" t="s">
        <v>32</v>
      </c>
    </row>
    <row r="1518" spans="1:29">
      <c r="A1518" t="s">
        <v>114</v>
      </c>
      <c r="B1518">
        <v>3829.5</v>
      </c>
      <c r="C1518">
        <v>27.268</v>
      </c>
      <c r="D1518">
        <v>41.798</v>
      </c>
      <c r="E1518">
        <v>161.577</v>
      </c>
      <c r="F1518">
        <v>0.187</v>
      </c>
      <c r="G1518">
        <v>21.927</v>
      </c>
      <c r="H1518">
        <v>1.504</v>
      </c>
      <c r="I1518">
        <v>2.758</v>
      </c>
      <c r="J1518" s="3">
        <v>0.744</v>
      </c>
      <c r="K1518">
        <v>9.925</v>
      </c>
      <c r="L1518">
        <v>0.491</v>
      </c>
      <c r="M1518">
        <v>2.628</v>
      </c>
      <c r="N1518">
        <v>515.16</v>
      </c>
      <c r="O1518">
        <v>540.006</v>
      </c>
      <c r="P1518">
        <f t="shared" si="95"/>
        <v>2.71194213452706</v>
      </c>
      <c r="Q1518">
        <f t="shared" si="95"/>
        <v>2.7323985852904</v>
      </c>
      <c r="R1518">
        <v>16.018</v>
      </c>
      <c r="S1518">
        <v>247.56</v>
      </c>
      <c r="T1518">
        <v>234.264</v>
      </c>
      <c r="U1518">
        <v>0.1</v>
      </c>
      <c r="V1518">
        <v>100</v>
      </c>
      <c r="W1518">
        <v>0.1</v>
      </c>
      <c r="X1518" t="s">
        <v>92</v>
      </c>
      <c r="Y1518" t="s">
        <v>31</v>
      </c>
      <c r="Z1518" s="3">
        <f t="shared" si="98"/>
        <v>-0.0204564507633398</v>
      </c>
      <c r="AA1518">
        <f t="shared" si="96"/>
        <v>-0.253</v>
      </c>
      <c r="AB1518">
        <f t="shared" si="97"/>
        <v>0.678</v>
      </c>
      <c r="AC1518" t="s">
        <v>32</v>
      </c>
    </row>
    <row r="1519" spans="1:29">
      <c r="A1519" t="s">
        <v>114</v>
      </c>
      <c r="B1519">
        <v>3829.625</v>
      </c>
      <c r="C1519">
        <v>21.716</v>
      </c>
      <c r="D1519">
        <v>40.334</v>
      </c>
      <c r="E1519">
        <v>161.79</v>
      </c>
      <c r="F1519">
        <v>0.19</v>
      </c>
      <c r="G1519">
        <v>21.778</v>
      </c>
      <c r="H1519">
        <v>1.409</v>
      </c>
      <c r="I1519">
        <v>2.746</v>
      </c>
      <c r="J1519" s="3">
        <v>0.723</v>
      </c>
      <c r="K1519">
        <v>9.482</v>
      </c>
      <c r="L1519">
        <v>0.46</v>
      </c>
      <c r="M1519">
        <v>2.634</v>
      </c>
      <c r="N1519">
        <v>410.855</v>
      </c>
      <c r="O1519">
        <v>428.607</v>
      </c>
      <c r="P1519">
        <f t="shared" si="95"/>
        <v>2.61368857659429</v>
      </c>
      <c r="Q1519">
        <f t="shared" si="95"/>
        <v>2.63205925965156</v>
      </c>
      <c r="R1519">
        <v>15.996</v>
      </c>
      <c r="S1519">
        <v>232.983</v>
      </c>
      <c r="T1519">
        <v>223.747</v>
      </c>
      <c r="U1519">
        <v>0.1</v>
      </c>
      <c r="V1519">
        <v>100</v>
      </c>
      <c r="W1519">
        <v>0.1</v>
      </c>
      <c r="X1519" t="s">
        <v>92</v>
      </c>
      <c r="Y1519" t="s">
        <v>31</v>
      </c>
      <c r="Z1519" s="3">
        <f t="shared" si="98"/>
        <v>-0.0183706830572712</v>
      </c>
      <c r="AA1519">
        <f t="shared" si="96"/>
        <v>-0.263</v>
      </c>
      <c r="AB1519">
        <f t="shared" si="97"/>
        <v>0.65</v>
      </c>
      <c r="AC1519" t="s">
        <v>32</v>
      </c>
    </row>
    <row r="1520" spans="1:29">
      <c r="A1520" t="s">
        <v>114</v>
      </c>
      <c r="B1520">
        <v>3829.75</v>
      </c>
      <c r="C1520">
        <v>20.596</v>
      </c>
      <c r="D1520">
        <v>39.02</v>
      </c>
      <c r="E1520">
        <v>163.253</v>
      </c>
      <c r="F1520">
        <v>0.209</v>
      </c>
      <c r="G1520">
        <v>21.697</v>
      </c>
      <c r="H1520">
        <v>1.403</v>
      </c>
      <c r="I1520">
        <v>2.741</v>
      </c>
      <c r="J1520" s="3">
        <v>0.714</v>
      </c>
      <c r="K1520">
        <v>8.79</v>
      </c>
      <c r="L1520">
        <v>0.412</v>
      </c>
      <c r="M1520">
        <v>2.783</v>
      </c>
      <c r="N1520">
        <v>368.494</v>
      </c>
      <c r="O1520">
        <v>392.085</v>
      </c>
      <c r="P1520">
        <f t="shared" si="95"/>
        <v>2.56643042085693</v>
      </c>
      <c r="Q1520">
        <f t="shared" si="95"/>
        <v>2.59338022780942</v>
      </c>
      <c r="R1520">
        <v>16.157</v>
      </c>
      <c r="S1520">
        <v>210.71</v>
      </c>
      <c r="T1520">
        <v>205.319</v>
      </c>
      <c r="U1520">
        <v>0.1</v>
      </c>
      <c r="V1520">
        <v>100</v>
      </c>
      <c r="W1520">
        <v>0.1</v>
      </c>
      <c r="X1520" t="s">
        <v>92</v>
      </c>
      <c r="Y1520" t="s">
        <v>31</v>
      </c>
      <c r="Z1520" s="3">
        <f t="shared" si="98"/>
        <v>-0.0269498069524907</v>
      </c>
      <c r="AA1520">
        <f t="shared" si="96"/>
        <v>-0.302</v>
      </c>
      <c r="AB1520">
        <f t="shared" si="97"/>
        <v>0.621</v>
      </c>
      <c r="AC1520" t="s">
        <v>32</v>
      </c>
    </row>
    <row r="1521" spans="1:29">
      <c r="A1521" t="s">
        <v>114</v>
      </c>
      <c r="B1521">
        <v>3829.875</v>
      </c>
      <c r="C1521">
        <v>21.071</v>
      </c>
      <c r="D1521">
        <v>37.865</v>
      </c>
      <c r="E1521">
        <v>165.889</v>
      </c>
      <c r="F1521">
        <v>0.243</v>
      </c>
      <c r="G1521">
        <v>21.67</v>
      </c>
      <c r="H1521">
        <v>1.428</v>
      </c>
      <c r="I1521">
        <v>2.737</v>
      </c>
      <c r="J1521" s="3">
        <v>0.707</v>
      </c>
      <c r="K1521">
        <v>8.327</v>
      </c>
      <c r="L1521">
        <v>0.379</v>
      </c>
      <c r="M1521">
        <v>2.99</v>
      </c>
      <c r="N1521">
        <v>292.787</v>
      </c>
      <c r="O1521">
        <v>323.379</v>
      </c>
      <c r="P1521">
        <f t="shared" si="95"/>
        <v>2.46655178975793</v>
      </c>
      <c r="Q1521">
        <f t="shared" si="95"/>
        <v>2.50971181371434</v>
      </c>
      <c r="R1521">
        <v>16.46</v>
      </c>
      <c r="S1521">
        <v>186.264</v>
      </c>
      <c r="T1521">
        <v>184.082</v>
      </c>
      <c r="U1521">
        <v>0.1</v>
      </c>
      <c r="V1521">
        <v>100</v>
      </c>
      <c r="W1521">
        <v>0.1</v>
      </c>
      <c r="X1521" t="s">
        <v>92</v>
      </c>
      <c r="Y1521" t="s">
        <v>31</v>
      </c>
      <c r="Z1521" s="3">
        <f t="shared" si="98"/>
        <v>-0.0431600239564149</v>
      </c>
      <c r="AA1521">
        <f t="shared" si="96"/>
        <v>-0.328</v>
      </c>
      <c r="AB1521">
        <f t="shared" si="97"/>
        <v>0.622</v>
      </c>
      <c r="AC1521" t="s">
        <v>32</v>
      </c>
    </row>
    <row r="1522" spans="1:29">
      <c r="A1522" t="s">
        <v>114</v>
      </c>
      <c r="B1522">
        <v>3830</v>
      </c>
      <c r="C1522">
        <v>21.509</v>
      </c>
      <c r="D1522">
        <v>36.884</v>
      </c>
      <c r="E1522">
        <v>169.222</v>
      </c>
      <c r="F1522">
        <v>0.287</v>
      </c>
      <c r="G1522">
        <v>21.655</v>
      </c>
      <c r="H1522">
        <v>1.468</v>
      </c>
      <c r="I1522">
        <v>2.731</v>
      </c>
      <c r="J1522" s="3">
        <v>0.696</v>
      </c>
      <c r="K1522">
        <v>8.322</v>
      </c>
      <c r="L1522">
        <v>0.379</v>
      </c>
      <c r="M1522">
        <v>3.102</v>
      </c>
      <c r="N1522">
        <v>206.555</v>
      </c>
      <c r="O1522">
        <v>231.747</v>
      </c>
      <c r="P1522">
        <f t="shared" si="95"/>
        <v>2.31503571224471</v>
      </c>
      <c r="Q1522">
        <f t="shared" si="95"/>
        <v>2.36501412084511</v>
      </c>
      <c r="R1522">
        <v>16.79</v>
      </c>
      <c r="S1522">
        <v>168.262</v>
      </c>
      <c r="T1522">
        <v>168.474</v>
      </c>
      <c r="U1522">
        <v>0.1</v>
      </c>
      <c r="V1522">
        <v>100</v>
      </c>
      <c r="W1522">
        <v>0.1</v>
      </c>
      <c r="X1522" t="s">
        <v>92</v>
      </c>
      <c r="Y1522" t="s">
        <v>31</v>
      </c>
      <c r="Z1522" s="3">
        <f t="shared" si="98"/>
        <v>-0.0499784086003912</v>
      </c>
      <c r="AA1522">
        <f t="shared" si="96"/>
        <v>-0.317</v>
      </c>
      <c r="AB1522">
        <f t="shared" si="97"/>
        <v>0.666</v>
      </c>
      <c r="AC1522" t="s">
        <v>32</v>
      </c>
    </row>
    <row r="1523" spans="1:29">
      <c r="A1523" t="s">
        <v>114</v>
      </c>
      <c r="B1523">
        <v>3830.125</v>
      </c>
      <c r="C1523">
        <v>21.632</v>
      </c>
      <c r="D1523">
        <v>36.141</v>
      </c>
      <c r="E1523">
        <v>171.377</v>
      </c>
      <c r="F1523">
        <v>0.315</v>
      </c>
      <c r="G1523">
        <v>21.656</v>
      </c>
      <c r="H1523">
        <v>1.619</v>
      </c>
      <c r="I1523">
        <v>2.719</v>
      </c>
      <c r="J1523" s="3">
        <v>0.675</v>
      </c>
      <c r="K1523">
        <v>8.722</v>
      </c>
      <c r="L1523">
        <v>0.407</v>
      </c>
      <c r="M1523">
        <v>3.103</v>
      </c>
      <c r="N1523">
        <v>170.636</v>
      </c>
      <c r="O1523">
        <v>189.669</v>
      </c>
      <c r="P1523">
        <f t="shared" si="95"/>
        <v>2.23207066195445</v>
      </c>
      <c r="Q1523">
        <f t="shared" si="95"/>
        <v>2.27799635445691</v>
      </c>
      <c r="R1523">
        <v>17.266</v>
      </c>
      <c r="S1523">
        <v>163.424</v>
      </c>
      <c r="T1523">
        <v>165.186</v>
      </c>
      <c r="U1523">
        <v>0.1</v>
      </c>
      <c r="V1523">
        <v>100</v>
      </c>
      <c r="W1523">
        <v>0.1</v>
      </c>
      <c r="X1523" t="s">
        <v>92</v>
      </c>
      <c r="Y1523" t="s">
        <v>31</v>
      </c>
      <c r="Z1523" s="3">
        <f t="shared" si="98"/>
        <v>-0.0459256925024607</v>
      </c>
      <c r="AA1523">
        <f t="shared" si="96"/>
        <v>-0.268</v>
      </c>
      <c r="AB1523">
        <f t="shared" si="97"/>
        <v>0.722</v>
      </c>
      <c r="AC1523" t="s">
        <v>32</v>
      </c>
    </row>
    <row r="1524" spans="1:29">
      <c r="A1524" t="s">
        <v>114</v>
      </c>
      <c r="B1524">
        <v>3830.25</v>
      </c>
      <c r="C1524">
        <v>22.027</v>
      </c>
      <c r="D1524">
        <v>35.633</v>
      </c>
      <c r="E1524">
        <v>171.153</v>
      </c>
      <c r="F1524">
        <v>0.312</v>
      </c>
      <c r="G1524">
        <v>21.711</v>
      </c>
      <c r="H1524">
        <v>1.937</v>
      </c>
      <c r="I1524">
        <v>2.703</v>
      </c>
      <c r="J1524" s="3">
        <v>0.647</v>
      </c>
      <c r="K1524">
        <v>9.259</v>
      </c>
      <c r="L1524">
        <v>0.445</v>
      </c>
      <c r="M1524">
        <v>3.095</v>
      </c>
      <c r="N1524">
        <v>173.14</v>
      </c>
      <c r="O1524">
        <v>191.312</v>
      </c>
      <c r="P1524">
        <f t="shared" si="95"/>
        <v>2.23839741318127</v>
      </c>
      <c r="Q1524">
        <f t="shared" si="95"/>
        <v>2.28174221190044</v>
      </c>
      <c r="R1524">
        <v>18.083</v>
      </c>
      <c r="S1524">
        <v>167.28</v>
      </c>
      <c r="T1524">
        <v>170.217</v>
      </c>
      <c r="U1524">
        <v>0.1</v>
      </c>
      <c r="V1524">
        <v>100</v>
      </c>
      <c r="W1524">
        <v>0.1</v>
      </c>
      <c r="X1524" t="s">
        <v>92</v>
      </c>
      <c r="Y1524" t="s">
        <v>31</v>
      </c>
      <c r="Z1524" s="3">
        <f t="shared" si="98"/>
        <v>-0.0433447987191733</v>
      </c>
      <c r="AA1524">
        <f t="shared" si="96"/>
        <v>-0.202</v>
      </c>
      <c r="AB1524">
        <f t="shared" si="97"/>
        <v>0.757</v>
      </c>
      <c r="AC1524" t="s">
        <v>32</v>
      </c>
    </row>
    <row r="1525" spans="1:29">
      <c r="A1525" t="s">
        <v>114</v>
      </c>
      <c r="B1525">
        <v>3830.375</v>
      </c>
      <c r="C1525">
        <v>22.677</v>
      </c>
      <c r="D1525">
        <v>35.343</v>
      </c>
      <c r="E1525">
        <v>168.997</v>
      </c>
      <c r="F1525">
        <v>0.284</v>
      </c>
      <c r="G1525">
        <v>21.819</v>
      </c>
      <c r="H1525">
        <v>2.24</v>
      </c>
      <c r="I1525">
        <v>2.685</v>
      </c>
      <c r="J1525" s="3">
        <v>0.615</v>
      </c>
      <c r="K1525">
        <v>9.712</v>
      </c>
      <c r="L1525">
        <v>0.476</v>
      </c>
      <c r="M1525">
        <v>3.105</v>
      </c>
      <c r="N1525">
        <v>189.706</v>
      </c>
      <c r="O1525">
        <v>210.366</v>
      </c>
      <c r="P1525">
        <f t="shared" si="95"/>
        <v>2.27808106692284</v>
      </c>
      <c r="Q1525">
        <f t="shared" si="95"/>
        <v>2.32297554914337</v>
      </c>
      <c r="R1525">
        <v>19.163</v>
      </c>
      <c r="S1525">
        <v>174.157</v>
      </c>
      <c r="T1525">
        <v>178.657</v>
      </c>
      <c r="U1525">
        <v>0.1</v>
      </c>
      <c r="V1525">
        <v>100</v>
      </c>
      <c r="W1525">
        <v>0.1</v>
      </c>
      <c r="X1525" t="s">
        <v>92</v>
      </c>
      <c r="Y1525" t="s">
        <v>31</v>
      </c>
      <c r="Z1525" s="3">
        <f t="shared" si="98"/>
        <v>-0.0448944822205313</v>
      </c>
      <c r="AA1525">
        <f t="shared" si="96"/>
        <v>-0.139</v>
      </c>
      <c r="AB1525">
        <f t="shared" si="97"/>
        <v>0.76</v>
      </c>
      <c r="AC1525" t="s">
        <v>32</v>
      </c>
    </row>
    <row r="1526" spans="1:29">
      <c r="A1526" t="s">
        <v>114</v>
      </c>
      <c r="B1526">
        <v>3830.5</v>
      </c>
      <c r="C1526">
        <v>22.911</v>
      </c>
      <c r="D1526">
        <v>35.223</v>
      </c>
      <c r="E1526">
        <v>166.282</v>
      </c>
      <c r="F1526">
        <v>0.249</v>
      </c>
      <c r="G1526">
        <v>21.933</v>
      </c>
      <c r="H1526">
        <v>2.371</v>
      </c>
      <c r="I1526">
        <v>2.674</v>
      </c>
      <c r="J1526" s="3">
        <v>0.595</v>
      </c>
      <c r="K1526">
        <v>9.783</v>
      </c>
      <c r="L1526">
        <v>0.481</v>
      </c>
      <c r="M1526">
        <v>3.197</v>
      </c>
      <c r="N1526">
        <v>205.956</v>
      </c>
      <c r="O1526">
        <v>229.534</v>
      </c>
      <c r="P1526">
        <f t="shared" si="95"/>
        <v>2.31377444853296</v>
      </c>
      <c r="Q1526">
        <f t="shared" si="95"/>
        <v>2.36084702503108</v>
      </c>
      <c r="R1526">
        <v>20.075</v>
      </c>
      <c r="S1526">
        <v>180.433</v>
      </c>
      <c r="T1526">
        <v>187.229</v>
      </c>
      <c r="U1526">
        <v>0.1</v>
      </c>
      <c r="V1526">
        <v>100</v>
      </c>
      <c r="W1526">
        <v>0.1</v>
      </c>
      <c r="X1526" t="s">
        <v>92</v>
      </c>
      <c r="Y1526" t="s">
        <v>31</v>
      </c>
      <c r="Z1526" s="3">
        <f t="shared" si="98"/>
        <v>-0.0470725764981204</v>
      </c>
      <c r="AA1526">
        <f t="shared" si="96"/>
        <v>-0.114</v>
      </c>
      <c r="AB1526">
        <f t="shared" si="97"/>
        <v>0.73</v>
      </c>
      <c r="AC1526" t="s">
        <v>32</v>
      </c>
    </row>
    <row r="1527" spans="1:29">
      <c r="A1527" t="s">
        <v>114</v>
      </c>
      <c r="B1527">
        <v>3830.625</v>
      </c>
      <c r="C1527">
        <v>22.154</v>
      </c>
      <c r="D1527">
        <v>35.214</v>
      </c>
      <c r="E1527">
        <v>164.255</v>
      </c>
      <c r="F1527">
        <v>0.222</v>
      </c>
      <c r="G1527">
        <v>21.994</v>
      </c>
      <c r="H1527">
        <v>2.344</v>
      </c>
      <c r="I1527">
        <v>2.68</v>
      </c>
      <c r="J1527" s="3">
        <v>0.606</v>
      </c>
      <c r="K1527">
        <v>9.315</v>
      </c>
      <c r="L1527">
        <v>0.448</v>
      </c>
      <c r="M1527">
        <v>3.406</v>
      </c>
      <c r="N1527">
        <v>213.577</v>
      </c>
      <c r="O1527">
        <v>238.147</v>
      </c>
      <c r="P1527">
        <f t="shared" si="95"/>
        <v>2.32955448191969</v>
      </c>
      <c r="Q1527">
        <f t="shared" si="95"/>
        <v>2.37684511496097</v>
      </c>
      <c r="R1527">
        <v>20.025</v>
      </c>
      <c r="S1527">
        <v>184.624</v>
      </c>
      <c r="T1527">
        <v>194.328</v>
      </c>
      <c r="U1527">
        <v>0.1</v>
      </c>
      <c r="V1527">
        <v>100</v>
      </c>
      <c r="W1527">
        <v>0.1</v>
      </c>
      <c r="X1527" t="s">
        <v>92</v>
      </c>
      <c r="Y1527" t="s">
        <v>31</v>
      </c>
      <c r="Z1527" s="3">
        <f t="shared" si="98"/>
        <v>-0.0472906330412881</v>
      </c>
      <c r="AA1527">
        <f t="shared" si="96"/>
        <v>-0.158</v>
      </c>
      <c r="AB1527">
        <f t="shared" si="97"/>
        <v>0.67</v>
      </c>
      <c r="AC1527" t="s">
        <v>32</v>
      </c>
    </row>
    <row r="1528" spans="1:29">
      <c r="A1528" t="s">
        <v>114</v>
      </c>
      <c r="B1528">
        <v>3830.75</v>
      </c>
      <c r="C1528">
        <v>21.124</v>
      </c>
      <c r="D1528">
        <v>35.238</v>
      </c>
      <c r="E1528">
        <v>162.942</v>
      </c>
      <c r="F1528">
        <v>0.205</v>
      </c>
      <c r="G1528">
        <v>22.004</v>
      </c>
      <c r="H1528">
        <v>2.291</v>
      </c>
      <c r="I1528">
        <v>2.7</v>
      </c>
      <c r="J1528" s="3">
        <v>0.641</v>
      </c>
      <c r="K1528">
        <v>8.745</v>
      </c>
      <c r="L1528">
        <v>0.409</v>
      </c>
      <c r="M1528">
        <v>3.595</v>
      </c>
      <c r="N1528">
        <v>218.087</v>
      </c>
      <c r="O1528">
        <v>241.29</v>
      </c>
      <c r="P1528">
        <f t="shared" ref="P1528:Q1585" si="99">LOG(N1528)</f>
        <v>2.33862977838689</v>
      </c>
      <c r="Q1528">
        <f t="shared" si="99"/>
        <v>2.3825393234222</v>
      </c>
      <c r="R1528">
        <v>18.886</v>
      </c>
      <c r="S1528">
        <v>187.747</v>
      </c>
      <c r="T1528">
        <v>200.687</v>
      </c>
      <c r="U1528">
        <v>0.1</v>
      </c>
      <c r="V1528">
        <v>100</v>
      </c>
      <c r="W1528">
        <v>0.1</v>
      </c>
      <c r="X1528" t="s">
        <v>92</v>
      </c>
      <c r="Y1528" t="s">
        <v>31</v>
      </c>
      <c r="Z1528" s="3">
        <f t="shared" si="98"/>
        <v>-0.0439095450353117</v>
      </c>
      <c r="AA1528">
        <f t="shared" si="96"/>
        <v>-0.232</v>
      </c>
      <c r="AB1528">
        <f t="shared" si="97"/>
        <v>0.614</v>
      </c>
      <c r="AC1528" t="s">
        <v>32</v>
      </c>
    </row>
    <row r="1529" spans="1:29">
      <c r="A1529" t="s">
        <v>114</v>
      </c>
      <c r="B1529">
        <v>3830.875</v>
      </c>
      <c r="C1529">
        <v>20.39</v>
      </c>
      <c r="D1529">
        <v>35.267</v>
      </c>
      <c r="E1529">
        <v>161.95</v>
      </c>
      <c r="F1529">
        <v>0.192</v>
      </c>
      <c r="G1529">
        <v>21.99</v>
      </c>
      <c r="H1529">
        <v>2.308</v>
      </c>
      <c r="I1529">
        <v>2.722</v>
      </c>
      <c r="J1529" s="3">
        <v>0.68</v>
      </c>
      <c r="K1529">
        <v>8.383</v>
      </c>
      <c r="L1529">
        <v>0.383</v>
      </c>
      <c r="M1529">
        <v>3.653</v>
      </c>
      <c r="N1529">
        <v>220.308</v>
      </c>
      <c r="O1529">
        <v>240.619</v>
      </c>
      <c r="P1529">
        <f t="shared" si="99"/>
        <v>2.3430302678851</v>
      </c>
      <c r="Q1529">
        <f t="shared" si="99"/>
        <v>2.38132991755645</v>
      </c>
      <c r="R1529">
        <v>16.935</v>
      </c>
      <c r="S1529">
        <v>194.129</v>
      </c>
      <c r="T1529">
        <v>210.856</v>
      </c>
      <c r="U1529">
        <v>0.1</v>
      </c>
      <c r="V1529">
        <v>100</v>
      </c>
      <c r="W1529">
        <v>0.1</v>
      </c>
      <c r="X1529" t="s">
        <v>92</v>
      </c>
      <c r="Y1529" t="s">
        <v>31</v>
      </c>
      <c r="Z1529" s="3">
        <f t="shared" si="98"/>
        <v>-0.038299649671357</v>
      </c>
      <c r="AA1529">
        <f t="shared" si="96"/>
        <v>-0.297</v>
      </c>
      <c r="AB1529">
        <f t="shared" si="97"/>
        <v>0.575</v>
      </c>
      <c r="AC1529" t="s">
        <v>32</v>
      </c>
    </row>
    <row r="1530" spans="1:29">
      <c r="A1530" t="s">
        <v>114</v>
      </c>
      <c r="B1530">
        <v>3831</v>
      </c>
      <c r="C1530">
        <v>20.168</v>
      </c>
      <c r="D1530">
        <v>35.295</v>
      </c>
      <c r="E1530">
        <v>160.881</v>
      </c>
      <c r="F1530">
        <v>0.178</v>
      </c>
      <c r="G1530">
        <v>21.985</v>
      </c>
      <c r="H1530">
        <v>2.388</v>
      </c>
      <c r="I1530">
        <v>2.738</v>
      </c>
      <c r="J1530" s="3">
        <v>0.709</v>
      </c>
      <c r="K1530">
        <v>8.206</v>
      </c>
      <c r="L1530">
        <v>0.371</v>
      </c>
      <c r="M1530">
        <v>3.609</v>
      </c>
      <c r="N1530">
        <v>219.953</v>
      </c>
      <c r="O1530">
        <v>235.284</v>
      </c>
      <c r="P1530">
        <f t="shared" si="99"/>
        <v>2.34232988981623</v>
      </c>
      <c r="Q1530">
        <f t="shared" si="99"/>
        <v>2.37159239488545</v>
      </c>
      <c r="R1530">
        <v>14.666</v>
      </c>
      <c r="S1530">
        <v>212.544</v>
      </c>
      <c r="T1530">
        <v>233.07</v>
      </c>
      <c r="U1530">
        <v>0.1</v>
      </c>
      <c r="V1530">
        <v>100</v>
      </c>
      <c r="W1530">
        <v>0.1</v>
      </c>
      <c r="X1530" t="s">
        <v>92</v>
      </c>
      <c r="Y1530" t="s">
        <v>31</v>
      </c>
      <c r="Z1530" s="3">
        <f t="shared" si="98"/>
        <v>-0.0292625050692243</v>
      </c>
      <c r="AA1530">
        <f t="shared" ref="AA1530:AA1585" si="100">L1530-J1530</f>
        <v>-0.338</v>
      </c>
      <c r="AB1530">
        <f t="shared" ref="AB1530:AB1585" si="101">L1530+F1530</f>
        <v>0.549</v>
      </c>
      <c r="AC1530" t="s">
        <v>32</v>
      </c>
    </row>
    <row r="1531" spans="1:29">
      <c r="A1531" t="s">
        <v>114</v>
      </c>
      <c r="B1531">
        <v>3831.125</v>
      </c>
      <c r="C1531">
        <v>20.594</v>
      </c>
      <c r="D1531">
        <v>35.336</v>
      </c>
      <c r="E1531">
        <v>159.383</v>
      </c>
      <c r="F1531">
        <v>0.158</v>
      </c>
      <c r="G1531">
        <v>22.013</v>
      </c>
      <c r="H1531">
        <v>2.469</v>
      </c>
      <c r="I1531">
        <v>2.745</v>
      </c>
      <c r="J1531" s="3">
        <v>0.721</v>
      </c>
      <c r="K1531">
        <v>7.998</v>
      </c>
      <c r="L1531">
        <v>0.356</v>
      </c>
      <c r="M1531">
        <v>3.581</v>
      </c>
      <c r="N1531">
        <v>228.788</v>
      </c>
      <c r="O1531">
        <v>236.444</v>
      </c>
      <c r="P1531">
        <f t="shared" si="99"/>
        <v>2.35943324184103</v>
      </c>
      <c r="Q1531">
        <f t="shared" si="99"/>
        <v>2.37372829783991</v>
      </c>
      <c r="R1531">
        <v>12.592</v>
      </c>
      <c r="S1531">
        <v>252.028</v>
      </c>
      <c r="T1531">
        <v>270.213</v>
      </c>
      <c r="U1531">
        <v>0.1</v>
      </c>
      <c r="V1531">
        <v>100</v>
      </c>
      <c r="W1531">
        <v>0.1</v>
      </c>
      <c r="X1531" t="s">
        <v>92</v>
      </c>
      <c r="Y1531" t="s">
        <v>31</v>
      </c>
      <c r="Z1531" s="3">
        <f t="shared" si="98"/>
        <v>-0.0142950559988755</v>
      </c>
      <c r="AA1531">
        <f t="shared" si="100"/>
        <v>-0.365</v>
      </c>
      <c r="AB1531">
        <f t="shared" si="101"/>
        <v>0.514</v>
      </c>
      <c r="AC1531" t="s">
        <v>32</v>
      </c>
    </row>
    <row r="1532" spans="1:29">
      <c r="A1532" t="s">
        <v>114</v>
      </c>
      <c r="B1532">
        <v>3831.25</v>
      </c>
      <c r="C1532">
        <v>21.427</v>
      </c>
      <c r="D1532">
        <v>35.392</v>
      </c>
      <c r="E1532">
        <v>157.386</v>
      </c>
      <c r="F1532">
        <v>0.132</v>
      </c>
      <c r="G1532">
        <v>22.063</v>
      </c>
      <c r="H1532">
        <v>2.636</v>
      </c>
      <c r="I1532">
        <v>2.747</v>
      </c>
      <c r="J1532" s="3">
        <v>0.725</v>
      </c>
      <c r="K1532">
        <v>7.697</v>
      </c>
      <c r="L1532">
        <v>0.335</v>
      </c>
      <c r="M1532">
        <v>3.655</v>
      </c>
      <c r="N1532">
        <v>252.173</v>
      </c>
      <c r="O1532">
        <v>251.961</v>
      </c>
      <c r="P1532">
        <f t="shared" si="99"/>
        <v>2.40169858509696</v>
      </c>
      <c r="Q1532">
        <f t="shared" si="99"/>
        <v>2.40133332333881</v>
      </c>
      <c r="R1532">
        <v>10.658</v>
      </c>
      <c r="S1532">
        <v>296.687</v>
      </c>
      <c r="T1532">
        <v>308.506</v>
      </c>
      <c r="U1532">
        <v>0.1</v>
      </c>
      <c r="V1532">
        <v>100</v>
      </c>
      <c r="W1532">
        <v>0.1</v>
      </c>
      <c r="X1532" t="s">
        <v>92</v>
      </c>
      <c r="Y1532" t="s">
        <v>31</v>
      </c>
      <c r="Z1532" s="3">
        <f t="shared" si="98"/>
        <v>0.000365261758146662</v>
      </c>
      <c r="AA1532">
        <f t="shared" si="100"/>
        <v>-0.39</v>
      </c>
      <c r="AB1532">
        <f t="shared" si="101"/>
        <v>0.467</v>
      </c>
      <c r="AC1532" t="s">
        <v>32</v>
      </c>
    </row>
    <row r="1533" spans="1:29">
      <c r="A1533" t="s">
        <v>114</v>
      </c>
      <c r="B1533">
        <v>3831.375</v>
      </c>
      <c r="C1533">
        <v>22.529</v>
      </c>
      <c r="D1533">
        <v>35.455</v>
      </c>
      <c r="E1533">
        <v>155.1</v>
      </c>
      <c r="F1533">
        <v>0.102</v>
      </c>
      <c r="G1533">
        <v>22.103</v>
      </c>
      <c r="H1533">
        <v>2.827</v>
      </c>
      <c r="I1533">
        <v>2.743</v>
      </c>
      <c r="J1533" s="3">
        <v>0.718</v>
      </c>
      <c r="K1533">
        <v>7.349</v>
      </c>
      <c r="L1533">
        <v>0.311</v>
      </c>
      <c r="M1533">
        <v>3.841</v>
      </c>
      <c r="N1533">
        <v>280.646</v>
      </c>
      <c r="O1533">
        <v>274.203</v>
      </c>
      <c r="P1533">
        <f t="shared" si="99"/>
        <v>2.44815885667396</v>
      </c>
      <c r="Q1533">
        <f t="shared" si="99"/>
        <v>2.43807220200827</v>
      </c>
      <c r="R1533">
        <v>8.65</v>
      </c>
      <c r="S1533">
        <v>318.637</v>
      </c>
      <c r="T1533">
        <v>338.316</v>
      </c>
      <c r="U1533">
        <v>0.1</v>
      </c>
      <c r="V1533">
        <v>100</v>
      </c>
      <c r="W1533">
        <v>0.1</v>
      </c>
      <c r="X1533" t="s">
        <v>92</v>
      </c>
      <c r="Y1533" t="s">
        <v>31</v>
      </c>
      <c r="Z1533" s="3">
        <f t="shared" si="98"/>
        <v>0.0100866546656961</v>
      </c>
      <c r="AA1533">
        <f t="shared" si="100"/>
        <v>-0.407</v>
      </c>
      <c r="AB1533">
        <f t="shared" si="101"/>
        <v>0.413</v>
      </c>
      <c r="AC1533" t="s">
        <v>32</v>
      </c>
    </row>
    <row r="1534" spans="1:29">
      <c r="A1534" t="s">
        <v>114</v>
      </c>
      <c r="B1534">
        <v>3831.5</v>
      </c>
      <c r="C1534">
        <v>23.45</v>
      </c>
      <c r="D1534">
        <v>35.511</v>
      </c>
      <c r="E1534">
        <v>153.083</v>
      </c>
      <c r="F1534">
        <v>0.076</v>
      </c>
      <c r="G1534">
        <v>22.123</v>
      </c>
      <c r="H1534">
        <v>2.944</v>
      </c>
      <c r="I1534">
        <v>2.737</v>
      </c>
      <c r="J1534" s="3">
        <v>0.707</v>
      </c>
      <c r="K1534">
        <v>7.005</v>
      </c>
      <c r="L1534">
        <v>0.287</v>
      </c>
      <c r="M1534">
        <v>3.983</v>
      </c>
      <c r="N1534">
        <v>301.037</v>
      </c>
      <c r="O1534">
        <v>291.074</v>
      </c>
      <c r="P1534">
        <f t="shared" si="99"/>
        <v>2.47861987734895</v>
      </c>
      <c r="Q1534">
        <f t="shared" si="99"/>
        <v>2.4640034140928</v>
      </c>
      <c r="R1534">
        <v>6.644</v>
      </c>
      <c r="S1534">
        <v>304.333</v>
      </c>
      <c r="T1534">
        <v>354.366</v>
      </c>
      <c r="U1534">
        <v>0.1</v>
      </c>
      <c r="V1534">
        <v>100</v>
      </c>
      <c r="W1534">
        <v>0.1</v>
      </c>
      <c r="X1534" t="s">
        <v>92</v>
      </c>
      <c r="Y1534" t="s">
        <v>31</v>
      </c>
      <c r="Z1534" s="3">
        <f t="shared" si="98"/>
        <v>0.0146164632561563</v>
      </c>
      <c r="AA1534">
        <f t="shared" si="100"/>
        <v>-0.42</v>
      </c>
      <c r="AB1534">
        <f t="shared" si="101"/>
        <v>0.363</v>
      </c>
      <c r="AC1534" t="s">
        <v>32</v>
      </c>
    </row>
    <row r="1535" spans="1:29">
      <c r="A1535" t="s">
        <v>114</v>
      </c>
      <c r="B1535">
        <v>3831.625</v>
      </c>
      <c r="C1535">
        <v>23.648</v>
      </c>
      <c r="D1535">
        <v>35.552</v>
      </c>
      <c r="E1535">
        <v>151.959</v>
      </c>
      <c r="F1535">
        <v>0.061</v>
      </c>
      <c r="G1535">
        <v>22.14</v>
      </c>
      <c r="H1535">
        <v>2.992</v>
      </c>
      <c r="I1535">
        <v>2.733</v>
      </c>
      <c r="J1535" s="3">
        <v>0.7</v>
      </c>
      <c r="K1535">
        <v>6.78</v>
      </c>
      <c r="L1535">
        <v>0.271</v>
      </c>
      <c r="M1535">
        <v>3.903</v>
      </c>
      <c r="N1535">
        <v>306.046</v>
      </c>
      <c r="O1535">
        <v>296.198</v>
      </c>
      <c r="P1535">
        <f t="shared" si="99"/>
        <v>2.48578670767353</v>
      </c>
      <c r="Q1535">
        <f t="shared" si="99"/>
        <v>2.47158212173449</v>
      </c>
      <c r="R1535">
        <v>5.268</v>
      </c>
      <c r="S1535">
        <v>274.626</v>
      </c>
      <c r="T1535">
        <v>354.341</v>
      </c>
      <c r="U1535">
        <v>0.1</v>
      </c>
      <c r="V1535">
        <v>100</v>
      </c>
      <c r="W1535">
        <v>0.1</v>
      </c>
      <c r="X1535" t="s">
        <v>92</v>
      </c>
      <c r="Y1535" t="s">
        <v>31</v>
      </c>
      <c r="Z1535" s="3">
        <f t="shared" si="98"/>
        <v>0.0142045859390403</v>
      </c>
      <c r="AA1535">
        <f t="shared" si="100"/>
        <v>-0.429</v>
      </c>
      <c r="AB1535">
        <f t="shared" si="101"/>
        <v>0.332</v>
      </c>
      <c r="AC1535" t="s">
        <v>32</v>
      </c>
    </row>
    <row r="1536" spans="1:29">
      <c r="A1536" t="s">
        <v>114</v>
      </c>
      <c r="B1536">
        <v>3831.75</v>
      </c>
      <c r="C1536">
        <v>23.358</v>
      </c>
      <c r="D1536">
        <v>35.589</v>
      </c>
      <c r="E1536">
        <v>151.547</v>
      </c>
      <c r="F1536">
        <v>0.055</v>
      </c>
      <c r="G1536">
        <v>22.181</v>
      </c>
      <c r="H1536">
        <v>3.036</v>
      </c>
      <c r="I1536">
        <v>2.735</v>
      </c>
      <c r="J1536" s="3">
        <v>0.703</v>
      </c>
      <c r="K1536">
        <v>6.787</v>
      </c>
      <c r="L1536">
        <v>0.272</v>
      </c>
      <c r="M1536">
        <v>3.65</v>
      </c>
      <c r="N1536">
        <v>303.118</v>
      </c>
      <c r="O1536">
        <v>295.595</v>
      </c>
      <c r="P1536">
        <f t="shared" si="99"/>
        <v>2.48161172676209</v>
      </c>
      <c r="Q1536">
        <f t="shared" si="99"/>
        <v>2.47069708367822</v>
      </c>
      <c r="R1536">
        <v>4.786</v>
      </c>
      <c r="S1536">
        <v>254.887</v>
      </c>
      <c r="T1536">
        <v>339.093</v>
      </c>
      <c r="U1536">
        <v>0.1</v>
      </c>
      <c r="V1536">
        <v>100</v>
      </c>
      <c r="W1536">
        <v>0.1</v>
      </c>
      <c r="X1536" t="s">
        <v>92</v>
      </c>
      <c r="Y1536" t="s">
        <v>31</v>
      </c>
      <c r="Z1536" s="3">
        <f t="shared" si="98"/>
        <v>0.0109146430838707</v>
      </c>
      <c r="AA1536">
        <f t="shared" si="100"/>
        <v>-0.431</v>
      </c>
      <c r="AB1536">
        <f t="shared" si="101"/>
        <v>0.327</v>
      </c>
      <c r="AC1536" t="s">
        <v>32</v>
      </c>
    </row>
    <row r="1537" spans="1:29">
      <c r="A1537" t="s">
        <v>114</v>
      </c>
      <c r="B1537">
        <v>3831.875</v>
      </c>
      <c r="C1537">
        <v>22.771</v>
      </c>
      <c r="D1537">
        <v>35.634</v>
      </c>
      <c r="E1537">
        <v>151.902</v>
      </c>
      <c r="F1537">
        <v>0.06</v>
      </c>
      <c r="G1537">
        <v>22.252</v>
      </c>
      <c r="H1537">
        <v>3.029</v>
      </c>
      <c r="I1537">
        <v>2.743</v>
      </c>
      <c r="J1537" s="3">
        <v>0.718</v>
      </c>
      <c r="K1537">
        <v>7.016</v>
      </c>
      <c r="L1537">
        <v>0.288</v>
      </c>
      <c r="M1537">
        <v>3.34</v>
      </c>
      <c r="N1537">
        <v>295.646</v>
      </c>
      <c r="O1537">
        <v>291.357</v>
      </c>
      <c r="P1537">
        <f t="shared" si="99"/>
        <v>2.4707720075033</v>
      </c>
      <c r="Q1537">
        <f t="shared" si="99"/>
        <v>2.46442545669716</v>
      </c>
      <c r="R1537">
        <v>5.369</v>
      </c>
      <c r="S1537">
        <v>243.755</v>
      </c>
      <c r="T1537">
        <v>311.48</v>
      </c>
      <c r="U1537">
        <v>0.1</v>
      </c>
      <c r="V1537">
        <v>100</v>
      </c>
      <c r="W1537">
        <v>0.1</v>
      </c>
      <c r="X1537" t="s">
        <v>92</v>
      </c>
      <c r="Y1537" t="s">
        <v>31</v>
      </c>
      <c r="Z1537" s="3">
        <f t="shared" si="98"/>
        <v>0.00634655080613777</v>
      </c>
      <c r="AA1537">
        <f t="shared" si="100"/>
        <v>-0.43</v>
      </c>
      <c r="AB1537">
        <f t="shared" si="101"/>
        <v>0.348</v>
      </c>
      <c r="AC1537" t="s">
        <v>32</v>
      </c>
    </row>
    <row r="1538" spans="1:29">
      <c r="A1538" t="s">
        <v>114</v>
      </c>
      <c r="B1538">
        <v>3832</v>
      </c>
      <c r="C1538">
        <v>22.186</v>
      </c>
      <c r="D1538">
        <v>35.687</v>
      </c>
      <c r="E1538">
        <v>153.44</v>
      </c>
      <c r="F1538">
        <v>0.08</v>
      </c>
      <c r="G1538">
        <v>22.354</v>
      </c>
      <c r="H1538">
        <v>2.97</v>
      </c>
      <c r="I1538">
        <v>2.753</v>
      </c>
      <c r="J1538" s="3">
        <v>0.735</v>
      </c>
      <c r="K1538">
        <v>7.338</v>
      </c>
      <c r="L1538">
        <v>0.31</v>
      </c>
      <c r="M1538">
        <v>3.109</v>
      </c>
      <c r="N1538">
        <v>287.456</v>
      </c>
      <c r="O1538">
        <v>285.911</v>
      </c>
      <c r="P1538">
        <f t="shared" si="99"/>
        <v>2.45857137800094</v>
      </c>
      <c r="Q1538">
        <f t="shared" si="99"/>
        <v>2.45623086451294</v>
      </c>
      <c r="R1538">
        <v>7.477</v>
      </c>
      <c r="S1538">
        <v>233.544</v>
      </c>
      <c r="T1538">
        <v>284.181</v>
      </c>
      <c r="U1538">
        <v>0</v>
      </c>
      <c r="V1538">
        <v>100</v>
      </c>
      <c r="W1538">
        <v>0</v>
      </c>
      <c r="X1538" t="s">
        <v>92</v>
      </c>
      <c r="Y1538" t="s">
        <v>31</v>
      </c>
      <c r="Z1538" s="3">
        <f t="shared" si="98"/>
        <v>0.00234051348799902</v>
      </c>
      <c r="AA1538">
        <f t="shared" si="100"/>
        <v>-0.425</v>
      </c>
      <c r="AB1538">
        <f t="shared" si="101"/>
        <v>0.39</v>
      </c>
      <c r="AC1538" t="s">
        <v>32</v>
      </c>
    </row>
    <row r="1539" spans="1:29">
      <c r="A1539" t="s">
        <v>114</v>
      </c>
      <c r="B1539">
        <v>3832.125</v>
      </c>
      <c r="C1539">
        <v>21.929</v>
      </c>
      <c r="D1539">
        <v>35.74</v>
      </c>
      <c r="E1539">
        <v>156.43</v>
      </c>
      <c r="F1539">
        <v>0.119</v>
      </c>
      <c r="G1539">
        <v>22.484</v>
      </c>
      <c r="H1539">
        <v>2.757</v>
      </c>
      <c r="I1539">
        <v>2.757</v>
      </c>
      <c r="J1539" s="3">
        <v>0.742</v>
      </c>
      <c r="K1539">
        <v>7.58</v>
      </c>
      <c r="L1539">
        <v>0.327</v>
      </c>
      <c r="M1539">
        <v>3.105</v>
      </c>
      <c r="N1539">
        <v>280.42</v>
      </c>
      <c r="O1539">
        <v>280.507</v>
      </c>
      <c r="P1539">
        <f t="shared" si="99"/>
        <v>2.44780898497181</v>
      </c>
      <c r="Q1539">
        <f t="shared" si="99"/>
        <v>2.44794370346541</v>
      </c>
      <c r="R1539">
        <v>12.319</v>
      </c>
      <c r="S1539">
        <v>223.611</v>
      </c>
      <c r="T1539">
        <v>270.064</v>
      </c>
      <c r="U1539">
        <v>0</v>
      </c>
      <c r="V1539">
        <v>100</v>
      </c>
      <c r="W1539">
        <v>0</v>
      </c>
      <c r="X1539" t="s">
        <v>92</v>
      </c>
      <c r="Y1539" t="s">
        <v>31</v>
      </c>
      <c r="Z1539" s="3">
        <f t="shared" si="98"/>
        <v>-0.000134718493595809</v>
      </c>
      <c r="AA1539">
        <f t="shared" si="100"/>
        <v>-0.415</v>
      </c>
      <c r="AB1539">
        <f t="shared" si="101"/>
        <v>0.446</v>
      </c>
      <c r="AC1539" t="s">
        <v>32</v>
      </c>
    </row>
    <row r="1540" spans="1:29">
      <c r="A1540" t="s">
        <v>114</v>
      </c>
      <c r="B1540">
        <v>3832.25</v>
      </c>
      <c r="C1540">
        <v>21.826</v>
      </c>
      <c r="D1540">
        <v>35.788</v>
      </c>
      <c r="E1540">
        <v>159.743</v>
      </c>
      <c r="F1540">
        <v>0.163</v>
      </c>
      <c r="G1540">
        <v>22.606</v>
      </c>
      <c r="H1540">
        <v>2.419</v>
      </c>
      <c r="I1540">
        <v>2.752</v>
      </c>
      <c r="J1540" s="3">
        <v>0.734</v>
      </c>
      <c r="K1540">
        <v>7.733</v>
      </c>
      <c r="L1540">
        <v>0.338</v>
      </c>
      <c r="M1540">
        <v>3.212</v>
      </c>
      <c r="N1540">
        <v>270.942</v>
      </c>
      <c r="O1540">
        <v>272.275</v>
      </c>
      <c r="P1540">
        <f t="shared" si="99"/>
        <v>2.43287633229195</v>
      </c>
      <c r="Q1540">
        <f t="shared" si="99"/>
        <v>2.4350077667146</v>
      </c>
      <c r="R1540">
        <v>20.002</v>
      </c>
      <c r="S1540">
        <v>217.909</v>
      </c>
      <c r="T1540">
        <v>261.699</v>
      </c>
      <c r="U1540">
        <v>0</v>
      </c>
      <c r="V1540">
        <v>100</v>
      </c>
      <c r="W1540">
        <v>0</v>
      </c>
      <c r="X1540" t="s">
        <v>92</v>
      </c>
      <c r="Y1540" t="s">
        <v>31</v>
      </c>
      <c r="Z1540" s="3">
        <f t="shared" si="98"/>
        <v>-0.0021314344226453</v>
      </c>
      <c r="AA1540">
        <f t="shared" si="100"/>
        <v>-0.396</v>
      </c>
      <c r="AB1540">
        <f t="shared" si="101"/>
        <v>0.501</v>
      </c>
      <c r="AC1540" t="s">
        <v>32</v>
      </c>
    </row>
    <row r="1541" spans="1:29">
      <c r="A1541" t="s">
        <v>114</v>
      </c>
      <c r="B1541">
        <v>3832.375</v>
      </c>
      <c r="C1541">
        <v>21.739</v>
      </c>
      <c r="D1541">
        <v>35.832</v>
      </c>
      <c r="E1541">
        <v>162.274</v>
      </c>
      <c r="F1541">
        <v>0.196</v>
      </c>
      <c r="G1541">
        <v>22.661</v>
      </c>
      <c r="H1541">
        <v>2.292</v>
      </c>
      <c r="I1541">
        <v>2.74</v>
      </c>
      <c r="J1541" s="3">
        <v>0.712</v>
      </c>
      <c r="K1541">
        <v>7.841</v>
      </c>
      <c r="L1541">
        <v>0.345</v>
      </c>
      <c r="M1541">
        <v>3.293</v>
      </c>
      <c r="N1541">
        <v>257.337</v>
      </c>
      <c r="O1541">
        <v>259.262</v>
      </c>
      <c r="P1541">
        <f t="shared" si="99"/>
        <v>2.4105022337058</v>
      </c>
      <c r="Q1541">
        <f t="shared" si="99"/>
        <v>2.4137388669441</v>
      </c>
      <c r="R1541">
        <v>29.762</v>
      </c>
      <c r="S1541">
        <v>215.238</v>
      </c>
      <c r="T1541">
        <v>255.114</v>
      </c>
      <c r="U1541">
        <v>0</v>
      </c>
      <c r="V1541">
        <v>100</v>
      </c>
      <c r="W1541">
        <v>0</v>
      </c>
      <c r="X1541" t="s">
        <v>92</v>
      </c>
      <c r="Y1541" t="s">
        <v>31</v>
      </c>
      <c r="Z1541" s="3">
        <f t="shared" si="98"/>
        <v>-0.00323663323829981</v>
      </c>
      <c r="AA1541">
        <f t="shared" si="100"/>
        <v>-0.367</v>
      </c>
      <c r="AB1541">
        <f t="shared" si="101"/>
        <v>0.541</v>
      </c>
      <c r="AC1541" t="s">
        <v>32</v>
      </c>
    </row>
    <row r="1542" spans="1:29">
      <c r="A1542" t="s">
        <v>114</v>
      </c>
      <c r="B1542">
        <v>3832.5</v>
      </c>
      <c r="C1542">
        <v>21.808</v>
      </c>
      <c r="D1542">
        <v>35.876</v>
      </c>
      <c r="E1542">
        <v>163.389</v>
      </c>
      <c r="F1542">
        <v>0.211</v>
      </c>
      <c r="G1542">
        <v>22.611</v>
      </c>
      <c r="H1542">
        <v>2.738</v>
      </c>
      <c r="I1542">
        <v>2.729</v>
      </c>
      <c r="J1542" s="3">
        <v>0.693</v>
      </c>
      <c r="K1542">
        <v>7.876</v>
      </c>
      <c r="L1542">
        <v>0.348</v>
      </c>
      <c r="M1542">
        <v>3.243</v>
      </c>
      <c r="N1542">
        <v>240.279</v>
      </c>
      <c r="O1542">
        <v>242.372</v>
      </c>
      <c r="P1542">
        <f t="shared" si="99"/>
        <v>2.38071581581991</v>
      </c>
      <c r="Q1542">
        <f t="shared" si="99"/>
        <v>2.38448244656738</v>
      </c>
      <c r="R1542">
        <v>40.085</v>
      </c>
      <c r="S1542">
        <v>215.972</v>
      </c>
      <c r="T1542">
        <v>251.561</v>
      </c>
      <c r="U1542">
        <v>0</v>
      </c>
      <c r="V1542">
        <v>100</v>
      </c>
      <c r="W1542">
        <v>0</v>
      </c>
      <c r="X1542" t="s">
        <v>92</v>
      </c>
      <c r="Y1542" t="s">
        <v>31</v>
      </c>
      <c r="Z1542" s="3">
        <f t="shared" si="98"/>
        <v>-0.00376663074747574</v>
      </c>
      <c r="AA1542">
        <f t="shared" si="100"/>
        <v>-0.345</v>
      </c>
      <c r="AB1542">
        <f t="shared" si="101"/>
        <v>0.559</v>
      </c>
      <c r="AC1542" t="s">
        <v>32</v>
      </c>
    </row>
    <row r="1543" spans="1:29">
      <c r="A1543" t="s">
        <v>114</v>
      </c>
      <c r="B1543">
        <v>3832.625</v>
      </c>
      <c r="C1543">
        <v>22.588</v>
      </c>
      <c r="D1543">
        <v>35.917</v>
      </c>
      <c r="E1543">
        <v>163.019</v>
      </c>
      <c r="F1543">
        <v>0.206</v>
      </c>
      <c r="G1543">
        <v>22.502</v>
      </c>
      <c r="H1543">
        <v>3.623</v>
      </c>
      <c r="I1543">
        <v>2.726</v>
      </c>
      <c r="J1543" s="3">
        <v>0.687</v>
      </c>
      <c r="K1543">
        <v>7.727</v>
      </c>
      <c r="L1543">
        <v>0.337</v>
      </c>
      <c r="M1543">
        <v>2.987</v>
      </c>
      <c r="N1543">
        <v>223.46</v>
      </c>
      <c r="O1543">
        <v>225.074</v>
      </c>
      <c r="P1543">
        <f t="shared" si="99"/>
        <v>2.34919979443</v>
      </c>
      <c r="Q1543">
        <f t="shared" si="99"/>
        <v>2.35232532925775</v>
      </c>
      <c r="R1543">
        <v>49.112</v>
      </c>
      <c r="S1543">
        <v>222.135</v>
      </c>
      <c r="T1543">
        <v>250.857</v>
      </c>
      <c r="U1543">
        <v>0</v>
      </c>
      <c r="V1543">
        <v>100</v>
      </c>
      <c r="W1543">
        <v>0</v>
      </c>
      <c r="X1543" t="s">
        <v>92</v>
      </c>
      <c r="Y1543" t="s">
        <v>31</v>
      </c>
      <c r="Z1543" s="3">
        <f t="shared" si="98"/>
        <v>-0.00312553482775479</v>
      </c>
      <c r="AA1543">
        <f t="shared" si="100"/>
        <v>-0.35</v>
      </c>
      <c r="AB1543">
        <f t="shared" si="101"/>
        <v>0.543</v>
      </c>
      <c r="AC1543" t="s">
        <v>32</v>
      </c>
    </row>
    <row r="1544" spans="1:29">
      <c r="A1544" t="s">
        <v>114</v>
      </c>
      <c r="B1544">
        <v>3832.75</v>
      </c>
      <c r="C1544">
        <v>24.122</v>
      </c>
      <c r="D1544">
        <v>35.946</v>
      </c>
      <c r="E1544">
        <v>162.156</v>
      </c>
      <c r="F1544">
        <v>0.194</v>
      </c>
      <c r="G1544">
        <v>22.432</v>
      </c>
      <c r="H1544">
        <v>4.305</v>
      </c>
      <c r="I1544">
        <v>2.73</v>
      </c>
      <c r="J1544" s="3">
        <v>0.694</v>
      </c>
      <c r="K1544">
        <v>7.518</v>
      </c>
      <c r="L1544">
        <v>0.323</v>
      </c>
      <c r="M1544">
        <v>2.643</v>
      </c>
      <c r="N1544">
        <v>215.184</v>
      </c>
      <c r="O1544">
        <v>214.727</v>
      </c>
      <c r="P1544">
        <f t="shared" si="99"/>
        <v>2.33280997624138</v>
      </c>
      <c r="Q1544">
        <f t="shared" si="99"/>
        <v>2.33188665651712</v>
      </c>
      <c r="R1544">
        <v>56.355</v>
      </c>
      <c r="S1544">
        <v>232.898</v>
      </c>
      <c r="T1544">
        <v>252.862</v>
      </c>
      <c r="U1544">
        <v>0</v>
      </c>
      <c r="V1544">
        <v>100</v>
      </c>
      <c r="W1544">
        <v>0</v>
      </c>
      <c r="X1544" t="s">
        <v>92</v>
      </c>
      <c r="Y1544" t="s">
        <v>31</v>
      </c>
      <c r="Z1544" s="3">
        <f t="shared" si="98"/>
        <v>0.000923319724255744</v>
      </c>
      <c r="AA1544">
        <f t="shared" si="100"/>
        <v>-0.371</v>
      </c>
      <c r="AB1544">
        <f t="shared" si="101"/>
        <v>0.517</v>
      </c>
      <c r="AC1544" t="s">
        <v>32</v>
      </c>
    </row>
    <row r="1545" spans="1:29">
      <c r="A1545" t="s">
        <v>114</v>
      </c>
      <c r="B1545">
        <v>3832.875</v>
      </c>
      <c r="C1545">
        <v>25.912</v>
      </c>
      <c r="D1545">
        <v>35.955</v>
      </c>
      <c r="E1545">
        <v>161.517</v>
      </c>
      <c r="F1545">
        <v>0.186</v>
      </c>
      <c r="G1545">
        <v>22.397</v>
      </c>
      <c r="H1545">
        <v>4.574</v>
      </c>
      <c r="I1545">
        <v>2.737</v>
      </c>
      <c r="J1545" s="3">
        <v>0.707</v>
      </c>
      <c r="K1545">
        <v>7.439</v>
      </c>
      <c r="L1545">
        <v>0.317</v>
      </c>
      <c r="M1545">
        <v>2.341</v>
      </c>
      <c r="N1545">
        <v>223.376</v>
      </c>
      <c r="O1545">
        <v>218.553</v>
      </c>
      <c r="P1545">
        <f t="shared" si="99"/>
        <v>2.34903650974877</v>
      </c>
      <c r="Q1545">
        <f t="shared" si="99"/>
        <v>2.33955677227387</v>
      </c>
      <c r="R1545">
        <v>61.749</v>
      </c>
      <c r="S1545">
        <v>245.939</v>
      </c>
      <c r="T1545">
        <v>260.388</v>
      </c>
      <c r="U1545">
        <v>0</v>
      </c>
      <c r="V1545">
        <v>100</v>
      </c>
      <c r="W1545">
        <v>0</v>
      </c>
      <c r="X1545" t="s">
        <v>92</v>
      </c>
      <c r="Y1545" t="s">
        <v>31</v>
      </c>
      <c r="Z1545" s="3">
        <f t="shared" si="98"/>
        <v>0.00947973747490627</v>
      </c>
      <c r="AA1545">
        <f t="shared" si="100"/>
        <v>-0.39</v>
      </c>
      <c r="AB1545">
        <f t="shared" si="101"/>
        <v>0.503</v>
      </c>
      <c r="AC1545" t="s">
        <v>32</v>
      </c>
    </row>
    <row r="1546" spans="1:29">
      <c r="A1546" t="s">
        <v>114</v>
      </c>
      <c r="B1546">
        <v>3833</v>
      </c>
      <c r="C1546">
        <v>26.982</v>
      </c>
      <c r="D1546">
        <v>35.951</v>
      </c>
      <c r="E1546">
        <v>161.47</v>
      </c>
      <c r="F1546">
        <v>0.185</v>
      </c>
      <c r="G1546">
        <v>22.35</v>
      </c>
      <c r="H1546">
        <v>4.49</v>
      </c>
      <c r="I1546">
        <v>2.742</v>
      </c>
      <c r="J1546" s="3">
        <v>0.716</v>
      </c>
      <c r="K1546">
        <v>7.57</v>
      </c>
      <c r="L1546">
        <v>0.326</v>
      </c>
      <c r="M1546">
        <v>2.227</v>
      </c>
      <c r="N1546">
        <v>254.598</v>
      </c>
      <c r="O1546">
        <v>242.091</v>
      </c>
      <c r="P1546">
        <f t="shared" si="99"/>
        <v>2.4058549877215</v>
      </c>
      <c r="Q1546">
        <f t="shared" si="99"/>
        <v>2.38397864436536</v>
      </c>
      <c r="R1546">
        <v>65.684</v>
      </c>
      <c r="S1546">
        <v>259.791</v>
      </c>
      <c r="T1546">
        <v>276.876</v>
      </c>
      <c r="U1546">
        <v>0</v>
      </c>
      <c r="V1546">
        <v>100</v>
      </c>
      <c r="W1546">
        <v>0</v>
      </c>
      <c r="X1546" t="s">
        <v>92</v>
      </c>
      <c r="Y1546" t="s">
        <v>31</v>
      </c>
      <c r="Z1546" s="3">
        <f t="shared" si="98"/>
        <v>0.021876343356146</v>
      </c>
      <c r="AA1546">
        <f t="shared" si="100"/>
        <v>-0.39</v>
      </c>
      <c r="AB1546">
        <f t="shared" si="101"/>
        <v>0.511</v>
      </c>
      <c r="AC1546" t="s">
        <v>32</v>
      </c>
    </row>
    <row r="1547" spans="1:29">
      <c r="A1547" t="s">
        <v>114</v>
      </c>
      <c r="B1547">
        <v>3833.125</v>
      </c>
      <c r="C1547">
        <v>26.457</v>
      </c>
      <c r="D1547">
        <v>35.955</v>
      </c>
      <c r="E1547">
        <v>162.09</v>
      </c>
      <c r="F1547">
        <v>0.194</v>
      </c>
      <c r="G1547">
        <v>22.299</v>
      </c>
      <c r="H1547">
        <v>4.084</v>
      </c>
      <c r="I1547">
        <v>2.744</v>
      </c>
      <c r="J1547" s="3">
        <v>0.719</v>
      </c>
      <c r="K1547">
        <v>7.776</v>
      </c>
      <c r="L1547">
        <v>0.341</v>
      </c>
      <c r="M1547">
        <v>2.343</v>
      </c>
      <c r="N1547">
        <v>316.208</v>
      </c>
      <c r="O1547">
        <v>290.774</v>
      </c>
      <c r="P1547">
        <f t="shared" si="99"/>
        <v>2.49997285329987</v>
      </c>
      <c r="Q1547">
        <f t="shared" si="99"/>
        <v>2.46355557082062</v>
      </c>
      <c r="R1547">
        <v>68.656</v>
      </c>
      <c r="S1547">
        <v>272.244</v>
      </c>
      <c r="T1547">
        <v>297.24</v>
      </c>
      <c r="U1547">
        <v>0</v>
      </c>
      <c r="V1547">
        <v>100</v>
      </c>
      <c r="W1547">
        <v>0</v>
      </c>
      <c r="X1547" t="s">
        <v>92</v>
      </c>
      <c r="Y1547" t="s">
        <v>31</v>
      </c>
      <c r="Z1547" s="3">
        <f t="shared" si="98"/>
        <v>0.0364172824792584</v>
      </c>
      <c r="AA1547">
        <f t="shared" si="100"/>
        <v>-0.378</v>
      </c>
      <c r="AB1547">
        <f t="shared" si="101"/>
        <v>0.535</v>
      </c>
      <c r="AC1547" t="s">
        <v>32</v>
      </c>
    </row>
    <row r="1548" spans="1:29">
      <c r="A1548" t="s">
        <v>114</v>
      </c>
      <c r="B1548">
        <v>3833.25</v>
      </c>
      <c r="C1548">
        <v>24.668</v>
      </c>
      <c r="D1548">
        <v>35.988</v>
      </c>
      <c r="E1548">
        <v>162.85</v>
      </c>
      <c r="F1548">
        <v>0.204</v>
      </c>
      <c r="G1548">
        <v>22.291</v>
      </c>
      <c r="H1548">
        <v>3.693</v>
      </c>
      <c r="I1548">
        <v>2.742</v>
      </c>
      <c r="J1548" s="3">
        <v>0.716</v>
      </c>
      <c r="K1548">
        <v>7.837</v>
      </c>
      <c r="L1548">
        <v>0.345</v>
      </c>
      <c r="M1548">
        <v>2.522</v>
      </c>
      <c r="N1548">
        <v>399.285</v>
      </c>
      <c r="O1548">
        <v>355.194</v>
      </c>
      <c r="P1548">
        <f t="shared" si="99"/>
        <v>2.60128299529428</v>
      </c>
      <c r="Q1548">
        <f t="shared" si="99"/>
        <v>2.55046562098917</v>
      </c>
      <c r="R1548">
        <v>72.24</v>
      </c>
      <c r="S1548">
        <v>285.655</v>
      </c>
      <c r="T1548">
        <v>314.88</v>
      </c>
      <c r="U1548">
        <v>0</v>
      </c>
      <c r="V1548">
        <v>100</v>
      </c>
      <c r="W1548">
        <v>0</v>
      </c>
      <c r="X1548" t="s">
        <v>92</v>
      </c>
      <c r="Y1548" t="s">
        <v>31</v>
      </c>
      <c r="Z1548" s="3">
        <f t="shared" si="98"/>
        <v>0.0508173743051192</v>
      </c>
      <c r="AA1548">
        <f t="shared" si="100"/>
        <v>-0.371</v>
      </c>
      <c r="AB1548">
        <f t="shared" si="101"/>
        <v>0.549</v>
      </c>
      <c r="AC1548" t="s">
        <v>32</v>
      </c>
    </row>
    <row r="1549" spans="1:29">
      <c r="A1549" t="s">
        <v>114</v>
      </c>
      <c r="B1549">
        <v>3833.375</v>
      </c>
      <c r="C1549">
        <v>22.923</v>
      </c>
      <c r="D1549">
        <v>36.063</v>
      </c>
      <c r="E1549">
        <v>163.107</v>
      </c>
      <c r="F1549">
        <v>0.207</v>
      </c>
      <c r="G1549">
        <v>22.35</v>
      </c>
      <c r="H1549">
        <v>3.504</v>
      </c>
      <c r="I1549">
        <v>2.738</v>
      </c>
      <c r="J1549" s="3">
        <v>0.709</v>
      </c>
      <c r="K1549">
        <v>7.689</v>
      </c>
      <c r="L1549">
        <v>0.335</v>
      </c>
      <c r="M1549">
        <v>2.623</v>
      </c>
      <c r="N1549">
        <v>502.447</v>
      </c>
      <c r="O1549">
        <v>431.456</v>
      </c>
      <c r="P1549">
        <f t="shared" si="99"/>
        <v>2.70109025749255</v>
      </c>
      <c r="Q1549">
        <f t="shared" si="99"/>
        <v>2.63493651284025</v>
      </c>
      <c r="R1549">
        <v>77.965</v>
      </c>
      <c r="S1549">
        <v>295.634</v>
      </c>
      <c r="T1549">
        <v>324.116</v>
      </c>
      <c r="U1549">
        <v>0</v>
      </c>
      <c r="V1549">
        <v>100</v>
      </c>
      <c r="W1549">
        <v>0</v>
      </c>
      <c r="X1549" t="s">
        <v>92</v>
      </c>
      <c r="Y1549" t="s">
        <v>31</v>
      </c>
      <c r="Z1549" s="3">
        <f t="shared" si="98"/>
        <v>0.0661537446523002</v>
      </c>
      <c r="AA1549">
        <f t="shared" si="100"/>
        <v>-0.374</v>
      </c>
      <c r="AB1549">
        <f t="shared" si="101"/>
        <v>0.542</v>
      </c>
      <c r="AC1549" t="s">
        <v>32</v>
      </c>
    </row>
    <row r="1550" spans="1:29">
      <c r="A1550" t="s">
        <v>114</v>
      </c>
      <c r="B1550">
        <v>3833.5</v>
      </c>
      <c r="C1550">
        <v>23.03</v>
      </c>
      <c r="D1550">
        <v>36.19</v>
      </c>
      <c r="E1550">
        <v>162.397</v>
      </c>
      <c r="F1550">
        <v>0.198</v>
      </c>
      <c r="G1550">
        <v>22.491</v>
      </c>
      <c r="H1550">
        <v>3.454</v>
      </c>
      <c r="I1550">
        <v>2.733</v>
      </c>
      <c r="J1550" s="3">
        <v>0.7</v>
      </c>
      <c r="K1550">
        <v>7.424</v>
      </c>
      <c r="L1550">
        <v>0.316</v>
      </c>
      <c r="M1550">
        <v>2.638</v>
      </c>
      <c r="N1550">
        <v>615.453</v>
      </c>
      <c r="O1550">
        <v>511.639</v>
      </c>
      <c r="P1550">
        <f t="shared" si="99"/>
        <v>2.78919489297811</v>
      </c>
      <c r="Q1550">
        <f t="shared" si="99"/>
        <v>2.70896364143453</v>
      </c>
      <c r="R1550">
        <v>86.976</v>
      </c>
      <c r="S1550">
        <v>299.795</v>
      </c>
      <c r="T1550">
        <v>326.739</v>
      </c>
      <c r="U1550">
        <v>0</v>
      </c>
      <c r="V1550">
        <v>100</v>
      </c>
      <c r="W1550">
        <v>0</v>
      </c>
      <c r="X1550" t="s">
        <v>92</v>
      </c>
      <c r="Y1550" t="s">
        <v>31</v>
      </c>
      <c r="Z1550" s="3">
        <f t="shared" si="98"/>
        <v>0.0802312515435726</v>
      </c>
      <c r="AA1550">
        <f t="shared" si="100"/>
        <v>-0.384</v>
      </c>
      <c r="AB1550">
        <f t="shared" si="101"/>
        <v>0.514</v>
      </c>
      <c r="AC1550" t="s">
        <v>32</v>
      </c>
    </row>
    <row r="1551" spans="1:29">
      <c r="A1551" t="s">
        <v>114</v>
      </c>
      <c r="B1551">
        <v>3833.625</v>
      </c>
      <c r="C1551">
        <v>26.239</v>
      </c>
      <c r="D1551">
        <v>36.399</v>
      </c>
      <c r="E1551">
        <v>160.852</v>
      </c>
      <c r="F1551">
        <v>0.177</v>
      </c>
      <c r="G1551">
        <v>22.708</v>
      </c>
      <c r="H1551">
        <v>3.491</v>
      </c>
      <c r="I1551">
        <v>2.731</v>
      </c>
      <c r="J1551" s="3">
        <v>0.696</v>
      </c>
      <c r="K1551">
        <v>7.197</v>
      </c>
      <c r="L1551">
        <v>0.3</v>
      </c>
      <c r="M1551">
        <v>2.627</v>
      </c>
      <c r="N1551">
        <v>718.723</v>
      </c>
      <c r="O1551">
        <v>579.809</v>
      </c>
      <c r="P1551">
        <f t="shared" si="99"/>
        <v>2.85656154302463</v>
      </c>
      <c r="Q1551">
        <f t="shared" si="99"/>
        <v>2.76328495234358</v>
      </c>
      <c r="R1551">
        <v>99.709</v>
      </c>
      <c r="S1551">
        <v>301.012</v>
      </c>
      <c r="T1551">
        <v>327.012</v>
      </c>
      <c r="U1551">
        <v>0</v>
      </c>
      <c r="V1551">
        <v>100</v>
      </c>
      <c r="W1551">
        <v>0</v>
      </c>
      <c r="X1551" t="s">
        <v>92</v>
      </c>
      <c r="Y1551" t="s">
        <v>31</v>
      </c>
      <c r="Z1551" s="3">
        <f t="shared" si="98"/>
        <v>0.0932765906810529</v>
      </c>
      <c r="AA1551">
        <f t="shared" si="100"/>
        <v>-0.396</v>
      </c>
      <c r="AB1551">
        <f t="shared" si="101"/>
        <v>0.477</v>
      </c>
      <c r="AC1551" t="s">
        <v>32</v>
      </c>
    </row>
    <row r="1552" spans="1:29">
      <c r="A1552" t="s">
        <v>114</v>
      </c>
      <c r="B1552">
        <v>3833.75</v>
      </c>
      <c r="C1552">
        <v>30.814</v>
      </c>
      <c r="D1552">
        <v>36.707</v>
      </c>
      <c r="E1552">
        <v>159.328</v>
      </c>
      <c r="F1552">
        <v>0.157</v>
      </c>
      <c r="G1552">
        <v>22.874</v>
      </c>
      <c r="H1552">
        <v>3.562</v>
      </c>
      <c r="I1552">
        <v>2.729</v>
      </c>
      <c r="J1552" s="3">
        <v>0.693</v>
      </c>
      <c r="K1552">
        <v>7.03</v>
      </c>
      <c r="L1552">
        <v>0.289</v>
      </c>
      <c r="M1552">
        <v>2.614</v>
      </c>
      <c r="N1552">
        <v>824.045</v>
      </c>
      <c r="O1552">
        <v>644.528</v>
      </c>
      <c r="P1552">
        <f t="shared" si="99"/>
        <v>2.91595092858797</v>
      </c>
      <c r="Q1552">
        <f t="shared" si="99"/>
        <v>2.80924178899951</v>
      </c>
      <c r="R1552">
        <v>114.73</v>
      </c>
      <c r="S1552">
        <v>305.803</v>
      </c>
      <c r="T1552">
        <v>330.288</v>
      </c>
      <c r="U1552">
        <v>0</v>
      </c>
      <c r="V1552">
        <v>100</v>
      </c>
      <c r="W1552">
        <v>0</v>
      </c>
      <c r="X1552" t="s">
        <v>92</v>
      </c>
      <c r="Y1552" t="s">
        <v>31</v>
      </c>
      <c r="Z1552" s="3">
        <f t="shared" si="98"/>
        <v>0.106709139588454</v>
      </c>
      <c r="AA1552">
        <f t="shared" si="100"/>
        <v>-0.404</v>
      </c>
      <c r="AB1552">
        <f t="shared" si="101"/>
        <v>0.446</v>
      </c>
      <c r="AC1552" t="s">
        <v>32</v>
      </c>
    </row>
    <row r="1553" spans="1:29">
      <c r="A1553" t="s">
        <v>114</v>
      </c>
      <c r="B1553">
        <v>3833.875</v>
      </c>
      <c r="C1553">
        <v>35.566</v>
      </c>
      <c r="D1553">
        <v>37.148</v>
      </c>
      <c r="E1553">
        <v>158.092</v>
      </c>
      <c r="F1553">
        <v>0.141</v>
      </c>
      <c r="G1553">
        <v>22.875</v>
      </c>
      <c r="H1553">
        <v>3.632</v>
      </c>
      <c r="I1553">
        <v>2.724</v>
      </c>
      <c r="J1553" s="3">
        <v>0.684</v>
      </c>
      <c r="K1553">
        <v>6.848</v>
      </c>
      <c r="L1553">
        <v>0.276</v>
      </c>
      <c r="M1553">
        <v>2.681</v>
      </c>
      <c r="N1553">
        <v>1008.802</v>
      </c>
      <c r="O1553">
        <v>767.723</v>
      </c>
      <c r="P1553">
        <f t="shared" si="99"/>
        <v>3.00380593457623</v>
      </c>
      <c r="Q1553">
        <f t="shared" si="99"/>
        <v>2.88520455170944</v>
      </c>
      <c r="R1553">
        <v>131.542</v>
      </c>
      <c r="S1553">
        <v>320.589</v>
      </c>
      <c r="T1553">
        <v>341.339</v>
      </c>
      <c r="U1553">
        <v>0</v>
      </c>
      <c r="V1553">
        <v>100</v>
      </c>
      <c r="W1553">
        <v>0</v>
      </c>
      <c r="X1553" t="s">
        <v>92</v>
      </c>
      <c r="Y1553" t="s">
        <v>31</v>
      </c>
      <c r="Z1553" s="3">
        <f t="shared" si="98"/>
        <v>0.118601382866794</v>
      </c>
      <c r="AA1553">
        <f t="shared" si="100"/>
        <v>-0.408</v>
      </c>
      <c r="AB1553">
        <f t="shared" si="101"/>
        <v>0.417</v>
      </c>
      <c r="AC1553" t="s">
        <v>32</v>
      </c>
    </row>
    <row r="1554" spans="1:29">
      <c r="A1554" t="s">
        <v>114</v>
      </c>
      <c r="B1554">
        <v>3834</v>
      </c>
      <c r="C1554">
        <v>39.448</v>
      </c>
      <c r="D1554">
        <v>37.743</v>
      </c>
      <c r="E1554">
        <v>156.799</v>
      </c>
      <c r="F1554">
        <v>0.124</v>
      </c>
      <c r="G1554">
        <v>22.724</v>
      </c>
      <c r="H1554">
        <v>3.67</v>
      </c>
      <c r="I1554">
        <v>2.717</v>
      </c>
      <c r="J1554" s="3">
        <v>0.671</v>
      </c>
      <c r="K1554">
        <v>6.58</v>
      </c>
      <c r="L1554">
        <v>0.257</v>
      </c>
      <c r="M1554">
        <v>2.897</v>
      </c>
      <c r="N1554">
        <v>1368.933</v>
      </c>
      <c r="O1554">
        <v>1034.107</v>
      </c>
      <c r="P1554">
        <f t="shared" si="99"/>
        <v>3.13638219288027</v>
      </c>
      <c r="Q1554">
        <f t="shared" si="99"/>
        <v>3.01456547793139</v>
      </c>
      <c r="R1554">
        <v>149.53</v>
      </c>
      <c r="S1554">
        <v>340.793</v>
      </c>
      <c r="T1554">
        <v>362.282</v>
      </c>
      <c r="U1554">
        <v>0</v>
      </c>
      <c r="V1554">
        <v>100</v>
      </c>
      <c r="W1554">
        <v>0</v>
      </c>
      <c r="X1554" t="s">
        <v>92</v>
      </c>
      <c r="Y1554" t="s">
        <v>31</v>
      </c>
      <c r="Z1554" s="3">
        <f t="shared" si="98"/>
        <v>0.121816714948884</v>
      </c>
      <c r="AA1554">
        <f t="shared" si="100"/>
        <v>-0.414</v>
      </c>
      <c r="AB1554">
        <f t="shared" si="101"/>
        <v>0.381</v>
      </c>
      <c r="AC1554" t="s">
        <v>32</v>
      </c>
    </row>
    <row r="1555" spans="1:29">
      <c r="A1555" t="s">
        <v>114</v>
      </c>
      <c r="B1555">
        <v>3834.125</v>
      </c>
      <c r="C1555">
        <v>41.433</v>
      </c>
      <c r="D1555">
        <v>38.531</v>
      </c>
      <c r="E1555">
        <v>154.791</v>
      </c>
      <c r="F1555">
        <v>0.098</v>
      </c>
      <c r="G1555">
        <v>22.553</v>
      </c>
      <c r="H1555">
        <v>3.651</v>
      </c>
      <c r="I1555">
        <v>2.714</v>
      </c>
      <c r="J1555" s="3">
        <v>0.666</v>
      </c>
      <c r="K1555">
        <v>6.293</v>
      </c>
      <c r="L1555">
        <v>0.237</v>
      </c>
      <c r="M1555">
        <v>3.175</v>
      </c>
      <c r="N1555">
        <v>1907.154</v>
      </c>
      <c r="O1555">
        <v>1478.595</v>
      </c>
      <c r="P1555">
        <f t="shared" si="99"/>
        <v>3.28038576312983</v>
      </c>
      <c r="Q1555">
        <f t="shared" si="99"/>
        <v>3.16984923325871</v>
      </c>
      <c r="R1555">
        <v>167.509</v>
      </c>
      <c r="S1555">
        <v>339.894</v>
      </c>
      <c r="T1555">
        <v>384.63</v>
      </c>
      <c r="U1555">
        <v>0</v>
      </c>
      <c r="V1555">
        <v>100</v>
      </c>
      <c r="W1555">
        <v>0</v>
      </c>
      <c r="X1555" t="s">
        <v>92</v>
      </c>
      <c r="Y1555" t="s">
        <v>31</v>
      </c>
      <c r="Z1555" s="3">
        <f t="shared" si="98"/>
        <v>0.110536529871118</v>
      </c>
      <c r="AA1555">
        <f t="shared" si="100"/>
        <v>-0.429</v>
      </c>
      <c r="AB1555">
        <f t="shared" si="101"/>
        <v>0.335</v>
      </c>
      <c r="AC1555" t="s">
        <v>32</v>
      </c>
    </row>
    <row r="1556" spans="1:29">
      <c r="A1556" t="s">
        <v>114</v>
      </c>
      <c r="B1556">
        <v>3834.25</v>
      </c>
      <c r="C1556">
        <v>42.312</v>
      </c>
      <c r="D1556">
        <v>39.489</v>
      </c>
      <c r="E1556">
        <v>152.33</v>
      </c>
      <c r="F1556">
        <v>0.066</v>
      </c>
      <c r="G1556">
        <v>22.446</v>
      </c>
      <c r="H1556">
        <v>3.603</v>
      </c>
      <c r="I1556">
        <v>2.718</v>
      </c>
      <c r="J1556" s="3">
        <v>0.673</v>
      </c>
      <c r="K1556">
        <v>6.172</v>
      </c>
      <c r="L1556">
        <v>0.229</v>
      </c>
      <c r="M1556">
        <v>3.357</v>
      </c>
      <c r="N1556">
        <v>2277.856</v>
      </c>
      <c r="O1556">
        <v>1847.856</v>
      </c>
      <c r="P1556">
        <f t="shared" si="99"/>
        <v>3.35752626566841</v>
      </c>
      <c r="Q1556">
        <f t="shared" si="99"/>
        <v>3.26666812443707</v>
      </c>
      <c r="R1556">
        <v>183.95</v>
      </c>
      <c r="S1556">
        <v>332.036</v>
      </c>
      <c r="T1556">
        <v>408.91</v>
      </c>
      <c r="U1556">
        <v>0</v>
      </c>
      <c r="V1556">
        <v>100</v>
      </c>
      <c r="W1556">
        <v>0</v>
      </c>
      <c r="X1556" t="s">
        <v>92</v>
      </c>
      <c r="Y1556" t="s">
        <v>31</v>
      </c>
      <c r="Z1556" s="3">
        <f t="shared" si="98"/>
        <v>0.0908581412313336</v>
      </c>
      <c r="AA1556">
        <f t="shared" si="100"/>
        <v>-0.444</v>
      </c>
      <c r="AB1556">
        <f t="shared" si="101"/>
        <v>0.295</v>
      </c>
      <c r="AC1556" t="s">
        <v>32</v>
      </c>
    </row>
    <row r="1557" spans="1:29">
      <c r="A1557" t="s">
        <v>114</v>
      </c>
      <c r="B1557">
        <v>3834.375</v>
      </c>
      <c r="C1557">
        <v>44.664</v>
      </c>
      <c r="D1557">
        <v>40.631</v>
      </c>
      <c r="E1557">
        <v>150.49</v>
      </c>
      <c r="F1557">
        <v>0.042</v>
      </c>
      <c r="G1557">
        <v>22.395</v>
      </c>
      <c r="H1557">
        <v>3.541</v>
      </c>
      <c r="I1557">
        <v>2.727</v>
      </c>
      <c r="J1557" s="3">
        <v>0.689</v>
      </c>
      <c r="K1557">
        <v>6.259</v>
      </c>
      <c r="L1557">
        <v>0.235</v>
      </c>
      <c r="M1557">
        <v>3.395</v>
      </c>
      <c r="N1557">
        <v>2281.964</v>
      </c>
      <c r="O1557">
        <v>1955.095</v>
      </c>
      <c r="P1557">
        <f t="shared" si="99"/>
        <v>3.35830878875675</v>
      </c>
      <c r="Q1557">
        <f t="shared" si="99"/>
        <v>3.29116786504308</v>
      </c>
      <c r="R1557">
        <v>197.246</v>
      </c>
      <c r="S1557">
        <v>364.771</v>
      </c>
      <c r="T1557">
        <v>447.116</v>
      </c>
      <c r="U1557">
        <v>0</v>
      </c>
      <c r="V1557">
        <v>100</v>
      </c>
      <c r="W1557">
        <v>0</v>
      </c>
      <c r="X1557" t="s">
        <v>92</v>
      </c>
      <c r="Y1557" t="s">
        <v>31</v>
      </c>
      <c r="Z1557" s="3">
        <f t="shared" si="98"/>
        <v>0.0671409237136693</v>
      </c>
      <c r="AA1557">
        <f t="shared" si="100"/>
        <v>-0.454</v>
      </c>
      <c r="AB1557">
        <f t="shared" si="101"/>
        <v>0.277</v>
      </c>
      <c r="AC1557" t="s">
        <v>32</v>
      </c>
    </row>
    <row r="1558" spans="1:29">
      <c r="A1558" t="s">
        <v>114</v>
      </c>
      <c r="B1558">
        <v>3834.5</v>
      </c>
      <c r="C1558">
        <v>50.707</v>
      </c>
      <c r="D1558">
        <v>41.943</v>
      </c>
      <c r="E1558">
        <v>150.702</v>
      </c>
      <c r="F1558">
        <v>0.044</v>
      </c>
      <c r="G1558">
        <v>22.366</v>
      </c>
      <c r="H1558">
        <v>3.355</v>
      </c>
      <c r="I1558">
        <v>2.735</v>
      </c>
      <c r="J1558" s="3">
        <v>0.703</v>
      </c>
      <c r="K1558">
        <v>6.52</v>
      </c>
      <c r="L1558">
        <v>0.253</v>
      </c>
      <c r="M1558">
        <v>3.36</v>
      </c>
      <c r="N1558">
        <v>2159.823</v>
      </c>
      <c r="O1558">
        <v>1952.919</v>
      </c>
      <c r="P1558">
        <f t="shared" si="99"/>
        <v>3.33441816167269</v>
      </c>
      <c r="Q1558">
        <f t="shared" si="99"/>
        <v>3.29068423070078</v>
      </c>
      <c r="R1558">
        <v>206.449</v>
      </c>
      <c r="S1558">
        <v>434.017</v>
      </c>
      <c r="T1558">
        <v>514.002</v>
      </c>
      <c r="U1558">
        <v>0</v>
      </c>
      <c r="V1558">
        <v>100</v>
      </c>
      <c r="W1558">
        <v>0</v>
      </c>
      <c r="X1558" t="s">
        <v>92</v>
      </c>
      <c r="Y1558" t="s">
        <v>31</v>
      </c>
      <c r="Z1558" s="3">
        <f t="shared" si="98"/>
        <v>0.0437339309719023</v>
      </c>
      <c r="AA1558">
        <f t="shared" si="100"/>
        <v>-0.45</v>
      </c>
      <c r="AB1558">
        <f t="shared" si="101"/>
        <v>0.297</v>
      </c>
      <c r="AC1558" t="s">
        <v>32</v>
      </c>
    </row>
    <row r="1559" spans="1:29">
      <c r="A1559" t="s">
        <v>114</v>
      </c>
      <c r="B1559">
        <v>3834.625</v>
      </c>
      <c r="C1559">
        <v>60.522</v>
      </c>
      <c r="D1559">
        <v>43.364</v>
      </c>
      <c r="E1559">
        <v>154.373</v>
      </c>
      <c r="F1559">
        <v>0.092</v>
      </c>
      <c r="G1559">
        <v>22.352</v>
      </c>
      <c r="H1559">
        <v>2.985</v>
      </c>
      <c r="I1559">
        <v>2.741</v>
      </c>
      <c r="J1559" s="3">
        <v>0.714</v>
      </c>
      <c r="K1559">
        <v>7.015</v>
      </c>
      <c r="L1559">
        <v>0.288</v>
      </c>
      <c r="M1559">
        <v>3.272</v>
      </c>
      <c r="N1559">
        <v>1914.581</v>
      </c>
      <c r="O1559">
        <v>1849.22</v>
      </c>
      <c r="P1559">
        <f t="shared" si="99"/>
        <v>3.28207374472857</v>
      </c>
      <c r="Q1559">
        <f t="shared" si="99"/>
        <v>3.2669885818473</v>
      </c>
      <c r="R1559">
        <v>211.061</v>
      </c>
      <c r="S1559">
        <v>501.313</v>
      </c>
      <c r="T1559">
        <v>594.135</v>
      </c>
      <c r="U1559">
        <v>0</v>
      </c>
      <c r="V1559">
        <v>100</v>
      </c>
      <c r="W1559">
        <v>0</v>
      </c>
      <c r="X1559" t="s">
        <v>92</v>
      </c>
      <c r="Y1559" t="s">
        <v>31</v>
      </c>
      <c r="Z1559" s="3">
        <f t="shared" si="98"/>
        <v>0.0150851628812645</v>
      </c>
      <c r="AA1559">
        <f t="shared" si="100"/>
        <v>-0.426</v>
      </c>
      <c r="AB1559">
        <f t="shared" si="101"/>
        <v>0.38</v>
      </c>
      <c r="AC1559" t="s">
        <v>32</v>
      </c>
    </row>
    <row r="1560" spans="1:29">
      <c r="A1560" t="s">
        <v>115</v>
      </c>
      <c r="B1560">
        <v>3754</v>
      </c>
      <c r="C1560">
        <v>20.347</v>
      </c>
      <c r="D1560">
        <v>88.944</v>
      </c>
      <c r="E1560">
        <v>163.715</v>
      </c>
      <c r="F1560">
        <v>0.1</v>
      </c>
      <c r="G1560">
        <v>22.621</v>
      </c>
      <c r="H1560">
        <v>1.107</v>
      </c>
      <c r="I1560">
        <v>2.722</v>
      </c>
      <c r="J1560" s="3">
        <v>0.436</v>
      </c>
      <c r="K1560">
        <v>9.748</v>
      </c>
      <c r="L1560">
        <v>0.519</v>
      </c>
      <c r="M1560">
        <v>3.05</v>
      </c>
      <c r="N1560">
        <v>48.579</v>
      </c>
      <c r="O1560">
        <v>43.974</v>
      </c>
      <c r="P1560">
        <f t="shared" si="99"/>
        <v>1.68644857059773</v>
      </c>
      <c r="Q1560">
        <f t="shared" si="99"/>
        <v>1.64319597207674</v>
      </c>
      <c r="R1560">
        <v>18.804</v>
      </c>
      <c r="S1560">
        <v>20.254</v>
      </c>
      <c r="T1560">
        <v>21.32</v>
      </c>
      <c r="U1560">
        <v>4.357</v>
      </c>
      <c r="V1560">
        <v>60.909</v>
      </c>
      <c r="W1560">
        <v>0.221</v>
      </c>
      <c r="X1560" t="s">
        <v>92</v>
      </c>
      <c r="Y1560" t="s">
        <v>31</v>
      </c>
      <c r="Z1560" s="3">
        <f t="shared" si="98"/>
        <v>0.0432525985209844</v>
      </c>
      <c r="AA1560">
        <f t="shared" si="100"/>
        <v>0.083</v>
      </c>
      <c r="AB1560">
        <f t="shared" si="101"/>
        <v>0.619</v>
      </c>
      <c r="AC1560" t="s">
        <v>32</v>
      </c>
    </row>
    <row r="1561" spans="1:29">
      <c r="A1561" t="s">
        <v>115</v>
      </c>
      <c r="B1561">
        <v>3754.125</v>
      </c>
      <c r="C1561">
        <v>19.769</v>
      </c>
      <c r="D1561">
        <v>89.164</v>
      </c>
      <c r="E1561">
        <v>164.497</v>
      </c>
      <c r="F1561">
        <v>0.107</v>
      </c>
      <c r="G1561">
        <v>22.315</v>
      </c>
      <c r="H1561">
        <v>1.112</v>
      </c>
      <c r="I1561">
        <v>2.726</v>
      </c>
      <c r="J1561" s="3">
        <v>0.453</v>
      </c>
      <c r="K1561">
        <v>9.794</v>
      </c>
      <c r="L1561">
        <v>0.522</v>
      </c>
      <c r="M1561">
        <v>3.042</v>
      </c>
      <c r="N1561">
        <v>47.109</v>
      </c>
      <c r="O1561">
        <v>42.492</v>
      </c>
      <c r="P1561">
        <f t="shared" si="99"/>
        <v>1.67310388540802</v>
      </c>
      <c r="Q1561">
        <f t="shared" si="99"/>
        <v>1.62830717280574</v>
      </c>
      <c r="R1561">
        <v>17.734</v>
      </c>
      <c r="S1561">
        <v>19.102</v>
      </c>
      <c r="T1561">
        <v>20.107</v>
      </c>
      <c r="U1561">
        <v>4.304</v>
      </c>
      <c r="V1561">
        <v>64.139</v>
      </c>
      <c r="W1561">
        <v>0.209</v>
      </c>
      <c r="X1561" t="s">
        <v>92</v>
      </c>
      <c r="Y1561" t="s">
        <v>31</v>
      </c>
      <c r="Z1561" s="3">
        <f t="shared" si="98"/>
        <v>0.0447967126022848</v>
      </c>
      <c r="AA1561">
        <f t="shared" si="100"/>
        <v>0.069</v>
      </c>
      <c r="AB1561">
        <f t="shared" si="101"/>
        <v>0.629</v>
      </c>
      <c r="AC1561" t="s">
        <v>32</v>
      </c>
    </row>
    <row r="1562" spans="1:29">
      <c r="A1562" t="s">
        <v>115</v>
      </c>
      <c r="B1562">
        <v>3754.25</v>
      </c>
      <c r="C1562">
        <v>19.129</v>
      </c>
      <c r="D1562">
        <v>89.416</v>
      </c>
      <c r="E1562">
        <v>164.466</v>
      </c>
      <c r="F1562">
        <v>0.107</v>
      </c>
      <c r="G1562">
        <v>22.172</v>
      </c>
      <c r="H1562">
        <v>1.15</v>
      </c>
      <c r="I1562">
        <v>2.727</v>
      </c>
      <c r="J1562" s="3">
        <v>0.457</v>
      </c>
      <c r="K1562">
        <v>10.074</v>
      </c>
      <c r="L1562">
        <v>0.54</v>
      </c>
      <c r="M1562">
        <v>3.032</v>
      </c>
      <c r="N1562">
        <v>46.72</v>
      </c>
      <c r="O1562">
        <v>41.946</v>
      </c>
      <c r="P1562">
        <f t="shared" si="99"/>
        <v>1.66950283410434</v>
      </c>
      <c r="Q1562">
        <f t="shared" si="99"/>
        <v>1.62269055251265</v>
      </c>
      <c r="R1562">
        <v>16.458</v>
      </c>
      <c r="S1562">
        <v>17.727</v>
      </c>
      <c r="T1562">
        <v>18.66</v>
      </c>
      <c r="U1562">
        <v>4.302</v>
      </c>
      <c r="V1562">
        <v>66.633</v>
      </c>
      <c r="W1562">
        <v>0.209</v>
      </c>
      <c r="X1562" t="s">
        <v>92</v>
      </c>
      <c r="Y1562" t="s">
        <v>31</v>
      </c>
      <c r="Z1562" s="3">
        <f t="shared" si="98"/>
        <v>0.0468122815916914</v>
      </c>
      <c r="AA1562">
        <f t="shared" si="100"/>
        <v>0.083</v>
      </c>
      <c r="AB1562">
        <f t="shared" si="101"/>
        <v>0.647</v>
      </c>
      <c r="AC1562" t="s">
        <v>32</v>
      </c>
    </row>
    <row r="1563" spans="1:29">
      <c r="A1563" t="s">
        <v>115</v>
      </c>
      <c r="B1563">
        <v>3754.375</v>
      </c>
      <c r="C1563">
        <v>18.901</v>
      </c>
      <c r="D1563">
        <v>89.658</v>
      </c>
      <c r="E1563">
        <v>163.84</v>
      </c>
      <c r="F1563">
        <v>0.101</v>
      </c>
      <c r="G1563">
        <v>22.172</v>
      </c>
      <c r="H1563">
        <v>1.209</v>
      </c>
      <c r="I1563">
        <v>2.727</v>
      </c>
      <c r="J1563" s="3">
        <v>0.457</v>
      </c>
      <c r="K1563">
        <v>10.502</v>
      </c>
      <c r="L1563">
        <v>0.569</v>
      </c>
      <c r="M1563">
        <v>3.03</v>
      </c>
      <c r="N1563">
        <v>48.415</v>
      </c>
      <c r="O1563">
        <v>43.162</v>
      </c>
      <c r="P1563">
        <f t="shared" si="99"/>
        <v>1.68497993618928</v>
      </c>
      <c r="Q1563">
        <f t="shared" si="99"/>
        <v>1.63510156040475</v>
      </c>
      <c r="R1563">
        <v>16.208</v>
      </c>
      <c r="S1563">
        <v>17.458</v>
      </c>
      <c r="T1563">
        <v>18.377</v>
      </c>
      <c r="U1563">
        <v>4.31</v>
      </c>
      <c r="V1563">
        <v>66.899</v>
      </c>
      <c r="W1563">
        <v>0.211</v>
      </c>
      <c r="X1563" t="s">
        <v>92</v>
      </c>
      <c r="Y1563" t="s">
        <v>31</v>
      </c>
      <c r="Z1563" s="3">
        <f t="shared" si="98"/>
        <v>0.0498783757845336</v>
      </c>
      <c r="AA1563">
        <f t="shared" si="100"/>
        <v>0.112</v>
      </c>
      <c r="AB1563">
        <f t="shared" si="101"/>
        <v>0.67</v>
      </c>
      <c r="AC1563" t="s">
        <v>32</v>
      </c>
    </row>
    <row r="1564" spans="1:29">
      <c r="A1564" t="s">
        <v>115</v>
      </c>
      <c r="B1564">
        <v>3754.5</v>
      </c>
      <c r="C1564">
        <v>19.154</v>
      </c>
      <c r="D1564">
        <v>89.893</v>
      </c>
      <c r="E1564">
        <v>163.553</v>
      </c>
      <c r="F1564">
        <v>0.098</v>
      </c>
      <c r="G1564">
        <v>22.172</v>
      </c>
      <c r="H1564">
        <v>1.266</v>
      </c>
      <c r="I1564">
        <v>2.728</v>
      </c>
      <c r="J1564" s="3">
        <v>0.462</v>
      </c>
      <c r="K1564">
        <v>10.872</v>
      </c>
      <c r="L1564">
        <v>0.593</v>
      </c>
      <c r="M1564">
        <v>3.042</v>
      </c>
      <c r="N1564">
        <v>52.105</v>
      </c>
      <c r="O1564">
        <v>46.028</v>
      </c>
      <c r="P1564">
        <f t="shared" si="99"/>
        <v>1.71687940023271</v>
      </c>
      <c r="Q1564">
        <f t="shared" si="99"/>
        <v>1.66302210442179</v>
      </c>
      <c r="R1564">
        <v>17.31</v>
      </c>
      <c r="S1564">
        <v>18.644</v>
      </c>
      <c r="T1564">
        <v>19.625</v>
      </c>
      <c r="U1564">
        <v>4.298</v>
      </c>
      <c r="V1564">
        <v>65.069</v>
      </c>
      <c r="W1564">
        <v>0.208</v>
      </c>
      <c r="X1564" t="s">
        <v>92</v>
      </c>
      <c r="Y1564" t="s">
        <v>31</v>
      </c>
      <c r="Z1564" s="3">
        <f t="shared" si="98"/>
        <v>0.0538572958109127</v>
      </c>
      <c r="AA1564">
        <f t="shared" si="100"/>
        <v>0.131</v>
      </c>
      <c r="AB1564">
        <f t="shared" si="101"/>
        <v>0.691</v>
      </c>
      <c r="AC1564" t="s">
        <v>32</v>
      </c>
    </row>
    <row r="1565" spans="1:29">
      <c r="A1565" t="s">
        <v>115</v>
      </c>
      <c r="B1565">
        <v>3754.625</v>
      </c>
      <c r="C1565">
        <v>19.48</v>
      </c>
      <c r="D1565">
        <v>90.131</v>
      </c>
      <c r="E1565">
        <v>164.257</v>
      </c>
      <c r="F1565">
        <v>0.105</v>
      </c>
      <c r="G1565">
        <v>22.454</v>
      </c>
      <c r="H1565">
        <v>1.321</v>
      </c>
      <c r="I1565">
        <v>2.73</v>
      </c>
      <c r="J1565" s="3">
        <v>0.47</v>
      </c>
      <c r="K1565">
        <v>11.046</v>
      </c>
      <c r="L1565">
        <v>0.605</v>
      </c>
      <c r="M1565">
        <v>3.055</v>
      </c>
      <c r="N1565">
        <v>57.124</v>
      </c>
      <c r="O1565">
        <v>50.006</v>
      </c>
      <c r="P1565">
        <f t="shared" si="99"/>
        <v>1.75681861048214</v>
      </c>
      <c r="Q1565">
        <f t="shared" si="99"/>
        <v>1.69902211654718</v>
      </c>
      <c r="R1565">
        <v>18.86</v>
      </c>
      <c r="S1565">
        <v>20.314</v>
      </c>
      <c r="T1565">
        <v>21.384</v>
      </c>
      <c r="U1565">
        <v>4.257</v>
      </c>
      <c r="V1565">
        <v>63.437</v>
      </c>
      <c r="W1565">
        <v>0.199</v>
      </c>
      <c r="X1565" t="s">
        <v>92</v>
      </c>
      <c r="Y1565" t="s">
        <v>31</v>
      </c>
      <c r="Z1565" s="3">
        <f t="shared" si="98"/>
        <v>0.0577964939349622</v>
      </c>
      <c r="AA1565">
        <f t="shared" si="100"/>
        <v>0.135</v>
      </c>
      <c r="AB1565">
        <f t="shared" si="101"/>
        <v>0.71</v>
      </c>
      <c r="AC1565" t="s">
        <v>32</v>
      </c>
    </row>
    <row r="1566" spans="1:29">
      <c r="A1566" t="s">
        <v>115</v>
      </c>
      <c r="B1566">
        <v>3754.75</v>
      </c>
      <c r="C1566">
        <v>19.806</v>
      </c>
      <c r="D1566">
        <v>90.393</v>
      </c>
      <c r="E1566">
        <v>166.073</v>
      </c>
      <c r="F1566">
        <v>0.122</v>
      </c>
      <c r="G1566">
        <v>22.621</v>
      </c>
      <c r="H1566">
        <v>1.384</v>
      </c>
      <c r="I1566">
        <v>2.734</v>
      </c>
      <c r="J1566" s="3">
        <v>0.487</v>
      </c>
      <c r="K1566">
        <v>11.091</v>
      </c>
      <c r="L1566">
        <v>0.608</v>
      </c>
      <c r="M1566">
        <v>3.051</v>
      </c>
      <c r="N1566">
        <v>61.533</v>
      </c>
      <c r="O1566">
        <v>53.536</v>
      </c>
      <c r="P1566">
        <f t="shared" si="99"/>
        <v>1.78910808933936</v>
      </c>
      <c r="Q1566">
        <f t="shared" si="99"/>
        <v>1.7286459192823</v>
      </c>
      <c r="R1566">
        <v>19.946</v>
      </c>
      <c r="S1566">
        <v>21.484</v>
      </c>
      <c r="T1566">
        <v>22.615</v>
      </c>
      <c r="U1566">
        <v>4.182</v>
      </c>
      <c r="V1566">
        <v>63.749</v>
      </c>
      <c r="W1566">
        <v>0.184</v>
      </c>
      <c r="X1566" t="s">
        <v>92</v>
      </c>
      <c r="Y1566" t="s">
        <v>31</v>
      </c>
      <c r="Z1566" s="3">
        <f t="shared" si="98"/>
        <v>0.0604621700570624</v>
      </c>
      <c r="AA1566">
        <f t="shared" si="100"/>
        <v>0.121</v>
      </c>
      <c r="AB1566">
        <f t="shared" si="101"/>
        <v>0.73</v>
      </c>
      <c r="AC1566" t="s">
        <v>32</v>
      </c>
    </row>
    <row r="1567" spans="1:29">
      <c r="A1567" t="s">
        <v>115</v>
      </c>
      <c r="B1567">
        <v>3754.875</v>
      </c>
      <c r="C1567">
        <v>20.368</v>
      </c>
      <c r="D1567">
        <v>90.677</v>
      </c>
      <c r="E1567">
        <v>167.706</v>
      </c>
      <c r="F1567">
        <v>0.137</v>
      </c>
      <c r="G1567">
        <v>22.621</v>
      </c>
      <c r="H1567">
        <v>1.434</v>
      </c>
      <c r="I1567">
        <v>2.741</v>
      </c>
      <c r="J1567" s="3">
        <v>0.517</v>
      </c>
      <c r="K1567">
        <v>11.15</v>
      </c>
      <c r="L1567">
        <v>0.611</v>
      </c>
      <c r="M1567">
        <v>3.032</v>
      </c>
      <c r="N1567">
        <v>63.632</v>
      </c>
      <c r="O1567">
        <v>55.202</v>
      </c>
      <c r="P1567">
        <f t="shared" si="99"/>
        <v>1.80367557364191</v>
      </c>
      <c r="Q1567">
        <f t="shared" si="99"/>
        <v>1.74195481275146</v>
      </c>
      <c r="R1567">
        <v>20.381</v>
      </c>
      <c r="S1567">
        <v>21.952</v>
      </c>
      <c r="T1567">
        <v>23.107</v>
      </c>
      <c r="U1567">
        <v>4.067</v>
      </c>
      <c r="V1567">
        <v>66.43</v>
      </c>
      <c r="W1567">
        <v>0.163</v>
      </c>
      <c r="X1567" t="s">
        <v>92</v>
      </c>
      <c r="Y1567" t="s">
        <v>31</v>
      </c>
      <c r="Z1567" s="3">
        <f t="shared" si="98"/>
        <v>0.0617207608904438</v>
      </c>
      <c r="AA1567">
        <f t="shared" si="100"/>
        <v>0.094</v>
      </c>
      <c r="AB1567">
        <f t="shared" si="101"/>
        <v>0.748</v>
      </c>
      <c r="AC1567" t="s">
        <v>32</v>
      </c>
    </row>
    <row r="1568" spans="1:29">
      <c r="A1568" t="s">
        <v>115</v>
      </c>
      <c r="B1568">
        <v>3755</v>
      </c>
      <c r="C1568">
        <v>21.231</v>
      </c>
      <c r="D1568">
        <v>90.981</v>
      </c>
      <c r="E1568">
        <v>168.012</v>
      </c>
      <c r="F1568">
        <v>0.14</v>
      </c>
      <c r="G1568">
        <v>22.621</v>
      </c>
      <c r="H1568">
        <v>1.455</v>
      </c>
      <c r="I1568">
        <v>2.75</v>
      </c>
      <c r="J1568" s="3">
        <v>0.556</v>
      </c>
      <c r="K1568">
        <v>11.294</v>
      </c>
      <c r="L1568">
        <v>0.621</v>
      </c>
      <c r="M1568">
        <v>3.019</v>
      </c>
      <c r="N1568">
        <v>63.195</v>
      </c>
      <c r="O1568">
        <v>54.743</v>
      </c>
      <c r="P1568">
        <f t="shared" si="99"/>
        <v>1.80068271818253</v>
      </c>
      <c r="Q1568">
        <f t="shared" si="99"/>
        <v>1.7383285937271</v>
      </c>
      <c r="R1568">
        <v>20.47</v>
      </c>
      <c r="S1568">
        <v>22.048</v>
      </c>
      <c r="T1568">
        <v>23.209</v>
      </c>
      <c r="U1568">
        <v>3.913</v>
      </c>
      <c r="V1568">
        <v>71.314</v>
      </c>
      <c r="W1568">
        <v>0.138</v>
      </c>
      <c r="X1568" t="s">
        <v>92</v>
      </c>
      <c r="Y1568" t="s">
        <v>31</v>
      </c>
      <c r="Z1568" s="3">
        <f t="shared" si="98"/>
        <v>0.0623541244554273</v>
      </c>
      <c r="AA1568">
        <f t="shared" si="100"/>
        <v>0.0649999999999999</v>
      </c>
      <c r="AB1568">
        <f t="shared" si="101"/>
        <v>0.761</v>
      </c>
      <c r="AC1568" t="s">
        <v>32</v>
      </c>
    </row>
    <row r="1569" spans="1:29">
      <c r="A1569" t="s">
        <v>115</v>
      </c>
      <c r="B1569">
        <v>3755.125</v>
      </c>
      <c r="C1569">
        <v>21.742</v>
      </c>
      <c r="D1569">
        <v>91.273</v>
      </c>
      <c r="E1569">
        <v>167.423</v>
      </c>
      <c r="F1569">
        <v>0.135</v>
      </c>
      <c r="G1569">
        <v>22.233</v>
      </c>
      <c r="H1569">
        <v>1.443</v>
      </c>
      <c r="I1569">
        <v>2.762</v>
      </c>
      <c r="J1569" s="3">
        <v>0.607</v>
      </c>
      <c r="K1569">
        <v>11.52</v>
      </c>
      <c r="L1569">
        <v>0.636</v>
      </c>
      <c r="M1569">
        <v>3.015</v>
      </c>
      <c r="N1569">
        <v>61.79</v>
      </c>
      <c r="O1569">
        <v>53.382</v>
      </c>
      <c r="P1569">
        <f t="shared" si="99"/>
        <v>1.79091819521458</v>
      </c>
      <c r="Q1569">
        <f t="shared" si="99"/>
        <v>1.72739484095191</v>
      </c>
      <c r="R1569">
        <v>20.588</v>
      </c>
      <c r="S1569">
        <v>22.176</v>
      </c>
      <c r="T1569">
        <v>23.343</v>
      </c>
      <c r="U1569">
        <v>3.735</v>
      </c>
      <c r="V1569">
        <v>77.928</v>
      </c>
      <c r="W1569">
        <v>0.112</v>
      </c>
      <c r="X1569" t="s">
        <v>92</v>
      </c>
      <c r="Y1569" t="s">
        <v>31</v>
      </c>
      <c r="Z1569" s="3">
        <f t="shared" si="98"/>
        <v>0.0635233542626696</v>
      </c>
      <c r="AA1569">
        <f t="shared" si="100"/>
        <v>0.029</v>
      </c>
      <c r="AB1569">
        <f t="shared" si="101"/>
        <v>0.771</v>
      </c>
      <c r="AC1569" t="s">
        <v>32</v>
      </c>
    </row>
    <row r="1570" spans="1:29">
      <c r="A1570" t="s">
        <v>115</v>
      </c>
      <c r="B1570">
        <v>3755.25</v>
      </c>
      <c r="C1570">
        <v>20.991</v>
      </c>
      <c r="D1570">
        <v>91.534</v>
      </c>
      <c r="E1570">
        <v>166.05</v>
      </c>
      <c r="F1570">
        <v>0.122</v>
      </c>
      <c r="G1570">
        <v>22.172</v>
      </c>
      <c r="H1570">
        <v>1.418</v>
      </c>
      <c r="I1570">
        <v>2.775</v>
      </c>
      <c r="J1570" s="3">
        <v>0.662</v>
      </c>
      <c r="K1570">
        <v>11.819</v>
      </c>
      <c r="L1570">
        <v>0.656</v>
      </c>
      <c r="M1570">
        <v>2.964</v>
      </c>
      <c r="N1570">
        <v>60.896</v>
      </c>
      <c r="O1570">
        <v>52.359</v>
      </c>
      <c r="P1570">
        <f t="shared" si="99"/>
        <v>1.78458876660693</v>
      </c>
      <c r="Q1570">
        <f t="shared" si="99"/>
        <v>1.71899134340528</v>
      </c>
      <c r="R1570">
        <v>21.216</v>
      </c>
      <c r="S1570">
        <v>22.851</v>
      </c>
      <c r="T1570">
        <v>24.054</v>
      </c>
      <c r="U1570">
        <v>3.575</v>
      </c>
      <c r="V1570">
        <v>83.869</v>
      </c>
      <c r="W1570">
        <v>0.1</v>
      </c>
      <c r="X1570" t="s">
        <v>92</v>
      </c>
      <c r="Y1570" t="s">
        <v>31</v>
      </c>
      <c r="Z1570" s="3">
        <f t="shared" si="98"/>
        <v>0.0655974232016452</v>
      </c>
      <c r="AA1570">
        <f t="shared" si="100"/>
        <v>-0.00600000000000001</v>
      </c>
      <c r="AB1570">
        <f t="shared" si="101"/>
        <v>0.778</v>
      </c>
      <c r="AC1570" t="s">
        <v>32</v>
      </c>
    </row>
    <row r="1571" spans="1:29">
      <c r="A1571" t="s">
        <v>115</v>
      </c>
      <c r="B1571">
        <v>3755.375</v>
      </c>
      <c r="C1571">
        <v>19.511</v>
      </c>
      <c r="D1571">
        <v>91.771</v>
      </c>
      <c r="E1571">
        <v>163.87</v>
      </c>
      <c r="F1571">
        <v>0.101</v>
      </c>
      <c r="G1571">
        <v>22.172</v>
      </c>
      <c r="H1571">
        <v>1.38</v>
      </c>
      <c r="I1571">
        <v>2.782</v>
      </c>
      <c r="J1571" s="3">
        <v>0.692</v>
      </c>
      <c r="K1571">
        <v>12.155</v>
      </c>
      <c r="L1571">
        <v>0.678</v>
      </c>
      <c r="M1571">
        <v>2.847</v>
      </c>
      <c r="N1571">
        <v>60.875</v>
      </c>
      <c r="O1571">
        <v>52.04</v>
      </c>
      <c r="P1571">
        <f t="shared" si="99"/>
        <v>1.78443897422269</v>
      </c>
      <c r="Q1571">
        <f t="shared" si="99"/>
        <v>1.71633728788955</v>
      </c>
      <c r="R1571">
        <v>22.668</v>
      </c>
      <c r="S1571">
        <v>24.416</v>
      </c>
      <c r="T1571">
        <v>25.701</v>
      </c>
      <c r="U1571">
        <v>3.509</v>
      </c>
      <c r="V1571">
        <v>84.307</v>
      </c>
      <c r="W1571">
        <v>0.1</v>
      </c>
      <c r="X1571" t="s">
        <v>92</v>
      </c>
      <c r="Y1571" t="s">
        <v>31</v>
      </c>
      <c r="Z1571" s="3">
        <f t="shared" si="98"/>
        <v>0.0681016863331421</v>
      </c>
      <c r="AA1571">
        <f t="shared" si="100"/>
        <v>-0.0139999999999999</v>
      </c>
      <c r="AB1571">
        <f t="shared" si="101"/>
        <v>0.779</v>
      </c>
      <c r="AC1571" t="s">
        <v>32</v>
      </c>
    </row>
    <row r="1572" spans="1:29">
      <c r="A1572" t="s">
        <v>115</v>
      </c>
      <c r="B1572">
        <v>3755.5</v>
      </c>
      <c r="C1572">
        <v>18.484</v>
      </c>
      <c r="D1572">
        <v>92.015</v>
      </c>
      <c r="E1572">
        <v>162.996</v>
      </c>
      <c r="F1572">
        <v>0.093</v>
      </c>
      <c r="G1572">
        <v>22.172</v>
      </c>
      <c r="H1572">
        <v>1.311</v>
      </c>
      <c r="I1572">
        <v>2.778</v>
      </c>
      <c r="J1572" s="3">
        <v>0.675</v>
      </c>
      <c r="K1572">
        <v>12.357</v>
      </c>
      <c r="L1572">
        <v>0.691</v>
      </c>
      <c r="M1572">
        <v>2.739</v>
      </c>
      <c r="N1572">
        <v>61.272</v>
      </c>
      <c r="O1572">
        <v>52.112</v>
      </c>
      <c r="P1572">
        <f t="shared" si="99"/>
        <v>1.78726205651586</v>
      </c>
      <c r="Q1572">
        <f t="shared" si="99"/>
        <v>1.7169377412208</v>
      </c>
      <c r="R1572">
        <v>24.443</v>
      </c>
      <c r="S1572">
        <v>26.327</v>
      </c>
      <c r="T1572">
        <v>27.713</v>
      </c>
      <c r="U1572">
        <v>3.582</v>
      </c>
      <c r="V1572">
        <v>77.814</v>
      </c>
      <c r="W1572">
        <v>0.1</v>
      </c>
      <c r="X1572" t="s">
        <v>92</v>
      </c>
      <c r="Y1572" t="s">
        <v>31</v>
      </c>
      <c r="Z1572" s="3">
        <f t="shared" si="98"/>
        <v>0.0703243152950583</v>
      </c>
      <c r="AA1572">
        <f t="shared" si="100"/>
        <v>0.0159999999999999</v>
      </c>
      <c r="AB1572">
        <f t="shared" si="101"/>
        <v>0.784</v>
      </c>
      <c r="AC1572" t="s">
        <v>32</v>
      </c>
    </row>
    <row r="1573" spans="1:29">
      <c r="A1573" t="s">
        <v>115</v>
      </c>
      <c r="B1573">
        <v>3755.625</v>
      </c>
      <c r="C1573">
        <v>19.03</v>
      </c>
      <c r="D1573">
        <v>92.284</v>
      </c>
      <c r="E1573">
        <v>165.16</v>
      </c>
      <c r="F1573">
        <v>0.113</v>
      </c>
      <c r="G1573">
        <v>22.525</v>
      </c>
      <c r="H1573">
        <v>1.234</v>
      </c>
      <c r="I1573">
        <v>2.767</v>
      </c>
      <c r="J1573" s="3">
        <v>0.628</v>
      </c>
      <c r="K1573">
        <v>12.141</v>
      </c>
      <c r="L1573">
        <v>0.677</v>
      </c>
      <c r="M1573">
        <v>2.685</v>
      </c>
      <c r="N1573">
        <v>61.967</v>
      </c>
      <c r="O1573">
        <v>52.517</v>
      </c>
      <c r="P1573">
        <f t="shared" si="99"/>
        <v>1.79216047121853</v>
      </c>
      <c r="Q1573">
        <f t="shared" si="99"/>
        <v>1.72029990933179</v>
      </c>
      <c r="R1573">
        <v>25.961</v>
      </c>
      <c r="S1573">
        <v>27.963</v>
      </c>
      <c r="T1573">
        <v>29.435</v>
      </c>
      <c r="U1573">
        <v>3.729</v>
      </c>
      <c r="V1573">
        <v>69.593</v>
      </c>
      <c r="W1573">
        <v>0.111</v>
      </c>
      <c r="X1573" t="s">
        <v>92</v>
      </c>
      <c r="Y1573" t="s">
        <v>31</v>
      </c>
      <c r="Z1573" s="3">
        <f t="shared" ref="Z1573:Z1585" si="102">P1573-Q1573</f>
        <v>0.0718605618867343</v>
      </c>
      <c r="AA1573">
        <f t="shared" si="100"/>
        <v>0.049</v>
      </c>
      <c r="AB1573">
        <f t="shared" si="101"/>
        <v>0.79</v>
      </c>
      <c r="AC1573" t="s">
        <v>32</v>
      </c>
    </row>
    <row r="1574" spans="1:29">
      <c r="A1574" t="s">
        <v>115</v>
      </c>
      <c r="B1574">
        <v>3755.75</v>
      </c>
      <c r="C1574">
        <v>20.354</v>
      </c>
      <c r="D1574">
        <v>92.559</v>
      </c>
      <c r="E1574">
        <v>168.84</v>
      </c>
      <c r="F1574">
        <v>0.148</v>
      </c>
      <c r="G1574">
        <v>22.621</v>
      </c>
      <c r="H1574">
        <v>1.188</v>
      </c>
      <c r="I1574">
        <v>2.758</v>
      </c>
      <c r="J1574" s="3">
        <v>0.59</v>
      </c>
      <c r="K1574">
        <v>11.418</v>
      </c>
      <c r="L1574">
        <v>0.629</v>
      </c>
      <c r="M1574">
        <v>2.655</v>
      </c>
      <c r="N1574">
        <v>63.579</v>
      </c>
      <c r="O1574">
        <v>53.75</v>
      </c>
      <c r="P1574">
        <f t="shared" si="99"/>
        <v>1.80331369284743</v>
      </c>
      <c r="Q1574">
        <f t="shared" si="99"/>
        <v>1.73037846858764</v>
      </c>
      <c r="R1574">
        <v>26.973</v>
      </c>
      <c r="S1574">
        <v>29.053</v>
      </c>
      <c r="T1574">
        <v>30.582</v>
      </c>
      <c r="U1574">
        <v>3.825</v>
      </c>
      <c r="V1574">
        <v>64.953</v>
      </c>
      <c r="W1574">
        <v>0.124</v>
      </c>
      <c r="X1574" t="s">
        <v>92</v>
      </c>
      <c r="Y1574" t="s">
        <v>31</v>
      </c>
      <c r="Z1574" s="3">
        <f t="shared" si="102"/>
        <v>0.072935224259792</v>
      </c>
      <c r="AA1574">
        <f t="shared" si="100"/>
        <v>0.039</v>
      </c>
      <c r="AB1574">
        <f t="shared" si="101"/>
        <v>0.777</v>
      </c>
      <c r="AC1574" t="s">
        <v>32</v>
      </c>
    </row>
    <row r="1575" spans="1:29">
      <c r="A1575" t="s">
        <v>115</v>
      </c>
      <c r="B1575">
        <v>3755.875</v>
      </c>
      <c r="C1575">
        <v>21.349</v>
      </c>
      <c r="D1575">
        <v>92.81</v>
      </c>
      <c r="E1575">
        <v>171.817</v>
      </c>
      <c r="F1575">
        <v>0.176</v>
      </c>
      <c r="G1575">
        <v>22.621</v>
      </c>
      <c r="H1575">
        <v>1.163</v>
      </c>
      <c r="I1575">
        <v>2.761</v>
      </c>
      <c r="J1575" s="3">
        <v>0.603</v>
      </c>
      <c r="K1575">
        <v>10.523</v>
      </c>
      <c r="L1575">
        <v>0.57</v>
      </c>
      <c r="M1575">
        <v>2.626</v>
      </c>
      <c r="N1575">
        <v>66.976</v>
      </c>
      <c r="O1575">
        <v>56.449</v>
      </c>
      <c r="P1575">
        <f t="shared" si="99"/>
        <v>1.82591920665859</v>
      </c>
      <c r="Q1575">
        <f t="shared" si="99"/>
        <v>1.75165625275649</v>
      </c>
      <c r="R1575">
        <v>27.259</v>
      </c>
      <c r="S1575">
        <v>29.361</v>
      </c>
      <c r="T1575">
        <v>30.906</v>
      </c>
      <c r="U1575">
        <v>3.762</v>
      </c>
      <c r="V1575">
        <v>66.748</v>
      </c>
      <c r="W1575">
        <v>0.116</v>
      </c>
      <c r="X1575" t="s">
        <v>92</v>
      </c>
      <c r="Y1575" t="s">
        <v>31</v>
      </c>
      <c r="Z1575" s="3">
        <f t="shared" si="102"/>
        <v>0.0742629539020996</v>
      </c>
      <c r="AA1575">
        <f t="shared" si="100"/>
        <v>-0.033</v>
      </c>
      <c r="AB1575">
        <f t="shared" si="101"/>
        <v>0.746</v>
      </c>
      <c r="AC1575" t="s">
        <v>32</v>
      </c>
    </row>
    <row r="1576" spans="1:29">
      <c r="A1576" t="s">
        <v>115</v>
      </c>
      <c r="B1576">
        <v>3756</v>
      </c>
      <c r="C1576">
        <v>21.257</v>
      </c>
      <c r="D1576">
        <v>93.005</v>
      </c>
      <c r="E1576">
        <v>173.487</v>
      </c>
      <c r="F1576">
        <v>0.192</v>
      </c>
      <c r="G1576">
        <v>22.621</v>
      </c>
      <c r="H1576">
        <v>1.135</v>
      </c>
      <c r="I1576">
        <v>2.775</v>
      </c>
      <c r="J1576" s="3">
        <v>0.662</v>
      </c>
      <c r="K1576">
        <v>9.902</v>
      </c>
      <c r="L1576">
        <v>0.529</v>
      </c>
      <c r="M1576">
        <v>2.604</v>
      </c>
      <c r="N1576">
        <v>72.439</v>
      </c>
      <c r="O1576">
        <v>60.807</v>
      </c>
      <c r="P1576">
        <f t="shared" si="99"/>
        <v>1.85997244637035</v>
      </c>
      <c r="Q1576">
        <f t="shared" si="99"/>
        <v>1.78395357740404</v>
      </c>
      <c r="R1576">
        <v>26.701</v>
      </c>
      <c r="S1576">
        <v>28.76</v>
      </c>
      <c r="T1576">
        <v>30.273</v>
      </c>
      <c r="U1576">
        <v>3.563</v>
      </c>
      <c r="V1576">
        <v>75.238</v>
      </c>
      <c r="W1576">
        <v>0.1</v>
      </c>
      <c r="X1576" t="s">
        <v>92</v>
      </c>
      <c r="Y1576" t="s">
        <v>31</v>
      </c>
      <c r="Z1576" s="3">
        <f t="shared" si="102"/>
        <v>0.0760188689663159</v>
      </c>
      <c r="AA1576">
        <f t="shared" si="100"/>
        <v>-0.133</v>
      </c>
      <c r="AB1576">
        <f t="shared" si="101"/>
        <v>0.721</v>
      </c>
      <c r="AC1576" t="s">
        <v>32</v>
      </c>
    </row>
    <row r="1577" spans="1:29">
      <c r="A1577" t="s">
        <v>116</v>
      </c>
      <c r="B1577">
        <v>3996</v>
      </c>
      <c r="C1577">
        <v>25.653</v>
      </c>
      <c r="D1577">
        <v>49.995</v>
      </c>
      <c r="E1577">
        <v>161.485</v>
      </c>
      <c r="F1577">
        <v>0.164</v>
      </c>
      <c r="G1577">
        <v>22.528</v>
      </c>
      <c r="H1577">
        <v>1.529</v>
      </c>
      <c r="I1577">
        <v>2.792</v>
      </c>
      <c r="J1577" s="3">
        <v>0.631</v>
      </c>
      <c r="K1577">
        <v>6.578</v>
      </c>
      <c r="L1577">
        <v>0.414</v>
      </c>
      <c r="M1577">
        <v>3.368</v>
      </c>
      <c r="N1577">
        <v>115.357</v>
      </c>
      <c r="O1577">
        <v>103.409</v>
      </c>
      <c r="P1577">
        <f t="shared" si="99"/>
        <v>2.06204395316257</v>
      </c>
      <c r="Q1577">
        <f t="shared" si="99"/>
        <v>2.01455833837341</v>
      </c>
      <c r="R1577">
        <v>78.647</v>
      </c>
      <c r="S1577">
        <v>80.396</v>
      </c>
      <c r="T1577">
        <v>81.764</v>
      </c>
      <c r="U1577">
        <v>0.167</v>
      </c>
      <c r="V1577">
        <v>100</v>
      </c>
      <c r="W1577">
        <v>0.1</v>
      </c>
      <c r="X1577" t="s">
        <v>92</v>
      </c>
      <c r="Y1577" t="s">
        <v>31</v>
      </c>
      <c r="Z1577" s="3">
        <f t="shared" si="102"/>
        <v>0.0474856147891565</v>
      </c>
      <c r="AA1577">
        <f t="shared" si="100"/>
        <v>-0.217</v>
      </c>
      <c r="AB1577">
        <f t="shared" si="101"/>
        <v>0.578</v>
      </c>
      <c r="AC1577" t="s">
        <v>32</v>
      </c>
    </row>
    <row r="1578" spans="1:29">
      <c r="A1578" t="s">
        <v>116</v>
      </c>
      <c r="B1578">
        <v>3996.125</v>
      </c>
      <c r="C1578">
        <v>25.571</v>
      </c>
      <c r="D1578">
        <v>49.972</v>
      </c>
      <c r="E1578">
        <v>160.472</v>
      </c>
      <c r="F1578">
        <v>0.143</v>
      </c>
      <c r="G1578">
        <v>22.711</v>
      </c>
      <c r="H1578">
        <v>1.59</v>
      </c>
      <c r="I1578">
        <v>2.786</v>
      </c>
      <c r="J1578" s="3">
        <v>0.608</v>
      </c>
      <c r="K1578">
        <v>6.772</v>
      </c>
      <c r="L1578">
        <v>0.433</v>
      </c>
      <c r="M1578">
        <v>3.341</v>
      </c>
      <c r="N1578">
        <v>110.691</v>
      </c>
      <c r="O1578">
        <v>98.845</v>
      </c>
      <c r="P1578">
        <f t="shared" si="99"/>
        <v>2.04411231094888</v>
      </c>
      <c r="Q1578">
        <f t="shared" si="99"/>
        <v>1.9949547057455</v>
      </c>
      <c r="R1578">
        <v>86.923</v>
      </c>
      <c r="S1578">
        <v>88.831</v>
      </c>
      <c r="T1578">
        <v>89.435</v>
      </c>
      <c r="U1578">
        <v>0.229</v>
      </c>
      <c r="V1578">
        <v>100</v>
      </c>
      <c r="W1578">
        <v>0.1</v>
      </c>
      <c r="X1578" t="s">
        <v>92</v>
      </c>
      <c r="Y1578" t="s">
        <v>31</v>
      </c>
      <c r="Z1578" s="3">
        <f t="shared" si="102"/>
        <v>0.0491576052033811</v>
      </c>
      <c r="AA1578">
        <f t="shared" si="100"/>
        <v>-0.175</v>
      </c>
      <c r="AB1578">
        <f t="shared" si="101"/>
        <v>0.576</v>
      </c>
      <c r="AC1578" t="s">
        <v>32</v>
      </c>
    </row>
    <row r="1579" spans="1:29">
      <c r="A1579" t="s">
        <v>116</v>
      </c>
      <c r="B1579">
        <v>3996.25</v>
      </c>
      <c r="C1579">
        <v>24.639</v>
      </c>
      <c r="D1579">
        <v>49.969</v>
      </c>
      <c r="E1579">
        <v>159.663</v>
      </c>
      <c r="F1579">
        <v>0.125</v>
      </c>
      <c r="G1579">
        <v>23.024</v>
      </c>
      <c r="H1579">
        <v>1.617</v>
      </c>
      <c r="I1579">
        <v>2.783</v>
      </c>
      <c r="J1579" s="3">
        <v>0.596</v>
      </c>
      <c r="K1579">
        <v>6.899</v>
      </c>
      <c r="L1579">
        <v>0.445</v>
      </c>
      <c r="M1579">
        <v>3.292</v>
      </c>
      <c r="N1579">
        <v>109.359</v>
      </c>
      <c r="O1579">
        <v>96.392</v>
      </c>
      <c r="P1579">
        <f t="shared" si="99"/>
        <v>2.03885453030458</v>
      </c>
      <c r="Q1579">
        <f t="shared" si="99"/>
        <v>1.98404099137143</v>
      </c>
      <c r="R1579">
        <v>95.685</v>
      </c>
      <c r="S1579">
        <v>97.827</v>
      </c>
      <c r="T1579">
        <v>97.829</v>
      </c>
      <c r="U1579">
        <v>0.285</v>
      </c>
      <c r="V1579">
        <v>100</v>
      </c>
      <c r="W1579">
        <v>0.1</v>
      </c>
      <c r="X1579" t="s">
        <v>92</v>
      </c>
      <c r="Y1579" t="s">
        <v>31</v>
      </c>
      <c r="Z1579" s="3">
        <f t="shared" si="102"/>
        <v>0.0548135389331497</v>
      </c>
      <c r="AA1579">
        <f t="shared" si="100"/>
        <v>-0.151</v>
      </c>
      <c r="AB1579">
        <f t="shared" si="101"/>
        <v>0.57</v>
      </c>
      <c r="AC1579" t="s">
        <v>32</v>
      </c>
    </row>
    <row r="1580" spans="1:29">
      <c r="A1580" t="s">
        <v>116</v>
      </c>
      <c r="B1580">
        <v>3996.375</v>
      </c>
      <c r="C1580">
        <v>24.056</v>
      </c>
      <c r="D1580">
        <v>49.979</v>
      </c>
      <c r="E1580">
        <v>159.241</v>
      </c>
      <c r="F1580">
        <v>0.116</v>
      </c>
      <c r="G1580">
        <v>22.911</v>
      </c>
      <c r="H1580">
        <v>1.845</v>
      </c>
      <c r="I1580">
        <v>2.784</v>
      </c>
      <c r="J1580" s="3">
        <v>0.6</v>
      </c>
      <c r="K1580">
        <v>6.944</v>
      </c>
      <c r="L1580">
        <v>0.449</v>
      </c>
      <c r="M1580">
        <v>3.24</v>
      </c>
      <c r="N1580">
        <v>108.8</v>
      </c>
      <c r="O1580">
        <v>94.317</v>
      </c>
      <c r="P1580">
        <f t="shared" si="99"/>
        <v>2.03662889536216</v>
      </c>
      <c r="Q1580">
        <f t="shared" si="99"/>
        <v>1.97458997842963</v>
      </c>
      <c r="R1580">
        <v>99.446</v>
      </c>
      <c r="S1580">
        <v>104.39</v>
      </c>
      <c r="T1580">
        <v>105.924</v>
      </c>
      <c r="U1580">
        <v>0.346</v>
      </c>
      <c r="V1580">
        <v>100</v>
      </c>
      <c r="W1580">
        <v>0.1</v>
      </c>
      <c r="X1580" t="s">
        <v>92</v>
      </c>
      <c r="Y1580" t="s">
        <v>31</v>
      </c>
      <c r="Z1580" s="3">
        <f t="shared" si="102"/>
        <v>0.0620389169325322</v>
      </c>
      <c r="AA1580">
        <f t="shared" si="100"/>
        <v>-0.151</v>
      </c>
      <c r="AB1580">
        <f t="shared" si="101"/>
        <v>0.565</v>
      </c>
      <c r="AC1580" t="s">
        <v>32</v>
      </c>
    </row>
    <row r="1581" spans="1:29">
      <c r="A1581" t="s">
        <v>116</v>
      </c>
      <c r="B1581">
        <v>3996.5</v>
      </c>
      <c r="C1581">
        <v>23.5</v>
      </c>
      <c r="D1581">
        <v>50.003</v>
      </c>
      <c r="E1581">
        <v>159.199</v>
      </c>
      <c r="F1581">
        <v>0.115</v>
      </c>
      <c r="G1581">
        <v>22.736</v>
      </c>
      <c r="H1581">
        <v>2.145</v>
      </c>
      <c r="I1581">
        <v>2.798</v>
      </c>
      <c r="J1581" s="3">
        <v>0.655</v>
      </c>
      <c r="K1581">
        <v>6.928</v>
      </c>
      <c r="L1581">
        <v>0.447</v>
      </c>
      <c r="M1581">
        <v>3.184</v>
      </c>
      <c r="N1581">
        <v>108.402</v>
      </c>
      <c r="O1581">
        <v>92.404</v>
      </c>
      <c r="P1581">
        <f t="shared" si="99"/>
        <v>2.03503729494177</v>
      </c>
      <c r="Q1581">
        <f t="shared" si="99"/>
        <v>1.9656907714401</v>
      </c>
      <c r="R1581">
        <v>96.06</v>
      </c>
      <c r="S1581">
        <v>106.308</v>
      </c>
      <c r="T1581">
        <v>111.526</v>
      </c>
      <c r="U1581">
        <v>0.25</v>
      </c>
      <c r="V1581">
        <v>100</v>
      </c>
      <c r="W1581">
        <v>0.1</v>
      </c>
      <c r="X1581" t="s">
        <v>92</v>
      </c>
      <c r="Y1581" t="s">
        <v>31</v>
      </c>
      <c r="Z1581" s="3">
        <f t="shared" si="102"/>
        <v>0.0693465235016686</v>
      </c>
      <c r="AA1581">
        <f t="shared" si="100"/>
        <v>-0.208</v>
      </c>
      <c r="AB1581">
        <f t="shared" si="101"/>
        <v>0.562</v>
      </c>
      <c r="AC1581" t="s">
        <v>32</v>
      </c>
    </row>
    <row r="1582" spans="1:29">
      <c r="A1582" t="s">
        <v>116</v>
      </c>
      <c r="B1582">
        <v>3996.625</v>
      </c>
      <c r="C1582">
        <v>22.688</v>
      </c>
      <c r="D1582">
        <v>50.04</v>
      </c>
      <c r="E1582">
        <v>159.447</v>
      </c>
      <c r="F1582">
        <v>0.121</v>
      </c>
      <c r="G1582">
        <v>22.987</v>
      </c>
      <c r="H1582">
        <v>2.258</v>
      </c>
      <c r="I1582">
        <v>2.815</v>
      </c>
      <c r="J1582" s="3">
        <v>0.722</v>
      </c>
      <c r="K1582">
        <v>6.879</v>
      </c>
      <c r="L1582">
        <v>0.443</v>
      </c>
      <c r="M1582">
        <v>3.157</v>
      </c>
      <c r="N1582">
        <v>109.363</v>
      </c>
      <c r="O1582">
        <v>91.49</v>
      </c>
      <c r="P1582">
        <f t="shared" si="99"/>
        <v>2.03887041510746</v>
      </c>
      <c r="Q1582">
        <f t="shared" si="99"/>
        <v>1.9613736275948</v>
      </c>
      <c r="R1582">
        <v>95.947</v>
      </c>
      <c r="S1582">
        <v>107.528</v>
      </c>
      <c r="T1582">
        <v>113.738</v>
      </c>
      <c r="U1582">
        <v>0.171</v>
      </c>
      <c r="V1582">
        <v>100</v>
      </c>
      <c r="W1582">
        <v>0.1</v>
      </c>
      <c r="X1582" t="s">
        <v>92</v>
      </c>
      <c r="Y1582" t="s">
        <v>31</v>
      </c>
      <c r="Z1582" s="3">
        <f t="shared" si="102"/>
        <v>0.0774967875126555</v>
      </c>
      <c r="AA1582">
        <f t="shared" si="100"/>
        <v>-0.279</v>
      </c>
      <c r="AB1582">
        <f t="shared" si="101"/>
        <v>0.564</v>
      </c>
      <c r="AC1582" t="s">
        <v>32</v>
      </c>
    </row>
    <row r="1583" spans="1:29">
      <c r="A1583" t="s">
        <v>116</v>
      </c>
      <c r="B1583">
        <v>3996.75</v>
      </c>
      <c r="C1583">
        <v>22.271</v>
      </c>
      <c r="D1583">
        <v>50.094</v>
      </c>
      <c r="E1583">
        <v>159.97</v>
      </c>
      <c r="F1583">
        <v>0.132</v>
      </c>
      <c r="G1583">
        <v>23.211</v>
      </c>
      <c r="H1583">
        <v>2.281</v>
      </c>
      <c r="I1583">
        <v>2.828</v>
      </c>
      <c r="J1583" s="3">
        <v>0.773</v>
      </c>
      <c r="K1583">
        <v>6.788</v>
      </c>
      <c r="L1583">
        <v>0.434</v>
      </c>
      <c r="M1583">
        <v>3.131</v>
      </c>
      <c r="N1583">
        <v>113.14</v>
      </c>
      <c r="O1583">
        <v>92.513</v>
      </c>
      <c r="P1583">
        <f t="shared" si="99"/>
        <v>2.05361617440439</v>
      </c>
      <c r="Q1583">
        <f t="shared" si="99"/>
        <v>1.96620276443166</v>
      </c>
      <c r="R1583">
        <v>102.267</v>
      </c>
      <c r="S1583">
        <v>110.972</v>
      </c>
      <c r="T1583">
        <v>115.186</v>
      </c>
      <c r="U1583">
        <v>0.136</v>
      </c>
      <c r="V1583">
        <v>100</v>
      </c>
      <c r="W1583">
        <v>0.1</v>
      </c>
      <c r="X1583" t="s">
        <v>92</v>
      </c>
      <c r="Y1583" t="s">
        <v>31</v>
      </c>
      <c r="Z1583" s="3">
        <f t="shared" si="102"/>
        <v>0.0874134099727304</v>
      </c>
      <c r="AA1583">
        <f t="shared" si="100"/>
        <v>-0.339</v>
      </c>
      <c r="AB1583">
        <f t="shared" si="101"/>
        <v>0.566</v>
      </c>
      <c r="AC1583" t="s">
        <v>32</v>
      </c>
    </row>
    <row r="1584" spans="1:29">
      <c r="A1584" t="s">
        <v>116</v>
      </c>
      <c r="B1584">
        <v>3996.875</v>
      </c>
      <c r="C1584">
        <v>22.895</v>
      </c>
      <c r="D1584">
        <v>50.164</v>
      </c>
      <c r="E1584">
        <v>160.738</v>
      </c>
      <c r="F1584">
        <v>0.148</v>
      </c>
      <c r="G1584">
        <v>22.816</v>
      </c>
      <c r="H1584">
        <v>2.282</v>
      </c>
      <c r="I1584">
        <v>2.841</v>
      </c>
      <c r="J1584" s="3">
        <v>0.824</v>
      </c>
      <c r="K1584">
        <v>6.648</v>
      </c>
      <c r="L1584">
        <v>0.421</v>
      </c>
      <c r="M1584">
        <v>3.122</v>
      </c>
      <c r="N1584">
        <v>119.099</v>
      </c>
      <c r="O1584">
        <v>95.667</v>
      </c>
      <c r="P1584">
        <f t="shared" si="99"/>
        <v>2.07590811499827</v>
      </c>
      <c r="Q1584">
        <f t="shared" si="99"/>
        <v>1.98076215523288</v>
      </c>
      <c r="R1584">
        <v>110.935</v>
      </c>
      <c r="S1584">
        <v>117.369</v>
      </c>
      <c r="T1584">
        <v>119.953</v>
      </c>
      <c r="U1584">
        <v>0.096</v>
      </c>
      <c r="V1584">
        <v>100</v>
      </c>
      <c r="W1584">
        <v>0.1</v>
      </c>
      <c r="X1584" t="s">
        <v>92</v>
      </c>
      <c r="Y1584" t="s">
        <v>31</v>
      </c>
      <c r="Z1584" s="3">
        <f t="shared" si="102"/>
        <v>0.0951459597653825</v>
      </c>
      <c r="AA1584">
        <f t="shared" si="100"/>
        <v>-0.403</v>
      </c>
      <c r="AB1584">
        <f t="shared" si="101"/>
        <v>0.569</v>
      </c>
      <c r="AC1584" t="s">
        <v>32</v>
      </c>
    </row>
    <row r="1585" spans="1:29">
      <c r="A1585" t="s">
        <v>116</v>
      </c>
      <c r="B1585">
        <v>3997</v>
      </c>
      <c r="C1585">
        <v>23.343</v>
      </c>
      <c r="D1585">
        <v>50.253</v>
      </c>
      <c r="E1585">
        <v>161.617</v>
      </c>
      <c r="F1585">
        <v>0.167</v>
      </c>
      <c r="G1585">
        <v>22.463</v>
      </c>
      <c r="H1585">
        <v>2.342</v>
      </c>
      <c r="I1585">
        <v>2.851</v>
      </c>
      <c r="J1585" s="3">
        <v>0.863</v>
      </c>
      <c r="K1585">
        <v>6.535</v>
      </c>
      <c r="L1585">
        <v>0.41</v>
      </c>
      <c r="M1585">
        <v>3.122</v>
      </c>
      <c r="N1585">
        <v>126.035</v>
      </c>
      <c r="O1585">
        <v>100.569</v>
      </c>
      <c r="P1585">
        <f t="shared" si="99"/>
        <v>2.10049116572156</v>
      </c>
      <c r="Q1585">
        <f t="shared" si="99"/>
        <v>2.00246413177653</v>
      </c>
      <c r="R1585">
        <v>128.585</v>
      </c>
      <c r="S1585">
        <v>133.859</v>
      </c>
      <c r="T1585">
        <v>135.204</v>
      </c>
      <c r="U1585">
        <v>0.096</v>
      </c>
      <c r="V1585">
        <v>100</v>
      </c>
      <c r="W1585">
        <v>0.1</v>
      </c>
      <c r="X1585" t="s">
        <v>92</v>
      </c>
      <c r="Y1585" t="s">
        <v>31</v>
      </c>
      <c r="Z1585" s="3">
        <f t="shared" si="102"/>
        <v>0.098027033945034</v>
      </c>
      <c r="AA1585">
        <f t="shared" si="100"/>
        <v>-0.453</v>
      </c>
      <c r="AB1585">
        <f t="shared" si="101"/>
        <v>0.577</v>
      </c>
      <c r="AC1585" t="s">
        <v>32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刘剑利</cp:lastModifiedBy>
  <dcterms:created xsi:type="dcterms:W3CDTF">2015-06-05T18:19:00Z</dcterms:created>
  <dcterms:modified xsi:type="dcterms:W3CDTF">2026-04-29T07:37:08Z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1CA4D500B9114B6884B3B1C2F775EA60_13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